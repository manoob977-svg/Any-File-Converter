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Arman\Desktop\"/>
    </mc:Choice>
  </mc:AlternateContent>
  <xr:revisionPtr revIDLastSave="0" documentId="13_ncr:1_{77A1DA10-D5E9-41C7-A1FC-2DE056912D07}" xr6:coauthVersionLast="47" xr6:coauthVersionMax="47" xr10:uidLastSave="{00000000-0000-0000-0000-000000000000}"/>
  <bookViews>
    <workbookView xWindow="10035" yWindow="0" windowWidth="9930" windowHeight="10920" activeTab="1" xr2:uid="{60EE8581-0095-4B83-B39C-395AB904C605}"/>
  </bookViews>
  <sheets>
    <sheet name="BOQ" sheetId="1" r:id="rId1"/>
    <sheet name="BOQ  with Rates" sheetId="2" r:id="rId2"/>
  </sheets>
  <definedNames>
    <definedName name="\A">#REF!</definedName>
    <definedName name="\B">#REF!</definedName>
    <definedName name="\c">#REF!</definedName>
    <definedName name="\cc">#REF!</definedName>
    <definedName name="\ce">#REF!</definedName>
    <definedName name="\D">#REF!</definedName>
    <definedName name="\dffff">#REF!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___________________________________________________________________tw1">#REF!</definedName>
    <definedName name="____________________________________________________________________tw1">#REF!</definedName>
    <definedName name="___________________________________________________________________tw1">#REF!</definedName>
    <definedName name="__________________________________________________________________tw1">#REF!</definedName>
    <definedName name="_________________________________________________________________tw1">#REF!</definedName>
    <definedName name="________________________________________________________________tw1">#REF!</definedName>
    <definedName name="_______________________________________________________________tw1">#REF!</definedName>
    <definedName name="______________________________________________________________tw1">#REF!</definedName>
    <definedName name="_____________________________________________________________tw1">#REF!</definedName>
    <definedName name="____________________________________________________________tw1">#REF!</definedName>
    <definedName name="___________________________________________________________tw1">#REF!</definedName>
    <definedName name="__________________________________________________________tw1">#REF!</definedName>
    <definedName name="_________________________________________________________tw1">#REF!</definedName>
    <definedName name="________________________________________________________tw1">#REF!</definedName>
    <definedName name="_______________________________________________________tw1">#REF!</definedName>
    <definedName name="______________________________________________________tw1">#REF!</definedName>
    <definedName name="_____________________________________________________tw1">#REF!</definedName>
    <definedName name="____________________________________________________tw1">#REF!</definedName>
    <definedName name="___________________________________________________tw1">#REF!</definedName>
    <definedName name="__________________________________________________tw1">#REF!</definedName>
    <definedName name="_________________________________________________tw1">#REF!</definedName>
    <definedName name="________________________________________________tw1">#REF!</definedName>
    <definedName name="_______________________________________________tw1">#REF!</definedName>
    <definedName name="______________________________________________tw1">#REF!</definedName>
    <definedName name="_____________________________________________tw1">#REF!</definedName>
    <definedName name="____________________________________________tw1">#REF!</definedName>
    <definedName name="___________________________________________tw1">#REF!</definedName>
    <definedName name="__________________________________________tw1">#REF!</definedName>
    <definedName name="_________________________________________tw1">#REF!</definedName>
    <definedName name="________________________________________ohr2">#REF!</definedName>
    <definedName name="________________________________________tw1">#REF!</definedName>
    <definedName name="_______________________________________ohr2">#REF!</definedName>
    <definedName name="_______________________________________tw1">#REF!</definedName>
    <definedName name="______________________________________ohr2">#REF!</definedName>
    <definedName name="______________________________________tw1">#REF!</definedName>
    <definedName name="_____________________________________ohr2">#REF!</definedName>
    <definedName name="_____________________________________tw1">#REF!</definedName>
    <definedName name="____________________________________ohr2">#REF!</definedName>
    <definedName name="____________________________________tw1">#REF!</definedName>
    <definedName name="___________________________________ohr2">#REF!</definedName>
    <definedName name="___________________________________tw1">#REF!</definedName>
    <definedName name="__________________________________ohr2">#REF!</definedName>
    <definedName name="__________________________________tw1">#REF!</definedName>
    <definedName name="_________________________________ohr2">#REF!</definedName>
    <definedName name="_________________________________tw1">#REF!</definedName>
    <definedName name="________________________________ohr2">#REF!</definedName>
    <definedName name="________________________________tw1">#REF!</definedName>
    <definedName name="_______________________________ohr2">#REF!</definedName>
    <definedName name="_______________________________tw1">#REF!</definedName>
    <definedName name="______________________________ohr2">#REF!</definedName>
    <definedName name="______________________________tw1">#REF!</definedName>
    <definedName name="_____________________________ohr2">#REF!</definedName>
    <definedName name="_____________________________tw1">#REF!</definedName>
    <definedName name="____________________________ohr2">#REF!</definedName>
    <definedName name="____________________________tw1">#REF!</definedName>
    <definedName name="___________________________ohr2">#REF!</definedName>
    <definedName name="___________________________tw1">#REF!</definedName>
    <definedName name="__________________________ohr2">#REF!</definedName>
    <definedName name="__________________________tw1">#REF!</definedName>
    <definedName name="_________________________ohr2">#REF!</definedName>
    <definedName name="_________________________tw1">#REF!</definedName>
    <definedName name="________________________ohr2">#REF!</definedName>
    <definedName name="________________________tw1">#REF!</definedName>
    <definedName name="_______________________ohr2">#REF!</definedName>
    <definedName name="_______________________tw1">#REF!</definedName>
    <definedName name="______________________ohr2">#REF!</definedName>
    <definedName name="______________________tw1">#REF!</definedName>
    <definedName name="_____________________ohr2">#REF!</definedName>
    <definedName name="_____________________tw1">#REF!</definedName>
    <definedName name="____________________ohr2">#REF!</definedName>
    <definedName name="____________________tw1">#REF!</definedName>
    <definedName name="___________________ohr2">#REF!</definedName>
    <definedName name="___________________tw1">#REF!</definedName>
    <definedName name="__________________ohr2">#REF!</definedName>
    <definedName name="__________________tw1">#REF!</definedName>
    <definedName name="_________________ohr2">#REF!</definedName>
    <definedName name="_________________tw1">#REF!</definedName>
    <definedName name="________________ohr2">#REF!</definedName>
    <definedName name="________________tw1">#REF!</definedName>
    <definedName name="_______________ls3">#REF!</definedName>
    <definedName name="_______________ohr2">#REF!</definedName>
    <definedName name="_______________tw1">#REF!</definedName>
    <definedName name="______________ls3">#REF!</definedName>
    <definedName name="______________ohr2">#REF!</definedName>
    <definedName name="______________tw1">#REF!</definedName>
    <definedName name="_____________ohr2">#REF!</definedName>
    <definedName name="_____________tw1">#REF!</definedName>
    <definedName name="____________ls3">#REF!</definedName>
    <definedName name="____________ohr2">#REF!</definedName>
    <definedName name="____________tw1">#REF!</definedName>
    <definedName name="___________ohr2">#REF!</definedName>
    <definedName name="___________tw1">#REF!</definedName>
    <definedName name="___________we443">#REF!</definedName>
    <definedName name="__________ls3">#REF!</definedName>
    <definedName name="__________ohr2">#REF!</definedName>
    <definedName name="__________tw1">#REF!</definedName>
    <definedName name="__________we443">#REF!</definedName>
    <definedName name="_________1">#REF!</definedName>
    <definedName name="_________2">#REF!</definedName>
    <definedName name="_________3">#REF!</definedName>
    <definedName name="_________4">#REF!</definedName>
    <definedName name="_________5">#REF!</definedName>
    <definedName name="_________ls3">#REF!</definedName>
    <definedName name="_________ohr2">#REF!</definedName>
    <definedName name="_________sw3" hidden="1">#REF!</definedName>
    <definedName name="_________tw1">#REF!</definedName>
    <definedName name="________1">#REF!</definedName>
    <definedName name="________2">#REF!</definedName>
    <definedName name="________3">#REF!</definedName>
    <definedName name="________4">#REF!</definedName>
    <definedName name="________5">#REF!</definedName>
    <definedName name="________ls3">#REF!</definedName>
    <definedName name="________ohr2">#REF!</definedName>
    <definedName name="________sw3" hidden="1">#REF!</definedName>
    <definedName name="________tw1">#REF!</definedName>
    <definedName name="________we443">#REF!</definedName>
    <definedName name="_______1">#REF!</definedName>
    <definedName name="_______2">#REF!</definedName>
    <definedName name="_______3">#REF!</definedName>
    <definedName name="_______4">#REF!</definedName>
    <definedName name="_______5">#REF!</definedName>
    <definedName name="_______ls3">#REF!</definedName>
    <definedName name="_______ohr2">#REF!</definedName>
    <definedName name="_______sw3" hidden="1">#REF!</definedName>
    <definedName name="_______tw1">#REF!</definedName>
    <definedName name="______1">#REF!</definedName>
    <definedName name="______2">#REF!</definedName>
    <definedName name="______3">#REF!</definedName>
    <definedName name="______4">#REF!</definedName>
    <definedName name="______5">#REF!</definedName>
    <definedName name="______ls3">#REF!</definedName>
    <definedName name="______ohr2">#REF!</definedName>
    <definedName name="______sw3" hidden="1">#REF!</definedName>
    <definedName name="______tw1">#REF!</definedName>
    <definedName name="______we443">#REF!</definedName>
    <definedName name="_____1">#REF!</definedName>
    <definedName name="_____2">#REF!</definedName>
    <definedName name="_____3">#REF!</definedName>
    <definedName name="_____4">#REF!</definedName>
    <definedName name="_____5">#REF!</definedName>
    <definedName name="_____ls3">#REF!</definedName>
    <definedName name="_____ohr2">#REF!</definedName>
    <definedName name="_____sw3" hidden="1">#REF!</definedName>
    <definedName name="_____tw1">#REF!</definedName>
    <definedName name="_____we443">#REF!</definedName>
    <definedName name="____1">#REF!</definedName>
    <definedName name="____2">#REF!</definedName>
    <definedName name="____3">#REF!</definedName>
    <definedName name="____4">#REF!</definedName>
    <definedName name="____5">#REF!</definedName>
    <definedName name="____ls3">#REF!</definedName>
    <definedName name="____ohr2">#REF!</definedName>
    <definedName name="____sw3" hidden="1">#REF!</definedName>
    <definedName name="____tw1">#REF!</definedName>
    <definedName name="____we443">#REF!</definedName>
    <definedName name="___1">#REF!</definedName>
    <definedName name="___2">#REF!</definedName>
    <definedName name="___3">#REF!</definedName>
    <definedName name="___4">#REF!</definedName>
    <definedName name="___5">#REF!</definedName>
    <definedName name="___ls3">#REF!</definedName>
    <definedName name="___ohr2">#REF!</definedName>
    <definedName name="___sw3" hidden="1">#REF!</definedName>
    <definedName name="___tw1">#REF!</definedName>
    <definedName name="___we443">#REF!</definedName>
    <definedName name="__1">#REF!</definedName>
    <definedName name="__123Graph_A" hidden="1">#REF!</definedName>
    <definedName name="__123Graph_ASFAC" hidden="1">#REF!</definedName>
    <definedName name="__123Graph_X" hidden="1">#REF!</definedName>
    <definedName name="__123Graph_XSFAC" hidden="1">#REF!</definedName>
    <definedName name="__2">#REF!</definedName>
    <definedName name="__3">#REF!</definedName>
    <definedName name="__4">#REF!</definedName>
    <definedName name="__5">#REF!</definedName>
    <definedName name="__ls3">#REF!</definedName>
    <definedName name="__ohr2">#REF!</definedName>
    <definedName name="__sw3" hidden="1">#REF!</definedName>
    <definedName name="__tw1">#REF!</definedName>
    <definedName name="__we443">#REF!</definedName>
    <definedName name="_1">#REF!</definedName>
    <definedName name="_1_1">#REF!</definedName>
    <definedName name="_12_4">#REF!</definedName>
    <definedName name="_15_5">#REF!</definedName>
    <definedName name="_2">#REF!</definedName>
    <definedName name="_2_2">#REF!</definedName>
    <definedName name="_21">#REF!</definedName>
    <definedName name="_22">#REF!</definedName>
    <definedName name="_3">#REF!</definedName>
    <definedName name="_3_1">#REF!</definedName>
    <definedName name="_3_3">#REF!</definedName>
    <definedName name="_4">#REF!</definedName>
    <definedName name="_4_4">#REF!</definedName>
    <definedName name="_5">#REF!</definedName>
    <definedName name="_5_5">#REF!</definedName>
    <definedName name="_6_2">#REF!</definedName>
    <definedName name="_9_3">#REF!</definedName>
    <definedName name="_a">#REF!</definedName>
    <definedName name="_a_10">#REF!</definedName>
    <definedName name="_a_11">#REF!</definedName>
    <definedName name="_a_12">#REF!</definedName>
    <definedName name="_a_13">#REF!</definedName>
    <definedName name="_a_14">#REF!</definedName>
    <definedName name="_a_15">#REF!</definedName>
    <definedName name="_a_16">#REF!</definedName>
    <definedName name="_a_17">#REF!</definedName>
    <definedName name="_a_18">#REF!</definedName>
    <definedName name="_a_19">#REF!</definedName>
    <definedName name="_a_20">#REF!</definedName>
    <definedName name="_a_21">#REF!</definedName>
    <definedName name="_a_22">#REF!</definedName>
    <definedName name="_a_23">#REF!</definedName>
    <definedName name="_a_24">#REF!</definedName>
    <definedName name="_a_25">#REF!</definedName>
    <definedName name="_a_26">#REF!</definedName>
    <definedName name="_a_27">#REF!</definedName>
    <definedName name="_a_28">#REF!</definedName>
    <definedName name="_a_29">#REF!</definedName>
    <definedName name="_a_30">#REF!</definedName>
    <definedName name="_a_34">#REF!</definedName>
    <definedName name="_a_4">#REF!</definedName>
    <definedName name="_a_4_15">#REF!</definedName>
    <definedName name="_a_4_8">#REF!</definedName>
    <definedName name="_a_5">#REF!</definedName>
    <definedName name="_a_5_15">#REF!</definedName>
    <definedName name="_a_5_8">#REF!</definedName>
    <definedName name="_a_8">#REF!</definedName>
    <definedName name="_A802313">#REF!</definedName>
    <definedName name="_AASDASD">#REF!</definedName>
    <definedName name="_BHR11">#REF!</definedName>
    <definedName name="_BHR12">#REF!</definedName>
    <definedName name="_BHR13">#REF!</definedName>
    <definedName name="_BHR14">#REF!</definedName>
    <definedName name="_BHR15">#REF!</definedName>
    <definedName name="_BHR16">#REF!</definedName>
    <definedName name="_BHR17">#REF!</definedName>
    <definedName name="_BHR18">#REF!</definedName>
    <definedName name="_BHR19">#REF!</definedName>
    <definedName name="_BHR20">#REF!</definedName>
    <definedName name="_BHR21">#REF!</definedName>
    <definedName name="_BHR22">#REF!</definedName>
    <definedName name="_BHR23">#REF!</definedName>
    <definedName name="_BHR24">#REF!</definedName>
    <definedName name="_BHR25">#REF!</definedName>
    <definedName name="_BHR26">#REF!</definedName>
    <definedName name="_BHR27">#REF!</definedName>
    <definedName name="_BHR28">#REF!</definedName>
    <definedName name="_BHR29">#REF!</definedName>
    <definedName name="_BHR30">#REF!</definedName>
    <definedName name="_BHR31">#REF!</definedName>
    <definedName name="_BHR32">#REF!</definedName>
    <definedName name="_BHR33">#REF!</definedName>
    <definedName name="_BHR34">#REF!</definedName>
    <definedName name="_BHR35">#REF!</definedName>
    <definedName name="_BHR36">#REF!</definedName>
    <definedName name="_BHR37">#REF!</definedName>
    <definedName name="_BHR38">#REF!</definedName>
    <definedName name="_BHR39">#REF!</definedName>
    <definedName name="_BHR40">#REF!</definedName>
    <definedName name="_BHR41">#REF!</definedName>
    <definedName name="_BHR42">#REF!</definedName>
    <definedName name="_BHR52">#REF!</definedName>
    <definedName name="_BHR53">#REF!</definedName>
    <definedName name="_BHR54">#REF!</definedName>
    <definedName name="_BHR60">#REF!</definedName>
    <definedName name="_BHR61">#REF!</definedName>
    <definedName name="_BHR62">#REF!</definedName>
    <definedName name="_c">#REF!</definedName>
    <definedName name="_con100">#REF!</definedName>
    <definedName name="_con125">#REF!</definedName>
    <definedName name="_con15">#REF!</definedName>
    <definedName name="_con150">#REF!</definedName>
    <definedName name="_con20">#REF!</definedName>
    <definedName name="_con200">#REF!</definedName>
    <definedName name="_con25">#REF!</definedName>
    <definedName name="_con250">#REF!</definedName>
    <definedName name="_con300">#REF!</definedName>
    <definedName name="_con32">#REF!</definedName>
    <definedName name="_con350">#REF!</definedName>
    <definedName name="_con40">#REF!</definedName>
    <definedName name="_con400">#REF!</definedName>
    <definedName name="_con450">#REF!</definedName>
    <definedName name="_con50">#REF!</definedName>
    <definedName name="_con550">#REF!</definedName>
    <definedName name="_con65">#REF!</definedName>
    <definedName name="_con80">#REF!</definedName>
    <definedName name="_cpr1400">#REF!</definedName>
    <definedName name="_cpr1800">#REF!</definedName>
    <definedName name="_csp100">#REF!</definedName>
    <definedName name="_csp125">#REF!</definedName>
    <definedName name="_csp15">#REF!</definedName>
    <definedName name="_csp150">#REF!</definedName>
    <definedName name="_csp20">#REF!</definedName>
    <definedName name="_csp200">#REF!</definedName>
    <definedName name="_csp25">#REF!</definedName>
    <definedName name="_csp250">#REF!</definedName>
    <definedName name="_csp300">#REF!</definedName>
    <definedName name="_csp32">#REF!</definedName>
    <definedName name="_csp350">#REF!</definedName>
    <definedName name="_csp40">#REF!</definedName>
    <definedName name="_csp400">#REF!</definedName>
    <definedName name="_csp450">#REF!</definedName>
    <definedName name="_csp50">#REF!</definedName>
    <definedName name="_csp550">#REF!</definedName>
    <definedName name="_csp65">#REF!</definedName>
    <definedName name="_csp80">#REF!</definedName>
    <definedName name="_dvl100">#REF!</definedName>
    <definedName name="_dvl150">#REF!</definedName>
    <definedName name="_dvl200">#REF!</definedName>
    <definedName name="_fdm100">#REF!</definedName>
    <definedName name="_fdm150">#REF!</definedName>
    <definedName name="_fdm210">#REF!</definedName>
    <definedName name="_fdm30">#REF!</definedName>
    <definedName name="_fdm40">#REF!</definedName>
    <definedName name="_fdm60">#REF!</definedName>
    <definedName name="_Fill" hidden="1">#REF!</definedName>
    <definedName name="_xlnm._FilterDatabase" localSheetId="0" hidden="1">BOQ!$A$1966:$E$2389</definedName>
    <definedName name="_xlnm._FilterDatabase" localSheetId="1" hidden="1">'BOQ  with Rates'!$A$1978:$F$2406</definedName>
    <definedName name="_gal100">#REF!</definedName>
    <definedName name="_gal25">#REF!</definedName>
    <definedName name="_gal32">#REF!</definedName>
    <definedName name="_gal50">#REF!</definedName>
    <definedName name="_gal65">#REF!</definedName>
    <definedName name="_gal75">#REF!</definedName>
    <definedName name="_jhd">#REF!</definedName>
    <definedName name="_Key1" hidden="1">#REF!</definedName>
    <definedName name="_Key2" hidden="1">#REF!</definedName>
    <definedName name="_ls3">#REF!</definedName>
    <definedName name="_mhr11">#REF!</definedName>
    <definedName name="_mhr12">#REF!</definedName>
    <definedName name="_mhr13">#REF!</definedName>
    <definedName name="_mhr14">#REF!</definedName>
    <definedName name="_mhr21">#REF!</definedName>
    <definedName name="_mhr22">#REF!</definedName>
    <definedName name="_mhr23">#REF!</definedName>
    <definedName name="_mhr31">#REF!</definedName>
    <definedName name="_mhr32">#REF!</definedName>
    <definedName name="_mhr33">#REF!</definedName>
    <definedName name="_mhr41">#REF!</definedName>
    <definedName name="_mhr53">#REF!</definedName>
    <definedName name="_mhr54">#REF!</definedName>
    <definedName name="_ohr2">#REF!</definedName>
    <definedName name="_Order1" hidden="1">0</definedName>
    <definedName name="_Order2" hidden="1">0</definedName>
    <definedName name="_rad1">#REF!</definedName>
    <definedName name="_rad2">#REF!</definedName>
    <definedName name="_rad4">#REF!</definedName>
    <definedName name="_rad6">#REF!</definedName>
    <definedName name="_Regression_Int">1</definedName>
    <definedName name="_sad1">#REF!</definedName>
    <definedName name="_sad2">#REF!</definedName>
    <definedName name="_sad300">#REF!</definedName>
    <definedName name="_sad4">#REF!</definedName>
    <definedName name="_sad400">#REF!</definedName>
    <definedName name="_sad500">#REF!</definedName>
    <definedName name="_sad6">#REF!</definedName>
    <definedName name="_sad600">#REF!</definedName>
    <definedName name="_sld150">#REF!</definedName>
    <definedName name="_sld200">#REF!</definedName>
    <definedName name="_sld250">#REF!</definedName>
    <definedName name="_sld300">#REF!</definedName>
    <definedName name="_sld350">#REF!</definedName>
    <definedName name="_sld400">#REF!</definedName>
    <definedName name="_Sort" hidden="1">#REF!</definedName>
    <definedName name="_sw3" hidden="1">#REF!</definedName>
    <definedName name="_tw1">#REF!</definedName>
    <definedName name="_val100">#REF!</definedName>
    <definedName name="_val125">#REF!</definedName>
    <definedName name="_val13">#REF!</definedName>
    <definedName name="_val15">#REF!</definedName>
    <definedName name="_val150">#REF!</definedName>
    <definedName name="_val20">#REF!</definedName>
    <definedName name="_val200">#REF!</definedName>
    <definedName name="_val25">#REF!</definedName>
    <definedName name="_val250">#REF!</definedName>
    <definedName name="_val32">#REF!</definedName>
    <definedName name="_val38">#REF!</definedName>
    <definedName name="_val40">#REF!</definedName>
    <definedName name="_val50">#REF!</definedName>
    <definedName name="_val65">#REF!</definedName>
    <definedName name="_val75">#REF!</definedName>
    <definedName name="_val80">#REF!</definedName>
    <definedName name="_vlm250">#REF!</definedName>
    <definedName name="_vlm80">#REF!</definedName>
    <definedName name="_we443">#REF!</definedName>
    <definedName name="a" hidden="1">#REF!</definedName>
    <definedName name="aa">#REF!</definedName>
    <definedName name="AAA">#REF!</definedName>
    <definedName name="aaaaaa">#REF!</definedName>
    <definedName name="AAAAAAAAAAAAAAAAAAAAAAADKFKLGLG" hidden="1">#REF!</definedName>
    <definedName name="AAb">#REF!</definedName>
    <definedName name="aadxasdxasdxas">#REF!</definedName>
    <definedName name="aasdffs">#REF!</definedName>
    <definedName name="abb" hidden="1">#REF!</definedName>
    <definedName name="abbas" hidden="1">#REF!</definedName>
    <definedName name="abc">#REF!</definedName>
    <definedName name="abcd">#REF!</definedName>
    <definedName name="ABDULLAH">#REF!</definedName>
    <definedName name="abstract" hidden="1">{"'G.Ab'!$B$22:$E$22"}</definedName>
    <definedName name="ABSTRACT_NORTH">#REF!</definedName>
    <definedName name="ABSTRACT_PHED">#REF!</definedName>
    <definedName name="AC" hidden="1">#REF!</definedName>
    <definedName name="Acoustic_Velocity">#REF!</definedName>
    <definedName name="Active_WetWell_Volume">#REF!</definedName>
    <definedName name="ad">#REF!</definedName>
    <definedName name="adfsd">#REF!</definedName>
    <definedName name="agf">#REF!</definedName>
    <definedName name="ahucarrier">#REF!</definedName>
    <definedName name="ahufyronegis">#REF!</definedName>
    <definedName name="ahusinko">#REF!</definedName>
    <definedName name="ahutrane">#REF!</definedName>
    <definedName name="aircooledchillercarrier">#REF!</definedName>
    <definedName name="aircooledchillerfyrogenis">#REF!</definedName>
    <definedName name="aircooledchillertrane">#REF!</definedName>
    <definedName name="ajmal">#REF!</definedName>
    <definedName name="allaha">#REF!</definedName>
    <definedName name="Ammara">#REF!</definedName>
    <definedName name="anaerb" hidden="1">#REF!</definedName>
    <definedName name="anaerobic">#REF!</definedName>
    <definedName name="Analysis111">#REF!</definedName>
    <definedName name="anesar">#REF!</definedName>
    <definedName name="anhgy">#REF!</definedName>
    <definedName name="anrer">#REF!</definedName>
    <definedName name="anscount" hidden="1">1</definedName>
    <definedName name="appendix">#REF!</definedName>
    <definedName name="as">#REF!</definedName>
    <definedName name="asasa" hidden="1">#REF!</definedName>
    <definedName name="asd">#REF!</definedName>
    <definedName name="asda_a_30">#REF!</definedName>
    <definedName name="asdasd">#REF!</definedName>
    <definedName name="asdasd28">#REF!</definedName>
    <definedName name="asdasdad">#REF!</definedName>
    <definedName name="asdasdas">#REF!</definedName>
    <definedName name="asdd">#REF!</definedName>
    <definedName name="asdfj">#REF!</definedName>
    <definedName name="asfdfsdfd" hidden="1">#REF!</definedName>
    <definedName name="ASIF" hidden="1">#REF!</definedName>
    <definedName name="ASIFKHAN">#REF!</definedName>
    <definedName name="Asik">#REF!</definedName>
    <definedName name="Asik2">#REF!</definedName>
    <definedName name="asim">#REF!</definedName>
    <definedName name="ass">#REF!</definedName>
    <definedName name="ASSF">#REF!</definedName>
    <definedName name="assss">#REF!</definedName>
    <definedName name="ASTM_Bars">#REF!</definedName>
    <definedName name="asuf">#REF!</definedName>
    <definedName name="AT">#REF!</definedName>
    <definedName name="axx" hidden="1">{"'G.Ab'!$B$22:$E$22"}</definedName>
    <definedName name="az">#REF!</definedName>
    <definedName name="aze">#REF!</definedName>
    <definedName name="b">#REF!</definedName>
    <definedName name="B_">#REF!</definedName>
    <definedName name="b_1">#REF!</definedName>
    <definedName name="Bas_lev">#REF!</definedName>
    <definedName name="bb">#REF!</definedName>
    <definedName name="bbb" hidden="1">#REF!</definedName>
    <definedName name="bbbbbbbbbb">#REF!</definedName>
    <definedName name="BBQQQ">#REF!</definedName>
    <definedName name="bed">#REF!</definedName>
    <definedName name="bend">#REF!</definedName>
    <definedName name="bend45">#REF!</definedName>
    <definedName name="BERM">#REF!</definedName>
    <definedName name="BFG">#REF!</definedName>
    <definedName name="BHRQ">#REF!</definedName>
    <definedName name="BL">#REF!</definedName>
    <definedName name="blkhjuolholgpo">#REF!</definedName>
    <definedName name="bo">#REF!</definedName>
    <definedName name="Boq">#REF!</definedName>
    <definedName name="boynsr">#REF!</definedName>
    <definedName name="boynsr1">#REF!</definedName>
    <definedName name="boynsr3">#REF!</definedName>
    <definedName name="boynsr5">#REF!</definedName>
    <definedName name="BOYSIR2">#REF!</definedName>
    <definedName name="boysr">#REF!</definedName>
    <definedName name="boysr1">#REF!</definedName>
    <definedName name="boysr2">#REF!</definedName>
    <definedName name="boysr3">#REF!</definedName>
    <definedName name="BPavmnt">#REF!</definedName>
    <definedName name="brick">#REF!</definedName>
    <definedName name="BT">#REF!</definedName>
    <definedName name="BTL">#REF!</definedName>
    <definedName name="bv">#REF!</definedName>
    <definedName name="Bw">#REF!</definedName>
    <definedName name="BWP">#REF!</definedName>
    <definedName name="C.G2">#REF!</definedName>
    <definedName name="Calculation">#REF!</definedName>
    <definedName name="cb4r1400">#REF!</definedName>
    <definedName name="cb4r1800">#REF!</definedName>
    <definedName name="cb9r1400">#REF!</definedName>
    <definedName name="cbcbvcdgedtgdhvh">#REF!</definedName>
    <definedName name="CC">#REF!</definedName>
    <definedName name="ccc" hidden="1">#REF!</definedName>
    <definedName name="Celerity">#REF!</definedName>
    <definedName name="Cementitious_repair_material">#REF!</definedName>
    <definedName name="CESCL">#REF!</definedName>
    <definedName name="chamber">#N/A</definedName>
    <definedName name="chaudhry" hidden="1">#REF!</definedName>
    <definedName name="CHOOT" hidden="1">#REF!</definedName>
    <definedName name="CHOOTHA" hidden="1">#REF!</definedName>
    <definedName name="compar" hidden="1">#REF!</definedName>
    <definedName name="cong100">#REF!</definedName>
    <definedName name="cong20">#REF!</definedName>
    <definedName name="cong25">#REF!</definedName>
    <definedName name="cong32">#REF!</definedName>
    <definedName name="cong40">#REF!</definedName>
    <definedName name="cong50">#REF!</definedName>
    <definedName name="cong65">#REF!</definedName>
    <definedName name="cong75">#REF!</definedName>
    <definedName name="cong80">#REF!</definedName>
    <definedName name="Cont_Co_table">#REF!</definedName>
    <definedName name="CONUTER">#REF!</definedName>
    <definedName name="coolingtowerbaltimore">#REF!</definedName>
    <definedName name="coolingtowerkuken">#REF!</definedName>
    <definedName name="coolingtowernihon">#REF!</definedName>
    <definedName name="coolingtowerocean">#REF!</definedName>
    <definedName name="coolingtowershinwa">#REF!</definedName>
    <definedName name="COST">#REF!</definedName>
    <definedName name="COUNTER">#REF!</definedName>
    <definedName name="cover">#REF!</definedName>
    <definedName name="Cover_for_Forcemain">#REF!</definedName>
    <definedName name="CPRFAC">#REF!</definedName>
    <definedName name="CPRHND">#REF!</definedName>
    <definedName name="CR">#REF!</definedName>
    <definedName name="Crumps_table">#REF!</definedName>
    <definedName name="CVHSP">#REF!</definedName>
    <definedName name="CVSP">#REF!</definedName>
    <definedName name="CXDSBG">#REF!</definedName>
    <definedName name="Cycle_Time">#REF!</definedName>
    <definedName name="d">#REF!</definedName>
    <definedName name="d_1">#REF!</definedName>
    <definedName name="d_2">#REF!</definedName>
    <definedName name="D1_">#REF!</definedName>
    <definedName name="d1_dc">#REF!</definedName>
    <definedName name="D2_">#REF!</definedName>
    <definedName name="d2_dc">#REF!</definedName>
    <definedName name="DAF">#REF!</definedName>
    <definedName name="data">#REF!</definedName>
    <definedName name="data1">#REF!</definedName>
    <definedName name="_xlnm.Database">#REF!</definedName>
    <definedName name="dc">#REF!</definedName>
    <definedName name="dd">#REF!</definedName>
    <definedName name="ddd">#REF!</definedName>
    <definedName name="DDDD">#REF!</definedName>
    <definedName name="ddddddd">#REF!</definedName>
    <definedName name="ddsfds">#REF!</definedName>
    <definedName name="Dead_Storage_Height">#REF!</definedName>
    <definedName name="Density_of_Water">#REF!</definedName>
    <definedName name="DES_Pr">#REF!</definedName>
    <definedName name="Design">#REF!</definedName>
    <definedName name="Design_of_pumping_Machinery">#REF!</definedName>
    <definedName name="DF">#REF!</definedName>
    <definedName name="dfafa">#REF!</definedName>
    <definedName name="dfgfd">#REF!</definedName>
    <definedName name="dfsdfdsfasdfdfsdfs">#REF!</definedName>
    <definedName name="dghghdyh">#REF!</definedName>
    <definedName name="dhrduhrtdju">#REF!</definedName>
    <definedName name="Dia">"aa"</definedName>
    <definedName name="Dia_of_Incoming_Pipe">#REF!</definedName>
    <definedName name="Diameter_Forcemain">#REF!</definedName>
    <definedName name="directfiredchillerbumyang">#REF!</definedName>
    <definedName name="directfiredchillercarrier">#REF!</definedName>
    <definedName name="directfiredchillermitsubishi">#REF!</definedName>
    <definedName name="directfiredchillersanyo">#REF!</definedName>
    <definedName name="directfiredchillertrane">#REF!</definedName>
    <definedName name="DIS" hidden="1">{"'G.Ab'!$B$22:$E$22"}</definedName>
    <definedName name="Discharge">#REF!</definedName>
    <definedName name="DNIT2" hidden="1">{"'G.Ab'!$B$22:$E$22"}</definedName>
    <definedName name="DPRFAC">#REF!</definedName>
    <definedName name="DPRHND">#REF!</definedName>
    <definedName name="DRain">#REF!</definedName>
    <definedName name="DRainName">#REF!</definedName>
    <definedName name="DRG">#REF!</definedName>
    <definedName name="DROP">#REF!</definedName>
    <definedName name="Drown_ratio">#REF!</definedName>
    <definedName name="dsadas">#REF!</definedName>
    <definedName name="DSBL">#REF!</definedName>
    <definedName name="dsd">#REF!</definedName>
    <definedName name="DSEL">#REF!</definedName>
    <definedName name="dsgdrshgehyedhy">#REF!</definedName>
    <definedName name="DSWC">#REF!</definedName>
    <definedName name="DSWD">#REF!</definedName>
    <definedName name="DSWL">#REF!</definedName>
    <definedName name="DT">#REF!</definedName>
    <definedName name="ducttest">#REF!</definedName>
    <definedName name="DVHSP">#REF!</definedName>
    <definedName name="DVSP">#REF!</definedName>
    <definedName name="DX">#N/A</definedName>
    <definedName name="E">#REF!</definedName>
    <definedName name="Echo">#REF!</definedName>
    <definedName name="eee">#REF!</definedName>
    <definedName name="eeed">#REF!</definedName>
    <definedName name="EFa">#REF!</definedName>
    <definedName name="ELEVEN">#REF!</definedName>
    <definedName name="Embankment">#REF!</definedName>
    <definedName name="ertret">#REF!</definedName>
    <definedName name="ESCL">#REF!</definedName>
    <definedName name="ESCLMAT">#REF!</definedName>
    <definedName name="ESCLSCR">#REF!</definedName>
    <definedName name="ESCLSER">#REF!</definedName>
    <definedName name="Estimate_For_Special_Repair_of_Banglo_No._C_5_In_Canal_Colony_Thingi.">#REF!</definedName>
    <definedName name="etyrt">#REF!</definedName>
    <definedName name="Excel_BuiltIn_Print_Titles_11">#REF!</definedName>
    <definedName name="Excel_BuiltIn_Print_Titles_11_1">#REF!</definedName>
    <definedName name="Excel_BuiltIn_Print_Titles_11_15">#REF!</definedName>
    <definedName name="Excel_BuiltIn_Print_Titles_11_8">#REF!</definedName>
    <definedName name="Excel_BuiltIn_Print_Titles_12">#REF!</definedName>
    <definedName name="Excel_BuiltIn_Print_Titles_12_1">#REF!</definedName>
    <definedName name="Excel_BuiltIn_Print_Titles_12_15">#REF!</definedName>
    <definedName name="Excel_BuiltIn_Print_Titles_12_8">#REF!</definedName>
    <definedName name="Excel_BuiltIn_Print_Titles_15">#REF!</definedName>
    <definedName name="Excel_BuiltIn_Print_Titles_28">#REF!</definedName>
    <definedName name="Excel_BuiltIn_Print_Titles_6">#REF!</definedName>
    <definedName name="Excel_BuiltIn_Print_Titles_6_15">#REF!</definedName>
    <definedName name="Excel_BuiltIn_Print_Titles_6_8">#REF!</definedName>
    <definedName name="F">#REF!</definedName>
    <definedName name="F_">#REF!</definedName>
    <definedName name="F1_">#REF!</definedName>
    <definedName name="fa">#REF!</definedName>
    <definedName name="fasd" hidden="1">#REF!</definedName>
    <definedName name="fb4bn1200">#REF!</definedName>
    <definedName name="fb4bn1600">#REF!</definedName>
    <definedName name="fb4bn200">#REF!</definedName>
    <definedName name="fb4bn300">#REF!</definedName>
    <definedName name="fb4bn800">#REF!</definedName>
    <definedName name="fb4bn900">#REF!</definedName>
    <definedName name="fb4lf1200">#REF!</definedName>
    <definedName name="fb4lf1600">#REF!</definedName>
    <definedName name="fb4lf200">#REF!</definedName>
    <definedName name="fb4lf300">#REF!</definedName>
    <definedName name="fb4lf800">#REF!</definedName>
    <definedName name="fb4lf900">#REF!</definedName>
    <definedName name="fb9bn1200">#REF!</definedName>
    <definedName name="fb9bn1800">#REF!</definedName>
    <definedName name="fb9bn200">#REF!</definedName>
    <definedName name="fb9bn400">#REF!</definedName>
    <definedName name="fb9bn800">#REF!</definedName>
    <definedName name="fb9lf1200">#REF!</definedName>
    <definedName name="fb9lf1800">#REF!</definedName>
    <definedName name="fb9lf200">#REF!</definedName>
    <definedName name="fb9lf400">#REF!</definedName>
    <definedName name="fb9lf800">#REF!</definedName>
    <definedName name="Fc">#REF!</definedName>
    <definedName name="FDD">#REF!</definedName>
    <definedName name="fddphed">#REF!</definedName>
    <definedName name="fdsf">#REF!</definedName>
    <definedName name="fdsfsd">#REF!</definedName>
    <definedName name="fe9bn400">#REF!</definedName>
    <definedName name="fe9lf1200">#REF!</definedName>
    <definedName name="fe9lf800">#REF!</definedName>
    <definedName name="FF">#REF!</definedName>
    <definedName name="fff">#REF!</definedName>
    <definedName name="FFG">#REF!</definedName>
    <definedName name="fgg">#REF!</definedName>
    <definedName name="fgyrtrtgfy">#REF!</definedName>
    <definedName name="fhdjivhdfjkvdfvjk">#REF!</definedName>
    <definedName name="fhdsfhdahf">#REF!</definedName>
    <definedName name="FIFTYONE">#REF!</definedName>
    <definedName name="fitups">#REF!</definedName>
    <definedName name="FOURTEEN">#REF!</definedName>
    <definedName name="FOURTYONE">#REF!</definedName>
    <definedName name="FOURTYTWO">#REF!</definedName>
    <definedName name="fpbn1000">#REF!</definedName>
    <definedName name="fpbn1200">#REF!</definedName>
    <definedName name="fpbn1400">#REF!</definedName>
    <definedName name="fpbn1600">#REF!</definedName>
    <definedName name="fpbn1800">#REF!</definedName>
    <definedName name="fpbn200">#REF!</definedName>
    <definedName name="fpbn300">#REF!</definedName>
    <definedName name="fpbn400">#REF!</definedName>
    <definedName name="fpbn800">#REF!</definedName>
    <definedName name="fpbn900">#REF!</definedName>
    <definedName name="fplf1000">#REF!</definedName>
    <definedName name="fplf1200">#REF!</definedName>
    <definedName name="fplf1400">#REF!</definedName>
    <definedName name="fplf1600">#REF!</definedName>
    <definedName name="fplf1800">#REF!</definedName>
    <definedName name="fplf200">#REF!</definedName>
    <definedName name="fplf300">#REF!</definedName>
    <definedName name="fplf400">#REF!</definedName>
    <definedName name="fplf800">#REF!</definedName>
    <definedName name="fplf900">#REF!</definedName>
    <definedName name="Fr">#REF!</definedName>
    <definedName name="FRA">#REF!</definedName>
    <definedName name="Friction_Factor">#REF!</definedName>
    <definedName name="Friction_Factor_Headloss">#REF!</definedName>
    <definedName name="Friction_Losses_in_Suction_Pipe">#REF!</definedName>
    <definedName name="FSL">#REF!</definedName>
    <definedName name="ftbn23">#REF!</definedName>
    <definedName name="ftee">#REF!</definedName>
    <definedName name="FTFYF">#REF!</definedName>
    <definedName name="ftlf23">#REF!</definedName>
    <definedName name="FTS">#REF!</definedName>
    <definedName name="fuktuduukhyfkuy">#REF!</definedName>
    <definedName name="fvadadfadfzd">#REF!</definedName>
    <definedName name="FX">#N/A</definedName>
    <definedName name="fxgfggd">#REF!</definedName>
    <definedName name="G">#REF!</definedName>
    <definedName name="g186.">#REF!</definedName>
    <definedName name="galv20">#REF!</definedName>
    <definedName name="galv40">#REF!</definedName>
    <definedName name="galv80">#REF!</definedName>
    <definedName name="GESCL">#REF!</definedName>
    <definedName name="GF">#REF!</definedName>
    <definedName name="gfdyurturtfiuytiytioed">#REF!</definedName>
    <definedName name="gfjtgfrjgj">#REF!</definedName>
    <definedName name="ggg">#REF!</definedName>
    <definedName name="Ghakhat">#REF!</definedName>
    <definedName name="GIBSON_DR">#REF!</definedName>
    <definedName name="gjhjffgfh">#REF!</definedName>
    <definedName name="gjhjhmb">#REF!</definedName>
    <definedName name="gpcd">#REF!</definedName>
    <definedName name="GPRFAC">#REF!</definedName>
    <definedName name="GPRHND">#REF!</definedName>
    <definedName name="Grill">#REF!</definedName>
    <definedName name="Ground_Level_at_PumpStation">#REF!</definedName>
    <definedName name="gs">#REF!</definedName>
    <definedName name="gulzar">#REF!</definedName>
    <definedName name="GVHSP">#REF!</definedName>
    <definedName name="GVSP">#REF!</definedName>
    <definedName name="h">#REF!</definedName>
    <definedName name="HazenWillaim_Coefficient_Old">#REF!</definedName>
    <definedName name="HazenWilliam_Coefficeint_New">#REF!</definedName>
    <definedName name="Head_at_Pump_Entry">#REF!</definedName>
    <definedName name="Head_h">#REF!</definedName>
    <definedName name="Head_Pump_Entry">#REF!</definedName>
    <definedName name="headlosses">#REF!</definedName>
    <definedName name="hfgjfjgf">#REF!</definedName>
    <definedName name="hh">#REF!</definedName>
    <definedName name="hhh">#N/A</definedName>
    <definedName name="hhjklhjkhjkhhhl">#REF!</definedName>
    <definedName name="hhkhkjhkhk">#REF!</definedName>
    <definedName name="Highest_LiquidLevel_in_Suction_Vessel">#REF!</definedName>
    <definedName name="hjg">#REF!</definedName>
    <definedName name="HJGH">#REF!</definedName>
    <definedName name="hjhjkhk">#REF!</definedName>
    <definedName name="hjythu">#REF!</definedName>
    <definedName name="HK">#REF!</definedName>
    <definedName name="hkjlkuykhvj">#REF!</definedName>
    <definedName name="Hl">#REF!</definedName>
    <definedName name="Hl_by_dc">#REF!</definedName>
    <definedName name="household">#REF!</definedName>
    <definedName name="hr">#REF!</definedName>
    <definedName name="HRS">#REF!</definedName>
    <definedName name="HTML_CodePage" hidden="1">1252</definedName>
    <definedName name="HTML_Control" hidden="1">{"'G.Ab'!$B$22:$E$22"}</definedName>
    <definedName name="HTML_Description" hidden="1">""</definedName>
    <definedName name="HTML_Email" hidden="1">""</definedName>
    <definedName name="HTML_Header" hidden="1">"G.Ab"</definedName>
    <definedName name="HTML_LastUpdate" hidden="1">"1/27/06"</definedName>
    <definedName name="HTML_LineAfter" hidden="1">FALSE</definedName>
    <definedName name="HTML_LineBefore" hidden="1">FALSE</definedName>
    <definedName name="HTML_Name" hidden="1">"Mansoor"</definedName>
    <definedName name="HTML_OBDlg2" hidden="1">TRUE</definedName>
    <definedName name="HTML_OBDlg4" hidden="1">TRUE</definedName>
    <definedName name="HTML_OS" hidden="1">0</definedName>
    <definedName name="HTML_PathFile" hidden="1">"C:\My Documents\MyHTML.htm"</definedName>
    <definedName name="HTML_Title" hidden="1">"Basti Faiz Abad &amp; Adj"</definedName>
    <definedName name="hvactest">#REF!</definedName>
    <definedName name="hyd.149">#REF!</definedName>
    <definedName name="Hydra">#REF!</definedName>
    <definedName name="hyt">#REF!</definedName>
    <definedName name="i">#REF!</definedName>
    <definedName name="iftikhar">#REF!</definedName>
    <definedName name="IL_Highest_Point_in_Forcemain">#REF!</definedName>
    <definedName name="IL_Incoming_Pipe">#REF!</definedName>
    <definedName name="IMESCL">#REF!</definedName>
    <definedName name="IMPRFAC">#REF!</definedName>
    <definedName name="IMPRHND">#REF!</definedName>
    <definedName name="IMVHSP">#REF!</definedName>
    <definedName name="IMVSP">#REF!</definedName>
    <definedName name="INFO">#REF!</definedName>
    <definedName name="IPF">#REF!</definedName>
    <definedName name="items">#REF!</definedName>
    <definedName name="iy">#REF!</definedName>
    <definedName name="j" hidden="1">#REF!</definedName>
    <definedName name="jhuy">#REF!</definedName>
    <definedName name="jj" hidden="1">#REF!</definedName>
    <definedName name="JJA">#REF!</definedName>
    <definedName name="JJJJJJ" hidden="1">#REF!</definedName>
    <definedName name="jjkurs">#REF!</definedName>
    <definedName name="jk" hidden="1">#REF!</definedName>
    <definedName name="JKJKJ">#REF!</definedName>
    <definedName name="jklmn" hidden="1">#REF!</definedName>
    <definedName name="joijijiji">#REF!</definedName>
    <definedName name="k">#REF!</definedName>
    <definedName name="K_F">#REF!</definedName>
    <definedName name="k_F__dc">#REF!</definedName>
    <definedName name="K_H">#REF!</definedName>
    <definedName name="kaleem">#REF!</definedName>
    <definedName name="khalid">#REF!</definedName>
    <definedName name="KHAN">#REF!</definedName>
    <definedName name="khanspeed">#REF!</definedName>
    <definedName name="khgkhgk">#REF!</definedName>
    <definedName name="khjgds" hidden="1">#REF!</definedName>
    <definedName name="Kinematic_Viscosity">#REF!</definedName>
    <definedName name="kjjkjlj" hidden="1">#REF!</definedName>
    <definedName name="kjkjjkj">#REF!</definedName>
    <definedName name="kjkjkljlj">#REF!</definedName>
    <definedName name="kjuio">#REF!</definedName>
    <definedName name="KKK">#REF!</definedName>
    <definedName name="klkj">#REF!</definedName>
    <definedName name="L">#REF!</definedName>
    <definedName name="L_1">#REF!</definedName>
    <definedName name="L_10">#REF!</definedName>
    <definedName name="L_11">#REF!</definedName>
    <definedName name="L_12">#REF!</definedName>
    <definedName name="L_13">#REF!</definedName>
    <definedName name="L_14">#REF!</definedName>
    <definedName name="L_15">#REF!</definedName>
    <definedName name="L_16">#REF!</definedName>
    <definedName name="L_2">#REF!</definedName>
    <definedName name="L_3">#REF!</definedName>
    <definedName name="L_4">#REF!</definedName>
    <definedName name="L_5">#REF!</definedName>
    <definedName name="L_6">#REF!</definedName>
    <definedName name="L_7">#REF!</definedName>
    <definedName name="L_8">#REF!</definedName>
    <definedName name="L_9">#REF!</definedName>
    <definedName name="L_jump">#REF!</definedName>
    <definedName name="Lengt">#REF!</definedName>
    <definedName name="Length">#N/A</definedName>
    <definedName name="Length_of_Forcemain">#REF!</definedName>
    <definedName name="Length_Pipe">#REF!</definedName>
    <definedName name="Length_Pipe_Suction">#REF!</definedName>
    <definedName name="limcount" hidden="1">1</definedName>
    <definedName name="LINEST">#REF!</definedName>
    <definedName name="lk">#REF!</definedName>
    <definedName name="lkj">#REF!</definedName>
    <definedName name="lkju">#REF!</definedName>
    <definedName name="ll" hidden="1">{"'G.Ab'!$B$22:$E$22"}</definedName>
    <definedName name="llllllllllll">#REF!</definedName>
    <definedName name="Lngthg">#REF!</definedName>
    <definedName name="lora">#REF!</definedName>
    <definedName name="love">#REF!</definedName>
    <definedName name="Lowest_Liquid_Level_in_Suction_Vessel">#REF!</definedName>
    <definedName name="LP">#REF!</definedName>
    <definedName name="lpcd">#REF!</definedName>
    <definedName name="LPDC">#REF!</definedName>
    <definedName name="lpokopkmopmom">#REF!</definedName>
    <definedName name="LS">#REF!</definedName>
    <definedName name="LSDS">#REF!</definedName>
    <definedName name="LUND" hidden="1">#REF!</definedName>
    <definedName name="LX">#N/A</definedName>
    <definedName name="M">#REF!</definedName>
    <definedName name="M_1">#REF!</definedName>
    <definedName name="M_10">#REF!</definedName>
    <definedName name="M_11">#REF!</definedName>
    <definedName name="M_12">#REF!</definedName>
    <definedName name="M_13">#REF!</definedName>
    <definedName name="M_14">#REF!</definedName>
    <definedName name="M_15">#REF!</definedName>
    <definedName name="M_16">#REF!</definedName>
    <definedName name="M_17">#REF!</definedName>
    <definedName name="M_18">#REF!</definedName>
    <definedName name="M_19">#REF!</definedName>
    <definedName name="M_2">#REF!</definedName>
    <definedName name="M_20">#REF!</definedName>
    <definedName name="M_3">#REF!</definedName>
    <definedName name="M_4">#REF!</definedName>
    <definedName name="M_5">#REF!</definedName>
    <definedName name="M_6">#REF!</definedName>
    <definedName name="M_7">#REF!</definedName>
    <definedName name="M_8">#REF!</definedName>
    <definedName name="M_8a">#REF!</definedName>
    <definedName name="M_9">#REF!</definedName>
    <definedName name="MACRO1">#REF!</definedName>
    <definedName name="main1.">#REF!</definedName>
    <definedName name="main2.">#REF!</definedName>
    <definedName name="main3.">#REF!</definedName>
    <definedName name="main4.">#REF!</definedName>
    <definedName name="main5.">#REF!</definedName>
    <definedName name="main5287">#REF!</definedName>
    <definedName name="main5288.">#REF!</definedName>
    <definedName name="main5289.">#REF!</definedName>
    <definedName name="main5290.">#REF!</definedName>
    <definedName name="main5291.">#REF!</definedName>
    <definedName name="main5292.">#REF!</definedName>
    <definedName name="main5293.">#REF!</definedName>
    <definedName name="main6.">#REF!</definedName>
    <definedName name="manhole">#REF!</definedName>
    <definedName name="mat">#REF!</definedName>
    <definedName name="Maturatiom">#REF!</definedName>
    <definedName name="Max_Pressure">#REF!</definedName>
    <definedName name="maz">#REF!</definedName>
    <definedName name="mechequiptest">#REF!</definedName>
    <definedName name="mechpipetest">#REF!</definedName>
    <definedName name="mghty">#REF!</definedName>
    <definedName name="MH">#REF!</definedName>
    <definedName name="MHAND">#REF!</definedName>
    <definedName name="mhrq">#REF!</definedName>
    <definedName name="mla">#REF!</definedName>
    <definedName name="mm" hidden="1">{"'G.Ab'!$B$22:$E$22"}</definedName>
    <definedName name="mmmmm" hidden="1">#REF!</definedName>
    <definedName name="mnt" hidden="1">#REF!</definedName>
    <definedName name="Modulus_of_Elasticity_Pipe">#REF!</definedName>
    <definedName name="Modulus_of_Elasticity_Water">#REF!</definedName>
    <definedName name="mosaic" hidden="1">#REF!</definedName>
    <definedName name="MPRFAC">#REF!</definedName>
    <definedName name="MPRHND">#REF!</definedName>
    <definedName name="ms">#REF!</definedName>
    <definedName name="mu" hidden="1">#REF!</definedName>
    <definedName name="Mudkey">#REF!</definedName>
    <definedName name="MUHAMMAD">#REF!</definedName>
    <definedName name="MVHSP">#REF!</definedName>
    <definedName name="MVSP">#REF!</definedName>
    <definedName name="n">#REF!</definedName>
    <definedName name="Na">#REF!</definedName>
    <definedName name="NAK">#REF!</definedName>
    <definedName name="new">#REF!</definedName>
    <definedName name="NEW_GUJRAT">#REF!</definedName>
    <definedName name="NEW_GWALA">#REF!</definedName>
    <definedName name="NEW_JHELUM">#REF!</definedName>
    <definedName name="NEW_LHR">#REF!</definedName>
    <definedName name="New_Manthar">#REF!</definedName>
    <definedName name="New_Mnth">#REF!</definedName>
    <definedName name="NEW_MWALI">#REF!</definedName>
    <definedName name="NEW_OKARA">#REF!</definedName>
    <definedName name="NEW_RPINDI">#REF!</definedName>
    <definedName name="NEW_SARGODHA">#REF!</definedName>
    <definedName name="NEW_SIALKOT">#REF!</definedName>
    <definedName name="NEW_SLOW">#REF!</definedName>
    <definedName name="ngf">#REF!</definedName>
    <definedName name="nmfjhfj">#REF!</definedName>
    <definedName name="nn">#REF!</definedName>
    <definedName name="nnn" hidden="1">#REF!</definedName>
    <definedName name="NORTH_ABSTRACT">#REF!</definedName>
    <definedName name="NPSH_Available">#REF!</definedName>
    <definedName name="NPSH_Safety_Margin">#REF!</definedName>
    <definedName name="NSL">#REF!</definedName>
    <definedName name="o">#REF!</definedName>
    <definedName name="O.H.R">#REF!</definedName>
    <definedName name="o_10">#REF!</definedName>
    <definedName name="o_11">#REF!</definedName>
    <definedName name="o_12">#REF!</definedName>
    <definedName name="o_13">#REF!</definedName>
    <definedName name="o_14">#REF!</definedName>
    <definedName name="o_15">#REF!</definedName>
    <definedName name="o_16">#REF!</definedName>
    <definedName name="o_17">#REF!</definedName>
    <definedName name="o_18">#REF!</definedName>
    <definedName name="o_19">#REF!</definedName>
    <definedName name="o_20">#REF!</definedName>
    <definedName name="o_21">#REF!</definedName>
    <definedName name="o_22">#REF!</definedName>
    <definedName name="o_23">#REF!</definedName>
    <definedName name="o_24">#REF!</definedName>
    <definedName name="o_25">#REF!</definedName>
    <definedName name="o_26">#REF!</definedName>
    <definedName name="o_27">#REF!</definedName>
    <definedName name="o_28">#REF!</definedName>
    <definedName name="o_29">#REF!</definedName>
    <definedName name="o_30">#REF!</definedName>
    <definedName name="o_34">#REF!</definedName>
    <definedName name="o_4">#REF!</definedName>
    <definedName name="o_4_15">#REF!</definedName>
    <definedName name="o_4_8">#REF!</definedName>
    <definedName name="o_5">#REF!</definedName>
    <definedName name="o_5_15">#REF!</definedName>
    <definedName name="o_5_8">#REF!</definedName>
    <definedName name="o_8">#REF!</definedName>
    <definedName name="OAFAC">#REF!</definedName>
    <definedName name="oipu">#REF!</definedName>
    <definedName name="OL">#REF!</definedName>
    <definedName name="old">#REF!</definedName>
    <definedName name="omku">#REF!</definedName>
    <definedName name="ON_GOING_GUJRAT">#REF!</definedName>
    <definedName name="ON_GOING_GWALA">#REF!</definedName>
    <definedName name="ON_GOING_JHELUM">#REF!</definedName>
    <definedName name="ON_GOING_LHR">#REF!</definedName>
    <definedName name="ON_GOING_OKARA">#REF!</definedName>
    <definedName name="ON_GOING_RPINDI">#REF!</definedName>
    <definedName name="ON_GOING_SARGODHA">#REF!</definedName>
    <definedName name="ON_GOING_SIALKOT">#REF!</definedName>
    <definedName name="ON_GOING_SLOW">#REF!</definedName>
    <definedName name="OPKI">#REF!</definedName>
    <definedName name="opop">#REF!</definedName>
    <definedName name="p" hidden="1">{"'G.Ab'!$B$22:$E$22"}</definedName>
    <definedName name="p.h" hidden="1">#REF!</definedName>
    <definedName name="P_D_GUJRAT">#REF!</definedName>
    <definedName name="pakistan">#REF!</definedName>
    <definedName name="PC" hidden="1">#REF!</definedName>
    <definedName name="pcc">#REF!</definedName>
    <definedName name="PH">#REF!</definedName>
    <definedName name="phbn">#REF!</definedName>
    <definedName name="phbnsr">#REF!</definedName>
    <definedName name="phbnsr.">#REF!</definedName>
    <definedName name="phbnsr1">#REF!</definedName>
    <definedName name="PHBNSR2">#REF!</definedName>
    <definedName name="phbsr">#REF!</definedName>
    <definedName name="phbsr1">#REF!</definedName>
    <definedName name="PHE_ABSTRACT">#REF!</definedName>
    <definedName name="piipe">#REF!</definedName>
    <definedName name="pipe">#REF!</definedName>
    <definedName name="Pipe_Material">#REF!</definedName>
    <definedName name="Pipe_Material_Suction">#REF!</definedName>
    <definedName name="Pipe_Thickness">#REF!</definedName>
    <definedName name="pk">#REF!</definedName>
    <definedName name="plaster">#REF!</definedName>
    <definedName name="poi">#REF!</definedName>
    <definedName name="PR_ESC_2">#REF!</definedName>
    <definedName name="Pressure_Rise_in_Pipe">#REF!</definedName>
    <definedName name="PRFAC">#REF!</definedName>
    <definedName name="PRHND">#REF!</definedName>
    <definedName name="_xlnm.Print_Area" localSheetId="0">BOQ!$A$1:$G$2389</definedName>
    <definedName name="_xlnm.Print_Area" localSheetId="1">'BOQ  with Rates'!$A$1:$F$2406</definedName>
    <definedName name="_xlnm.Print_Area">#REF!</definedName>
    <definedName name="PRINT_AREA_MI">#N/A</definedName>
    <definedName name="_xlnm.Print_Titles" localSheetId="0">BOQ!$3:$4</definedName>
    <definedName name="_xlnm.Print_Titles">#REF!</definedName>
    <definedName name="PrintArea1">#REF!</definedName>
    <definedName name="PrintTitles1">#REF!</definedName>
    <definedName name="pu">#REF!</definedName>
    <definedName name="puda">#REF!</definedName>
    <definedName name="pudi">#REF!</definedName>
    <definedName name="Pump_Cycle">#REF!</definedName>
    <definedName name="Pump_Power">#REF!</definedName>
    <definedName name="q">#REF!</definedName>
    <definedName name="qaq" hidden="1">#REF!</definedName>
    <definedName name="qf" hidden="1">#REF!</definedName>
    <definedName name="qq" hidden="1">{"'G.Ab'!$B$22:$E$22"}</definedName>
    <definedName name="qqq">#REF!</definedName>
    <definedName name="QUANTITY_OF_ADDED_EARTH_WORKS">"$A$1:$E$5"</definedName>
    <definedName name="rao">#REF!</definedName>
    <definedName name="rasheed">#REF!</definedName>
    <definedName name="RAT">#REF!</definedName>
    <definedName name="Rate">#REF!</definedName>
    <definedName name="RATER">#REF!</definedName>
    <definedName name="Rates">#REF!</definedName>
    <definedName name="Ratio">#REF!</definedName>
    <definedName name="RC_">#REF!</definedName>
    <definedName name="RC__">#REF!</definedName>
    <definedName name="rcc">#REF!</definedName>
    <definedName name="rdhyfdujsrj">#REF!</definedName>
    <definedName name="_xlnm.Recorder">#REF!</definedName>
    <definedName name="Red.Tee">#REF!</definedName>
    <definedName name="renovation">#REF!</definedName>
    <definedName name="renovation234">#REF!</definedName>
    <definedName name="rert">#REF!</definedName>
    <definedName name="Retention_Time">#REF!</definedName>
    <definedName name="Reynold_No">#REF!</definedName>
    <definedName name="rizwan">#REF!</definedName>
    <definedName name="rrr">#REF!</definedName>
    <definedName name="rrrr" hidden="1">#REF!</definedName>
    <definedName name="S">#REF!</definedName>
    <definedName name="s.c">#REF!</definedName>
    <definedName name="sa">#REF!</definedName>
    <definedName name="SAD">#REF!</definedName>
    <definedName name="sadiq">#REF!</definedName>
    <definedName name="sadsasdada">#REF!</definedName>
    <definedName name="saeed" hidden="1">#REF!</definedName>
    <definedName name="SALA">#REF!</definedName>
    <definedName name="SANI">#REF!</definedName>
    <definedName name="sasAS">#REF!</definedName>
    <definedName name="Sass">#REF!</definedName>
    <definedName name="Sc">#REF!</definedName>
    <definedName name="SC5X3.25">#REF!</definedName>
    <definedName name="scfrtyuikj">#REF!</definedName>
    <definedName name="scv">#REF!</definedName>
    <definedName name="SD">#REF!</definedName>
    <definedName name="sddd" hidden="1">#REF!</definedName>
    <definedName name="sdfdfd">#REF!</definedName>
    <definedName name="sdfEF">#REF!</definedName>
    <definedName name="sdfsdf">#REF!</definedName>
    <definedName name="sdp">#REF!</definedName>
    <definedName name="sdsd">#REF!</definedName>
    <definedName name="Sec.1">#REF!</definedName>
    <definedName name="Sec.2">#REF!</definedName>
    <definedName name="Sec.3">#REF!</definedName>
    <definedName name="Sec.4">#REF!</definedName>
    <definedName name="Sec.5">#REF!</definedName>
    <definedName name="Sec.6">#REF!</definedName>
    <definedName name="Sec.7">#REF!</definedName>
    <definedName name="Sec.8">#REF!</definedName>
    <definedName name="sencount" hidden="1">1</definedName>
    <definedName name="sewer">#REF!</definedName>
    <definedName name="SF">#REF!</definedName>
    <definedName name="SFJLJSLJFLSDJLFJS">#REF!</definedName>
    <definedName name="sg" hidden="1">{"'G.Ab'!$B$22:$E$22"}</definedName>
    <definedName name="Sheet">#REF!</definedName>
    <definedName name="sheet7">#REF!</definedName>
    <definedName name="sht">#REF!</definedName>
    <definedName name="SILL_HEIGHT">#REF!</definedName>
    <definedName name="SIR">#REF!</definedName>
    <definedName name="SIXTY">#REF!</definedName>
    <definedName name="SIXTYONE">#REF!</definedName>
    <definedName name="SIXTYTWO">#REF!</definedName>
    <definedName name="SJDFKSDLKJFLKASDJLKFJLADSJ" hidden="1">#REF!</definedName>
    <definedName name="SLOW_0">#REF!</definedName>
    <definedName name="SLOW_60">#REF!</definedName>
    <definedName name="solar">#REF!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pre" hidden="1">0.000001</definedName>
    <definedName name="solver_rel1" hidden="1">2</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PAN">#REF!</definedName>
    <definedName name="SPAN_">#REF!</definedName>
    <definedName name="specials">#REF!</definedName>
    <definedName name="Specific_Speed_of_Pump">#REF!</definedName>
    <definedName name="Specific_Weight_of_Water">#REF!</definedName>
    <definedName name="Speed_of_Pump">#REF!</definedName>
    <definedName name="SQ" hidden="1">#REF!</definedName>
    <definedName name="srag">#REF!</definedName>
    <definedName name="ss">#REF!</definedName>
    <definedName name="sss">#REF!</definedName>
    <definedName name="ssss">#REF!</definedName>
    <definedName name="stafB">#REF!</definedName>
    <definedName name="STAFF">#REF!</definedName>
    <definedName name="Static_Head">#REF!</definedName>
    <definedName name="Steel">#N/A</definedName>
    <definedName name="Stone">#REF!</definedName>
    <definedName name="SUB_B">#REF!</definedName>
    <definedName name="sullage">#REF!</definedName>
    <definedName name="summery">#REF!</definedName>
    <definedName name="Surface_Roughness_of_Pipe">#REF!</definedName>
    <definedName name="Surge_Period">#REF!</definedName>
    <definedName name="sv">#REF!</definedName>
    <definedName name="Tee">#REF!</definedName>
    <definedName name="test">#REF!</definedName>
    <definedName name="th" hidden="1">#REF!</definedName>
    <definedName name="tham" hidden="1">#REF!</definedName>
    <definedName name="thickness">#REF!</definedName>
    <definedName name="THIRTEEN">#REF!</definedName>
    <definedName name="THIRTYONE">#REF!</definedName>
    <definedName name="THIRTYTHREE">#REF!</definedName>
    <definedName name="THIRTYTWO">#REF!</definedName>
    <definedName name="title">#REF!</definedName>
    <definedName name="tiytoigyotolg">#REF!</definedName>
    <definedName name="Total_FrictionalHead">#REF!</definedName>
    <definedName name="Total_Head">#REF!</definedName>
    <definedName name="Total_Head_for_Suction_Pipe">#REF!</definedName>
    <definedName name="Total_Head_SuctionPipe">#REF!</definedName>
    <definedName name="Total_NPSH_Required">#REF!</definedName>
    <definedName name="Total_Pump_Power">#REF!</definedName>
    <definedName name="tract">#REF!</definedName>
    <definedName name="TREA3">#REF!</definedName>
    <definedName name="trurtiu5rtui">#REF!</definedName>
    <definedName name="ts">#REF!</definedName>
    <definedName name="ttt">#REF!</definedName>
    <definedName name="tttttt">#REF!</definedName>
    <definedName name="TWELVE">#REF!</definedName>
    <definedName name="TWENTYONE">#REF!</definedName>
    <definedName name="TWENTYTHREE">#REF!</definedName>
    <definedName name="TWENTYTWO">#REF!</definedName>
    <definedName name="tyogyoypoyhpyh">#REF!</definedName>
    <definedName name="Typ_basin">#REF!</definedName>
    <definedName name="Type_A">#REF!</definedName>
    <definedName name="Type_B">#REF!</definedName>
    <definedName name="TYPE_C">#REF!</definedName>
    <definedName name="u">#REF!</definedName>
    <definedName name="UESCL">#REF!</definedName>
    <definedName name="UMESCL">#REF!</definedName>
    <definedName name="UMPRFAC">#REF!</definedName>
    <definedName name="UMPRHND">#REF!</definedName>
    <definedName name="UMVHSP">#REF!</definedName>
    <definedName name="UMVSP">#REF!</definedName>
    <definedName name="UNIT">#REF!</definedName>
    <definedName name="UPRFAC">#REF!</definedName>
    <definedName name="UPRHND">#REF!</definedName>
    <definedName name="USBL">#REF!</definedName>
    <definedName name="USBR_FIG_12">#REF!</definedName>
    <definedName name="USEL">#REF!</definedName>
    <definedName name="USGL">#REF!</definedName>
    <definedName name="USWD">#REF!</definedName>
    <definedName name="USWL">#REF!</definedName>
    <definedName name="uuu">#REF!</definedName>
    <definedName name="UUUU">#REF!</definedName>
    <definedName name="UVHSP">#REF!</definedName>
    <definedName name="UVSP">#REF!</definedName>
    <definedName name="v">#REF!</definedName>
    <definedName name="V_JUMP">#REF!</definedName>
    <definedName name="Va">#REF!</definedName>
    <definedName name="VALVEECONOSTO">#REF!</definedName>
    <definedName name="VALVEMARAN">#REF!</definedName>
    <definedName name="Vapor_Pressure_of_Liquid">#REF!</definedName>
    <definedName name="vb">#REF!</definedName>
    <definedName name="Vd">#REF!</definedName>
    <definedName name="vel">#REF!</definedName>
    <definedName name="Velocity_of_Flow">#REF!</definedName>
    <definedName name="vhghggighui">#REF!</definedName>
    <definedName name="VHSP">#REF!</definedName>
    <definedName name="vinstall">#REF!</definedName>
    <definedName name="virk">#REF!</definedName>
    <definedName name="VSP">#REF!</definedName>
    <definedName name="vvv" hidden="1">#REF!</definedName>
    <definedName name="w">#REF!</definedName>
    <definedName name="wall">#REF!</definedName>
    <definedName name="wap">#REF!</definedName>
    <definedName name="WAS">#REF!</definedName>
    <definedName name="weerr">#REF!</definedName>
    <definedName name="welding">#REF!</definedName>
    <definedName name="WetWell_Capacity">#REF!</definedName>
    <definedName name="WetWell_Volume">#REF!</definedName>
    <definedName name="woeoo">#REF!</definedName>
    <definedName name="wpl">#REF!</definedName>
    <definedName name="wqrwqr">#REF!</definedName>
    <definedName name="WS">#REF!</definedName>
    <definedName name="WS_PIPE_INFO">#REF!</definedName>
    <definedName name="wsqfdfqf">#REF!</definedName>
    <definedName name="wswqrfq">#REF!</definedName>
    <definedName name="ww">#REF!</definedName>
    <definedName name="www">#REF!</definedName>
    <definedName name="xxx" hidden="1">#REF!</definedName>
    <definedName name="y" hidden="1">#REF!</definedName>
    <definedName name="yes">#REF!</definedName>
    <definedName name="yt">#REF!</definedName>
    <definedName name="yyy">#REF!</definedName>
    <definedName name="z">#REF!</definedName>
    <definedName name="Z_69042C41_47A7_11D6_8DB5_000021EBF94D_.wvu.Cols" hidden="1">#REF!</definedName>
    <definedName name="Z1_">#N/A</definedName>
    <definedName name="Z2_">#N/A</definedName>
    <definedName name="zaman">#REF!</definedName>
    <definedName name="ZEERO">#REF!</definedName>
    <definedName name="ZERO">#REF!</definedName>
    <definedName name="Zesc">#REF!</definedName>
    <definedName name="ZINDAGI">#REF!</definedName>
    <definedName name="zzz">#REF!</definedName>
    <definedName name="zzzz">#REF!</definedName>
    <definedName name="zzzzz">#REF!</definedName>
    <definedName name="zzzzzzzzzzz">#REF!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08" i="2" l="1"/>
  <c r="H2308" i="2" s="1"/>
  <c r="F2406" i="2" l="1"/>
  <c r="F2384" i="2" s="1"/>
  <c r="G2384" i="2" s="1"/>
  <c r="F2382" i="2"/>
  <c r="F2383" i="2" s="1"/>
  <c r="F2381" i="2" s="1"/>
  <c r="G2381" i="2" s="1"/>
  <c r="F2380" i="2"/>
  <c r="F2371" i="2" s="1"/>
  <c r="G2371" i="2" s="1"/>
  <c r="F2368" i="2"/>
  <c r="F2367" i="2"/>
  <c r="F2366" i="2"/>
  <c r="F2365" i="2"/>
  <c r="F2363" i="2"/>
  <c r="F2362" i="2"/>
  <c r="F2361" i="2"/>
  <c r="F2360" i="2"/>
  <c r="F2359" i="2"/>
  <c r="F2358" i="2"/>
  <c r="F2357" i="2"/>
  <c r="F2356" i="2"/>
  <c r="F2355" i="2"/>
  <c r="F2354" i="2"/>
  <c r="F2353" i="2"/>
  <c r="F2352" i="2"/>
  <c r="F2351" i="2"/>
  <c r="F2349" i="2"/>
  <c r="F2348" i="2"/>
  <c r="F2347" i="2"/>
  <c r="F2345" i="2"/>
  <c r="F2344" i="2"/>
  <c r="F2343" i="2"/>
  <c r="F2341" i="2"/>
  <c r="F2340" i="2"/>
  <c r="F2339" i="2"/>
  <c r="F2338" i="2"/>
  <c r="F2337" i="2"/>
  <c r="F2336" i="2"/>
  <c r="F2335" i="2"/>
  <c r="F2334" i="2"/>
  <c r="F2333" i="2"/>
  <c r="F2332" i="2"/>
  <c r="F2331" i="2"/>
  <c r="F2329" i="2"/>
  <c r="F2328" i="2"/>
  <c r="F2327" i="2"/>
  <c r="F2326" i="2"/>
  <c r="F2325" i="2"/>
  <c r="F2324" i="2"/>
  <c r="F2323" i="2"/>
  <c r="F2322" i="2"/>
  <c r="F2321" i="2"/>
  <c r="F2320" i="2"/>
  <c r="F2318" i="2"/>
  <c r="F2317" i="2"/>
  <c r="F2316" i="2"/>
  <c r="F2315" i="2"/>
  <c r="F2314" i="2"/>
  <c r="F2313" i="2"/>
  <c r="F2311" i="2"/>
  <c r="F2310" i="2"/>
  <c r="F2278" i="2"/>
  <c r="F2277" i="2"/>
  <c r="F2276" i="2"/>
  <c r="F2275" i="2"/>
  <c r="F2274" i="2"/>
  <c r="F2273" i="2"/>
  <c r="F2272" i="2"/>
  <c r="F2271" i="2"/>
  <c r="F2270" i="2"/>
  <c r="F2269" i="2"/>
  <c r="F2268" i="2"/>
  <c r="F2266" i="2"/>
  <c r="F2265" i="2"/>
  <c r="F2264" i="2"/>
  <c r="F2263" i="2"/>
  <c r="F2261" i="2"/>
  <c r="F2260" i="2"/>
  <c r="F2259" i="2"/>
  <c r="F2257" i="2"/>
  <c r="F2254" i="2"/>
  <c r="F2253" i="2"/>
  <c r="F2252" i="2"/>
  <c r="F2251" i="2"/>
  <c r="F2250" i="2"/>
  <c r="F2249" i="2"/>
  <c r="F2248" i="2"/>
  <c r="F2247" i="2"/>
  <c r="F2246" i="2"/>
  <c r="F2245" i="2"/>
  <c r="F2244" i="2"/>
  <c r="F2242" i="2"/>
  <c r="F2241" i="2"/>
  <c r="F2240" i="2"/>
  <c r="F2239" i="2"/>
  <c r="F2237" i="2"/>
  <c r="F2236" i="2"/>
  <c r="F2235" i="2"/>
  <c r="F2233" i="2"/>
  <c r="F2230" i="2"/>
  <c r="F2229" i="2"/>
  <c r="F2227" i="2"/>
  <c r="F2226" i="2"/>
  <c r="F2225" i="2"/>
  <c r="F2224" i="2"/>
  <c r="F2223" i="2"/>
  <c r="F2222" i="2"/>
  <c r="F2221" i="2"/>
  <c r="F2220" i="2"/>
  <c r="F2219" i="2"/>
  <c r="F2218" i="2"/>
  <c r="F2217" i="2"/>
  <c r="F2215" i="2"/>
  <c r="F2214" i="2"/>
  <c r="F2213" i="2"/>
  <c r="F2211" i="2"/>
  <c r="F2210" i="2"/>
  <c r="F2209" i="2"/>
  <c r="F2208" i="2"/>
  <c r="F2207" i="2"/>
  <c r="F2206" i="2"/>
  <c r="F2205" i="2"/>
  <c r="F2204" i="2"/>
  <c r="F2202" i="2"/>
  <c r="F2201" i="2"/>
  <c r="F2199" i="2"/>
  <c r="F2198" i="2"/>
  <c r="F2197" i="2"/>
  <c r="F2196" i="2"/>
  <c r="F2195" i="2"/>
  <c r="F2194" i="2"/>
  <c r="F2193" i="2"/>
  <c r="F2192" i="2"/>
  <c r="F2189" i="2"/>
  <c r="F2187" i="2"/>
  <c r="F2186" i="2"/>
  <c r="F2185" i="2"/>
  <c r="F2184" i="2"/>
  <c r="F2183" i="2"/>
  <c r="F2182" i="2"/>
  <c r="F2181" i="2"/>
  <c r="F2180" i="2"/>
  <c r="F2179" i="2"/>
  <c r="F2178" i="2"/>
  <c r="F2177" i="2"/>
  <c r="F2175" i="2"/>
  <c r="F2174" i="2"/>
  <c r="F2173" i="2"/>
  <c r="F2172" i="2"/>
  <c r="F2171" i="2"/>
  <c r="F2169" i="2"/>
  <c r="F2168" i="2"/>
  <c r="F2166" i="2"/>
  <c r="F2165" i="2"/>
  <c r="F2164" i="2"/>
  <c r="F2161" i="2"/>
  <c r="F2160" i="2"/>
  <c r="F2159" i="2"/>
  <c r="F2158" i="2"/>
  <c r="F2157" i="2"/>
  <c r="F2156" i="2"/>
  <c r="F2155" i="2"/>
  <c r="F2154" i="2"/>
  <c r="F2152" i="2"/>
  <c r="F2151" i="2"/>
  <c r="F2150" i="2"/>
  <c r="F2149" i="2"/>
  <c r="F2148" i="2"/>
  <c r="F2147" i="2"/>
  <c r="F2146" i="2"/>
  <c r="F2145" i="2"/>
  <c r="F2143" i="2"/>
  <c r="F2142" i="2"/>
  <c r="F2140" i="2"/>
  <c r="F2139" i="2"/>
  <c r="F2137" i="2"/>
  <c r="F2136" i="2"/>
  <c r="F2135" i="2"/>
  <c r="F2134" i="2"/>
  <c r="F2133" i="2"/>
  <c r="F2132" i="2"/>
  <c r="F2131" i="2"/>
  <c r="F2130" i="2"/>
  <c r="F2129" i="2"/>
  <c r="F2128" i="2"/>
  <c r="F2127" i="2"/>
  <c r="F2126" i="2"/>
  <c r="F2125" i="2"/>
  <c r="F2124" i="2"/>
  <c r="F2123" i="2"/>
  <c r="F2122" i="2"/>
  <c r="F2121" i="2"/>
  <c r="F2120" i="2"/>
  <c r="F2119" i="2"/>
  <c r="F2118" i="2"/>
  <c r="F2117" i="2"/>
  <c r="F2116" i="2"/>
  <c r="F2114" i="2"/>
  <c r="F2113" i="2"/>
  <c r="F2112" i="2"/>
  <c r="F2110" i="2"/>
  <c r="F2109" i="2"/>
  <c r="F2106" i="2"/>
  <c r="F2104" i="2"/>
  <c r="F2103" i="2"/>
  <c r="F2102" i="2"/>
  <c r="F2101" i="2"/>
  <c r="F2100" i="2"/>
  <c r="F2099" i="2"/>
  <c r="F2097" i="2"/>
  <c r="F2095" i="2"/>
  <c r="F2094" i="2"/>
  <c r="F2093" i="2"/>
  <c r="F2092" i="2"/>
  <c r="F2091" i="2"/>
  <c r="F2090" i="2"/>
  <c r="F2089" i="2"/>
  <c r="F2087" i="2"/>
  <c r="F2085" i="2"/>
  <c r="F2083" i="2"/>
  <c r="F2082" i="2"/>
  <c r="F2081" i="2"/>
  <c r="F2079" i="2"/>
  <c r="F2078" i="2"/>
  <c r="F2077" i="2"/>
  <c r="F2073" i="2"/>
  <c r="F2071" i="2"/>
  <c r="F2070" i="2"/>
  <c r="F2069" i="2"/>
  <c r="F2068" i="2"/>
  <c r="F2067" i="2"/>
  <c r="F2066" i="2"/>
  <c r="F2064" i="2"/>
  <c r="F2062" i="2"/>
  <c r="F2061" i="2"/>
  <c r="F2060" i="2"/>
  <c r="F2059" i="2"/>
  <c r="F2058" i="2"/>
  <c r="F2057" i="2"/>
  <c r="F2056" i="2"/>
  <c r="F2054" i="2"/>
  <c r="F2052" i="2"/>
  <c r="F2051" i="2"/>
  <c r="F2049" i="2"/>
  <c r="F2047" i="2"/>
  <c r="F2046" i="2"/>
  <c r="F2043" i="2"/>
  <c r="F2041" i="2"/>
  <c r="F2040" i="2"/>
  <c r="F2039" i="2"/>
  <c r="F2038" i="2"/>
  <c r="F2037" i="2"/>
  <c r="F2036" i="2"/>
  <c r="F2034" i="2"/>
  <c r="F2032" i="2"/>
  <c r="F2031" i="2"/>
  <c r="F2030" i="2"/>
  <c r="F2029" i="2"/>
  <c r="F2028" i="2"/>
  <c r="F2027" i="2"/>
  <c r="F2026" i="2"/>
  <c r="F2024" i="2"/>
  <c r="F2022" i="2"/>
  <c r="F2021" i="2"/>
  <c r="F2019" i="2"/>
  <c r="F2018" i="2"/>
  <c r="F2017" i="2"/>
  <c r="F2015" i="2"/>
  <c r="F2014" i="2"/>
  <c r="F2011" i="2"/>
  <c r="F2010" i="2"/>
  <c r="F2009" i="2"/>
  <c r="F2008" i="2"/>
  <c r="F2006" i="2"/>
  <c r="F2004" i="2"/>
  <c r="F2003" i="2"/>
  <c r="F2002" i="2"/>
  <c r="F2001" i="2"/>
  <c r="F2000" i="2"/>
  <c r="F1999" i="2"/>
  <c r="F1997" i="2"/>
  <c r="F1995" i="2"/>
  <c r="F1994" i="2"/>
  <c r="F1993" i="2"/>
  <c r="F1992" i="2"/>
  <c r="F1991" i="2"/>
  <c r="F1990" i="2"/>
  <c r="F1989" i="2"/>
  <c r="F1987" i="2"/>
  <c r="F1985" i="2"/>
  <c r="F1984" i="2"/>
  <c r="F1983" i="2"/>
  <c r="F1982" i="2"/>
  <c r="F1981" i="2"/>
  <c r="F1979" i="2"/>
  <c r="F1978" i="2"/>
  <c r="F1974" i="2"/>
  <c r="F1973" i="2"/>
  <c r="F1972" i="2"/>
  <c r="F1971" i="2"/>
  <c r="F1969" i="2"/>
  <c r="F1968" i="2"/>
  <c r="F1967" i="2"/>
  <c r="F1966" i="2"/>
  <c r="F1965" i="2"/>
  <c r="F1964" i="2"/>
  <c r="F1963" i="2"/>
  <c r="F1962" i="2"/>
  <c r="F1961" i="2"/>
  <c r="F1960" i="2"/>
  <c r="F1959" i="2"/>
  <c r="F1958" i="2"/>
  <c r="F1957" i="2"/>
  <c r="F1956" i="2"/>
  <c r="F1955" i="2"/>
  <c r="F1954" i="2"/>
  <c r="F1952" i="2"/>
  <c r="F1951" i="2"/>
  <c r="F1950" i="2"/>
  <c r="F1948" i="2"/>
  <c r="F1947" i="2"/>
  <c r="F1945" i="2"/>
  <c r="F1944" i="2"/>
  <c r="F1943" i="2"/>
  <c r="F1942" i="2"/>
  <c r="F1940" i="2"/>
  <c r="F1939" i="2"/>
  <c r="F1938" i="2"/>
  <c r="F1937" i="2"/>
  <c r="F1935" i="2"/>
  <c r="F1934" i="2"/>
  <c r="F1933" i="2"/>
  <c r="F1932" i="2"/>
  <c r="F1931" i="2"/>
  <c r="F1930" i="2"/>
  <c r="F1929" i="2"/>
  <c r="F1928" i="2"/>
  <c r="F1927" i="2"/>
  <c r="F1926" i="2"/>
  <c r="F1925" i="2"/>
  <c r="F1924" i="2"/>
  <c r="F1923" i="2"/>
  <c r="F1922" i="2"/>
  <c r="F1921" i="2"/>
  <c r="F1920" i="2"/>
  <c r="F1919" i="2"/>
  <c r="F1918" i="2"/>
  <c r="F1916" i="2"/>
  <c r="F1915" i="2"/>
  <c r="F1914" i="2"/>
  <c r="F1913" i="2"/>
  <c r="F1912" i="2"/>
  <c r="F1911" i="2"/>
  <c r="F1910" i="2"/>
  <c r="F1909" i="2"/>
  <c r="F1908" i="2"/>
  <c r="F1907" i="2"/>
  <c r="F1906" i="2"/>
  <c r="F1905" i="2"/>
  <c r="F1904" i="2"/>
  <c r="F1903" i="2"/>
  <c r="F1902" i="2"/>
  <c r="F1901" i="2"/>
  <c r="F1900" i="2"/>
  <c r="F1899" i="2"/>
  <c r="F1897" i="2"/>
  <c r="F1896" i="2"/>
  <c r="F1893" i="2"/>
  <c r="F1894" i="2" s="1"/>
  <c r="F1889" i="2" s="1"/>
  <c r="G1889" i="2" s="1"/>
  <c r="F1887" i="2"/>
  <c r="F1885" i="2"/>
  <c r="F1883" i="2"/>
  <c r="F1881" i="2"/>
  <c r="F1877" i="2"/>
  <c r="F1876" i="2"/>
  <c r="F1874" i="2"/>
  <c r="F1873" i="2"/>
  <c r="F1871" i="2"/>
  <c r="F1870" i="2"/>
  <c r="F1869" i="2"/>
  <c r="F1866" i="2"/>
  <c r="F1862" i="2" s="1"/>
  <c r="G1862" i="2" s="1"/>
  <c r="F1860" i="2"/>
  <c r="F1859" i="2"/>
  <c r="F1858" i="2"/>
  <c r="F1857" i="2"/>
  <c r="F1856" i="2"/>
  <c r="F1855" i="2"/>
  <c r="F1854" i="2"/>
  <c r="F1853" i="2"/>
  <c r="F1852" i="2"/>
  <c r="F1851" i="2"/>
  <c r="F1850" i="2"/>
  <c r="F1849" i="2"/>
  <c r="F1848" i="2"/>
  <c r="F1847" i="2"/>
  <c r="F1846" i="2"/>
  <c r="F1845" i="2"/>
  <c r="F1844" i="2"/>
  <c r="F1840" i="2"/>
  <c r="F1839" i="2"/>
  <c r="F1838" i="2"/>
  <c r="F1837" i="2"/>
  <c r="F1836" i="2"/>
  <c r="F1835" i="2"/>
  <c r="F1834" i="2"/>
  <c r="F1833" i="2"/>
  <c r="F1832" i="2"/>
  <c r="F1831" i="2"/>
  <c r="F1829" i="2"/>
  <c r="F1665" i="2"/>
  <c r="F1647" i="2"/>
  <c r="F1644" i="2"/>
  <c r="F1641" i="2"/>
  <c r="F1638" i="2"/>
  <c r="F1633" i="2"/>
  <c r="F1626" i="2"/>
  <c r="F1607" i="2"/>
  <c r="F1586" i="2"/>
  <c r="F1585" i="2"/>
  <c r="F1584" i="2"/>
  <c r="F1583" i="2"/>
  <c r="F1581" i="2"/>
  <c r="F1580" i="2"/>
  <c r="F1579" i="2"/>
  <c r="F1578" i="2"/>
  <c r="F1577" i="2"/>
  <c r="F1576" i="2"/>
  <c r="F1575" i="2"/>
  <c r="F1574" i="2"/>
  <c r="F1573" i="2"/>
  <c r="F1572" i="2"/>
  <c r="F1571" i="2"/>
  <c r="F1570" i="2"/>
  <c r="F1569" i="2"/>
  <c r="F1567" i="2"/>
  <c r="F1566" i="2"/>
  <c r="F1565" i="2"/>
  <c r="F1563" i="2"/>
  <c r="F1562" i="2"/>
  <c r="F1561" i="2"/>
  <c r="F1559" i="2"/>
  <c r="F1558" i="2"/>
  <c r="F1557" i="2"/>
  <c r="F1556" i="2"/>
  <c r="F1555" i="2"/>
  <c r="F1554" i="2"/>
  <c r="F1553" i="2"/>
  <c r="F1552" i="2"/>
  <c r="F1551" i="2"/>
  <c r="F1550" i="2"/>
  <c r="F1549" i="2"/>
  <c r="F1547" i="2"/>
  <c r="F1546" i="2"/>
  <c r="F1545" i="2"/>
  <c r="F1544" i="2"/>
  <c r="F1543" i="2"/>
  <c r="F1542" i="2"/>
  <c r="F1541" i="2"/>
  <c r="F1540" i="2"/>
  <c r="F1539" i="2"/>
  <c r="F1538" i="2"/>
  <c r="F1536" i="2"/>
  <c r="F1535" i="2"/>
  <c r="F1534" i="2"/>
  <c r="F1533" i="2"/>
  <c r="F1532" i="2"/>
  <c r="F1531" i="2"/>
  <c r="F1529" i="2"/>
  <c r="F1528" i="2"/>
  <c r="F1525" i="2"/>
  <c r="F1524" i="2"/>
  <c r="F1523" i="2"/>
  <c r="F1522" i="2"/>
  <c r="F1521" i="2"/>
  <c r="F1520" i="2"/>
  <c r="F1519" i="2"/>
  <c r="F1518" i="2"/>
  <c r="F1517" i="2"/>
  <c r="F1516" i="2"/>
  <c r="F1515" i="2"/>
  <c r="F1512" i="2"/>
  <c r="F1511" i="2"/>
  <c r="F1510" i="2"/>
  <c r="F1509" i="2"/>
  <c r="F1507" i="2"/>
  <c r="F1506" i="2"/>
  <c r="F1505" i="2"/>
  <c r="F1504" i="2"/>
  <c r="F1503" i="2"/>
  <c r="F1501" i="2"/>
  <c r="F1500" i="2"/>
  <c r="F1499" i="2"/>
  <c r="F1497" i="2"/>
  <c r="F1494" i="2"/>
  <c r="F1493" i="2"/>
  <c r="F1491" i="2"/>
  <c r="F1490" i="2"/>
  <c r="F1489" i="2"/>
  <c r="F1488" i="2"/>
  <c r="F1487" i="2"/>
  <c r="F1485" i="2"/>
  <c r="F1484" i="2"/>
  <c r="F1482" i="2"/>
  <c r="F1479" i="2"/>
  <c r="F1478" i="2"/>
  <c r="F1477" i="2"/>
  <c r="F1475" i="2"/>
  <c r="F1474" i="2"/>
  <c r="F1473" i="2"/>
  <c r="F1472" i="2"/>
  <c r="F1471" i="2"/>
  <c r="F1470" i="2"/>
  <c r="F1469" i="2"/>
  <c r="F1467" i="2"/>
  <c r="F1466" i="2"/>
  <c r="F1465" i="2"/>
  <c r="F1463" i="2"/>
  <c r="F1462" i="2"/>
  <c r="F1450" i="2"/>
  <c r="F1448" i="2"/>
  <c r="F1447" i="2"/>
  <c r="F1446" i="2"/>
  <c r="F1445" i="2"/>
  <c r="F1444" i="2"/>
  <c r="F1443" i="2"/>
  <c r="F1442" i="2"/>
  <c r="F1440" i="2"/>
  <c r="F1433" i="2"/>
  <c r="F1432" i="2"/>
  <c r="F1427" i="2"/>
  <c r="F1426" i="2"/>
  <c r="F1425" i="2"/>
  <c r="F1424" i="2"/>
  <c r="F1422" i="2"/>
  <c r="F1421" i="2"/>
  <c r="F1420" i="2"/>
  <c r="F1419" i="2"/>
  <c r="F1418" i="2"/>
  <c r="F1416" i="2"/>
  <c r="F1415" i="2"/>
  <c r="F1414" i="2"/>
  <c r="F1412" i="2"/>
  <c r="F1409" i="2"/>
  <c r="F1408" i="2"/>
  <c r="F1407" i="2"/>
  <c r="F1406" i="2"/>
  <c r="F1405" i="2"/>
  <c r="F1404" i="2"/>
  <c r="F1403" i="2"/>
  <c r="F1402" i="2"/>
  <c r="F1401" i="2"/>
  <c r="F1400" i="2"/>
  <c r="F1399" i="2"/>
  <c r="F1397" i="2"/>
  <c r="F1396" i="2"/>
  <c r="F1395" i="2"/>
  <c r="F1394" i="2"/>
  <c r="F1392" i="2"/>
  <c r="F1391" i="2"/>
  <c r="F1389" i="2"/>
  <c r="F1388" i="2"/>
  <c r="F1387" i="2"/>
  <c r="F1385" i="2"/>
  <c r="F1384" i="2"/>
  <c r="F1383" i="2"/>
  <c r="F1382" i="2"/>
  <c r="F1381" i="2"/>
  <c r="F1380" i="2"/>
  <c r="F1379" i="2"/>
  <c r="F1378" i="2"/>
  <c r="F1376" i="2"/>
  <c r="F1375" i="2"/>
  <c r="F1373" i="2"/>
  <c r="F1372" i="2"/>
  <c r="F1370" i="2"/>
  <c r="F1369" i="2"/>
  <c r="F1368" i="2"/>
  <c r="F1367" i="2"/>
  <c r="F1366" i="2"/>
  <c r="F1365" i="2"/>
  <c r="F1364" i="2"/>
  <c r="F1363" i="2"/>
  <c r="F1362" i="2"/>
  <c r="F1361" i="2"/>
  <c r="F1360" i="2"/>
  <c r="F1359" i="2"/>
  <c r="F1358" i="2"/>
  <c r="F1357" i="2"/>
  <c r="F1356" i="2"/>
  <c r="F1355" i="2"/>
  <c r="F1354" i="2"/>
  <c r="F1353" i="2"/>
  <c r="F1352" i="2"/>
  <c r="F1351" i="2"/>
  <c r="F1350" i="2"/>
  <c r="F1348" i="2"/>
  <c r="F1347" i="2"/>
  <c r="F1346" i="2"/>
  <c r="F1344" i="2"/>
  <c r="F1343" i="2"/>
  <c r="F1340" i="2"/>
  <c r="F1339" i="2"/>
  <c r="F1338" i="2"/>
  <c r="F1337" i="2"/>
  <c r="F1335" i="2"/>
  <c r="F1334" i="2"/>
  <c r="F1333" i="2"/>
  <c r="F1332" i="2"/>
  <c r="F1331" i="2"/>
  <c r="F1330" i="2"/>
  <c r="F1328" i="2"/>
  <c r="F1327" i="2"/>
  <c r="F1326" i="2"/>
  <c r="F1325" i="2"/>
  <c r="F1324" i="2"/>
  <c r="F1323" i="2"/>
  <c r="F1322" i="2"/>
  <c r="F1320" i="2"/>
  <c r="F1319" i="2"/>
  <c r="F1317" i="2"/>
  <c r="F1314" i="2"/>
  <c r="F1313" i="2"/>
  <c r="F1312" i="2"/>
  <c r="F1310" i="2"/>
  <c r="F1309" i="2"/>
  <c r="F1308" i="2"/>
  <c r="F1307" i="2"/>
  <c r="F1306" i="2"/>
  <c r="F1305" i="2"/>
  <c r="F1304" i="2"/>
  <c r="F1302" i="2"/>
  <c r="F1301" i="2"/>
  <c r="F1300" i="2"/>
  <c r="F1298" i="2"/>
  <c r="F1297" i="2"/>
  <c r="F1294" i="2"/>
  <c r="F1292" i="2"/>
  <c r="F1291" i="2"/>
  <c r="F1290" i="2"/>
  <c r="F1289" i="2"/>
  <c r="F1288" i="2"/>
  <c r="F1287" i="2"/>
  <c r="F1285" i="2"/>
  <c r="F1283" i="2"/>
  <c r="F1282" i="2"/>
  <c r="F1281" i="2"/>
  <c r="F1280" i="2"/>
  <c r="F1279" i="2"/>
  <c r="F1278" i="2"/>
  <c r="F1277" i="2"/>
  <c r="F1275" i="2"/>
  <c r="F1273" i="2"/>
  <c r="F1272" i="2"/>
  <c r="F1270" i="2"/>
  <c r="F1269" i="2"/>
  <c r="F1268" i="2"/>
  <c r="F1266" i="2"/>
  <c r="F1265" i="2"/>
  <c r="F1260" i="2"/>
  <c r="F1259" i="2"/>
  <c r="F1258" i="2"/>
  <c r="F1257" i="2"/>
  <c r="F1255" i="2"/>
  <c r="F1254" i="2"/>
  <c r="F1253" i="2"/>
  <c r="F1252" i="2"/>
  <c r="F1251" i="2"/>
  <c r="F1249" i="2"/>
  <c r="F1248" i="2"/>
  <c r="F1247" i="2"/>
  <c r="F1245" i="2"/>
  <c r="F1242" i="2"/>
  <c r="F1241" i="2"/>
  <c r="F1240" i="2"/>
  <c r="F1239" i="2"/>
  <c r="F1238" i="2"/>
  <c r="F1237" i="2"/>
  <c r="F1236" i="2"/>
  <c r="F1235" i="2"/>
  <c r="F1234" i="2"/>
  <c r="F1233" i="2"/>
  <c r="F1232" i="2"/>
  <c r="F1230" i="2"/>
  <c r="F1229" i="2"/>
  <c r="F1228" i="2"/>
  <c r="F1227" i="2"/>
  <c r="F1225" i="2"/>
  <c r="F1224" i="2"/>
  <c r="F1222" i="2"/>
  <c r="F1221" i="2"/>
  <c r="F1220" i="2"/>
  <c r="F1218" i="2"/>
  <c r="F1217" i="2"/>
  <c r="F1216" i="2"/>
  <c r="F1215" i="2"/>
  <c r="F1214" i="2"/>
  <c r="F1213" i="2"/>
  <c r="F1212" i="2"/>
  <c r="F1211" i="2"/>
  <c r="F1209" i="2"/>
  <c r="F1208" i="2"/>
  <c r="F1206" i="2"/>
  <c r="F1205" i="2"/>
  <c r="F1203" i="2"/>
  <c r="F1202" i="2"/>
  <c r="F1201" i="2"/>
  <c r="F1200" i="2"/>
  <c r="F1199" i="2"/>
  <c r="F1198" i="2"/>
  <c r="F1197" i="2"/>
  <c r="F1196" i="2"/>
  <c r="F1195" i="2"/>
  <c r="F1194" i="2"/>
  <c r="F1193" i="2"/>
  <c r="F1192" i="2"/>
  <c r="F1191" i="2"/>
  <c r="F1190" i="2"/>
  <c r="F1189" i="2"/>
  <c r="F1188" i="2"/>
  <c r="F1187" i="2"/>
  <c r="F1186" i="2"/>
  <c r="F1185" i="2"/>
  <c r="F1184" i="2"/>
  <c r="F1183" i="2"/>
  <c r="F1181" i="2"/>
  <c r="F1180" i="2"/>
  <c r="F1179" i="2"/>
  <c r="F1177" i="2"/>
  <c r="F1176" i="2"/>
  <c r="F1173" i="2"/>
  <c r="F1172" i="2"/>
  <c r="F1171" i="2"/>
  <c r="F1170" i="2"/>
  <c r="F1168" i="2"/>
  <c r="F1167" i="2"/>
  <c r="F1166" i="2"/>
  <c r="F1165" i="2"/>
  <c r="F1164" i="2"/>
  <c r="F1163" i="2"/>
  <c r="F1161" i="2"/>
  <c r="F1160" i="2"/>
  <c r="F1159" i="2"/>
  <c r="F1158" i="2"/>
  <c r="F1157" i="2"/>
  <c r="F1156" i="2"/>
  <c r="F1155" i="2"/>
  <c r="F1153" i="2"/>
  <c r="F1152" i="2"/>
  <c r="F1150" i="2"/>
  <c r="F1147" i="2"/>
  <c r="F1146" i="2"/>
  <c r="F1145" i="2"/>
  <c r="F1143" i="2"/>
  <c r="F1142" i="2"/>
  <c r="F1141" i="2"/>
  <c r="F1140" i="2"/>
  <c r="F1139" i="2"/>
  <c r="F1138" i="2"/>
  <c r="F1137" i="2"/>
  <c r="F1135" i="2"/>
  <c r="F1134" i="2"/>
  <c r="F1133" i="2"/>
  <c r="F1131" i="2"/>
  <c r="F1130" i="2"/>
  <c r="F1127" i="2"/>
  <c r="F1125" i="2"/>
  <c r="F1124" i="2"/>
  <c r="F1123" i="2"/>
  <c r="F1122" i="2"/>
  <c r="F1121" i="2"/>
  <c r="F1120" i="2"/>
  <c r="F1118" i="2"/>
  <c r="F1116" i="2"/>
  <c r="F1115" i="2"/>
  <c r="F1114" i="2"/>
  <c r="F1113" i="2"/>
  <c r="F1112" i="2"/>
  <c r="F1111" i="2"/>
  <c r="F1110" i="2"/>
  <c r="F1108" i="2"/>
  <c r="F1106" i="2"/>
  <c r="F1105" i="2"/>
  <c r="F1104" i="2"/>
  <c r="F1103" i="2"/>
  <c r="F1101" i="2"/>
  <c r="F1100" i="2"/>
  <c r="F1095" i="2"/>
  <c r="F1094" i="2"/>
  <c r="F1093" i="2"/>
  <c r="F1092" i="2"/>
  <c r="F1090" i="2"/>
  <c r="F1089" i="2"/>
  <c r="F1088" i="2"/>
  <c r="F1087" i="2"/>
  <c r="F1086" i="2"/>
  <c r="F1085" i="2"/>
  <c r="F1084" i="2"/>
  <c r="F1083" i="2"/>
  <c r="F1082" i="2"/>
  <c r="F1081" i="2"/>
  <c r="F1080" i="2"/>
  <c r="F1079" i="2"/>
  <c r="F1078" i="2"/>
  <c r="F1076" i="2"/>
  <c r="F1075" i="2"/>
  <c r="F1074" i="2"/>
  <c r="F1072" i="2"/>
  <c r="F1071" i="2"/>
  <c r="F1070" i="2"/>
  <c r="F1068" i="2"/>
  <c r="F1067" i="2"/>
  <c r="F1066" i="2"/>
  <c r="F1065" i="2"/>
  <c r="F1064" i="2"/>
  <c r="F1063" i="2"/>
  <c r="F1062" i="2"/>
  <c r="F1061" i="2"/>
  <c r="F1060" i="2"/>
  <c r="F1059" i="2"/>
  <c r="F1058" i="2"/>
  <c r="F1056" i="2"/>
  <c r="F1055" i="2"/>
  <c r="F1054" i="2"/>
  <c r="F1053" i="2"/>
  <c r="F1052" i="2"/>
  <c r="F1051" i="2"/>
  <c r="F1050" i="2"/>
  <c r="F1049" i="2"/>
  <c r="F1048" i="2"/>
  <c r="F1047" i="2"/>
  <c r="F1045" i="2"/>
  <c r="F1044" i="2"/>
  <c r="F1043" i="2"/>
  <c r="F1042" i="2"/>
  <c r="F1041" i="2"/>
  <c r="F1040" i="2"/>
  <c r="F1038" i="2"/>
  <c r="F1037" i="2"/>
  <c r="F1034" i="2"/>
  <c r="F1033" i="2"/>
  <c r="F1032" i="2"/>
  <c r="F1031" i="2"/>
  <c r="F1029" i="2"/>
  <c r="F1028" i="2"/>
  <c r="F1027" i="2"/>
  <c r="F1026" i="2"/>
  <c r="F1025" i="2"/>
  <c r="F1023" i="2"/>
  <c r="F1022" i="2"/>
  <c r="F1021" i="2"/>
  <c r="F1019" i="2"/>
  <c r="F1016" i="2"/>
  <c r="F1015" i="2"/>
  <c r="F1014" i="2"/>
  <c r="F1013" i="2"/>
  <c r="F1012" i="2"/>
  <c r="F1011" i="2"/>
  <c r="F1010" i="2"/>
  <c r="F1009" i="2"/>
  <c r="F1008" i="2"/>
  <c r="F1007" i="2"/>
  <c r="F1006" i="2"/>
  <c r="F1003" i="2"/>
  <c r="F1002" i="2"/>
  <c r="F1001" i="2"/>
  <c r="F1000" i="2"/>
  <c r="F998" i="2"/>
  <c r="F997" i="2"/>
  <c r="F996" i="2"/>
  <c r="F995" i="2"/>
  <c r="F994" i="2"/>
  <c r="F993" i="2"/>
  <c r="F991" i="2"/>
  <c r="F990" i="2"/>
  <c r="F989" i="2"/>
  <c r="F988" i="2"/>
  <c r="F987" i="2"/>
  <c r="F986" i="2"/>
  <c r="F985" i="2"/>
  <c r="F983" i="2"/>
  <c r="F982" i="2"/>
  <c r="F980" i="2"/>
  <c r="F977" i="2"/>
  <c r="F976" i="2"/>
  <c r="F975" i="2"/>
  <c r="F973" i="2"/>
  <c r="F972" i="2"/>
  <c r="F971" i="2"/>
  <c r="F970" i="2"/>
  <c r="F969" i="2"/>
  <c r="F968" i="2"/>
  <c r="F967" i="2"/>
  <c r="F965" i="2"/>
  <c r="F964" i="2"/>
  <c r="F963" i="2"/>
  <c r="F961" i="2"/>
  <c r="F960" i="2"/>
  <c r="F957" i="2"/>
  <c r="F955" i="2"/>
  <c r="F954" i="2"/>
  <c r="F953" i="2"/>
  <c r="F952" i="2"/>
  <c r="F951" i="2"/>
  <c r="F950" i="2"/>
  <c r="F948" i="2"/>
  <c r="F946" i="2"/>
  <c r="F945" i="2"/>
  <c r="F944" i="2"/>
  <c r="F943" i="2"/>
  <c r="F942" i="2"/>
  <c r="F941" i="2"/>
  <c r="F940" i="2"/>
  <c r="F938" i="2"/>
  <c r="F936" i="2"/>
  <c r="F935" i="2"/>
  <c r="F933" i="2"/>
  <c r="F932" i="2"/>
  <c r="F927" i="2"/>
  <c r="F926" i="2"/>
  <c r="F925" i="2"/>
  <c r="F924" i="2"/>
  <c r="F922" i="2"/>
  <c r="F921" i="2"/>
  <c r="F920" i="2"/>
  <c r="F919" i="2"/>
  <c r="F918" i="2"/>
  <c r="F917" i="2"/>
  <c r="F916" i="2"/>
  <c r="F915" i="2"/>
  <c r="F914" i="2"/>
  <c r="F913" i="2"/>
  <c r="F912" i="2"/>
  <c r="F911" i="2"/>
  <c r="F910" i="2"/>
  <c r="F908" i="2"/>
  <c r="F907" i="2"/>
  <c r="F906" i="2"/>
  <c r="F904" i="2"/>
  <c r="F903" i="2"/>
  <c r="F902" i="2"/>
  <c r="F900" i="2"/>
  <c r="F899" i="2"/>
  <c r="F898" i="2"/>
  <c r="F897" i="2"/>
  <c r="F896" i="2"/>
  <c r="F895" i="2"/>
  <c r="F894" i="2"/>
  <c r="F893" i="2"/>
  <c r="F892" i="2"/>
  <c r="F891" i="2"/>
  <c r="F890" i="2"/>
  <c r="F888" i="2"/>
  <c r="F887" i="2"/>
  <c r="F886" i="2"/>
  <c r="F885" i="2"/>
  <c r="F884" i="2"/>
  <c r="F883" i="2"/>
  <c r="F882" i="2"/>
  <c r="F881" i="2"/>
  <c r="F880" i="2"/>
  <c r="F879" i="2"/>
  <c r="F877" i="2"/>
  <c r="F876" i="2"/>
  <c r="F875" i="2"/>
  <c r="F874" i="2"/>
  <c r="F873" i="2"/>
  <c r="F872" i="2"/>
  <c r="F870" i="2"/>
  <c r="F869" i="2"/>
  <c r="F867" i="2"/>
  <c r="F849" i="2"/>
  <c r="F779" i="2"/>
  <c r="F753" i="2"/>
  <c r="F723" i="2"/>
  <c r="F721" i="2"/>
  <c r="F720" i="2"/>
  <c r="F719" i="2"/>
  <c r="F718" i="2"/>
  <c r="F717" i="2"/>
  <c r="F716" i="2"/>
  <c r="F715" i="2"/>
  <c r="F713" i="2"/>
  <c r="F702" i="2"/>
  <c r="F701" i="2"/>
  <c r="F698" i="2"/>
  <c r="F696" i="2"/>
  <c r="F695" i="2"/>
  <c r="F694" i="2"/>
  <c r="F693" i="2"/>
  <c r="F692" i="2"/>
  <c r="F691" i="2"/>
  <c r="F689" i="2"/>
  <c r="F687" i="2"/>
  <c r="F686" i="2"/>
  <c r="F685" i="2"/>
  <c r="F684" i="2"/>
  <c r="F683" i="2"/>
  <c r="F682" i="2"/>
  <c r="F681" i="2"/>
  <c r="F679" i="2"/>
  <c r="F677" i="2"/>
  <c r="F676" i="2"/>
  <c r="F675" i="2"/>
  <c r="F674" i="2"/>
  <c r="F673" i="2"/>
  <c r="F672" i="2"/>
  <c r="F671" i="2"/>
  <c r="F670" i="2"/>
  <c r="F669" i="2"/>
  <c r="F667" i="2"/>
  <c r="F666" i="2"/>
  <c r="F661" i="2"/>
  <c r="F660" i="2"/>
  <c r="F659" i="2"/>
  <c r="F658" i="2"/>
  <c r="F656" i="2"/>
  <c r="F655" i="2"/>
  <c r="F654" i="2"/>
  <c r="F653" i="2"/>
  <c r="F652" i="2"/>
  <c r="F651" i="2"/>
  <c r="F650" i="2"/>
  <c r="F649" i="2"/>
  <c r="F648" i="2"/>
  <c r="F647" i="2"/>
  <c r="F646" i="2"/>
  <c r="F645" i="2"/>
  <c r="F644" i="2"/>
  <c r="F642" i="2"/>
  <c r="F641" i="2"/>
  <c r="F640" i="2"/>
  <c r="F638" i="2"/>
  <c r="F637" i="2"/>
  <c r="F636" i="2"/>
  <c r="F634" i="2"/>
  <c r="F633" i="2"/>
  <c r="F632" i="2"/>
  <c r="F631" i="2"/>
  <c r="F630" i="2"/>
  <c r="F629" i="2"/>
  <c r="F628" i="2"/>
  <c r="F627" i="2"/>
  <c r="F626" i="2"/>
  <c r="F625" i="2"/>
  <c r="F624" i="2"/>
  <c r="F622" i="2"/>
  <c r="F621" i="2"/>
  <c r="F620" i="2"/>
  <c r="F619" i="2"/>
  <c r="F618" i="2"/>
  <c r="F617" i="2"/>
  <c r="F616" i="2"/>
  <c r="F615" i="2"/>
  <c r="F614" i="2"/>
  <c r="F613" i="2"/>
  <c r="F611" i="2"/>
  <c r="F610" i="2"/>
  <c r="F609" i="2"/>
  <c r="F608" i="2"/>
  <c r="F607" i="2"/>
  <c r="F606" i="2"/>
  <c r="F604" i="2"/>
  <c r="F603" i="2"/>
  <c r="F600" i="2"/>
  <c r="F599" i="2"/>
  <c r="F598" i="2"/>
  <c r="F597" i="2"/>
  <c r="F596" i="2"/>
  <c r="F595" i="2"/>
  <c r="F594" i="2"/>
  <c r="F593" i="2"/>
  <c r="F592" i="2"/>
  <c r="F591" i="2"/>
  <c r="F590" i="2"/>
  <c r="F588" i="2"/>
  <c r="F587" i="2"/>
  <c r="F586" i="2"/>
  <c r="F585" i="2"/>
  <c r="F584" i="2"/>
  <c r="F583" i="2"/>
  <c r="F582" i="2"/>
  <c r="F581" i="2"/>
  <c r="F579" i="2"/>
  <c r="F578" i="2"/>
  <c r="F576" i="2"/>
  <c r="F575" i="2"/>
  <c r="F573" i="2"/>
  <c r="F572" i="2"/>
  <c r="F571" i="2"/>
  <c r="F570" i="2"/>
  <c r="F569" i="2"/>
  <c r="F568" i="2"/>
  <c r="F567" i="2"/>
  <c r="F566" i="2"/>
  <c r="F565" i="2"/>
  <c r="F564" i="2"/>
  <c r="F563" i="2"/>
  <c r="F562" i="2"/>
  <c r="F561" i="2"/>
  <c r="F560" i="2"/>
  <c r="F559" i="2"/>
  <c r="F558" i="2"/>
  <c r="F557" i="2"/>
  <c r="F556" i="2"/>
  <c r="F555" i="2"/>
  <c r="F554" i="2"/>
  <c r="F553" i="2"/>
  <c r="F551" i="2"/>
  <c r="F550" i="2"/>
  <c r="F549" i="2"/>
  <c r="F547" i="2"/>
  <c r="F546" i="2"/>
  <c r="F543" i="2"/>
  <c r="F542" i="2"/>
  <c r="F541" i="2"/>
  <c r="F540" i="2"/>
  <c r="F539" i="2"/>
  <c r="F538" i="2"/>
  <c r="F537" i="2"/>
  <c r="F536" i="2"/>
  <c r="F534" i="2"/>
  <c r="F533" i="2"/>
  <c r="F532" i="2"/>
  <c r="F530" i="2"/>
  <c r="F529" i="2"/>
  <c r="F528" i="2"/>
  <c r="F527" i="2"/>
  <c r="F524" i="2"/>
  <c r="F523" i="2"/>
  <c r="F521" i="2"/>
  <c r="F520" i="2"/>
  <c r="F519" i="2"/>
  <c r="F518" i="2"/>
  <c r="F517" i="2"/>
  <c r="F516" i="2"/>
  <c r="F515" i="2"/>
  <c r="F513" i="2"/>
  <c r="F512" i="2"/>
  <c r="F510" i="2"/>
  <c r="F507" i="2"/>
  <c r="F505" i="2"/>
  <c r="F504" i="2"/>
  <c r="F503" i="2"/>
  <c r="F502" i="2"/>
  <c r="F501" i="2"/>
  <c r="F500" i="2"/>
  <c r="F498" i="2"/>
  <c r="F496" i="2"/>
  <c r="F495" i="2"/>
  <c r="F494" i="2"/>
  <c r="F493" i="2"/>
  <c r="F492" i="2"/>
  <c r="F491" i="2"/>
  <c r="F490" i="2"/>
  <c r="F488" i="2"/>
  <c r="F486" i="2"/>
  <c r="F485" i="2"/>
  <c r="F484" i="2"/>
  <c r="F483" i="2"/>
  <c r="F482" i="2"/>
  <c r="F480" i="2"/>
  <c r="F475" i="2"/>
  <c r="F474" i="2"/>
  <c r="F473" i="2"/>
  <c r="F472" i="2"/>
  <c r="F470" i="2"/>
  <c r="F469" i="2"/>
  <c r="F468" i="2"/>
  <c r="F467" i="2"/>
  <c r="F466" i="2"/>
  <c r="F465" i="2"/>
  <c r="F464" i="2"/>
  <c r="F463" i="2"/>
  <c r="F462" i="2"/>
  <c r="F461" i="2"/>
  <c r="F460" i="2"/>
  <c r="F459" i="2"/>
  <c r="F458" i="2"/>
  <c r="F456" i="2"/>
  <c r="F455" i="2"/>
  <c r="F454" i="2"/>
  <c r="F452" i="2"/>
  <c r="F451" i="2"/>
  <c r="F450" i="2"/>
  <c r="F448" i="2"/>
  <c r="F447" i="2"/>
  <c r="F446" i="2"/>
  <c r="F445" i="2"/>
  <c r="F444" i="2"/>
  <c r="F443" i="2"/>
  <c r="F442" i="2"/>
  <c r="F441" i="2"/>
  <c r="F440" i="2"/>
  <c r="F439" i="2"/>
  <c r="F438" i="2"/>
  <c r="F436" i="2"/>
  <c r="F435" i="2"/>
  <c r="F434" i="2"/>
  <c r="F433" i="2"/>
  <c r="F432" i="2"/>
  <c r="F431" i="2"/>
  <c r="F430" i="2"/>
  <c r="F429" i="2"/>
  <c r="F428" i="2"/>
  <c r="F427" i="2"/>
  <c r="F425" i="2"/>
  <c r="F424" i="2"/>
  <c r="F423" i="2"/>
  <c r="F422" i="2"/>
  <c r="F421" i="2"/>
  <c r="F420" i="2"/>
  <c r="F418" i="2"/>
  <c r="F417" i="2"/>
  <c r="F414" i="2"/>
  <c r="F413" i="2"/>
  <c r="F412" i="2"/>
  <c r="F411" i="2"/>
  <c r="F410" i="2"/>
  <c r="F409" i="2"/>
  <c r="F408" i="2"/>
  <c r="F406" i="2"/>
  <c r="F405" i="2"/>
  <c r="F402" i="2"/>
  <c r="F401" i="2"/>
  <c r="F400" i="2"/>
  <c r="F398" i="2"/>
  <c r="F397" i="2"/>
  <c r="F396" i="2"/>
  <c r="F395" i="2"/>
  <c r="F394" i="2"/>
  <c r="F393" i="2"/>
  <c r="F392" i="2"/>
  <c r="F390" i="2"/>
  <c r="F389" i="2"/>
  <c r="F388" i="2"/>
  <c r="F386" i="2"/>
  <c r="F385" i="2"/>
  <c r="F382" i="2"/>
  <c r="F381" i="2"/>
  <c r="F380" i="2"/>
  <c r="F379" i="2"/>
  <c r="F378" i="2"/>
  <c r="F377" i="2"/>
  <c r="F376" i="2"/>
  <c r="F375" i="2"/>
  <c r="F374" i="2"/>
  <c r="F373" i="2"/>
  <c r="F372" i="2"/>
  <c r="F371" i="2"/>
  <c r="F370" i="2"/>
  <c r="F367" i="2"/>
  <c r="F365" i="2"/>
  <c r="F364" i="2"/>
  <c r="F363" i="2"/>
  <c r="F362" i="2"/>
  <c r="F361" i="2"/>
  <c r="F360" i="2"/>
  <c r="F358" i="2"/>
  <c r="F356" i="2"/>
  <c r="F355" i="2"/>
  <c r="F354" i="2"/>
  <c r="F353" i="2"/>
  <c r="F352" i="2"/>
  <c r="F351" i="2"/>
  <c r="F350" i="2"/>
  <c r="F348" i="2"/>
  <c r="F346" i="2"/>
  <c r="F345" i="2"/>
  <c r="F344" i="2"/>
  <c r="F343" i="2"/>
  <c r="F342" i="2"/>
  <c r="F340" i="2"/>
  <c r="F339" i="2"/>
  <c r="F334" i="2"/>
  <c r="F333" i="2"/>
  <c r="F332" i="2"/>
  <c r="F331" i="2"/>
  <c r="F330" i="2"/>
  <c r="F329" i="2"/>
  <c r="F328" i="2"/>
  <c r="F327" i="2"/>
  <c r="F326" i="2"/>
  <c r="F325" i="2"/>
  <c r="F324" i="2"/>
  <c r="F321" i="2"/>
  <c r="F319" i="2"/>
  <c r="F318" i="2"/>
  <c r="F317" i="2"/>
  <c r="F316" i="2"/>
  <c r="F315" i="2"/>
  <c r="F314" i="2"/>
  <c r="F312" i="2"/>
  <c r="F310" i="2"/>
  <c r="F309" i="2"/>
  <c r="F308" i="2"/>
  <c r="F307" i="2"/>
  <c r="F306" i="2"/>
  <c r="F305" i="2"/>
  <c r="F304" i="2"/>
  <c r="F302" i="2"/>
  <c r="F300" i="2"/>
  <c r="F299" i="2"/>
  <c r="F298" i="2"/>
  <c r="F296" i="2"/>
  <c r="F295" i="2"/>
  <c r="F294" i="2"/>
  <c r="F293" i="2"/>
  <c r="F291" i="2"/>
  <c r="F290" i="2"/>
  <c r="F285" i="2"/>
  <c r="F284" i="2"/>
  <c r="F283" i="2"/>
  <c r="F282" i="2"/>
  <c r="F280" i="2"/>
  <c r="F279" i="2"/>
  <c r="F278" i="2"/>
  <c r="F277" i="2"/>
  <c r="F276" i="2"/>
  <c r="F275" i="2"/>
  <c r="F274" i="2"/>
  <c r="F273" i="2"/>
  <c r="F272" i="2"/>
  <c r="F271" i="2"/>
  <c r="F270" i="2"/>
  <c r="F269" i="2"/>
  <c r="F268" i="2"/>
  <c r="F266" i="2"/>
  <c r="F265" i="2"/>
  <c r="F264" i="2"/>
  <c r="F262" i="2"/>
  <c r="F261" i="2"/>
  <c r="F260" i="2"/>
  <c r="F258" i="2"/>
  <c r="F257" i="2"/>
  <c r="F256" i="2"/>
  <c r="F255" i="2"/>
  <c r="F254" i="2"/>
  <c r="F253" i="2"/>
  <c r="F252" i="2"/>
  <c r="F251" i="2"/>
  <c r="F250" i="2"/>
  <c r="F249" i="2"/>
  <c r="F248" i="2"/>
  <c r="F246" i="2"/>
  <c r="F245" i="2"/>
  <c r="F244" i="2"/>
  <c r="F243" i="2"/>
  <c r="F242" i="2"/>
  <c r="F241" i="2"/>
  <c r="F240" i="2"/>
  <c r="F239" i="2"/>
  <c r="F238" i="2"/>
  <c r="F237" i="2"/>
  <c r="F235" i="2"/>
  <c r="F234" i="2"/>
  <c r="F233" i="2"/>
  <c r="F232" i="2"/>
  <c r="F231" i="2"/>
  <c r="F230" i="2"/>
  <c r="F228" i="2"/>
  <c r="F227" i="2"/>
  <c r="F224" i="2"/>
  <c r="F223" i="2"/>
  <c r="F220" i="2"/>
  <c r="F219" i="2"/>
  <c r="F218" i="2"/>
  <c r="F217" i="2"/>
  <c r="F216" i="2"/>
  <c r="F215" i="2"/>
  <c r="F214" i="2"/>
  <c r="F213" i="2"/>
  <c r="F212" i="2"/>
  <c r="F211" i="2"/>
  <c r="F210" i="2"/>
  <c r="F207" i="2"/>
  <c r="F205" i="2"/>
  <c r="F204" i="2"/>
  <c r="F203" i="2"/>
  <c r="F202" i="2"/>
  <c r="F201" i="2"/>
  <c r="F200" i="2"/>
  <c r="F197" i="2"/>
  <c r="F195" i="2"/>
  <c r="F194" i="2"/>
  <c r="F193" i="2"/>
  <c r="F192" i="2"/>
  <c r="F191" i="2"/>
  <c r="F190" i="2"/>
  <c r="F189" i="2"/>
  <c r="F187" i="2"/>
  <c r="F184" i="2"/>
  <c r="F183" i="2"/>
  <c r="F182" i="2"/>
  <c r="F181" i="2"/>
  <c r="F180" i="2"/>
  <c r="F179" i="2"/>
  <c r="F178" i="2"/>
  <c r="F177" i="2"/>
  <c r="F175" i="2"/>
  <c r="F174" i="2"/>
  <c r="F169" i="2"/>
  <c r="F168" i="2"/>
  <c r="F167" i="2"/>
  <c r="F166" i="2"/>
  <c r="F164" i="2"/>
  <c r="F163" i="2"/>
  <c r="F162" i="2"/>
  <c r="F161" i="2"/>
  <c r="F160" i="2"/>
  <c r="F159" i="2"/>
  <c r="F158" i="2"/>
  <c r="F157" i="2"/>
  <c r="F156" i="2"/>
  <c r="F155" i="2"/>
  <c r="F154" i="2"/>
  <c r="F153" i="2"/>
  <c r="F152" i="2"/>
  <c r="F150" i="2"/>
  <c r="F149" i="2"/>
  <c r="F148" i="2"/>
  <c r="F146" i="2"/>
  <c r="F145" i="2"/>
  <c r="F144" i="2"/>
  <c r="F142" i="2"/>
  <c r="F141" i="2"/>
  <c r="F140" i="2"/>
  <c r="F139" i="2"/>
  <c r="F138" i="2"/>
  <c r="F137" i="2"/>
  <c r="F136" i="2"/>
  <c r="F135" i="2"/>
  <c r="F134" i="2"/>
  <c r="F133" i="2"/>
  <c r="F132" i="2"/>
  <c r="F130" i="2"/>
  <c r="F129" i="2"/>
  <c r="F128" i="2"/>
  <c r="F127" i="2"/>
  <c r="F126" i="2"/>
  <c r="F125" i="2"/>
  <c r="F124" i="2"/>
  <c r="F123" i="2"/>
  <c r="F122" i="2"/>
  <c r="F121" i="2"/>
  <c r="F119" i="2"/>
  <c r="F118" i="2"/>
  <c r="F117" i="2"/>
  <c r="F116" i="2"/>
  <c r="F115" i="2"/>
  <c r="F114" i="2"/>
  <c r="F112" i="2"/>
  <c r="F111" i="2"/>
  <c r="F108" i="2"/>
  <c r="F107" i="2"/>
  <c r="F106" i="2"/>
  <c r="F105" i="2"/>
  <c r="F104" i="2"/>
  <c r="F103" i="2"/>
  <c r="F102" i="2"/>
  <c r="F100" i="2"/>
  <c r="F99" i="2"/>
  <c r="F96" i="2"/>
  <c r="F95" i="2"/>
  <c r="F94" i="2"/>
  <c r="F93" i="2"/>
  <c r="F92" i="2"/>
  <c r="F91" i="2"/>
  <c r="F90" i="2"/>
  <c r="F89" i="2"/>
  <c r="F88" i="2"/>
  <c r="F87" i="2"/>
  <c r="F86" i="2"/>
  <c r="F83" i="2"/>
  <c r="F82" i="2"/>
  <c r="F81" i="2"/>
  <c r="F79" i="2"/>
  <c r="F78" i="2"/>
  <c r="F77" i="2"/>
  <c r="F76" i="2"/>
  <c r="F75" i="2"/>
  <c r="F74" i="2"/>
  <c r="F73" i="2"/>
  <c r="F71" i="2"/>
  <c r="F70" i="2"/>
  <c r="F69" i="2"/>
  <c r="F67" i="2"/>
  <c r="F66" i="2"/>
  <c r="F63" i="2"/>
  <c r="F62" i="2"/>
  <c r="F61" i="2"/>
  <c r="F60" i="2"/>
  <c r="F58" i="2"/>
  <c r="F57" i="2"/>
  <c r="F56" i="2"/>
  <c r="F55" i="2"/>
  <c r="F54" i="2"/>
  <c r="F53" i="2"/>
  <c r="F51" i="2"/>
  <c r="F50" i="2"/>
  <c r="F49" i="2"/>
  <c r="F48" i="2"/>
  <c r="F47" i="2"/>
  <c r="F46" i="2"/>
  <c r="F45" i="2"/>
  <c r="F43" i="2"/>
  <c r="F42" i="2"/>
  <c r="F40" i="2"/>
  <c r="F37" i="2"/>
  <c r="F35" i="2"/>
  <c r="F34" i="2"/>
  <c r="F33" i="2"/>
  <c r="F32" i="2"/>
  <c r="F31" i="2"/>
  <c r="F30" i="2"/>
  <c r="F28" i="2"/>
  <c r="F26" i="2"/>
  <c r="F25" i="2"/>
  <c r="F24" i="2"/>
  <c r="F23" i="2"/>
  <c r="F22" i="2"/>
  <c r="F21" i="2"/>
  <c r="F20" i="2"/>
  <c r="F18" i="2"/>
  <c r="F16" i="2"/>
  <c r="F15" i="2"/>
  <c r="F14" i="2"/>
  <c r="F13" i="2"/>
  <c r="F12" i="2"/>
  <c r="F11" i="2"/>
  <c r="F10" i="2"/>
  <c r="F9" i="2"/>
  <c r="F7" i="2"/>
  <c r="F6" i="2"/>
  <c r="F2107" i="2" l="1"/>
  <c r="H2107" i="2" s="1"/>
  <c r="F2369" i="2"/>
  <c r="H2369" i="2" s="1"/>
  <c r="F2279" i="2"/>
  <c r="F2190" i="2"/>
  <c r="H2190" i="2" s="1"/>
  <c r="F2255" i="2"/>
  <c r="F2074" i="2"/>
  <c r="F2044" i="2"/>
  <c r="F2012" i="2"/>
  <c r="H2012" i="2" s="1"/>
  <c r="F64" i="2"/>
  <c r="F84" i="2"/>
  <c r="F221" i="2"/>
  <c r="F225" i="2"/>
  <c r="F525" i="2"/>
  <c r="F662" i="2"/>
  <c r="F699" i="2"/>
  <c r="F703" i="2"/>
  <c r="F978" i="2"/>
  <c r="F1315" i="2"/>
  <c r="F1495" i="2"/>
  <c r="F1648" i="2"/>
  <c r="F544" i="2"/>
  <c r="F508" i="2"/>
  <c r="F1878" i="2"/>
  <c r="F1867" i="2" s="1"/>
  <c r="G1867" i="2" s="1"/>
  <c r="F208" i="2"/>
  <c r="F403" i="2"/>
  <c r="F415" i="2"/>
  <c r="F733" i="2"/>
  <c r="F1004" i="2"/>
  <c r="F1017" i="2"/>
  <c r="F1035" i="2"/>
  <c r="F1096" i="2"/>
  <c r="F1128" i="2"/>
  <c r="F1261" i="2"/>
  <c r="F1295" i="2"/>
  <c r="F1480" i="2"/>
  <c r="F1861" i="2"/>
  <c r="F1843" i="2" s="1"/>
  <c r="G1843" i="2" s="1"/>
  <c r="F2162" i="2"/>
  <c r="H2162" i="2" s="1"/>
  <c r="F198" i="2"/>
  <c r="F286" i="2"/>
  <c r="F335" i="2"/>
  <c r="F368" i="2"/>
  <c r="F383" i="2"/>
  <c r="F476" i="2"/>
  <c r="F928" i="2"/>
  <c r="F958" i="2"/>
  <c r="F1174" i="2"/>
  <c r="F1243" i="2"/>
  <c r="F1428" i="2"/>
  <c r="F1460" i="2"/>
  <c r="F1513" i="2"/>
  <c r="F1587" i="2"/>
  <c r="F2231" i="2"/>
  <c r="H2231" i="2" s="1"/>
  <c r="F38" i="2"/>
  <c r="F97" i="2"/>
  <c r="F109" i="2"/>
  <c r="F170" i="2"/>
  <c r="F185" i="2"/>
  <c r="F322" i="2"/>
  <c r="F601" i="2"/>
  <c r="F1148" i="2"/>
  <c r="F1341" i="2"/>
  <c r="F1410" i="2"/>
  <c r="F1526" i="2"/>
  <c r="F1841" i="2"/>
  <c r="F1888" i="2"/>
  <c r="F1879" i="2" s="1"/>
  <c r="G1879" i="2" s="1"/>
  <c r="F1975" i="2"/>
  <c r="F1895" i="2" s="1"/>
  <c r="G1895" i="2" s="1"/>
  <c r="F929" i="2" l="1"/>
  <c r="F705" i="2" s="1"/>
  <c r="G705" i="2" s="1"/>
  <c r="F704" i="2"/>
  <c r="F664" i="2" s="1"/>
  <c r="G664" i="2" s="1"/>
  <c r="F2370" i="2"/>
  <c r="H2370" i="2" s="1"/>
  <c r="F2075" i="2"/>
  <c r="H2075" i="2" s="1"/>
  <c r="F287" i="2"/>
  <c r="F172" i="2" s="1"/>
  <c r="G172" i="2" s="1"/>
  <c r="F2280" i="2"/>
  <c r="H2280" i="2" s="1"/>
  <c r="F1842" i="2"/>
  <c r="F1589" i="2" s="1"/>
  <c r="G1589" i="2" s="1"/>
  <c r="F1588" i="2"/>
  <c r="F1430" i="2" s="1"/>
  <c r="G1430" i="2" s="1"/>
  <c r="F663" i="2"/>
  <c r="F478" i="2" s="1"/>
  <c r="G478" i="2" s="1"/>
  <c r="F1262" i="2"/>
  <c r="F1098" i="2" s="1"/>
  <c r="G1098" i="2" s="1"/>
  <c r="F171" i="2"/>
  <c r="F4" i="2" s="1"/>
  <c r="G4" i="2" s="1"/>
  <c r="F1429" i="2"/>
  <c r="F1263" i="2" s="1"/>
  <c r="G1263" i="2" s="1"/>
  <c r="F336" i="2"/>
  <c r="F288" i="2" s="1"/>
  <c r="G288" i="2" s="1"/>
  <c r="F1097" i="2"/>
  <c r="F930" i="2" s="1"/>
  <c r="G930" i="2" s="1"/>
  <c r="F477" i="2"/>
  <c r="F337" i="2" s="1"/>
  <c r="G337" i="2" s="1"/>
  <c r="H2408" i="2" l="1"/>
  <c r="F1976" i="2"/>
  <c r="F2408" i="2" s="1"/>
  <c r="G1976" i="2" l="1"/>
  <c r="G2408" i="2"/>
</calcChain>
</file>

<file path=xl/sharedStrings.xml><?xml version="1.0" encoding="utf-8"?>
<sst xmlns="http://schemas.openxmlformats.org/spreadsheetml/2006/main" count="5675" uniqueCount="580">
  <si>
    <t xml:space="preserve">MITIGATION OF WATERLOGGING IN DISTRICT RAHIMYAR KHAN
</t>
  </si>
  <si>
    <t>BOQ</t>
  </si>
  <si>
    <t>Sr. 
No</t>
  </si>
  <si>
    <t>Item</t>
  </si>
  <si>
    <t>Unit</t>
  </si>
  <si>
    <t>Quantity</t>
  </si>
  <si>
    <t xml:space="preserve">Rate </t>
  </si>
  <si>
    <t>Amount
(PKR)</t>
  </si>
  <si>
    <t xml:space="preserve">1.      2-L Manthar Drain (RD 0+000 to 31+568) </t>
  </si>
  <si>
    <t>i.    Earthwork</t>
  </si>
  <si>
    <t>Earth Work in excavation of drains, irrigation channels through excavator/ drag lines in all kind of soil and conditions (dry, wet slush, daldal and under water ) including its disposal and preperation of working pad for operation of machinary. (rates includes 100ft lead)</t>
  </si>
  <si>
    <t>Dressing and levelling of earthwork to designed section etc complete in ii) ordinary or hard soil soil</t>
  </si>
  <si>
    <t>Transportation of earth all types when the total distance, including the lead covered in the item of work , is more than 1000 ft.</t>
  </si>
  <si>
    <t>a) 500 ft</t>
  </si>
  <si>
    <t>b) 1000 ft</t>
  </si>
  <si>
    <t>c) 1250 ft</t>
  </si>
  <si>
    <t>d) 1500 ft</t>
  </si>
  <si>
    <t>e) 2000 ft</t>
  </si>
  <si>
    <t>f) 4250 ft</t>
  </si>
  <si>
    <t>Making boundary or service roads, including dag-belling, leveling and dressing:ii) in ploughed land:
a) from 10.0 ft. to 20.0 ft. (3 to 6 m) wide</t>
  </si>
  <si>
    <t>Jungle clearance and removing within 100 ft. light</t>
  </si>
  <si>
    <t>ii.    Data Board</t>
  </si>
  <si>
    <t>Excavation in foundation of building bridges and other structures including dagbelling, dressing, refilling around structure with excavated earth, watering and ramming lead upto one chain and lift upto 5 ft. in ordinary soil</t>
  </si>
  <si>
    <t>Cement concrete plain including, placing, compacting, finishing and curing complete (including screening and washing of stones aggregate)</t>
  </si>
  <si>
    <t>a) Nominal mix ratio 1:4:8</t>
  </si>
  <si>
    <t xml:space="preserve">Pacca brick work in foundation and plinth in cement sand mortar ratio 1:6. </t>
  </si>
  <si>
    <t>Providing and laying damp proof course of cement 1:2:4 (using cement, sand and shingle), including bitumen coating with with 2 coats of bitumen: 1½" thick (40 mm).</t>
  </si>
  <si>
    <t>Pacca brick work other than building upto 10 ft. height in cement sand mortor ratio 1:3</t>
  </si>
  <si>
    <t>Cement plaster 1:4 upto 20 ft. height, 3/8" thick</t>
  </si>
  <si>
    <t>Providing and applying weather shield paint of approved quality on external surface of building including preparation of surface, application of primer complete in all respect white.</t>
  </si>
  <si>
    <t xml:space="preserve">Writing letter or figures per letter per inch height </t>
  </si>
  <si>
    <t>Carriage of  100 Cf t. (2.83 cu.m) of  all  materials like stone aggregate, spawl, kankar lime (unslaked), surkhi , etc. or 150 Cf t. (4.25 cu.m) timber, by truck or by any othermeans owned by the contractor from Sakhi Sarwar Quarry to site 275 Km including first 11KM hilly area.</t>
  </si>
  <si>
    <t>DPC</t>
  </si>
  <si>
    <t>iii.    RD Marks</t>
  </si>
  <si>
    <t>Precast reinfoced cement concrete type "C" 1:2:4.</t>
  </si>
  <si>
    <t>Fabrication of mild steel reinforcement for cement concrete including cutting bending laying in position etc. complete in all respect. (deformed bars) Grade 40</t>
  </si>
  <si>
    <t>Carriage of consignment job upto 5 KMs Average</t>
  </si>
  <si>
    <t>Placing boundary pillars in position, including digging pits.</t>
  </si>
  <si>
    <t>Preparing surface and painting with emulation paint 3 coat.</t>
  </si>
  <si>
    <t>Writing letter or firgures per letter per inch height (three figure each side).</t>
  </si>
  <si>
    <r>
      <t xml:space="preserve">Carriage of  100 Cf t. (2.83 cu.m) of  all  materials like stone aggregate, spawl, kankar lime (unslaked), surkhi , etc. or 150 Cf t. (4.25 cu.m) timber, by truck or by any othermeans owned by the contractor from Sakhi Sarwar Quarry to site </t>
    </r>
    <r>
      <rPr>
        <b/>
        <sz val="12"/>
        <rFont val="Arial"/>
        <family val="2"/>
      </rPr>
      <t>275 Km</t>
    </r>
    <r>
      <rPr>
        <sz val="12"/>
        <rFont val="Arial"/>
        <family val="2"/>
      </rPr>
      <t xml:space="preserve"> including first 11KM hilly area.</t>
    </r>
  </si>
  <si>
    <t>ii</t>
  </si>
  <si>
    <t>PCC 1:2:4</t>
  </si>
  <si>
    <t xml:space="preserve">Total Cost </t>
  </si>
  <si>
    <t>iv.    Culverts</t>
  </si>
  <si>
    <t>Excavation in foundation of building, bridges and other structures, including dagbelling, dressing, refilling around structure with excavated earth, watering and ramming lead up to one chain and lift upto 5 ft.
In ordinary soil (above 5 ft depth)</t>
  </si>
  <si>
    <t>Providing and fabrication of mild steel reinforcement for cement concrete, including cutting , bending, laying in position, making joints and fastening, including cost of binding wire and labour charges for binding of steel reinforcement(also includes removal of rust from bars).
Deformed Bars (Grade 60)</t>
  </si>
  <si>
    <r>
      <t xml:space="preserve">Providing and laying reinforced cement concrete (including prestressed concrete), using </t>
    </r>
    <r>
      <rPr>
        <b/>
        <sz val="12"/>
        <rFont val="Arial"/>
        <family val="2"/>
      </rPr>
      <t>Sulphate resisting cement</t>
    </r>
    <r>
      <rPr>
        <sz val="12"/>
        <rFont val="Arial"/>
        <family val="2"/>
      </rPr>
      <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r>
  </si>
  <si>
    <t>a)</t>
  </si>
  <si>
    <t>Reinforced cement concrete in roof slab, beams, columns lintels, girders and other structural members laid in situ or precast laid in position, or prestressed members cast in situ, complete in all respects.
Type B (nominal mix 1:1.5:3)</t>
  </si>
  <si>
    <t>b)</t>
  </si>
  <si>
    <t xml:space="preserve">Reinforcement cement concrete in slab of rafts/strip foundation, base slab of column and retaining walls, etc and other structural members not requiring form work(i.e horizontal shuttering) complete in all respect:
Type B (Nominal Mix 1:1.5:3 ) </t>
  </si>
  <si>
    <t>Bitumen coating to plastered or cement concrete surface.
14 lbs per 100 Sft (6.35 Kg. per Sq.m)</t>
  </si>
  <si>
    <t>Supply and erection PVC pipe for recessed wiring (main and sub-main) purpose, including bends, specials, etc. in floor, wall or trenches:- 80mm dia (3 inch)</t>
  </si>
  <si>
    <t>Providing and laying sub-base course of stone productof approved quality and grade, including placing, mixing, spreading and compaction of sub-base material torequired depth, camber, grade to achieve 100%
maximum modified AASHO dry density, including
carriage of all material to site of work except gravel and.
aggregate. Crushed stone aggregate.</t>
  </si>
  <si>
    <t xml:space="preserve">Providing and laying base course of crushed stone aggregate of approved quality and grade, and supply and spreading of stone screening, including placing, mixing,spreading and compaction of base course material to required depth, camber and grade to achieve 100% maximum modified AASHO dry density, including carriage of all materials to site of work except gravel and. aggregate. </t>
  </si>
  <si>
    <t>Providing and laying road edging of 3" (75 mm) wide and  9" (225 mm) deep brick on end, complete in all respects</t>
  </si>
  <si>
    <t>Providing surface treatment of roads,including supply of bitumen and bajri/crushed stone aggregate of approved quality,including cleaning of road surface,heating,spraying bitumen,spreading bajri and rollingetc.complete including carriageof all material stosite of work excep tbajjri/crushed stone aggregate for which  supply with in miles (5.0km) is included in the rate.</t>
  </si>
  <si>
    <t>a</t>
  </si>
  <si>
    <t>1st coat 35 lbs. bitumen, and 4 Cft. bajri of nominal size 1" (25 mm) per 100 sq. feet or 1.72 Kg bitumen and 0.017 cu.metre bajri per square metre..</t>
  </si>
  <si>
    <t>b</t>
  </si>
  <si>
    <t>2nd coat 18 lbs. bitumen, and 2 Cft. bajri of nominal size ½" (13 mm) per %sft or 1.23 Kg bitumen and 0.008 cu. metre bajri per sq.metre.</t>
  </si>
  <si>
    <t>c</t>
  </si>
  <si>
    <t>3rd coat 14 lbs. bitumen, and 1.5 Cft. bajri of nominal size ¼" (6 mm) per %sft or 0.69 Kg bitumen and 0.005 cubic metre bajjri per sq.metre.</t>
  </si>
  <si>
    <t>Dismantling and removing road pavement, etc.,including screening and stacking of byproducts upto one chain lead
(30 metre).</t>
  </si>
  <si>
    <t>Barrow pit excavation undressed lead up to 100 ft in ordinary soil.</t>
  </si>
  <si>
    <t>Rehandling of earthwork:Upto a lead of 50 ft. (15 m).</t>
  </si>
  <si>
    <t>i</t>
  </si>
  <si>
    <t>PCC 1:4:8</t>
  </si>
  <si>
    <t>RCC 1:1.5:3</t>
  </si>
  <si>
    <t>iii</t>
  </si>
  <si>
    <t>Base</t>
  </si>
  <si>
    <t>T.S.T</t>
  </si>
  <si>
    <t>Total Cost</t>
  </si>
  <si>
    <t>v.    Water Course</t>
  </si>
  <si>
    <t>Extra for slush or Daldal including dewatering.</t>
  </si>
  <si>
    <t>Nominal mix ratio 1:4:8</t>
  </si>
  <si>
    <t>Nominal mix ratio 1:2:4</t>
  </si>
  <si>
    <r>
      <t xml:space="preserve">Providing and laying reinforced cement concrete (including prestressed concrete), using </t>
    </r>
    <r>
      <rPr>
        <b/>
        <sz val="12"/>
        <rFont val="Arial"/>
        <family val="2"/>
      </rPr>
      <t>Sulphate resisting cement;</t>
    </r>
    <r>
      <rPr>
        <sz val="12"/>
        <rFont val="Arial"/>
        <family val="2"/>
      </rPr>
      <t xml:space="preserve">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r>
  </si>
  <si>
    <t>Pacca brick work other than buildings upto 10 feet height.
Cement sand mortar ratio 1:4</t>
  </si>
  <si>
    <t>Providing and embedding 10"(250mm) wide PVC water stopper in expansion joints of RCC structures (Retaining walls, water tanks, Slabs) complete in all respect. 10mm thick</t>
  </si>
  <si>
    <t>Providing and placing poly sulphide joint sealent 1" wide and 1" deep.</t>
  </si>
  <si>
    <t>RCC 1.1.5.3</t>
  </si>
  <si>
    <t>Total Cost:</t>
  </si>
  <si>
    <t>vi.    Stone Pitching</t>
  </si>
  <si>
    <t xml:space="preserve">Earthwork in excavation of drains in irrigation channels through excavater / draglines in all kind of soil and conditions </t>
  </si>
  <si>
    <t>Providing and laying stone pitching/filling, dry hand packed, as filling behind retaining walls or in pitching and aprons.</t>
  </si>
  <si>
    <t>Formation dressing and preparing subgrade, on slope</t>
  </si>
  <si>
    <t>Formation dressing and preparing subgrade, in bed.</t>
  </si>
  <si>
    <t>Providing and laying graded bajri 1/8" to 1/2" size on slope.</t>
  </si>
  <si>
    <t>Providing and laying graded bajri 1/2" to 2" size on slope.</t>
  </si>
  <si>
    <t>Providing and laying graded bajri 1/8" to 1/2" size on level.</t>
  </si>
  <si>
    <t>Providing and laying graded bajri 1/2" to 2" size on level.</t>
  </si>
  <si>
    <t>Providing and laying stone for top layer only, on slope.</t>
  </si>
  <si>
    <t>Providing and laying stone for top layer only, on Level</t>
  </si>
  <si>
    <t>Carriage of 100 Cft of all material like stone aggregate, spawl, kankar, lime (unsoaked) surkhi etc or 150 Cft of timber by truck or by any other means owned by the contractor, lead 275 Km.</t>
  </si>
  <si>
    <t>vii.    VRB Repair</t>
  </si>
  <si>
    <t>Cement concrete plain including placing, compacting, finishing and curing complete (including screening and washing of stone aggregate): 
Ratio  1:2:4</t>
  </si>
  <si>
    <t>Fabrication of mild steel reinforcement for cement concrete, including cutting, bending, laying in position, making joints and fastenings, including cost of binding wire and labour charges for binding of steel reinforcement (also includes removal of rust from bars):-
Deformed bars (Grade-60)</t>
  </si>
  <si>
    <t>Providing and laying reinforced cement concrete (including prestressed concrete), using Sulphate resisting cement;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t>
  </si>
  <si>
    <t>a) Reinforced cement concrete in roof slab, beams, columns lintels, girders and other structural members laid in situ or precast laid in position, or prestressed members cast in situ, complete in all respects.
Type B (nominal mix 1:1.5:3)</t>
  </si>
  <si>
    <t>Providing and fixing 4" dia P.V.C pipe.</t>
  </si>
  <si>
    <t>Borrowpit excavation undressed lead upto 100 ft (30 metre).  Ordinary soil</t>
  </si>
  <si>
    <t>Cement plaster 1:3 upto 20' (6.00 m) height 1/2" (13 mm) thick.</t>
  </si>
  <si>
    <t xml:space="preserve"> Providing and laying R.C.C. pipe sewers, moulded with cement concrete 4000 psi conforming to ASTM  Specification C-76-20, Class II. Wall B, including carriage  of pipe from factory to site of work, lowering in trenches to  correct alignment and grade, jointing with rubber ring,  cutting pipes where necessary, testing, etc., complete. 610 mm (24") i/d</t>
  </si>
  <si>
    <t>Dismantling cement concrete reinforced, separating reinforcement from concrete, cleaning and straightening the same.</t>
  </si>
  <si>
    <t>Credit old material</t>
  </si>
  <si>
    <t>viii.    Tube Well room</t>
  </si>
  <si>
    <t xml:space="preserve">Excavation in foundation of building, bridges, and other structures, including dag belling, dressing refilling around structure with excavated earth, watering and ramming lead upto one chain (30m)and lift upto 5' (1.5 m) (b) in ordinary soil.1)By Manual  </t>
  </si>
  <si>
    <t>Spraying termite proofing by using liquid FMC / Biflex/ Terminex Exin/Ms Hextaror equivalent@specified suspension concenterate (SC), MixingAbility-HEXTAR with Ratio (1:250)= 540 Sft or equivalent approved liquid applying with shower and certificate will be provided by the contractor for10-years complete in all respect.as approved by the Engineer Incharge.</t>
  </si>
  <si>
    <t>Providing and laying damp proof course of cement 1:2:4 (using cement, sand and shingle), including bitumen coating with one coat of bitumen and one coat polythenesheet 500 gauge 1½" thick (40 mm).</t>
  </si>
  <si>
    <t>Providing and laying vertical damp proof course with cement
sand plaster and bitumen coating with one coat of bitumen and one coat of polythene sheet 500 gauge-Ratio 1:3 a) ½ " thick (13 mm)</t>
  </si>
  <si>
    <t>Filling watering ramming earth under floors with surplus earth from foundation etc.</t>
  </si>
  <si>
    <t>Pacca brick work in ground floor.
Cement sand mortar Ratio 1:4.</t>
  </si>
  <si>
    <t>Reinforced cement concrete in roof slab, beams, columns lintels, girders and other structural members laid in situ or precast laid in position, or prestressed members cast in situ, complete in all respects.
Type B (nominal mix 1:2:4)</t>
  </si>
  <si>
    <t xml:space="preserve">Reinforcement cement concrete in slab of rafts/strip foundation, base slab of column and retaining walls, etc and other structural members not requiring form work(i.e horizontal shuttering) complete in all respect:
Type B (Nominal Mix 1:2:4) </t>
  </si>
  <si>
    <t xml:space="preserve">Providing and Fabrication of mild steel reinforcement for cement concrete, including cutting, bending, laying in position, 13 making joints and fastenings, including cost of binding wire and labour charges for binding of steel reinforcement (also includes removal of rust from bars):- Deformed bars (Grade-60). </t>
  </si>
  <si>
    <t>Providing and fixing windows consisting of M.S box section frame 2" x 1½" ( 50 x 40mm) Leaves frame 1½" x 1" (40 x 25 mm) box section frame for glazing 3/8" x 3/8" (10 x 10 mm) using 16 SWG sheet 'U' shaped rubber supported with 1" x 1/8" (25 x 3 mm) M.S. flat for fixing 3/16" (5 mm) thick glass panes M.S. box section 1/2" x 1/2" (13 x 13 mm) of 16 SWG for fixing 24 SWG wire gauge on outer side by means of 3/4" x 1/8" (20 x 3 mm) M.S. flat and screws including grill of M.S. flat 1/2" x 1/8" (13 x 3 mm) or 1/4" x 1/4" (6 x 6 mm) square bar with independent frame of 1/2" x 1/2" (13 x 13 mm) box section of 16 SWG i/c all C.P fitting and painting 3 coats complete in all respect.</t>
  </si>
  <si>
    <t>Providing and fixing mild steel chowkat of doors windows C. windows etc. including holdfast making and threading 18 holes for hinges etc. complete 1½" x 1½" x 1/4" (40 x 40 x 6 mm) welded with M.S. flat 2" x 1/4" (50 m M.S. angle iron).</t>
  </si>
  <si>
    <t>Making and fixing steel grated door with 1/16" thick sheeting, including angle iron frame 2" x 2" x 3/8"and 3/4" square bars 4" centre to centre. with locking arrangement (Two No.).</t>
  </si>
  <si>
    <t>Providing and laying single layer of tile 9" x 4½" x 1½" laid over 4" earth and 1" thick mud plaster without bhoosa, grouted with cement mud (1:3) on top of R.C.C. roof, slab, provided with 34 lbs. per % Sft. Or 1.72 Kg./Sq.m. bitumen coating sand blinded.</t>
  </si>
  <si>
    <t xml:space="preserve">Providing and laying polythene sheet under floor or roof complete 500 gauge. </t>
  </si>
  <si>
    <t>Supplying and filling sand under floor or plugging in wells.</t>
  </si>
  <si>
    <t>Providing and laying watering and ramming brick ballast 1½" to 2" (40 mm to 50 mm) mixed with 25% sand for floor foundation complete in all respect.</t>
  </si>
  <si>
    <t>Cement concrete plain including, placing, compacting, finishing and curing complete
(including screening and washing of stones aggregate)</t>
  </si>
  <si>
    <t>b) Nominal mix ratio 1:2:4</t>
  </si>
  <si>
    <t>Cement plaster 1:4 upto 20' (6.00 m) height 1/2" (13 mm) thick.</t>
  </si>
  <si>
    <t>Cement plaster 3/8" (10 mm thick under soffit of R.C.C. roof slabs only, upto 20' height
(Ratio 1:3).</t>
  </si>
  <si>
    <t>Cement pointing struck joints on wall upto 20' (6m) height
(a) Ratio 1:2 including extra cost of labour and material for red oxide pigment in cement pointing to match with the colour of bricks.</t>
  </si>
  <si>
    <t>Providing, laying, cutting, jointing, testing and disinfecting PVC/ uPVC pipe line with `B' Class working pressure complete in all respects:- 4" i/d (100 mm)</t>
  </si>
  <si>
    <t>Providing and installing P.V.C. bends, of B.S.S.b) 4" i/d (100 mm)</t>
  </si>
  <si>
    <t>Making top khurra on roof 2' x 2' x 6".</t>
  </si>
  <si>
    <t>Distempering:- 3 coat</t>
  </si>
  <si>
    <t>Providing and applying weather shield paint of approved quality on external surface of building including preparation of surface, application of primer complete in all respect:</t>
  </si>
  <si>
    <t>Preparing surface and painting of doors and windows any type (including edges):-</t>
  </si>
  <si>
    <t>Fabrication of heavy steel work, with angle, tees, flat iron round iron and sheet iron for making trusses, girders, tanks, etc., including cutting, drilling, revitting, handling, assembling and fixing, but excluding erection in position.</t>
  </si>
  <si>
    <t>Supply and erection of PVC pipe for wiring recessed in walls, including inspection boxes, pull boxes, hooks, cutting jharries and repairing surface, etc. complete with all specials.</t>
  </si>
  <si>
    <t>20mm (3/4") i/d.</t>
  </si>
  <si>
    <t>25 mm (1") i/d</t>
  </si>
  <si>
    <t>c)</t>
  </si>
  <si>
    <t>50 mm (2") i/d</t>
  </si>
  <si>
    <t>Supply and erection of single core PVC insulated copper conductor cables, in prepaid P.V.C. pile/M.S. conduit/G.I. pipe/wooden strip batten/wooden casing and caping/G.I. wire/trenches (rate for cables only)
(a) 250/440 volts, P.V.C. insulated.</t>
  </si>
  <si>
    <t>3/0.74mm (3/0.029").</t>
  </si>
  <si>
    <t>7/0.74mm (7/0.029").</t>
  </si>
  <si>
    <t>Supply and erection of copper conductor cable for service connection in prepaid pipe/G.I. wire/trenches, etc. (rate for cable only)
(a) PVC insulated, PVC sheathed, twin core, 250/440 volts 7/0.44" (7/1.12mm).</t>
  </si>
  <si>
    <t>Supply and connection of M.S. sheet box of 16 SWG, 10 cm (4") deep with 4.75 mm thick (3/16") bakelite sheet top, for recessed wiring, including making holes for regulators switches, plugs etc.</t>
  </si>
  <si>
    <t>10 x 10 cm (4" x 4").</t>
  </si>
  <si>
    <t>17.5 x 10 cm (7" x 4").</t>
  </si>
  <si>
    <t>22.5 x 10 cm (9" x 4").</t>
  </si>
  <si>
    <t>Supply and erection of switches 5 amp.
Piano Type.</t>
  </si>
  <si>
    <t>Supply and erection of ceiling rose, bakelite.</t>
  </si>
  <si>
    <t>Supply and erection  of wall socket with 3 pin 5 amp shoe.</t>
  </si>
  <si>
    <t>Supply and erection of 3 pin switch and plug combined recessed type 
(ii) 10/15 amp.</t>
  </si>
  <si>
    <t>P/F wall mounted DB (Distribution Board) made with 16SWG Sheet (Recessded/Surface mounted Type), Powder coated Paint, i/c the cost of Lock, Indication lights,Thimble, Copper Comb, Wiring, Netural &amp; Earth Bar, Door Earthing, Digital Voltmeter,Digital Ammeter,Volt Selector Switch,Ammeter selector switch,Current Transformers and Controles Complete in all respect as approved and directed by the Engineer Incharge (Breakers will be Paid Separately)(a) 6" deep
(i) 20~60A</t>
  </si>
  <si>
    <t>Suppling,Installation and comissioning of MCB (Miniature Circuit Breaker) of specified rating made of LEGRAND FRANCE/ GE U.S.A / SCHNEIDER GERMANY /SIEMEN GERMAN/TERASAKI JAPAN/ ABB SWITZERLAND in prelaid DBs and Panels i/c the cost of screwes,necessary wire complet Single Pole(iii) 6-63 Amp (10 KA)</t>
  </si>
  <si>
    <t>Supplying, Installation and commissioning of MCCB (Moulded  Case Circuit Breaker)of specified rating made of LEGRAND FRANCE /GEU.S.A/ SCHNEIDER GERMANY/ TERASAKI JAPAN/ SIEMEN/ ABBSWITZERLAND or approved equivalent manufacturer (withfixedThermal-MagneticTrip)in prelaid DB sand Panels i/c the cost of screws, necessary wire complete in all respect as approved and directed by the EngineerIncharge. a) Triple Pole
(ii) 15-100 Amp (10 KA,15KA)</t>
  </si>
  <si>
    <t>Supplying, Installation and commissioning of MCCB (Moulded  Case Circuit Breaker)of specified rating made of LEGRAND FRANCE /GEU.S.A/ SCHNEIDER GERMANY/ TERASAKI JAPAN/ SIEMEN/ ABBS WITZERLAND or approved equivalent manufacturer (withfixedThermal-MagneticTrip)in prelaid DB sand Panels i/c the cost of screws, necessary wire complete in all respect as approved and directed by the EngineerIncharge.  a) Triple Pole With Adjustable Thermal-Magnetic Trip /Electronic Trip (60-100%) (i) 25-100 Amp</t>
  </si>
  <si>
    <t>Supply and erection of tube light, including rod, choke, starter with frame, flexible wire, including connection from ceiling rose, etc., complete ii)single rod (40 watts) with one choke and one starter.</t>
  </si>
  <si>
    <t>Supply and erection of bakelite button holder shade, large size</t>
  </si>
  <si>
    <t>RCC 1.2.4</t>
  </si>
  <si>
    <t>iv</t>
  </si>
  <si>
    <t>DPC 1.2.4</t>
  </si>
  <si>
    <t>Total Cost Section -1 (2L Manthar Drain)</t>
  </si>
  <si>
    <t xml:space="preserve">2.      3-L Manthar Drain (RD 0+000 to 18+007) </t>
  </si>
  <si>
    <t>b) 750 ft</t>
  </si>
  <si>
    <t>d) 3000 ft</t>
  </si>
  <si>
    <t>e) 4500 ft</t>
  </si>
  <si>
    <t>f) 6750 ft</t>
  </si>
  <si>
    <t>iii.    RD Marks:</t>
  </si>
  <si>
    <t>iv.    Stone Pitching</t>
  </si>
  <si>
    <t>v.    VRB Repair</t>
  </si>
  <si>
    <t>vi.    Tube Well room</t>
  </si>
  <si>
    <t>Providing and laying vertical damp proof course with cement sand plaster and bitumen coating with one coat of bitumen and one coat of polythene sheet 500 gauge-Ratio 1:3 a) ½ " thick (13 mm)</t>
  </si>
  <si>
    <t>Pacca brick work in ground floor. Cement sand mortar Ratio 1:4.</t>
  </si>
  <si>
    <t>a) Reinforced cement concrete in roof slab, beams, columns lintels, girders and other structural members laid in situ or precast laid in position, or prestressed members cast in situ, complete in all respects.
Type B (nominal mix 1:2:4)</t>
  </si>
  <si>
    <t xml:space="preserve">b) Reinforcement cement concrete in slab of rafts/strip foundation, base slab of column and retaining walls, etc and other structural members not requiring form work(i.e horizontal shuttering) complete in all respect:
Type B (Nominal Mix 1:2:4) </t>
  </si>
  <si>
    <t>a) 20mm (3/4") i/d.</t>
  </si>
  <si>
    <t>b) 25 mm (1") i/d</t>
  </si>
  <si>
    <t>c) 50 mm (2") i/d</t>
  </si>
  <si>
    <t>Supply and erection of single core PVC insulated copper conductor cables, in prepaid P.V.C. pile/M.S. conduit/G.I. pipe/wooden strip batten/wooden casing and caping/G.I. wire/trenches (rate for cables only) (a) 250/440 volts, P.V.C. insulated.</t>
  </si>
  <si>
    <t>a) 3/0.74mm (3/0.029").</t>
  </si>
  <si>
    <t>b) 7/0.74mm (7/0.029").</t>
  </si>
  <si>
    <t>Supply and erection of copper conductor cable for service connection in prepaid pipe/G.I. wire/trenches, etc. (rate for cable only) (a) PVC insulated, PVC sheathed, twin core, 250/440 volts 7/0.44" (7/1.12mm).</t>
  </si>
  <si>
    <t>a) 10 x 10 cm (4" x 4").</t>
  </si>
  <si>
    <t>b) 17.5 x 10 cm (7" x 4").</t>
  </si>
  <si>
    <t>c) 22.5 x 10 cm (9" x 4").</t>
  </si>
  <si>
    <t>Supply and erection of 3 pin switch and plug combined recessed type (ii) 10/15 amp.</t>
  </si>
  <si>
    <t>Total Cost Section -2 (3L Manthar Drain)</t>
  </si>
  <si>
    <t xml:space="preserve">3.      4-L Manthar Drain (RD 0+000 to 17+700) </t>
  </si>
  <si>
    <t>c) 4500 ft</t>
  </si>
  <si>
    <t>d) 5500 ft</t>
  </si>
  <si>
    <t>Borrowpit excavation undressed lead upto 100 ft (30 metre) in a) ordinary soil with</t>
  </si>
  <si>
    <t>ii.    Data Board:</t>
  </si>
  <si>
    <t>Total Cost  for Section -3 (4L Manthar Drain)</t>
  </si>
  <si>
    <t xml:space="preserve">4.      Pattan Minara Drain (RD 0+000 to 23+000) </t>
  </si>
  <si>
    <t>a) Lead 500 feet</t>
  </si>
  <si>
    <t>b) Lead 1750 ft</t>
  </si>
  <si>
    <t>c) Lead 2750 ft</t>
  </si>
  <si>
    <t>Making boundary or service roads, including dag-belling, leveling and dressing:ii) in ploughed land: a) from 10.0 ft. to 20.0 ft. (3 to 6 m) wide</t>
  </si>
  <si>
    <t>Dismantling stone or spawl pitching and apron in silted condition.</t>
  </si>
  <si>
    <t>Supply and dumping at site, without boat, including handling of materials within three chains (90 m)</t>
  </si>
  <si>
    <t xml:space="preserve">b) Reinforcement cement concrete in slab of rafts/strip foundation, base slab of column and retaining walls, etc and other structural members not requiring form work(i.e horizontal shuttering) complete in all respect:
Type B (Nominal Mix 1:1.5:3 ) </t>
  </si>
  <si>
    <t>vi.    VRB Repair</t>
  </si>
  <si>
    <t>Cement concrete plain including placing, compacting, finishing and curing complete (including screening and washing of stone aggregate): Ratio  1:2:4</t>
  </si>
  <si>
    <t>Fabrication of mild steel reinforcement for cement concrete, including cutting, bending, laying in position, making joints and fastenings, including cost of binding wire and labour charges for binding of steel reinforcement (also includes removal of rust from bars): Deformed bars (Grade-60)</t>
  </si>
  <si>
    <t>a) Reinforced cement concrete in roof slab, beams, columns lintels, girders and other structural members laid in situ or precast laid in position, or prestressed members cast in situ, complete in all respects. Type B (nominal mix 1:1.5:3)</t>
  </si>
  <si>
    <t>vii.    Tube Well room</t>
  </si>
  <si>
    <t>Cement plaster 3/8" (10 mm thick under soffit of R.C.C. roof slabs only, upto 20' height (Ratio 1:3).</t>
  </si>
  <si>
    <t>P/F wall mounted DB (Distribution Board) made with 16SWG Sheet (Recessded/Surface mounted Type), Powder coated Paint, i/c the cost of Lock, Indication lights,Thimble, Copper Comb, Wiring, Netural &amp; Earth Bar, Door Earthing, Digital Voltmeter,Digital Ammeter,Volt Selector Switch,Ammeter selector switch,Current Transformers and Controles Complete in all respect as approved and directed by the Engineer Incharge (Breakers will be Paid Separately)(a) 6" deep (i) 20~60A</t>
  </si>
  <si>
    <t>Total Cost for Section -4 (Pattan Minara Drain)</t>
  </si>
  <si>
    <t xml:space="preserve">5.      Manthar Drain (RD 0+000 to 140+000) </t>
  </si>
  <si>
    <t>Transportation of earth all types when the total distance, including the lead covered in the item of work.</t>
  </si>
  <si>
    <t>Lead 500 ft</t>
  </si>
  <si>
    <t>Lead 1000 ft</t>
  </si>
  <si>
    <t>Supply and erection PVC pipe for recessed wiring (main and
sub-main) purpose, including bends, specials, etc. in floor,
wall or trenches:- 80mm dia (3 inch)</t>
  </si>
  <si>
    <t>Providing and laying R.C.C. pipe sewers, moulded with cement concrete 4000 psi conforming to Specification C-76-20, Class II. Wall B, including carriage of pipe from factory to site of work, lowering in trenches to
correct alignment and grade, jointing with rubber ring,cutting pipes where necessary, testing, etc., complete. 24 inch internal dia</t>
  </si>
  <si>
    <t>Excavation in foundation of building, bridges and other structures, including dagbelling, dressing, refilling around structure with excavated earth, watering and rammiing lead upto one chain (30 m) and lift upto 5 ft. (1.5 m). in ordinary soil Wing walls.</t>
  </si>
  <si>
    <t xml:space="preserve">b) Reinforcement cement concrete in slab of rafts/strip foundation, base slab of column and retaining walls, etc and other structural members not requiring form work(i.e horizontal shuttering) complete in all respect: Type B (Nominal Mix 1:1.5:3 ) </t>
  </si>
  <si>
    <t>Providing and fixing Neoprene  bearing pad with laminated steel plate top and bottom.
Size (14" x 9" x 1.75")</t>
  </si>
  <si>
    <t>Cu. Inch</t>
  </si>
  <si>
    <t>Providing and laying sub base course.</t>
  </si>
  <si>
    <t>Providing and laying  base course.</t>
  </si>
  <si>
    <t>Providing surface treatment to roads, including supply of bitumen and bujri /crushed stone aggregate of approved quality, including cleaning of road surface, heating and spraying bitumen, spreading bajri and rolling with road roller (including its operation cost, fuel and hire charges, etc.) etc. complete including carriage of all materials to site of work except bajjri/crushed stone aggregate.</t>
  </si>
  <si>
    <t>Total cost:</t>
  </si>
  <si>
    <t>vi.    Pump House No: 3 (Manthar Drain at 0+000 RD)</t>
  </si>
  <si>
    <t>Providing and fabrication of mild steel reinforcement for cement concrete, including cutting , bending, laying in position, making joints and fastening, including cost of binding wire and labour charges for binding of steel reinforcement (also includes removal of rust from bars).Deformed Bars (Grade 60)</t>
  </si>
  <si>
    <t>Single layer of tiles 9"x4½"x1½" (225x113x40 mm) laid over 4"(100 mm) earth and 1" (25 mm) mud plaster without Bhoosa, grouted with cement sand 1:3 on top of RCC roof slab, provided with 34 lbs. per %Sft. or 1.72 Kg/Sq.m bitumen coating sand blinded.</t>
  </si>
  <si>
    <t>Providing and fixing windows consisting of M.S. box section frame 2"x1½", (50x40mm) leaves frame 1½"x1" (40x25mm) box section frame for glazing 3/8"x3/8" (10x10mm) using 16 SWG sheet 'U' shaped rubber supported with 1"x1/8" (25x3mm) M.S. flat for fixing 3/16" (5 mm) thick glass panes M.S. box section ½"x½" (13x13mm) of 16 SWG for fixing 24 SWG wire gauze on outer side by means of ¾"x1/8" (20x3mm) M.S. flat and
screws including grill of M.S. flat ½"x1/8" (13x3mm) or ¼"x¼" (6x6mm) square bar with independent frame of ½"x½" (13x13mm) box section of 16 SWG i/c all C.P. fitting and painting 3 coats complete in all respect.</t>
  </si>
  <si>
    <t>Making and fixing steel grated door with 1/16" thick 1.5mm) sheeting, including angle iron frame 2"x2"x3/8" (50x50x10 mm) and ¾" (20 mm) square bars 4" (100 mm)</t>
  </si>
  <si>
    <t>Distempering:- 2 coats</t>
  </si>
  <si>
    <t>Providing and fixing 1¼x1¼"x3/16" (31x31x5 mm) angle" iron step, in manhole chambers, including carriage and setting the same in work to correct lines and levels.</t>
  </si>
  <si>
    <t>Providing and fixing trash rack as per drawing</t>
  </si>
  <si>
    <t>Providing and layingTuff Pavers, having 7000PSI ,crushing strength of approved manufa cturer, over2"to3" sand cushion i/c grouting withsand in joints i/c finishing to require slope . complete in all respect. (50% Grey / 50% Coloured) 60-mm thick</t>
  </si>
  <si>
    <t>Providing &amp; laying graded bajri  ½" to 2" gauge on level (including carriage).</t>
  </si>
  <si>
    <t>1½"(40 mm) thick mosaic flooring, consisting of ½ " mosaic topping of one part of cement and marble
powder in the ratio of 3:1 and two parts of marble chips,
laid over 1"(25 mm) thick floor of 1:2:4 cement concrete,
including rubbing and polishing complete with finishing :-using grey cement</t>
  </si>
  <si>
    <t>Mosaic dado or skirting with one part of cement and marble powder in the ratio of 3:1 and two parts of marble chips, laid over ½"(13 mm) thick cement plaster 1:3, including rubbing and polishing, complete with finishing:(a) using grey cement:
i) 1/2"(13 mm) thick</t>
  </si>
  <si>
    <t>Providing and fixing marble strip of any shade for dividing
the mosaic flooring into panels(a)
Size 1½" x 3/8" (40 x 10 mm)</t>
  </si>
  <si>
    <t>Supply and erection of switches 5 amp. Piano Type.</t>
  </si>
  <si>
    <t>Supply and erection of backlite button holder shade, large size.</t>
  </si>
  <si>
    <r>
      <t>Suppling,Installation and comissioning of MCB (Miniature Circuit Breaker) of specified rating made of LEGRAND FRANCE/ GE U.S.A / SCHNEIDER GERMANY /SIEMEN GERMAN/TERASAKI JAPAN/ ABB SWITZERLAND in prelaid DBs and Panels i/c the cost of screwes,necessary wire completb)</t>
    </r>
    <r>
      <rPr>
        <b/>
        <sz val="12"/>
        <rFont val="Arial"/>
        <family val="2"/>
      </rPr>
      <t xml:space="preserve"> Double Pole(iii) 6-63 Amp (10 KA)</t>
    </r>
  </si>
  <si>
    <r>
      <t>Suppling,Installation and comissioning of MCB (Miniature Circuit Breaker) of specified rating made of LEGRAND FRANCE/ GE U.S.A / SCHNEIDER GERMANY /SIEMEN GERMAN/TERASAKI JAPAN/ ABB SWITZERLAND in prelaid DBs and Panels i/c the cost of screwes,necessary wire complet</t>
    </r>
    <r>
      <rPr>
        <b/>
        <sz val="12"/>
        <rFont val="Arial"/>
        <family val="2"/>
      </rPr>
      <t xml:space="preserve"> Single Pole(iii) 6-63 Amp (10 KA)</t>
    </r>
  </si>
  <si>
    <t>Providing and fixing Pakistan Energy Label NEECA approved Copper winded wall bracket Fan i/c the cost of necessary cable and hardware for connection as approved and directed by Engineer Incharge.ii) 24" Sweep dia</t>
  </si>
  <si>
    <t>Stone Pitching Work</t>
  </si>
  <si>
    <t>Providing and laying stone pitching/filling, dry hand packed, as filling behind retaining walls or in pitching and aprons as per drawing. (excuding carriage)</t>
  </si>
  <si>
    <t>Providing &amp; laying graded bajri ⅛" to ½"gauge on slope (including carriage).</t>
  </si>
  <si>
    <t>Providing &amp; laying graded bajri  ½" to 2" gauge on slope (including carriage).</t>
  </si>
  <si>
    <t>Providing &amp; laying graded bajri ⅛" to ½"gauge on level (including carriage).</t>
  </si>
  <si>
    <t>Providing and laying stone pitching for top layer only on slope (excuding carriage)</t>
  </si>
  <si>
    <t>Providing and laying stone pitching for top layer only on level (excuding carriage)</t>
  </si>
  <si>
    <t>Carriage of 100 Cft of all material like stone aggregate, spawl, kankar, lime (unsoaked) surkhi etc by truck or by any other means owned by the contractor, lead 275Km.(From Sakhi Sarwar)</t>
  </si>
  <si>
    <t>a) Reinforced cement concrete in roof slab, beams, columns lintels, girders and other structural members laid in situ or precast laid in position, or prestressed members cast in situ, complete in all respects.Type B (nominal mix 1:2:4)</t>
  </si>
  <si>
    <t xml:space="preserve">b) Reinforcement cement concrete in slab of rafts/strip foundation, base slab of column and retaining walls, etc and other structural members not requiring form work(i.e horizontal shuttering) complete in all respect: Type B (Nominal Mix 1:2:4) </t>
  </si>
  <si>
    <t>Total Cost for Section-5 (Manthar Drain )</t>
  </si>
  <si>
    <t xml:space="preserve">6.      Khanpur Drain (RD 0+000 to 84+000) </t>
  </si>
  <si>
    <t>c) 1000 ft</t>
  </si>
  <si>
    <t>d) 1250 ft</t>
  </si>
  <si>
    <t>e) 1500 ft</t>
  </si>
  <si>
    <t>f) 2500 ft</t>
  </si>
  <si>
    <t>g) 3750 ft</t>
  </si>
  <si>
    <t>Total Cost :</t>
  </si>
  <si>
    <t>iv.    VRB Repair</t>
  </si>
  <si>
    <t>Total Cost of Section -6 (Khanpur Drain)</t>
  </si>
  <si>
    <t xml:space="preserve">7.      D-1 Drain (RD 0+000 to 38+250) </t>
  </si>
  <si>
    <t>b) Lead 500 feet</t>
  </si>
  <si>
    <t>Providing and erection at site of  work:- iii) R.C.C. boundary pillar. (Complete in all respect including transportation, Cement concrete foundation, fixing, painting and lettering etc)</t>
  </si>
  <si>
    <t>iv.    Water Course</t>
  </si>
  <si>
    <t>v.    Culverts</t>
  </si>
  <si>
    <t>Providing and laying base course of crushed stone aggregate of approved quality and grade, and supply and spreading of stone screening, including placing, mixing,spreading and compaction of base course material to
required depth, camber and grade to achieve 100%
maximum modified AASHO dry density, including
carriage of all materials to site of work except gravel and.
aggregate.</t>
  </si>
  <si>
    <t>Providing and laying road edging of 3" (75 mm) wide and</t>
  </si>
  <si>
    <t>Providing surface treatment of roads,including supply of bitumen and bajri/crushed stone aggregate of approved quality,including cleaning of road surface,heating,spraying bitumen,spreading bajri and rollingetc.complete including carriageof all material stosite of work excep tbajjri/crushed stone aggregate for which  supplywithin 3miles(5.0km)isincluded in the rate.</t>
  </si>
  <si>
    <t>vii.    Pump House No: 4 (D-1 Drain at RD 0+100)</t>
  </si>
  <si>
    <t>Providing and fixing windows consisting of M.S. box section frame 2"x1½", (50x40mm) leaves frame 1½"x1" (40x25mm) box section frame for glazing 3/8"x3/8" (10x10mm) using 16 SWG sheet 'U' shaped rubber supported with 1"x1/8" (25x3mm) M.S. flat for fixing 3/16" (5 mm) thick glass panes M.S. box section ½"x½" (13x13mm) of 16 SWG for fixing 24 SWG wire gauze on outer side by means of ¾"x1/8" (20x3mm) M.S. flat and screws including grill of M.S. flat ½"x1/8" (13x3mm) or ¼"x¼" (6x6mm) square bar with independent frame of ½"x½" (13x13mm) box section of 16 SWG i/c all C.P. fitting and painting 3 coats complete in all respect.</t>
  </si>
  <si>
    <t>Providing/fixing stair railing consisting of M.S. Box section size 1-1/2"x3" of 16 SWG welded with M.S. flat 1"x1/8" continuously and welded over M.S. square bars 5/8"x5/8"punched in M.S. flat 2 ¾' high @ 5½" c/c fixed in steps of stair I/C painting 3 coats complete.</t>
  </si>
  <si>
    <t>Lining Portion</t>
  </si>
  <si>
    <t xml:space="preserve">Compaction of earth work with power Road Roller, i.c ploughing mixing, moistening earth to optimum moisture content in layer etc; complete 90 % maximum modified AASHO dry denisty </t>
  </si>
  <si>
    <t xml:space="preserve">Earthwork excavation in irrigation channels, drains, etc. to designed section, grades and profiles, excavated material disposed off undressed within 50 ft.  (15 m) lead:- ordinary Soil </t>
  </si>
  <si>
    <t>Cement plaster 1.5" (40 mm) thick ratio 1:6:-</t>
  </si>
  <si>
    <t>a) In bed</t>
  </si>
  <si>
    <t>b) On slope</t>
  </si>
  <si>
    <t xml:space="preserve">Cement  concrete  lining, using  washed  screened  and  graded stone  aggregate:-                                      </t>
  </si>
  <si>
    <t>a) In bed, ratio 1:2:4</t>
  </si>
  <si>
    <t>b) On slope, ratio 1:2:4</t>
  </si>
  <si>
    <t>Providing and placing cement, sand and bituminous joint sealant in ratio 1:2:3, 1/2" wide, 1" deep.</t>
  </si>
  <si>
    <t>Bitumen coating to plastered or cement concrete surface:- 10 lbs. per 100 Sft.</t>
  </si>
  <si>
    <t xml:space="preserve">viii.    Inlets </t>
  </si>
  <si>
    <r>
      <t>Excavation in foundation of building, bridges, and other structures, including dag belling, dressing refilling around structure with excavated earth, watering and ramming lead upto one chain (30m)and lift upto 5' (1.5 m) (b) in ordinary soil.</t>
    </r>
    <r>
      <rPr>
        <b/>
        <sz val="12"/>
        <rFont val="Arial"/>
        <family val="2"/>
      </rPr>
      <t>By Manual</t>
    </r>
  </si>
  <si>
    <t xml:space="preserve">Providing and Fabrication of mild steel reinforcement for cement concrete, including cutting, bending, laying in position, making joints and fastenings, including cost of binding wire and labour charges for binding of steel reinforcement (also includes removal of rust from bars):- Deformed bars (Grade-60). </t>
  </si>
  <si>
    <t xml:space="preserve">Providing and laying  dry, hand packed stone apron as per drawing </t>
  </si>
  <si>
    <t>Dry Hand Pack Stone</t>
  </si>
  <si>
    <t xml:space="preserve">Total Cost: </t>
  </si>
  <si>
    <t>ix.    Tube Well room</t>
  </si>
  <si>
    <t>Total Cost of Section-7 (D-1 Drain)</t>
  </si>
  <si>
    <t xml:space="preserve">8.      D-1 Sub Drain (RD 0+000 to 13+250) </t>
  </si>
  <si>
    <t xml:space="preserve">vii.    Inlets </t>
  </si>
  <si>
    <t>Total Cost  for Section-8 (D-1 Sub Drain)</t>
  </si>
  <si>
    <t xml:space="preserve">9.      D-2 Drain (RD 0+000 to 12+615) </t>
  </si>
  <si>
    <t>c) 3000 ft</t>
  </si>
  <si>
    <t>vii.    Pump House No: 5 (D-2 Drain at RD 0+100)</t>
  </si>
  <si>
    <t>Providing and fixing Pakistan Energy Label NEECA approved Copper winded wall bracket Fan i/c the cost of necessary cable and hardware for connection as approved and directed by Engineer Incharge.ii)
24" Sweep dia</t>
  </si>
  <si>
    <t>Total Cost for Section 9 (D-2 Drain)</t>
  </si>
  <si>
    <t xml:space="preserve">10.    D-3 Drain (RD 0+000 to 12+524) </t>
  </si>
  <si>
    <t>Earthwork excavation in irrigation channels, drains, etc. to designed section, grades and profiles, excavated material disposed off and dressed within 50 ft. (15 m) lead:- (In Banks)</t>
  </si>
  <si>
    <t>a) 1 mile</t>
  </si>
  <si>
    <t>vi.    Pump House No: 6 (D-3 Drain at RD 0+100)</t>
  </si>
  <si>
    <t>Total Cost for Section 10 (D-3 Drain)</t>
  </si>
  <si>
    <t xml:space="preserve">11.    1-L of D-1 Drain (RD 0+000 to 2+697) </t>
  </si>
  <si>
    <t>a) 1000 ft</t>
  </si>
  <si>
    <t xml:space="preserve">vi.    Inlets </t>
  </si>
  <si>
    <t>vii.    Stone Pitching</t>
  </si>
  <si>
    <t>a) Reinforced cement concrete in roof slab, beams, columns lintels, girders and other structural members laid in situ or precast laid in position, or prestressed members cast in situ, complete in all respects. Type B (nominal mix 1:2:4)</t>
  </si>
  <si>
    <t>Total Cost for Section -11  1L of D1 Drain)</t>
  </si>
  <si>
    <r>
      <t xml:space="preserve">Excavation in foundation of building, bridges, and other structures, including dag belling, dressing refilling around structure with excavated earth, watering and ramming lead upto one chain (30m)and lift upto 5' (1.5 m) (b) in ordinary soil. </t>
    </r>
    <r>
      <rPr>
        <b/>
        <sz val="12"/>
        <rFont val="Arial"/>
        <family val="2"/>
      </rPr>
      <t>By Manual</t>
    </r>
  </si>
  <si>
    <t>Spraying antitermite liquid mixed with water ratio 1:40</t>
  </si>
  <si>
    <t>Pacca brick work in ground floor.
Cement sand mortar Ratio 1:4</t>
  </si>
  <si>
    <r>
      <t xml:space="preserve">Providing and laying reinforced cement concrete (including prestressed concrete), using </t>
    </r>
    <r>
      <rPr>
        <b/>
        <sz val="12"/>
        <rFont val="Arial"/>
        <family val="2"/>
      </rPr>
      <t>Sulphate resisting cement</t>
    </r>
    <r>
      <rPr>
        <sz val="12"/>
        <rFont val="Arial"/>
        <family val="2"/>
      </rPr>
      <t>; coarse sand and screened graded and washed aggregate, in required shape and design, including forms, moulds, shuttering, lifting, compacting, curing, rendering and finishing exposed surface, complete 2) Plastering done under soffit of R.C.C. (but excluding the cost of steel reinforcement, its fabrication and placing in position etc.) - a) Reinforced cement concrete in roof slab, beams, columns lintels, girders and other structural members laid in situ or precast laid in position, or prestressed members cast in situ, complete in all respects.
Type C (nominal mix 1:2:4)</t>
    </r>
  </si>
  <si>
    <t>Providing and fixing 1½" (40 mm) thick solid flush door shutter sterling or equivalent with commercial ply (5mm thick) on both sides double pressed and deodar wood lapping 1½" x 3/8" (40 mm x 10 mm) around shutter  including chromium plated fitting, iron hinges with aluminum kick plate 22 SWG on both sides and finger  plate complete in all respect.</t>
  </si>
  <si>
    <t>Providing and fixing sliding; bolt to doors iron sliding bolt, 10" (250 mm) long.</t>
  </si>
  <si>
    <t xml:space="preserve">Painting new surface (c) preparing surface and painting of doors and windows any type (including edges) priming coat and 2 subsequent coats of paint. </t>
  </si>
  <si>
    <t>Providing and fitting glazed earthen ware water closet, squatter type (Orisa pattern) combined with foot rest white.</t>
  </si>
  <si>
    <t>Providing and fitting "P" trap
10 cm (4") glazed.</t>
  </si>
  <si>
    <t>Providing and Fixing chromium plated bib cock (ii)1.5 cm (1/2").</t>
  </si>
  <si>
    <t>Providing &amp; fitting plastic made low down flushing cistern 13.63 litre (3 gallons) capacity, including bracket set, copper connection, etc. complete (i) white.</t>
  </si>
  <si>
    <t>Providing and installing P.V.C. tees, of B.S.S.Class `B' working pressure:-b) 4" i/d (100 mm)</t>
  </si>
  <si>
    <t>Providing,laying,testing and commissioning of POLYPROPYLENE RANDOM COPOLYMER (PPRC water supply pipe ( Dadex/ Popular/ Beta or approved equivalent manufacturer, withs pecified pressure rating PN (PRESSURE NOMINAL) and conforming to DIN8077-8078 codei/ccost of solvent,specials,making jharries complete in all respect as approved and directed by Engineer Incharge.(Internal/ExternalDiametersmentioned).   a)
PN-16 pipe</t>
  </si>
  <si>
    <t xml:space="preserve">a) 20mm   </t>
  </si>
  <si>
    <t xml:space="preserve">b) 25mm   </t>
  </si>
  <si>
    <t>Providing and fixing looking glass (mirror) 22" x 16"  (55 x 40) cm, and 5 mm thick glass first quality.</t>
  </si>
  <si>
    <t>Providing and fixing stainless steel sink with drain board, size 120 x 60 cm (48 x 24") including bracket set, waste pipe and waste coupling.</t>
  </si>
  <si>
    <t>Providing and fitting.</t>
  </si>
  <si>
    <t>a) Plastic soap dish.</t>
  </si>
  <si>
    <t>b) Plastic towel rail.</t>
  </si>
  <si>
    <t>c) plastic shelf 60x13cm (24" x 5") with bracket and railing.</t>
  </si>
  <si>
    <t>Providing and fixing chromium plated tee stop cock 15 mm (1/2").</t>
  </si>
  <si>
    <t>Supply and erection of 3/8" (10mm) dia M.S. bar fan hook, placed at the time of casting of slab.</t>
  </si>
  <si>
    <t>Providing and fixing Pakistan Energy Label NEECA approved Copper winded Ceiling Fan i/c the cost of necessary cable and hardware for connection as approved and directed by Engineer Incharge. 56" Sweep</t>
  </si>
  <si>
    <t>Erecting of ceiling fan along with regulator (all sizes) including carriage local railway station/ store to site of work, electric wire/cable for suspension rod and board connection and cutting, threading on the rod where necessary.</t>
  </si>
  <si>
    <t>Provided and installed 1 HP electric water pump with 70 ft bore, and successfully installed 
a 200-gallon water tank including all accessories and plumbing connections.</t>
  </si>
  <si>
    <t>Total Cost for Section -12 (New Quarter for Tube well Operator)</t>
  </si>
  <si>
    <t>i.    Earth Work for Jarewala Drain  ( from RD 0+000 to 25+446)</t>
  </si>
  <si>
    <t>Providing and fixing Enamelled steel plate gauge 4" wide 1/4" thick (including painting and lettering) 10 ft length</t>
  </si>
  <si>
    <t>iv.    Road Barier:</t>
  </si>
  <si>
    <t xml:space="preserve"> Earthwork excavation undressed lead upto a single throw
 of Kassi, phaorah or shovel: In ordinary soil.</t>
  </si>
  <si>
    <t>Cement concrete plain including placing, compacting, finishing and  curing complete (including screening and washing of stone aggregate) Ratio 1: 2: 4</t>
  </si>
  <si>
    <t xml:space="preserve"> Providing, laying, cutting, jointing, testing and disinfecting G.I. pipeline in trenches, with socket joints, using G.I. pipes of B.S.S. 1387-1967 complete in all respects, with specials and valves. 
i) 4" i/d (100 mm) 3.65mm thick</t>
  </si>
  <si>
    <t xml:space="preserve"> Carriage of 100 Cft of all material like stone aggregate, spawl, kankar, lime (unsoaked) surkhi etc by truck or by any other means owned by the contractor, lead 300Km.(From Sakhi Sarwar)</t>
  </si>
  <si>
    <t>v.    Earth Work of New 1-L / Jarewala Drain ( from RD 0+000 to 16+500)</t>
  </si>
  <si>
    <t>Lead 500 Feet</t>
  </si>
  <si>
    <t>Lead 750 Feet</t>
  </si>
  <si>
    <t>Lead 1750 Feet</t>
  </si>
  <si>
    <t>Lead 500 feet</t>
  </si>
  <si>
    <t>vi.    Data Board:</t>
  </si>
  <si>
    <t>vii.    RD Marks:</t>
  </si>
  <si>
    <t>viii.    Remodelling of Existing 1-L / Jarewala Drain (Earth Work from RD 0+000 to 3+500)</t>
  </si>
  <si>
    <t>ix.    Data Board:</t>
  </si>
  <si>
    <t>x.     RD Marks:</t>
  </si>
  <si>
    <t>xi.     Construction of Link Channels of Jarewala Drain System</t>
  </si>
  <si>
    <t>Rehandling of earthwork lead upto 50ft         (35% of excess cutting)</t>
  </si>
  <si>
    <t>Lead 1000 Feet</t>
  </si>
  <si>
    <t>Lead 1500 Feet</t>
  </si>
  <si>
    <t>Lead 250 feet</t>
  </si>
  <si>
    <t>xii.    Data Board:</t>
  </si>
  <si>
    <t>xiii.     RD Marks:</t>
  </si>
  <si>
    <t>xiv.    Pump House No: 7 (1-L / Jarewala Drain at RD 3+750)</t>
  </si>
  <si>
    <t>Carriage of 100 Cft of all material like stone aggregate, spawl, kankar, lime (unsoaked) surkhi etc by truck or by any other means owned by the contractor, lead 300Km.(From Sakhi Sarwar)</t>
  </si>
  <si>
    <t>xv.    Construction of Bridge Cum Outlet at RD 0+000 New 1-L  Jarewala</t>
  </si>
  <si>
    <t>Dismantling brick work in lime or cement mortar</t>
  </si>
  <si>
    <t>Plain wood work for regulation karries or needles, etc. including sawing, planning, wroughting wood and providing
and fixing steel parts of karries i.e. end strip and rods, etc.
b) Shisham wood</t>
  </si>
  <si>
    <t>Credit to old material</t>
  </si>
  <si>
    <t>Brick batts</t>
  </si>
  <si>
    <t>xvi.    Construction of Canal Cum Canal Aquaduct Cum Bridge at Jarewala Main Drain</t>
  </si>
  <si>
    <t>Dismantling cement concrete reinforced, separating reinforcement from concrete,
cleaning and straightening the same.</t>
  </si>
  <si>
    <t>Steel</t>
  </si>
  <si>
    <t>xvii.    Construction of Bridge at New 1-L / Jjarwewala Drain at RD 4+000</t>
  </si>
  <si>
    <t>xviii.    Construction of Bridge at New 1-L / Jjarwewala Drain at RD 9+500</t>
  </si>
  <si>
    <t xml:space="preserve">Total Cost:  </t>
  </si>
  <si>
    <t>xix.    Culverts</t>
  </si>
  <si>
    <t>xx.    Tubewell Rooms</t>
  </si>
  <si>
    <t>Total Cost for Section -13   (Evaporation Ponds)</t>
  </si>
  <si>
    <t>For Construction Phase</t>
  </si>
  <si>
    <t>Surface water Monitoring</t>
  </si>
  <si>
    <t>Lump Sump</t>
  </si>
  <si>
    <t>Groundwater Monitoring</t>
  </si>
  <si>
    <t>Ambient Air Quality Monitoring</t>
  </si>
  <si>
    <t>For Operational Phase</t>
  </si>
  <si>
    <t>Drinking Water &amp; Groundwater Monitoring near  disposal Pit</t>
  </si>
  <si>
    <t>Drinking Water Monitoring</t>
  </si>
  <si>
    <t>Training</t>
  </si>
  <si>
    <t>Training Session</t>
  </si>
  <si>
    <t>Emergency Plan</t>
  </si>
  <si>
    <t>Environmental Audit Cost</t>
  </si>
  <si>
    <t>Site Visits by Regulatory Authorities</t>
  </si>
  <si>
    <t>Traffic Management Cost</t>
  </si>
  <si>
    <t>Sign Board</t>
  </si>
  <si>
    <t>Barricading Fence along Access Roads</t>
  </si>
  <si>
    <t>Temporary Speed Breakers</t>
  </si>
  <si>
    <t>d</t>
  </si>
  <si>
    <t>Controlling Dust Pollution</t>
  </si>
  <si>
    <t>e</t>
  </si>
  <si>
    <t>Relocation of amenities and localized widening of road and barrier</t>
  </si>
  <si>
    <t>Total  Cost</t>
  </si>
  <si>
    <t xml:space="preserve"> Providing and fixing barbed wire fencing, with 4 horizontal  and two cross wires, with R.C.C. 1:2:4 posts, 5.5'x6"x9"  (1.68mx150mmx225 mm) at 8 ft. (2.45 m) center to  center, reinforced with 4 No. 3/8" (10 mm) dia vertical bars  and 1/8" (3 mm) dia stirrups 12" (300 mm) center to  center, complete in all respects. 
 in cement concrete 1:4:8 base of size 12"x12"x21"</t>
  </si>
  <si>
    <t>Excavation in foundation of building, bridges, and other structures, including dag belling, dressing refilling around structure with excavated earth, watering and ramming lead upto one chain (30m)and lift upto 5' (1.5 m) (b) in ordinary soil.</t>
  </si>
  <si>
    <t>Cement concrete plain including, placing, compacting, finishing and curing complete (including screening and washing of stones aggregate) a) Nominal mix ratio 1:4:8</t>
  </si>
  <si>
    <t>Providing and laying damp proof course of cement 1:2:4 (using cement, sand and shingle), including bitumen coating with 2 coats of bitumen: 1½" thick (40 mm).</t>
  </si>
  <si>
    <t>Pacca brick work other than building upto 10ft. (3 m) Ratio 1:4</t>
  </si>
  <si>
    <t xml:space="preserve">Cement plaster 1:4 upto 20' (6.00 m) height 1/2" (13 mm) thick. </t>
  </si>
  <si>
    <t xml:space="preserve"> Providing and fixing collapsible gate made of 2"x2"x"¼" (50x50x6 mm) tee iron at top and bottom, channel iron  verticals ¾"x¼"x¼"x1/8" (20x6x6x3 mm) at 3" (75 mm) to  5" (125 mm) centre to centre (approximate) and flat iron  crosses 3"x3/16" (75x5 mm), and best quality rollers at  bottom of 3" (75 mm) diameter including holdfasts,  handles 12" (300 mm) long of ¾"x¼"x¼"x1/8" (20x6x6x3  mm) channel iron, locking arrangement inside and  outside, painting 3 coats of black Japan enameled,  complete in working order.</t>
  </si>
  <si>
    <t>Supply and erection PVC pipe for recessed wiring (main and
sub-main) purpose, including bends, specials, etc. in floor,
wall or trenches:- 50mm i/d</t>
  </si>
  <si>
    <t>Supply and erection of single core PVC insulated copper  conductor cables, in prelaid PVC pipe/M.S. conduit/G.I  pipe/wooden strip batten/wooden casing an capping/G.I.  wire/trenches (rate for cables only):7/0.74 mm (7/0.029")</t>
  </si>
  <si>
    <t>HT Spun Pole 45'</t>
  </si>
  <si>
    <t>HT S/STRUCTURE Pole 36'</t>
  </si>
  <si>
    <t>Earthing</t>
  </si>
  <si>
    <t>Steel -X-ARMS</t>
  </si>
  <si>
    <t>11-KV Disc: Insulator</t>
  </si>
  <si>
    <t>Eye Nut/Ahchore Shakle/D.End Clump</t>
  </si>
  <si>
    <t>11KV Pin Insulator with Pins</t>
  </si>
  <si>
    <t>D-Shakel + Spool Insulator</t>
  </si>
  <si>
    <t>DA Bolts</t>
  </si>
  <si>
    <t>Nuts &amp; Bolts 14"</t>
  </si>
  <si>
    <t>Nuts &amp; Bolts 12"</t>
  </si>
  <si>
    <t>Nuts &amp; Bolts 02"</t>
  </si>
  <si>
    <t>Stay Rod + stay strips Complete</t>
  </si>
  <si>
    <t>Stay Wire</t>
  </si>
  <si>
    <t>ACSR Rabbit Conductor</t>
  </si>
  <si>
    <t>Transformer 400-KVA</t>
  </si>
  <si>
    <t>Transformer 100-KVA</t>
  </si>
  <si>
    <t>Transformer 50-KVA</t>
  </si>
  <si>
    <t>Transformer 25-KVA</t>
  </si>
  <si>
    <t>Plate form D/Edge</t>
  </si>
  <si>
    <t xml:space="preserve">Nuts &amp; Bolts </t>
  </si>
  <si>
    <t>D-Fues Fitting Set</t>
  </si>
  <si>
    <t>Steel Crass arm for D fuse Mounting</t>
  </si>
  <si>
    <t>LT Capacitor</t>
  </si>
  <si>
    <t>LT Spun Pole 31'</t>
  </si>
  <si>
    <t>street light pole bracket 30 mm (1¼") G.I. pipe 2 metre long, complete with 2 No. pole clamp. (Ch-24) [Pump station + Tubewell Rooms)</t>
  </si>
  <si>
    <t>Supply and fitting of mercury vapour lamp, complete with choke set ii) 250 watt lamp (Ch 24)  [Pump station + Tubewell Rooms)</t>
  </si>
  <si>
    <t>PVC 4/C Cable 19.083 (70mm Armoured</t>
  </si>
  <si>
    <t>AMR METER HT/LT Type (bi-directional)</t>
  </si>
  <si>
    <t>ATB A-Type 100/5</t>
  </si>
  <si>
    <t xml:space="preserve">Earthing </t>
  </si>
  <si>
    <t>CTs 100/5 Amp</t>
  </si>
  <si>
    <t>(A) Cost of 11 KV Line material</t>
  </si>
  <si>
    <t>(B) Cost of  Sub Station material</t>
  </si>
  <si>
    <t>(c.) Cost of service and Metering material</t>
  </si>
  <si>
    <t>Earthing Pit &amp; Material will be provided by consumer</t>
  </si>
  <si>
    <t>Contractor Charges/ Foundation Charges 60000 x 700</t>
  </si>
  <si>
    <t>Feeder Rehablitation Charges / Security</t>
  </si>
  <si>
    <t>25 KVATRANSFORMER</t>
  </si>
  <si>
    <t>Ea</t>
  </si>
  <si>
    <t>S/STRUCTURE PLATEFORM</t>
  </si>
  <si>
    <t>HT PCC POLE</t>
  </si>
  <si>
    <t>D-Fuse Fitting</t>
  </si>
  <si>
    <t>ACSR RABBIT</t>
  </si>
  <si>
    <t>M</t>
  </si>
  <si>
    <t>AMR METER</t>
  </si>
  <si>
    <t>Pin Insulator with Pins</t>
  </si>
  <si>
    <t>11 KV Disc</t>
  </si>
  <si>
    <t>Stay Rods</t>
  </si>
  <si>
    <t>kg</t>
  </si>
  <si>
    <t>Earth Rods</t>
  </si>
  <si>
    <t>PVC 4/C 19/.052</t>
  </si>
  <si>
    <t>Nuts &amp; Bolts</t>
  </si>
  <si>
    <t>L/S</t>
  </si>
  <si>
    <t>20% Installation Charges</t>
  </si>
  <si>
    <t>Civil Work Charges (Contactor Charges)</t>
  </si>
  <si>
    <t>SECURITY</t>
  </si>
  <si>
    <t>Pin lnsulator with Pins</t>
  </si>
  <si>
    <t>200 KVA TRANSFORMER</t>
  </si>
  <si>
    <t>D/STRUCTURE PLATEFORM</t>
  </si>
  <si>
    <t>LT PCC POLE</t>
  </si>
  <si>
    <t>ATB  A TYPE</t>
  </si>
  <si>
    <t xml:space="preserve">CTS 100/5 </t>
  </si>
  <si>
    <t>PVC 4/C 19/.083</t>
  </si>
  <si>
    <t>630 KVA TRANSFORMER</t>
  </si>
  <si>
    <t>No</t>
  </si>
  <si>
    <t>Total:</t>
  </si>
  <si>
    <t>1.  Installation of Complete Electricity HT/LT Network Sub Stations for Tubewells and Pump Stations at D1 Main Drain System, Jarewala Drain System and Manthar Drain.</t>
  </si>
  <si>
    <t>1.1  Cost of 11 KV Line</t>
  </si>
  <si>
    <t xml:space="preserve">1.2  Cost of  Sub Station </t>
  </si>
  <si>
    <t xml:space="preserve">1.3  Cost of Metering </t>
  </si>
  <si>
    <t xml:space="preserve"> 1.4  Installation Charges 20%</t>
  </si>
  <si>
    <t>1.5  Earthing Charges</t>
  </si>
  <si>
    <t>1.6  Foundation / Contractor Charges</t>
  </si>
  <si>
    <t>1.7  Less Charges of Return to store (Healthy) Material</t>
  </si>
  <si>
    <t>2.  Installation of Complete Electricity HT/LT Network Sub Stations for Tubewells and Pump Stations at D2 Drain PS-5, D3 Drain PS-6, PS-3 and Manthar Drain</t>
  </si>
  <si>
    <t xml:space="preserve">2.1  NEAR SCARP T/WELL NO.M-29 IN RESPECT OF MEPCO DIVISION </t>
  </si>
  <si>
    <t xml:space="preserve">2.2  NEAR SCARP T/WELL NO.M-26 IN RESPECT OF MEPCO DIVISION </t>
  </si>
  <si>
    <t xml:space="preserve">2.3   NEAR SCARP T/WELL NO.M-128 IN RESPECT OF MEPCO DIVISION </t>
  </si>
  <si>
    <t xml:space="preserve">2.4   NEAR SCARP T/WELL NO.M-32 IN RESPECT OF MEPCO DIVISION </t>
  </si>
  <si>
    <t xml:space="preserve">2.5   NEAR SCARP T/WELL NO.M-26 IN RESPECT OF MEPCO DIVISION </t>
  </si>
  <si>
    <t xml:space="preserve">2.6   NEAR SCARP T/WELL NO.M-128 IN RESPECT OF MEPCO DIVISION </t>
  </si>
  <si>
    <t xml:space="preserve">2.7   NEAR SCARP T/WELL NO.M-19 IN RESPECT OF MEPCO DIVISION </t>
  </si>
  <si>
    <t xml:space="preserve">2.8   NEAR SCARP T/WELL NO.M-34 IN RESPECT OF MEPCO DIVISION </t>
  </si>
  <si>
    <t xml:space="preserve">2.9   NEAR SCARP PUMPING STATION-3 IN RESPECT OF MEPCO DIVISION </t>
  </si>
  <si>
    <t>3.  Security Fencing Barbed Wire at quarters and pumping stations</t>
  </si>
  <si>
    <t>Providing installation, testing, and commissioning of a vertical deep well turbine tubewell pump with discharge 2 cusec against 70 ft head, including bowl assembly, vertical column pipe with shaft, motor, pre-lubrication tank, foundation fixing and alignment, MCCB/control panel with all electrical connections, cables and accessories from transformer to tubewell including earthing and protection devices, complete suction and delivery piping up to 25 ft outlet basin of approved material (MS/CI) with bends, flanges, valves, gaskets, supports and accessories, carrying out all works for energizing, testing, and full-load commissioning; pump casing in Gray Cast Iron EN-GJL-250, impeller in Stainless Steel grade 1.4408, column pipe coated internally and externally with epoxy paint, materials verified per EN 10204-3.1, minimum 80% efficiency per ISO 9906-1B; motor of reputed manufacturer, vertical solid shaft, IE3 efficiency class, 15 kW (20 HP, 1450 rpm), 4-pole, 3-phase, 50 Hz, 380/400 V, manufacturer to have in-house hydraulic and metallurgical testing facility, complete in all respects suitable for tubewell application. [including transportation and all overhead charges]</t>
  </si>
  <si>
    <t xml:space="preserve">Rft </t>
  </si>
  <si>
    <t>Collection of lithological samples with sieve analysis at every 5 ft. interval or change of lithology whichever is earlier.</t>
  </si>
  <si>
    <t xml:space="preserve">No. </t>
  </si>
  <si>
    <t>Furnishing sample of water from bore hole.</t>
  </si>
  <si>
    <t>Per Set of 2 bottles</t>
  </si>
  <si>
    <t>Providing, installations testing and commissioning of 16” dia fiberglass blind  pump housing casing with 6mm wall thickness having quick lock mechanical key joints  complete in all respect as per specification and approved by the Engineer.</t>
  </si>
  <si>
    <t>Providing and installation of Fibre Glass reducer 16”x10” with wall thickness 5.5 mm. complete in all respect as per specification and approved by the Engineer.</t>
  </si>
  <si>
    <t xml:space="preserve">Nos </t>
  </si>
  <si>
    <t>Providing and installing Fiber glass Reinforced Polypropelene (FRP) bail plug of specified wall thickness having slot size of 0.9 mm to 1.10 mm in Tubewell bore hole i/c the cost of male / female coupling with Nylone Strip, studs complete in all respect as approved and directed by the Engineer Incharge.vi) 10"dia (6.35mm thickness)</t>
  </si>
  <si>
    <t>Providing and installation of centralizer complete in all respect as per specification and approved by the Engineer.</t>
  </si>
  <si>
    <t>No.</t>
  </si>
  <si>
    <t xml:space="preserve">Shrouding with graded pea  gravel 3/8" to 1/8" arround tubewell casing in the bore hole. </t>
  </si>
  <si>
    <t>Cft</t>
  </si>
  <si>
    <t>Testing and Development of tubewell of size 6"(150 mm ) and above continusly. 
ii) Above 1.5 cs Discharge</t>
  </si>
  <si>
    <t>Hours</t>
  </si>
  <si>
    <t>Supply and erection of copper conducter cables for service connection (rate for cable only), PVC insulated, PVC sheathed 4 core , 600/1100 volt non armoured cable. (7/0.064")</t>
  </si>
  <si>
    <t>Rehandling of earthwork lead upto a lead of 50 ft.</t>
  </si>
  <si>
    <t>Lft</t>
  </si>
  <si>
    <t xml:space="preserve">Total: </t>
  </si>
  <si>
    <t>Supply and erection of pole mounted street light, holders,
shade and glass, etc., for fitting 125/250 watts mercury vapour lamp (excluding cost of lamps): ii) Philips design (Ch 24)  [Pump station + Tubewell Rooms)</t>
  </si>
  <si>
    <t>14.    Installation of Pumps, Motors and Allied accessories (Mechanical Works for Jarewala Drain) PS-7</t>
  </si>
  <si>
    <t>Providing installation, testing and commissioning of vertical tubular casing pump with ever cleaning blades having discharge capacity of 40 cusec against 16-25 ft head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 Pump shall have min. 84% efficiency which should be verified according to ISO 9906-1B standard. Material of pump casing shall be Gray cast iron JL-1040 having propeller (ever cleaning blades) in Stainless Steel grade 1.4408. Pump and column pipe shall be coated internally and externally with epoxy paint. Material of pump shall be verified according to material test certificate EN 10204-3.1. Motor shall be of reputed manufacturer having min. IE3 efficiency class. Vertical solid shaft. Rating of motor to be 110 KW (150HP, 450 rpm)/8 pole, 3 phase, 50 Hz, 380/400 Volts. . Manufacturer shall have its own testing facility to verify pumps hydraulic performance testing. Manufacturer shall have its own material testing lab to verify metallurgical testing. [including transportation and all overhead charges]</t>
  </si>
  <si>
    <t>Providing installation, testing and commissioning of horizontal centrifugal pump having discharge capacity of 10 cusec against 30 ft - 35 ft head including pump, motor, bowl assembly, column set, pre-lubrication tank, foundation fixing and alignment, MCCB/control panel with all electrical cables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gaskets, supports and accessories, and carrying out all works necessary for energizing, testing and full-load commissioning of the complete pump set in all respects.. Pump shall have min. 81%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37 KW (50HP, 950 rpm)/6 pole, 3 phase, 50 Hz, 380/400 Volts. Manufacturer shall have its own testing facility to verify pumps hydraulic performance testing. Manufacturer shall have its own material testing lab to verify metallurgical testing.  [including transportation and all overhead charges]</t>
  </si>
  <si>
    <t xml:space="preserve">Providing, installation, testing and comissioning of  10 Ton and more capacity Gantry Craine, with girder bridge type arrangement, fitted with electric motor for its operation and mobility, electric wiring and fixing in position, complete in all rspect. </t>
  </si>
  <si>
    <t>15.    Installation of Pumps, Motors and Allied accessories (Mechanical Works for D1,D2,D3 Drain) PS-4,5,6</t>
  </si>
  <si>
    <t xml:space="preserve">Providing, installation, testing and comissioning of  5 Ton and more capacity Gantry Craine, with girder bridge type arrangement, fitted with electric motor for its operation and mobility, electric wiring and fixing in position, complete in all rspect. </t>
  </si>
  <si>
    <t>Installation of PUMPS AT D1 DRAIN (PS-4)</t>
  </si>
  <si>
    <t>INSTALLATION OF PUMPS AT D-2 DRAIN (PS-5)</t>
  </si>
  <si>
    <t xml:space="preserve">Providing, installation, testing and comissioning of  5 Ton capacity Gantry Craine, with girder bridge type arrangement, fitted with electric motor for its operation and mobility, electric wiring and fixing in position, complete in all rspect. </t>
  </si>
  <si>
    <t>INSTALLATION OF PUMPS AT D-3 DRAIN (PS-6)</t>
  </si>
  <si>
    <r>
      <t xml:space="preserve">Providing installation, testing, and commissioning of a 53.5 kW Solar PV system capable of running a horizontal centrifugal pump with discharge </t>
    </r>
    <r>
      <rPr>
        <b/>
        <sz val="10"/>
        <color theme="1"/>
        <rFont val="Arial"/>
        <family val="2"/>
      </rPr>
      <t>10 cusec against 30–35 ft</t>
    </r>
    <r>
      <rPr>
        <sz val="10"/>
        <color theme="1"/>
        <rFont val="Arial"/>
        <family val="2"/>
      </rPr>
      <t xml:space="preserve"> head, pump minimum 81% efficiency, including Tier-1 Bloomberg-certified mono /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(DC 1-core 6 mm, AC 4-core 6 mm, 25 mm PVC/XLPE), combiner boxes, AC &amp; DC breakers, SPDs (A+ grade), all distribution/protection boxes (12"×18"×18" SWG or equivalent), PVC pipes, flexible pipes (1–1.5"), thimbles (O-type, U-type with shrouds), Rawl bolts, nuts and bolts, complete earthing system, lightning arrestor, all civil works, foundations, supports, electrical connections for net metering with meter, transportation of all materials from warehouse to site, testing, commissioning, and manufacturer-provided maintenance/after-sales service for 2 years, complete in all respects as directed by the Engineer-in-Charge.</t>
    </r>
  </si>
  <si>
    <r>
      <t xml:space="preserve">Providing installation, testing, and commissioning of a 107 kW Solar PV system for a horizontal centrifugal pump with discharge </t>
    </r>
    <r>
      <rPr>
        <b/>
        <sz val="10"/>
        <color theme="1"/>
        <rFont val="Arial"/>
        <family val="2"/>
      </rPr>
      <t>20 cusec against 30 - 35 ft head</t>
    </r>
    <r>
      <rPr>
        <sz val="10"/>
        <color theme="1"/>
        <rFont val="Arial"/>
        <family val="2"/>
      </rPr>
      <t>, pump minimum 83% efficiency, including Tier-1 Bloomberg-certified mono/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(DC 1-core 6 mm, AC 4-core 6 mm, 25 mm PVC/XLPE),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all electrical connections for net metering with meter, transportation of all materials from warehouse to site, testing, commissioning, and manufacturer-provided maintenance/after-sales service for up to 2 years, complete in all respects as directed by the Engineer-in-Charge.</t>
    </r>
  </si>
  <si>
    <t>16.1   PS-4 of D1 main Drain</t>
  </si>
  <si>
    <t>16.2   PS-4 of D1 main Drain</t>
  </si>
  <si>
    <t>16.3   PS-5 of D2 Drain</t>
  </si>
  <si>
    <t>16.4   PS-6 of D3 Drain</t>
  </si>
  <si>
    <r>
      <t xml:space="preserve">Providing installation, testing and commissioning of horizontal centrifugal pump having discharge capacity of </t>
    </r>
    <r>
      <rPr>
        <b/>
        <sz val="10"/>
        <color theme="1"/>
        <rFont val="Arial"/>
        <family val="2"/>
      </rPr>
      <t>10 cusec against 30 ft - 35 ft head</t>
    </r>
    <r>
      <rPr>
        <sz val="10"/>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valves, flanges, gaskets, supports and accessories, and carrying out all works necessary for energizing, testing and full-load commissioning of the complete pump set in all respects.. Pump shall have min. 81%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t>
    </r>
    <r>
      <rPr>
        <b/>
        <sz val="10"/>
        <color theme="1"/>
        <rFont val="Arial"/>
        <family val="2"/>
      </rPr>
      <t>37 KW (50HP, 950 rpm)</t>
    </r>
    <r>
      <rPr>
        <sz val="10"/>
        <color theme="1"/>
        <rFont val="Arial"/>
        <family val="2"/>
      </rPr>
      <t>/6 pole, 3 phase, 50 Hz, 380/400 Volts. Manufacturer shall have its own testing facility to verify pumps hydraulic performance testing. Manufacturer shall have its own material testing lab to verify metallurgical testing. [including transportation and all overhead charges]</t>
    </r>
  </si>
  <si>
    <r>
      <t xml:space="preserve">Providing installation, testing and commissioning of horizontal centrifugal pump having discharge capacity of </t>
    </r>
    <r>
      <rPr>
        <b/>
        <sz val="10"/>
        <color theme="1"/>
        <rFont val="Arial"/>
        <family val="2"/>
      </rPr>
      <t>10 cusec against 30 ft - 35 ft head</t>
    </r>
    <r>
      <rPr>
        <sz val="10"/>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81%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t>
    </r>
    <r>
      <rPr>
        <b/>
        <sz val="10"/>
        <color theme="1"/>
        <rFont val="Arial"/>
        <family val="2"/>
      </rPr>
      <t>37 KW (50HP, 950 rpm))</t>
    </r>
    <r>
      <rPr>
        <sz val="10"/>
        <color theme="1"/>
        <rFont val="Arial"/>
        <family val="2"/>
      </rPr>
      <t>/6 pole, 3 phase, 50 Hz, 380/400 Volts. Manufacturer shall have its own testing facility to verify pumps hydraulic performance testing. Manufacturer shall have its own material testing lab to verify metallurgical testing. [including transportation and all overhead charges]</t>
    </r>
  </si>
  <si>
    <t>Excavation of trenches in all kinds of soil except cutting rock, for watersupply pipelines upto 5 ft. (1.5 m) depth from ground level, including trimming, dressing sides leveling the beds of trenches to correct grade and cutting pits for joints, etc. complete in all respects.</t>
  </si>
  <si>
    <t xml:space="preserve">Providing,laying,testing and commissioning μPVC (Unplasticized Poly vinyl Chloride Pressure pipe of nominal diameter, conforming to PS-3051/BS-3505, Dadex/ Popular/ Beta or approved equivalent manufacturer,i/c the cost of solvent and specials complete as approved and directed by the Engineer Incharge. a)Class-D  12 inch </t>
  </si>
  <si>
    <t xml:space="preserve">Providing,laying,testing and commissioning μPVC (Unplasticized Poly vinyl Chloride Pressure pipe of nominal diameter, conforming to PS-3051/BS-3505, Dadex/ Popular/ Beta or approved equivalent manufacturer,i/c the cost of solvent and specials complete as approved and directed by the Engineer Incharge. a)Class-D  3 inch </t>
  </si>
  <si>
    <r>
      <t xml:space="preserve">Providing installation, testing and commissioning of horizontal centrifugal pump having discharge capacity of </t>
    </r>
    <r>
      <rPr>
        <b/>
        <sz val="10"/>
        <color theme="1"/>
        <rFont val="Arial"/>
        <family val="2"/>
      </rPr>
      <t>10 cusec against 30 ft - 35 ft head</t>
    </r>
    <r>
      <rPr>
        <sz val="10"/>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(Fibre-Glass/Fibre cement/upvc as approved by E-in-C) with all bends, flanges, valves,  gaskets, supports and accessories, and carrying out all works necessary for energizing, testing and full-load commissioning of the complete pump set in all respects.. Pump shall have min. 81%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t>
    </r>
    <r>
      <rPr>
        <b/>
        <sz val="10"/>
        <color theme="1"/>
        <rFont val="Arial"/>
        <family val="2"/>
      </rPr>
      <t>37 KW (50HP, 950 rpm)</t>
    </r>
    <r>
      <rPr>
        <sz val="10"/>
        <color theme="1"/>
        <rFont val="Arial"/>
        <family val="2"/>
      </rPr>
      <t>/6 pole, 3 phase, 50 Hz, 380/400 Volts. Manufacturer shall have its own testing facility to verify pumps hydraulic performance testing. Manufacturer shall have its own material testing lab to verify metallurgical testing. [including transportation and all overhead charges]</t>
    </r>
  </si>
  <si>
    <r>
      <t>Providing installation, testing and commissioning of horizontal centrifugal pump having discharge capacity of</t>
    </r>
    <r>
      <rPr>
        <b/>
        <sz val="10"/>
        <color theme="1"/>
        <rFont val="Arial"/>
        <family val="2"/>
      </rPr>
      <t xml:space="preserve"> 20 cusec against 30 ft - 35 ft head</t>
    </r>
    <r>
      <rPr>
        <sz val="10"/>
        <color theme="1"/>
        <rFont val="Arial"/>
        <family val="2"/>
      </rPr>
      <t xml:space="preserve">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(40 -- 50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83%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t>
    </r>
    <r>
      <rPr>
        <b/>
        <sz val="10"/>
        <color theme="1"/>
        <rFont val="Arial"/>
        <family val="2"/>
      </rPr>
      <t>75 KW (100HP, 950 rpm)</t>
    </r>
    <r>
      <rPr>
        <sz val="10"/>
        <color theme="1"/>
        <rFont val="Arial"/>
        <family val="2"/>
      </rPr>
      <t>/8 pole, 3 phase, 50 Hz, 380/400 Volts. Manufacturer shall have its own testing facility to verify pumps hydraulic performance testing. Manufacturer shall have its own material testing lab to verify metallurgical testing. [including transportation and all overhead charges]</t>
    </r>
  </si>
  <si>
    <t>17.1    Solarization of New Tubewells</t>
  </si>
  <si>
    <t>Providing installation, testing, and commissioning of a 22.5 kW Solar PV system capable of running a horizontal centrifugal pump with discharge 2 cusec against 70 ft head, pump minimum 81% efficiency, including Tier-1 Bloomberg-certified mono /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with XLPE/PVC insulated tin-coated copper wires,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all electrical connections for net metering with meter, transportation of all materials from warehouse to site, testing, commissioning, and manufacturer-provided maintenance/after-sales service for up to 2 years, complete in all respects as directed by the Engineer-in-Charge.</t>
  </si>
  <si>
    <t>17.2    Solarization of Existing Tubewells</t>
  </si>
  <si>
    <t>Providing installation, testing and commissioning of horizontal centrifugal pump having discharge capacity of 10 cusec against 40 ft - 45 ft head including pump, motor, bowl assembly, column set, pre-lubrication tank, foundation fixing and alignment, MCCB/control panel with all electrical cables, accessories and connections from transformer to pump including earthing and protection devices, complete suction piping inside the chamber (SS/MS/CI) and delivery piping up to the outlet basin (40–50 ft) of approved material (Fibre reinforced cement/upvc of suitable internal diameter size as approved by E-in-C) with all bends, flanges, valves, gaskets, supports and accessories, and carrying out all works necessary for energizing, testing and full-load commissioning of the complete pump set in all respects.. Pump shall have min. 82% efficiency which should be verified according to ISO 9906-1B standard. Material of pump casing shall be Gray cast iron EN-GJL-250 having impeller in Stainless Steel grade 1.4408. Pump shall be coated internally with epoxy paint. Material of pump shall be verified according to material test certificate EN 10204-3.1. Motor shall be of reputed manufacturer having min. IE3 efficiency class. Rating of motor to be 45 KW (60HP, 950 rpm)/6 pole, 3 phase, 50 Hz, 380/400 Volts. Manufacturer shall have its own testing facility to verify pumps hydraulic performance testing. Manufacturer shall have its own material testing lab to verify metallurgical testing. [including transportation and all overhead charges]</t>
  </si>
  <si>
    <t>Job</t>
  </si>
  <si>
    <t xml:space="preserve">GNSS (Topographical) Surveying instrument with Base, Rover, Controller complete in all respect </t>
  </si>
  <si>
    <t>Providing and supplying a complete aerial topographic survey package consisting of a professional RTK-enabled survey drone, high-resolution photogrammetry camera, licensed processing software, additional 8 batteries with charging hub, Ground Control Point (GCP) sets/markers, High graded RTK base station kit with tripod and pole, and 5 TB rugged NVMe SSD storage, complete in all respects (Equivalent: DJI Matrice 350 RTK Drone, Zenmuse P1c etc)</t>
  </si>
  <si>
    <t>Providing and supplying a Total Station with angle accuracy ≤5″, EDM reflectorless range ≥500 m, prism range ≥1500 m, distance accuracy ±(2 mm + 2 ppm), 30× telescope, dual-axis compensator, rechargeable batteries with charger, prism set with pole, tripod, data storage/USB/Bluetooth interface, carrying case, calibration certificate, and all accessories complete.</t>
  </si>
  <si>
    <t>Providing and supplying an automatic self-leveling Auto-Level with minimum 32× magnification, ±2 mm/km accuracy, dual-axis compensator, tripod, 2.5 m leveling staff, carrying case, calibration certificate, and all accessories complete.</t>
  </si>
  <si>
    <t>Providing and supplying a high-performance workstation laptop with Intel Core i9-14900HX / AMD Ryzen 9 7940HX or higher, 64GB DDR5 RAM, 2TB NVMe Gen-5 M.2 SSD, dedicated NVIDIA RTX 4080 (12GB) or higher GPU, Windows 11 Pro, full-size keyboard with numeric pad, complete with premium laptop bag, wireless headphones (Sennheiser/Beats/Sony/Anker or equivalent), USB 3.2 Gen-2 (10Gbps) flash drive, and Logitech MX Master 3S wireless mouse or equivalent, complete in all respects.</t>
  </si>
  <si>
    <r>
      <t>Providing installation, testing, and commissioning of a 64 kW Solar PV system capable of operating a horizontal centrifugal pump with</t>
    </r>
    <r>
      <rPr>
        <b/>
        <sz val="11"/>
        <color theme="1"/>
        <rFont val="Arial"/>
        <family val="2"/>
      </rPr>
      <t xml:space="preserve"> discharge 10 cusec against 40 - 45 ft head,</t>
    </r>
    <r>
      <rPr>
        <sz val="11"/>
        <color theme="1"/>
        <rFont val="Arial"/>
        <family val="2"/>
      </rPr>
      <t xml:space="preserve"> pump minimum 82% efficiency verified as per ISO 9906-1B standard, including Tier-1 Bloomberg-certified mono/ bi-facial N-type solar panels (JINKO / LONGI / JA / Canadian / AKCome / TW / Trina, 700+ W/panel, 23.5% efficiency), solar pump inverter INVT suitably rated for system capacity, mounted on 12 ft high L2/L3/L4 galvanized steel structure (14 gauge) with complete mechanical and civil works, DC and AC cabling using XLPE/PVC insulated tin-coated copper wires, combiner boxes, AC &amp; DC breakers, SPDs (A+ grade), all distribution/protection boxes (12"×18"×18" SWG or equivalent), PVC pipes, flexible pipes (1–1.5"), thimbles (O-type, U-type with shrouds), Rawl bolts, nuts and bolts, complete earthing system, lightning arrestor, all civil works, foundations, and supports, electrical connections for net metering with meter, transportation of all materials from warehouse to site, testing, commissioning, and manufacturer-provided maintenance/after-sales service for 2 years, complete in all respects as directed by the Engineer-in-Charge.</t>
    </r>
  </si>
  <si>
    <t>18.    Construction of New Quarter for Tube well Operator</t>
  </si>
  <si>
    <t>19.    Eastward Extension of Evaporation Ponds</t>
  </si>
  <si>
    <t>12.    Electrical Work (All New drainage system incuding Jarewala Drain)</t>
  </si>
  <si>
    <t xml:space="preserve">Direct Rotary / Reverse Rotary drilling of bore for tubewell in all type of soil  except shingle gravel and rock.                                                                                            i). 15 " To 18" ( 500 to 650 mm) </t>
  </si>
  <si>
    <t>Providing and installing Fiberglass Reinforced Polypropelene (FRP) strainer of specifid wall thickness having slot size of 0.9 mm to 1.10 mm in Tubewell borehole i/c the cost of male/female coupling with Nylone Strip,studs complete in all respect as approved and directed by the Engineer Incharge vi) 10" inch dia (6.35 mm thickness</t>
  </si>
  <si>
    <t xml:space="preserve">Proving and installation of fiberglass Blank blind casing pipe dia 10” with 5.5” wall thickness. complete in all respect as per specification and approved by the Engineer.
</t>
  </si>
  <si>
    <r>
      <t xml:space="preserve">Carriage of  100 Cf t. (2.83 cu.m) of  all  materials like stone aggregate, spawl, kankar lime (unslaked), surkhi , etc. or 150 Cf t. (4.25 cu.m) timber, by truck or by any othermeans owned by the contractor from Sakhi Sarwar </t>
    </r>
    <r>
      <rPr>
        <b/>
        <sz val="12"/>
        <rFont val="Arial"/>
        <family val="2"/>
      </rPr>
      <t xml:space="preserve">Quarry to site 275 Km including first 11KM hilly area. </t>
    </r>
  </si>
  <si>
    <t xml:space="preserve">Cement concrete plain including, placing, compacting, finishing and curing complete (including screening and washing of stones aggregate) </t>
  </si>
  <si>
    <t>m</t>
  </si>
  <si>
    <t>16.    Solarization of Pumps on proposed Pump Houses</t>
  </si>
  <si>
    <t>17.    Solarization of Tubewells 2 cusec 70 feet head</t>
  </si>
  <si>
    <t>20.    Installation of Pumps, Motors and Allied accessories (Mechanical Works for Jarewala Drain) PS-7</t>
  </si>
  <si>
    <t>13.    Installation of Tubewells (Mechanical)</t>
  </si>
  <si>
    <t>Reinforced cement concrete in roof slab, beams, columns lintels, girders and other structural members laid in situ or precast laid in position, or prestressed members cast in situ, complete in all respects.Type B (nominal mix 1:1.5:3)</t>
  </si>
  <si>
    <t xml:space="preserve">Reinforcement cement concrete in slab of rafts/strip foundation, base slab of column and retaining walls, etc and other structural members not requiring form work(i.e horizontal shuttering) complete in all respect: Type B (Nominal Mix 1:1.5:3) </t>
  </si>
  <si>
    <t>Fabrication of mild steel reinforcement for cement concrete, including cutting, bending, laying in position, making joints and fastenings, including cost of binding wire and labour charges for binding of steel reinforcement (also includes removal of rust from bars):- Deformed bars (Grade-60)</t>
  </si>
  <si>
    <t>Cement concrete plain including placing, compacting, finishing and curing complete (including screening and washing of stone aggregate):  Ratio  1:2:4</t>
  </si>
  <si>
    <t>Cement concrete plain including placing, compacting, finishing and curing complete (including screening and washing of stone aggregate): Ratio 1: 4: 8.</t>
  </si>
  <si>
    <t>1½"(40 mm) thick mosaic flooring, consisting of ½ " mosaic topping of one part of cement and marble powder in the ratio of 3:1 and two parts of marble chips, laid over 1"(25 mm) thick floor of 1:2:4 cement concrete, including rubbing and polishing complete with finishing :-using grey cement</t>
  </si>
  <si>
    <t>Providing and fixing marble strip of any shade for dividing
the mosaic flooring into panels(a) Size 1½" x 3/8" (40 x 10 mm)</t>
  </si>
  <si>
    <t xml:space="preserve">b) Reinforcement cement concrete in slab of rafts/strip foundation, base slab of column and retaining walls, etc and other structural members not requiring form work(i.e horizontal shuttering) complete in all respect Type B (Nominal Mix 1:1.5:3) </t>
  </si>
  <si>
    <t>Providing and installing P.V.C. bends, of B.S.S.b) 4" i/d</t>
  </si>
  <si>
    <t xml:space="preserve">21.    Installation and Solarization of Pumps </t>
  </si>
  <si>
    <t>22.    Environmental Monitoring Cost</t>
  </si>
  <si>
    <t>Description</t>
  </si>
  <si>
    <t>Rupees in figure</t>
  </si>
  <si>
    <t>Rupees in words</t>
  </si>
  <si>
    <t>Amount
Rupees</t>
  </si>
  <si>
    <t>Providing and laying base course of crushed stone aggregate of approved quality and grade, and supply and spreading of stone screening, including placing, mixing,spreading and compaction of base course material to required depth, camber and grade to achieve 100%
maximum modified AASHO dry density, including
carriage of all materials to site of work except gravel and.
aggregate.</t>
  </si>
  <si>
    <t>Bill of Quantities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</si>
</sst>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 #,##0.00_);_(* \(#,##0.00\);_(* &quot;-&quot;??_);_(@_)"/>
    <numFmt numFmtId="165" formatCode="General\ &quot;Cft&quot;"/>
    <numFmt numFmtId="166" formatCode="General\ &quot;-Chain&quot;"/>
    <numFmt numFmtId="167" formatCode="General\ &quot;Sft&quot;"/>
    <numFmt numFmtId="168" formatCode="General&quot; No&quot;"/>
    <numFmt numFmtId="169" formatCode="General\ &quot;Kg&quot;"/>
    <numFmt numFmtId="170" formatCode="General\ &quot;Each&quot;"/>
    <numFmt numFmtId="171" formatCode="General\ &quot;Rft&quot;"/>
    <numFmt numFmtId="172" formatCode="_-* #,##0.00\ _T_L_-;\-* #,##0.00\ _T_L_-;_-* &quot;-&quot;??\ _T_L_-;_-@_-"/>
    <numFmt numFmtId="173" formatCode="General\ &quot; Lft&quot;"/>
    <numFmt numFmtId="174" formatCode="General\ &quot;- Chain&quot;"/>
    <numFmt numFmtId="175" formatCode="0&quot; Cft&quot;"/>
    <numFmt numFmtId="176" formatCode="0.0"/>
    <numFmt numFmtId="177" formatCode="_-* #,##0_-;\-* #,##0_-;_-* &quot;-&quot;??_-;_-@_-"/>
    <numFmt numFmtId="178" formatCode="_(* #,##0_);_(* \(#,##0\);_(* &quot;-&quot;??_);_(@_)"/>
    <numFmt numFmtId="179" formatCode="#,##0.0"/>
  </numFmts>
  <fonts count="45" x14ac:knownFonts="1">
    <font>
      <sz val="11"/>
      <color theme="1"/>
      <name val="Calibri"/>
      <family val="2"/>
      <scheme val="minor"/>
    </font>
    <font>
      <sz val="11"/>
      <color theme="1"/>
      <name val="Calibri"/>
      <family val="2"/>
      <scheme val="minor"/>
    </font>
    <font>
      <sz val="10"/>
      <name val="Arial"/>
      <family val="2"/>
    </font>
    <font>
      <b/>
      <sz val="20"/>
      <name val="Arial"/>
      <family val="2"/>
    </font>
    <font>
      <sz val="12"/>
      <name val="Calibri"/>
      <family val="2"/>
      <scheme val="minor"/>
    </font>
    <font>
      <b/>
      <sz val="16"/>
      <name val="Calibri"/>
      <family val="2"/>
      <scheme val="minor"/>
    </font>
    <font>
      <b/>
      <sz val="14"/>
      <name val="Arial"/>
      <family val="2"/>
    </font>
    <font>
      <sz val="14"/>
      <name val="Calibri"/>
      <family val="2"/>
      <scheme val="minor"/>
    </font>
    <font>
      <b/>
      <sz val="12"/>
      <name val="Calibri"/>
      <family val="2"/>
      <scheme val="minor"/>
    </font>
    <font>
      <sz val="12"/>
      <name val="Arial"/>
      <family val="2"/>
    </font>
    <font>
      <b/>
      <sz val="12"/>
      <name val="Arial"/>
      <family val="2"/>
    </font>
    <font>
      <sz val="10"/>
      <name val="Calibri"/>
      <family val="2"/>
      <scheme val="minor"/>
    </font>
    <font>
      <b/>
      <sz val="11"/>
      <color theme="1"/>
      <name val="Calibri"/>
      <family val="2"/>
      <scheme val="minor"/>
    </font>
    <font>
      <b/>
      <sz val="12"/>
      <color theme="1"/>
      <name val="Calibri"/>
      <family val="2"/>
      <scheme val="minor"/>
    </font>
    <font>
      <b/>
      <sz val="12"/>
      <color theme="1"/>
      <name val="Arial"/>
      <family val="2"/>
    </font>
    <font>
      <sz val="12"/>
      <color theme="1"/>
      <name val="Arial"/>
      <family val="2"/>
    </font>
    <font>
      <sz val="11"/>
      <color theme="1"/>
      <name val="Arial"/>
      <family val="2"/>
    </font>
    <font>
      <sz val="12"/>
      <color theme="1"/>
      <name val="Calibri"/>
      <family val="2"/>
      <scheme val="minor"/>
    </font>
    <font>
      <sz val="10"/>
      <color theme="1"/>
      <name val="Arial"/>
      <family val="2"/>
    </font>
    <font>
      <b/>
      <sz val="10"/>
      <color theme="1"/>
      <name val="Arial"/>
      <family val="2"/>
    </font>
    <font>
      <sz val="10"/>
      <color theme="1"/>
      <name val="Calibri"/>
      <family val="2"/>
      <scheme val="minor"/>
    </font>
    <font>
      <b/>
      <sz val="12"/>
      <color theme="3"/>
      <name val="Calibri"/>
      <family val="2"/>
      <scheme val="minor"/>
    </font>
    <font>
      <sz val="12"/>
      <color rgb="FF000000"/>
      <name val="Times New Roman"/>
      <family val="1"/>
    </font>
    <font>
      <b/>
      <sz val="12"/>
      <color rgb="FF000000"/>
      <name val="Times New Roman"/>
      <family val="1"/>
    </font>
    <font>
      <b/>
      <sz val="12"/>
      <color rgb="FFFF0000"/>
      <name val="Calibri"/>
      <family val="2"/>
      <scheme val="minor"/>
    </font>
    <font>
      <sz val="12"/>
      <color indexed="8"/>
      <name val="Arial"/>
      <family val="2"/>
    </font>
    <font>
      <sz val="10"/>
      <color indexed="8"/>
      <name val="Arial"/>
      <family val="2"/>
    </font>
    <font>
      <b/>
      <sz val="11"/>
      <color theme="1"/>
      <name val="Arial"/>
      <family val="2"/>
    </font>
    <font>
      <b/>
      <sz val="12"/>
      <color theme="0"/>
      <name val="Calibri"/>
      <family val="2"/>
      <scheme val="minor"/>
    </font>
    <font>
      <b/>
      <u/>
      <sz val="12"/>
      <name val="Arial"/>
      <family val="2"/>
    </font>
    <font>
      <sz val="11"/>
      <name val="Arial"/>
      <family val="2"/>
    </font>
    <font>
      <sz val="11"/>
      <color rgb="FFFF0000"/>
      <name val="Calibri"/>
      <family val="2"/>
      <scheme val="minor"/>
    </font>
    <font>
      <sz val="12"/>
      <color rgb="FFFF0000"/>
      <name val="Calibri"/>
      <family val="2"/>
      <scheme val="minor"/>
    </font>
    <font>
      <sz val="14"/>
      <color rgb="FFFF0000"/>
      <name val="Calibri"/>
      <family val="2"/>
      <scheme val="minor"/>
    </font>
    <font>
      <sz val="12"/>
      <color rgb="FFFF0000"/>
      <name val="Arial"/>
      <family val="2"/>
    </font>
    <font>
      <sz val="10"/>
      <color rgb="FFFF0000"/>
      <name val="Arial"/>
      <family val="2"/>
    </font>
    <font>
      <b/>
      <u/>
      <sz val="12"/>
      <name val="Cambria"/>
      <family val="1"/>
      <scheme val="major"/>
    </font>
    <font>
      <b/>
      <sz val="12"/>
      <name val="Arial Black"/>
      <family val="2"/>
    </font>
    <font>
      <b/>
      <sz val="12"/>
      <color theme="0"/>
      <name val="Arial Black"/>
      <family val="2"/>
    </font>
    <font>
      <sz val="12"/>
      <name val="Arial Black"/>
      <family val="2"/>
    </font>
    <font>
      <b/>
      <sz val="12"/>
      <color theme="1"/>
      <name val="Arial Black"/>
      <family val="2"/>
    </font>
    <font>
      <sz val="11"/>
      <color theme="1"/>
      <name val="Arial Black"/>
      <family val="2"/>
    </font>
    <font>
      <b/>
      <sz val="11"/>
      <color theme="1"/>
      <name val="Arial Black"/>
      <family val="2"/>
    </font>
    <font>
      <b/>
      <sz val="13"/>
      <color theme="1"/>
      <name val="Calibri"/>
      <family val="2"/>
      <scheme val="minor"/>
    </font>
    <font>
      <b/>
      <sz val="10"/>
      <color theme="1"/>
      <name val="Arial Black"/>
      <family val="2"/>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theme="0" tint="-4.9989318521683403E-2"/>
        <bgColor indexed="64"/>
      </patternFill>
    </fill>
  </fills>
  <borders count="25">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0"/>
      </top>
      <bottom style="thin">
        <color theme="0"/>
      </bottom>
      <diagonal/>
    </border>
    <border>
      <left style="thin">
        <color theme="1"/>
      </left>
      <right style="thin">
        <color theme="1"/>
      </right>
      <top style="thin">
        <color theme="0"/>
      </top>
      <bottom/>
      <diagonal/>
    </border>
    <border>
      <left style="thin">
        <color theme="1"/>
      </left>
      <right style="thin">
        <color theme="1"/>
      </right>
      <top/>
      <bottom style="thin">
        <color theme="0"/>
      </bottom>
      <diagonal/>
    </border>
    <border>
      <left style="thin">
        <color theme="1"/>
      </left>
      <right/>
      <top style="thin">
        <color theme="0"/>
      </top>
      <bottom style="thin">
        <color theme="0"/>
      </bottom>
      <diagonal/>
    </border>
    <border>
      <left style="thin">
        <color auto="1"/>
      </left>
      <right style="thin">
        <color auto="1"/>
      </right>
      <top/>
      <bottom/>
      <diagonal/>
    </border>
    <border>
      <left/>
      <right/>
      <top style="thin">
        <color auto="1"/>
      </top>
      <bottom/>
      <diagonal/>
    </border>
    <border>
      <left style="thin">
        <color theme="0"/>
      </left>
      <right style="thin">
        <color theme="1"/>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auto="1"/>
      </right>
      <top style="thin">
        <color theme="0"/>
      </top>
      <bottom style="thin">
        <color theme="0"/>
      </bottom>
      <diagonal/>
    </border>
    <border>
      <left style="thin">
        <color auto="1"/>
      </left>
      <right/>
      <top style="thin">
        <color theme="0"/>
      </top>
      <bottom style="thin">
        <color theme="0"/>
      </bottom>
      <diagonal/>
    </border>
  </borders>
  <cellStyleXfs count="13">
    <xf numFmtId="0" fontId="0" fillId="0" borderId="0"/>
    <xf numFmtId="164" fontId="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72" fontId="2" fillId="0" borderId="0" applyFont="0" applyFill="0" applyBorder="0" applyAlignment="0" applyProtection="0"/>
    <xf numFmtId="0" fontId="2" fillId="0" borderId="0"/>
    <xf numFmtId="175" fontId="2"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0" fontId="2" fillId="0" borderId="0"/>
  </cellStyleXfs>
  <cellXfs count="571">
    <xf numFmtId="0" fontId="0" fillId="0" borderId="0" xfId="0"/>
    <xf numFmtId="0" fontId="4" fillId="0" borderId="0" xfId="0" applyFont="1"/>
    <xf numFmtId="0" fontId="9" fillId="0" borderId="2" xfId="0" applyFont="1" applyBorder="1" applyAlignment="1">
      <alignment horizontal="right" vertical="center"/>
    </xf>
    <xf numFmtId="0" fontId="4" fillId="0" borderId="0" xfId="0" applyFont="1" applyAlignment="1">
      <alignment vertical="top"/>
    </xf>
    <xf numFmtId="164" fontId="4" fillId="0" borderId="0" xfId="1" applyFont="1" applyFill="1"/>
    <xf numFmtId="0" fontId="4" fillId="0" borderId="0" xfId="0" applyFont="1" applyAlignment="1">
      <alignment horizontal="center" vertical="center"/>
    </xf>
    <xf numFmtId="0" fontId="0" fillId="0" borderId="0" xfId="0" applyAlignment="1">
      <alignment horizontal="center" vertical="center"/>
    </xf>
    <xf numFmtId="0" fontId="17" fillId="0" borderId="0" xfId="0" applyFont="1"/>
    <xf numFmtId="0" fontId="6" fillId="2" borderId="6" xfId="2" applyFont="1" applyFill="1" applyBorder="1" applyAlignment="1">
      <alignment horizontal="center" vertical="center" wrapText="1"/>
    </xf>
    <xf numFmtId="0" fontId="6" fillId="2" borderId="7" xfId="2" applyFont="1" applyFill="1" applyBorder="1" applyAlignment="1">
      <alignment horizontal="center" vertical="center"/>
    </xf>
    <xf numFmtId="0" fontId="6" fillId="2" borderId="6" xfId="2" applyFont="1" applyFill="1" applyBorder="1" applyAlignment="1">
      <alignment horizontal="center" vertical="center"/>
    </xf>
    <xf numFmtId="164" fontId="6" fillId="2" borderId="8" xfId="1" applyFont="1" applyFill="1" applyBorder="1" applyAlignment="1">
      <alignment horizontal="center" vertical="center"/>
    </xf>
    <xf numFmtId="164" fontId="6" fillId="2" borderId="6" xfId="1" applyFont="1" applyFill="1" applyBorder="1" applyAlignment="1">
      <alignment horizontal="center" vertical="center"/>
    </xf>
    <xf numFmtId="164" fontId="6" fillId="2" borderId="6" xfId="1" applyFont="1" applyFill="1" applyBorder="1" applyAlignment="1">
      <alignment horizontal="center" vertical="center" wrapText="1"/>
    </xf>
    <xf numFmtId="0" fontId="7" fillId="0" borderId="0" xfId="0" applyFont="1"/>
    <xf numFmtId="0" fontId="9" fillId="0" borderId="0" xfId="5" applyFont="1"/>
    <xf numFmtId="0" fontId="4" fillId="0" borderId="0" xfId="0" applyFont="1" applyAlignment="1">
      <alignment vertical="center"/>
    </xf>
    <xf numFmtId="0" fontId="0" fillId="0" borderId="0" xfId="0" applyAlignment="1">
      <alignment vertical="center"/>
    </xf>
    <xf numFmtId="0" fontId="4" fillId="0" borderId="0" xfId="0" applyFont="1" applyAlignment="1">
      <alignment horizontal="center"/>
    </xf>
    <xf numFmtId="164" fontId="8" fillId="0" borderId="2" xfId="1" applyFont="1" applyFill="1" applyBorder="1" applyAlignment="1">
      <alignment vertical="center"/>
    </xf>
    <xf numFmtId="0" fontId="9" fillId="0" borderId="15" xfId="2" applyFont="1" applyBorder="1" applyAlignment="1">
      <alignment horizontal="center" vertical="center" wrapText="1"/>
    </xf>
    <xf numFmtId="0" fontId="9" fillId="0" borderId="15" xfId="2" applyFont="1" applyBorder="1" applyAlignment="1">
      <alignment horizontal="justify" vertical="center" wrapText="1"/>
    </xf>
    <xf numFmtId="165" fontId="9" fillId="0" borderId="15" xfId="2" applyNumberFormat="1" applyFont="1" applyBorder="1" applyAlignment="1">
      <alignment horizontal="center" vertical="center" wrapText="1"/>
    </xf>
    <xf numFmtId="164" fontId="9" fillId="0" borderId="15" xfId="1" applyFont="1" applyFill="1" applyBorder="1" applyAlignment="1">
      <alignment horizontal="right" vertical="center" wrapText="1"/>
    </xf>
    <xf numFmtId="164" fontId="9" fillId="0" borderId="15" xfId="1" applyFont="1" applyFill="1" applyBorder="1" applyAlignment="1">
      <alignment horizontal="right" vertical="center"/>
    </xf>
    <xf numFmtId="164" fontId="9" fillId="0" borderId="15" xfId="1" applyFont="1" applyFill="1" applyBorder="1" applyAlignment="1">
      <alignment horizontal="left" vertical="center"/>
    </xf>
    <xf numFmtId="166" fontId="9" fillId="0" borderId="15" xfId="2" applyNumberFormat="1" applyFont="1" applyBorder="1" applyAlignment="1">
      <alignment horizontal="center" vertical="center" wrapText="1"/>
    </xf>
    <xf numFmtId="0" fontId="9" fillId="0" borderId="15" xfId="3" applyFont="1" applyBorder="1" applyAlignment="1">
      <alignment horizontal="justify" vertical="center" wrapText="1"/>
    </xf>
    <xf numFmtId="167" fontId="9" fillId="0" borderId="15" xfId="2" applyNumberFormat="1" applyFont="1" applyBorder="1" applyAlignment="1">
      <alignment horizontal="center" vertical="center" wrapText="1"/>
    </xf>
    <xf numFmtId="0" fontId="9" fillId="0" borderId="15" xfId="0" applyFont="1" applyBorder="1" applyAlignment="1">
      <alignment horizontal="center" vertical="center"/>
    </xf>
    <xf numFmtId="0" fontId="9" fillId="0" borderId="15" xfId="0" applyFont="1" applyBorder="1" applyAlignment="1">
      <alignment horizontal="left" vertical="center" wrapText="1"/>
    </xf>
    <xf numFmtId="164" fontId="9" fillId="0" borderId="15" xfId="1" applyFont="1" applyFill="1" applyBorder="1" applyAlignment="1">
      <alignment horizontal="center" vertical="center" wrapText="1" readingOrder="1"/>
    </xf>
    <xf numFmtId="0" fontId="9" fillId="0" borderId="15" xfId="4" applyFont="1" applyBorder="1" applyAlignment="1">
      <alignment horizontal="center" vertical="center"/>
    </xf>
    <xf numFmtId="0" fontId="9" fillId="0" borderId="15" xfId="0" applyFont="1" applyBorder="1" applyAlignment="1">
      <alignment horizontal="center" vertical="center" wrapText="1"/>
    </xf>
    <xf numFmtId="168" fontId="9" fillId="0" borderId="15" xfId="2" applyNumberFormat="1" applyFont="1" applyBorder="1" applyAlignment="1">
      <alignment horizontal="center" vertical="center" wrapText="1"/>
    </xf>
    <xf numFmtId="0" fontId="9" fillId="0" borderId="15" xfId="4" applyFont="1" applyBorder="1" applyAlignment="1">
      <alignment horizontal="center" vertical="center" wrapText="1"/>
    </xf>
    <xf numFmtId="0" fontId="9" fillId="0" borderId="15" xfId="6" applyFont="1" applyBorder="1" applyAlignment="1">
      <alignment horizontal="justify" vertical="center" wrapText="1"/>
    </xf>
    <xf numFmtId="164" fontId="9" fillId="0" borderId="15" xfId="1" applyFont="1" applyFill="1" applyBorder="1" applyAlignment="1">
      <alignment horizontal="center" vertical="center"/>
    </xf>
    <xf numFmtId="169" fontId="9" fillId="0" borderId="15" xfId="6" applyNumberFormat="1" applyFont="1" applyBorder="1" applyAlignment="1">
      <alignment horizontal="center" vertical="center" wrapText="1"/>
    </xf>
    <xf numFmtId="170" fontId="9" fillId="0" borderId="15" xfId="6" applyNumberFormat="1" applyFont="1" applyBorder="1" applyAlignment="1">
      <alignment horizontal="center" vertical="center" wrapText="1"/>
    </xf>
    <xf numFmtId="0" fontId="9" fillId="0" borderId="15" xfId="0" applyFont="1" applyBorder="1" applyAlignment="1">
      <alignment horizontal="justify" vertical="center" wrapText="1"/>
    </xf>
    <xf numFmtId="0" fontId="9" fillId="0" borderId="15" xfId="0" applyFont="1" applyBorder="1" applyAlignment="1">
      <alignment horizontal="justify" vertical="center"/>
    </xf>
    <xf numFmtId="169" fontId="9" fillId="0" borderId="15" xfId="2" applyNumberFormat="1" applyFont="1" applyBorder="1" applyAlignment="1">
      <alignment horizontal="center" vertical="center" wrapText="1"/>
    </xf>
    <xf numFmtId="164" fontId="9" fillId="0" borderId="15" xfId="1" applyFont="1" applyFill="1" applyBorder="1" applyAlignment="1">
      <alignment vertical="center"/>
    </xf>
    <xf numFmtId="171" fontId="9" fillId="0" borderId="15" xfId="3" applyNumberFormat="1" applyFont="1" applyBorder="1" applyAlignment="1">
      <alignment horizontal="center" vertical="center"/>
    </xf>
    <xf numFmtId="0" fontId="9" fillId="0" borderId="15" xfId="7" applyNumberFormat="1" applyFont="1" applyFill="1" applyBorder="1" applyAlignment="1">
      <alignment horizontal="left" vertical="center" wrapText="1"/>
    </xf>
    <xf numFmtId="0" fontId="9" fillId="0" borderId="15" xfId="3" applyFont="1" applyBorder="1" applyAlignment="1">
      <alignment horizontal="center" vertical="center"/>
    </xf>
    <xf numFmtId="0" fontId="9" fillId="0" borderId="15" xfId="2" applyFont="1" applyBorder="1" applyAlignment="1">
      <alignment horizontal="center" vertical="center"/>
    </xf>
    <xf numFmtId="2" fontId="9" fillId="0" borderId="15" xfId="2" applyNumberFormat="1" applyFont="1" applyBorder="1" applyAlignment="1">
      <alignment horizontal="justify" vertical="center" wrapText="1"/>
    </xf>
    <xf numFmtId="169" fontId="9" fillId="0" borderId="15" xfId="0" applyNumberFormat="1" applyFont="1" applyBorder="1" applyAlignment="1">
      <alignment horizontal="center" vertical="center" wrapText="1"/>
    </xf>
    <xf numFmtId="164" fontId="9" fillId="0" borderId="15" xfId="1" applyFont="1" applyFill="1" applyBorder="1" applyAlignment="1">
      <alignment horizontal="center" vertical="center" wrapText="1"/>
    </xf>
    <xf numFmtId="172" fontId="9" fillId="0" borderId="15" xfId="7" applyFont="1" applyFill="1" applyBorder="1" applyAlignment="1">
      <alignment horizontal="left" vertical="center" wrapText="1"/>
    </xf>
    <xf numFmtId="173" fontId="9" fillId="0" borderId="15" xfId="0" applyNumberFormat="1" applyFont="1" applyBorder="1" applyAlignment="1">
      <alignment horizontal="center" vertical="center" wrapText="1"/>
    </xf>
    <xf numFmtId="1" fontId="9" fillId="0" borderId="15" xfId="0" applyNumberFormat="1" applyFont="1" applyBorder="1" applyAlignment="1">
      <alignment horizontal="justify" vertical="center"/>
    </xf>
    <xf numFmtId="2" fontId="9" fillId="0" borderId="15" xfId="4" applyNumberFormat="1" applyFont="1" applyBorder="1" applyAlignment="1">
      <alignment horizontal="left" vertical="center" wrapText="1"/>
    </xf>
    <xf numFmtId="0" fontId="9" fillId="0" borderId="15" xfId="8" quotePrefix="1" applyFont="1" applyBorder="1" applyAlignment="1">
      <alignment horizontal="center" vertical="center" wrapText="1"/>
    </xf>
    <xf numFmtId="0" fontId="9" fillId="0" borderId="15" xfId="8" applyFont="1" applyBorder="1" applyAlignment="1">
      <alignment horizontal="justify" vertical="center" wrapText="1"/>
    </xf>
    <xf numFmtId="0" fontId="9" fillId="0" borderId="15" xfId="8" applyFont="1" applyBorder="1" applyAlignment="1">
      <alignment horizontal="center" vertical="center" wrapText="1"/>
    </xf>
    <xf numFmtId="171" fontId="9" fillId="0" borderId="15" xfId="2" applyNumberFormat="1" applyFont="1" applyBorder="1" applyAlignment="1">
      <alignment horizontal="center" vertical="center" wrapText="1"/>
    </xf>
    <xf numFmtId="1" fontId="9" fillId="0" borderId="15" xfId="2" applyNumberFormat="1" applyFont="1" applyBorder="1" applyAlignment="1">
      <alignment horizontal="justify" vertical="center" wrapText="1"/>
    </xf>
    <xf numFmtId="1" fontId="9" fillId="0" borderId="15" xfId="4" applyNumberFormat="1" applyFont="1" applyBorder="1" applyAlignment="1">
      <alignment horizontal="center" vertical="center"/>
    </xf>
    <xf numFmtId="168" fontId="9" fillId="0" borderId="15" xfId="0" applyNumberFormat="1" applyFont="1" applyBorder="1" applyAlignment="1">
      <alignment horizontal="center" vertical="center"/>
    </xf>
    <xf numFmtId="170" fontId="9" fillId="0" borderId="15" xfId="0" applyNumberFormat="1" applyFont="1" applyBorder="1" applyAlignment="1">
      <alignment horizontal="center" vertical="center"/>
    </xf>
    <xf numFmtId="174" fontId="9" fillId="0" borderId="15" xfId="2" applyNumberFormat="1" applyFont="1" applyBorder="1" applyAlignment="1">
      <alignment horizontal="center" vertical="center" wrapText="1"/>
    </xf>
    <xf numFmtId="0" fontId="9" fillId="0" borderId="15" xfId="4" applyFont="1" applyBorder="1" applyAlignment="1">
      <alignment vertical="center"/>
    </xf>
    <xf numFmtId="0" fontId="9" fillId="0" borderId="15" xfId="2" applyFont="1" applyBorder="1" applyAlignment="1">
      <alignment horizontal="justify" vertical="center"/>
    </xf>
    <xf numFmtId="0" fontId="9" fillId="0" borderId="16" xfId="4" applyFont="1" applyBorder="1" applyAlignment="1">
      <alignment horizontal="center" vertical="center" wrapText="1"/>
    </xf>
    <xf numFmtId="0" fontId="9" fillId="0" borderId="16" xfId="0" applyFont="1" applyBorder="1" applyAlignment="1">
      <alignment horizontal="justify" vertical="center"/>
    </xf>
    <xf numFmtId="165" fontId="9" fillId="0" borderId="16" xfId="2" applyNumberFormat="1" applyFont="1" applyBorder="1" applyAlignment="1">
      <alignment horizontal="center" vertical="center" wrapText="1"/>
    </xf>
    <xf numFmtId="164" fontId="9" fillId="0" borderId="16" xfId="1" applyFont="1" applyFill="1" applyBorder="1" applyAlignment="1">
      <alignment horizontal="right" vertical="center"/>
    </xf>
    <xf numFmtId="164" fontId="9" fillId="0" borderId="16" xfId="1" applyFont="1" applyFill="1" applyBorder="1" applyAlignment="1">
      <alignment horizontal="center" vertical="center"/>
    </xf>
    <xf numFmtId="164" fontId="9" fillId="0" borderId="16" xfId="1" applyFont="1" applyFill="1" applyBorder="1" applyAlignment="1">
      <alignment horizontal="left" vertical="center"/>
    </xf>
    <xf numFmtId="164" fontId="10" fillId="0" borderId="2" xfId="1" applyFont="1" applyFill="1" applyBorder="1" applyAlignment="1">
      <alignment horizontal="right" vertical="center" wrapText="1"/>
    </xf>
    <xf numFmtId="0" fontId="9" fillId="0" borderId="17" xfId="2" applyFont="1" applyBorder="1" applyAlignment="1">
      <alignment horizontal="center" vertical="center" wrapText="1"/>
    </xf>
    <xf numFmtId="0" fontId="9" fillId="0" borderId="17" xfId="2" applyFont="1" applyBorder="1" applyAlignment="1">
      <alignment horizontal="justify" vertical="center"/>
    </xf>
    <xf numFmtId="165" fontId="9" fillId="0" borderId="17" xfId="2" applyNumberFormat="1" applyFont="1" applyBorder="1" applyAlignment="1">
      <alignment horizontal="center" vertical="center" wrapText="1"/>
    </xf>
    <xf numFmtId="164" fontId="9" fillId="0" borderId="17" xfId="1" applyFont="1" applyFill="1" applyBorder="1" applyAlignment="1">
      <alignment horizontal="right" vertical="center" wrapText="1"/>
    </xf>
    <xf numFmtId="164" fontId="9" fillId="0" borderId="17" xfId="1" applyFont="1" applyFill="1" applyBorder="1" applyAlignment="1">
      <alignment horizontal="right" vertical="center"/>
    </xf>
    <xf numFmtId="164" fontId="9" fillId="0" borderId="17" xfId="1" applyFont="1" applyFill="1" applyBorder="1" applyAlignment="1">
      <alignment horizontal="left" vertical="center"/>
    </xf>
    <xf numFmtId="0" fontId="9" fillId="0" borderId="16" xfId="4" applyFont="1" applyBorder="1" applyAlignment="1">
      <alignment horizontal="center" vertical="center"/>
    </xf>
    <xf numFmtId="0" fontId="9" fillId="0" borderId="16" xfId="0" applyFont="1" applyBorder="1" applyAlignment="1">
      <alignment horizontal="justify" vertical="center" wrapText="1"/>
    </xf>
    <xf numFmtId="164" fontId="9" fillId="0" borderId="16" xfId="1" applyFont="1" applyFill="1" applyBorder="1" applyAlignment="1">
      <alignment horizontal="right" vertical="center" wrapText="1"/>
    </xf>
    <xf numFmtId="0" fontId="9" fillId="0" borderId="17" xfId="4" applyFont="1" applyBorder="1" applyAlignment="1">
      <alignment horizontal="center" vertical="center" wrapText="1"/>
    </xf>
    <xf numFmtId="0" fontId="9" fillId="0" borderId="17" xfId="0" applyFont="1" applyBorder="1" applyAlignment="1">
      <alignment horizontal="justify" vertical="center"/>
    </xf>
    <xf numFmtId="0" fontId="9" fillId="0" borderId="17" xfId="2" applyFont="1" applyBorder="1" applyAlignment="1">
      <alignment horizontal="justify" vertical="center" wrapText="1"/>
    </xf>
    <xf numFmtId="0" fontId="9" fillId="0" borderId="16" xfId="2" applyFont="1" applyBorder="1" applyAlignment="1">
      <alignment horizontal="center" vertical="center" wrapText="1"/>
    </xf>
    <xf numFmtId="0" fontId="9" fillId="0" borderId="16" xfId="3" applyFont="1" applyBorder="1" applyAlignment="1">
      <alignment horizontal="justify" vertical="center" wrapText="1"/>
    </xf>
    <xf numFmtId="167" fontId="9" fillId="0" borderId="16" xfId="2" applyNumberFormat="1" applyFont="1" applyBorder="1" applyAlignment="1">
      <alignment horizontal="center" vertical="center" wrapText="1"/>
    </xf>
    <xf numFmtId="0" fontId="9" fillId="0" borderId="17" xfId="0" applyFont="1" applyBorder="1" applyAlignment="1">
      <alignment horizontal="center" vertical="center"/>
    </xf>
    <xf numFmtId="0" fontId="9" fillId="0" borderId="17" xfId="0" applyFont="1" applyBorder="1" applyAlignment="1">
      <alignment horizontal="left" vertical="center" wrapText="1"/>
    </xf>
    <xf numFmtId="164" fontId="9" fillId="0" borderId="17" xfId="1" applyFont="1" applyFill="1" applyBorder="1" applyAlignment="1">
      <alignment horizontal="center" vertical="center" wrapText="1" readingOrder="1"/>
    </xf>
    <xf numFmtId="0" fontId="9" fillId="0" borderId="16" xfId="0" applyFont="1" applyBorder="1" applyAlignment="1">
      <alignment horizontal="center" vertical="center"/>
    </xf>
    <xf numFmtId="0" fontId="9" fillId="0" borderId="16" xfId="0" applyFont="1" applyBorder="1" applyAlignment="1">
      <alignment horizontal="left" vertical="center" wrapText="1"/>
    </xf>
    <xf numFmtId="164" fontId="9" fillId="0" borderId="16" xfId="1" applyFont="1" applyFill="1" applyBorder="1" applyAlignment="1">
      <alignment horizontal="center" vertical="center" wrapText="1" readingOrder="1"/>
    </xf>
    <xf numFmtId="0" fontId="9" fillId="0" borderId="17" xfId="6" applyFont="1" applyBorder="1" applyAlignment="1">
      <alignment horizontal="justify" vertical="center" wrapText="1"/>
    </xf>
    <xf numFmtId="164" fontId="9" fillId="0" borderId="17" xfId="1" applyFont="1" applyFill="1" applyBorder="1" applyAlignment="1">
      <alignment horizontal="center" vertical="center"/>
    </xf>
    <xf numFmtId="0" fontId="9" fillId="0" borderId="17" xfId="0" applyFont="1" applyBorder="1" applyAlignment="1">
      <alignment horizontal="justify" vertical="center" wrapText="1"/>
    </xf>
    <xf numFmtId="164" fontId="10" fillId="0" borderId="2" xfId="1" applyFont="1" applyFill="1" applyBorder="1" applyAlignment="1">
      <alignment horizontal="left" vertical="center"/>
    </xf>
    <xf numFmtId="2" fontId="9" fillId="0" borderId="16" xfId="4" applyNumberFormat="1" applyFont="1" applyBorder="1" applyAlignment="1">
      <alignment horizontal="left" vertical="center" wrapText="1"/>
    </xf>
    <xf numFmtId="0" fontId="9" fillId="0" borderId="17" xfId="8" quotePrefix="1" applyFont="1" applyBorder="1" applyAlignment="1">
      <alignment horizontal="center" vertical="center" wrapText="1"/>
    </xf>
    <xf numFmtId="0" fontId="9" fillId="0" borderId="17" xfId="8" applyFont="1" applyBorder="1" applyAlignment="1">
      <alignment horizontal="justify" vertical="center" wrapText="1"/>
    </xf>
    <xf numFmtId="164" fontId="9" fillId="0" borderId="17" xfId="1" applyFont="1" applyFill="1" applyBorder="1" applyAlignment="1">
      <alignment horizontal="center" vertical="center" wrapText="1"/>
    </xf>
    <xf numFmtId="0" fontId="9" fillId="0" borderId="16" xfId="8" quotePrefix="1" applyFont="1" applyBorder="1" applyAlignment="1">
      <alignment horizontal="center" vertical="center" wrapText="1"/>
    </xf>
    <xf numFmtId="1" fontId="9" fillId="0" borderId="16" xfId="2" applyNumberFormat="1" applyFont="1" applyBorder="1" applyAlignment="1">
      <alignment horizontal="justify" vertical="center" wrapText="1"/>
    </xf>
    <xf numFmtId="169" fontId="9" fillId="0" borderId="16" xfId="2" applyNumberFormat="1" applyFont="1" applyBorder="1" applyAlignment="1">
      <alignment horizontal="center" vertical="center" wrapText="1"/>
    </xf>
    <xf numFmtId="164" fontId="9" fillId="0" borderId="16" xfId="1" applyFont="1" applyFill="1" applyBorder="1" applyAlignment="1">
      <alignment vertical="center"/>
    </xf>
    <xf numFmtId="164" fontId="10" fillId="0" borderId="2" xfId="1" applyFont="1" applyFill="1" applyBorder="1" applyAlignment="1">
      <alignment horizontal="right" vertical="center"/>
    </xf>
    <xf numFmtId="164" fontId="9" fillId="0" borderId="16" xfId="1" applyFont="1" applyFill="1" applyBorder="1" applyAlignment="1">
      <alignment horizontal="left" vertical="center" wrapText="1"/>
    </xf>
    <xf numFmtId="164" fontId="10" fillId="0" borderId="2" xfId="1" applyFont="1" applyFill="1" applyBorder="1" applyAlignment="1">
      <alignment horizontal="center" vertical="center" wrapText="1" readingOrder="1"/>
    </xf>
    <xf numFmtId="164" fontId="9" fillId="0" borderId="16" xfId="1" applyFont="1" applyFill="1" applyBorder="1" applyAlignment="1">
      <alignment horizontal="center" vertical="center" wrapText="1"/>
    </xf>
    <xf numFmtId="0" fontId="9" fillId="0" borderId="16" xfId="3" applyFont="1" applyBorder="1" applyAlignment="1">
      <alignment horizontal="justify" vertical="center"/>
    </xf>
    <xf numFmtId="0" fontId="9" fillId="0" borderId="19" xfId="2" applyFont="1" applyBorder="1" applyAlignment="1">
      <alignment horizontal="center" vertical="center" wrapText="1"/>
    </xf>
    <xf numFmtId="0" fontId="9" fillId="0" borderId="19" xfId="2" applyFont="1" applyBorder="1" applyAlignment="1">
      <alignment horizontal="justify" vertical="center" wrapText="1"/>
    </xf>
    <xf numFmtId="165" fontId="9" fillId="0" borderId="19" xfId="2" applyNumberFormat="1" applyFont="1" applyBorder="1" applyAlignment="1">
      <alignment horizontal="center" vertical="center" wrapText="1"/>
    </xf>
    <xf numFmtId="164" fontId="9" fillId="0" borderId="19" xfId="1" applyFont="1" applyFill="1" applyBorder="1" applyAlignment="1">
      <alignment horizontal="right" vertical="center" wrapText="1"/>
    </xf>
    <xf numFmtId="164" fontId="9" fillId="0" borderId="19" xfId="1" applyFont="1" applyFill="1" applyBorder="1" applyAlignment="1">
      <alignment horizontal="right" vertical="center"/>
    </xf>
    <xf numFmtId="164" fontId="9" fillId="0" borderId="19" xfId="1" applyFont="1" applyFill="1" applyBorder="1" applyAlignment="1">
      <alignment horizontal="left" vertical="center"/>
    </xf>
    <xf numFmtId="164" fontId="9" fillId="0" borderId="19" xfId="1" applyFont="1" applyFill="1" applyBorder="1" applyAlignment="1">
      <alignment horizontal="justify" vertical="center" wrapText="1"/>
    </xf>
    <xf numFmtId="174" fontId="9" fillId="0" borderId="19" xfId="2" applyNumberFormat="1" applyFont="1" applyBorder="1" applyAlignment="1">
      <alignment horizontal="center" vertical="center" wrapText="1"/>
    </xf>
    <xf numFmtId="0" fontId="9" fillId="0" borderId="19" xfId="3" applyFont="1" applyBorder="1" applyAlignment="1">
      <alignment horizontal="justify" vertical="center" wrapText="1"/>
    </xf>
    <xf numFmtId="167" fontId="9" fillId="0" borderId="19" xfId="2" applyNumberFormat="1" applyFont="1" applyBorder="1" applyAlignment="1">
      <alignment horizontal="center" vertical="center" wrapText="1"/>
    </xf>
    <xf numFmtId="164" fontId="9" fillId="0" borderId="19" xfId="1" applyFont="1" applyFill="1" applyBorder="1" applyAlignment="1">
      <alignment horizontal="left" vertical="center" wrapText="1"/>
    </xf>
    <xf numFmtId="0" fontId="9" fillId="0" borderId="19" xfId="0" applyFont="1" applyBorder="1" applyAlignment="1">
      <alignment horizontal="center" vertical="center"/>
    </xf>
    <xf numFmtId="0" fontId="9" fillId="0" borderId="19" xfId="0" applyFont="1" applyBorder="1" applyAlignment="1">
      <alignment horizontal="left" vertical="center" wrapText="1"/>
    </xf>
    <xf numFmtId="164" fontId="9" fillId="0" borderId="19" xfId="1" applyFont="1" applyFill="1" applyBorder="1" applyAlignment="1">
      <alignment horizontal="center" vertical="center" wrapText="1" readingOrder="1"/>
    </xf>
    <xf numFmtId="0" fontId="9" fillId="0" borderId="19" xfId="4" applyFont="1" applyBorder="1" applyAlignment="1">
      <alignment horizontal="center" vertical="center"/>
    </xf>
    <xf numFmtId="0" fontId="9" fillId="0" borderId="19" xfId="0" applyFont="1" applyBorder="1" applyAlignment="1">
      <alignment horizontal="center" vertical="center" wrapText="1"/>
    </xf>
    <xf numFmtId="164" fontId="9" fillId="0" borderId="19" xfId="1" applyFont="1" applyFill="1" applyBorder="1" applyAlignment="1">
      <alignment horizontal="center" vertical="center"/>
    </xf>
    <xf numFmtId="168" fontId="9" fillId="0" borderId="19" xfId="0" applyNumberFormat="1" applyFont="1" applyBorder="1" applyAlignment="1">
      <alignment horizontal="center" vertical="center"/>
    </xf>
    <xf numFmtId="0" fontId="9" fillId="0" borderId="19" xfId="4" applyFont="1" applyBorder="1" applyAlignment="1">
      <alignment horizontal="center" vertical="center" wrapText="1"/>
    </xf>
    <xf numFmtId="0" fontId="9" fillId="0" borderId="19" xfId="6" applyFont="1" applyBorder="1" applyAlignment="1">
      <alignment horizontal="justify" vertical="center" wrapText="1"/>
    </xf>
    <xf numFmtId="169" fontId="9" fillId="0" borderId="19" xfId="2" applyNumberFormat="1" applyFont="1" applyBorder="1" applyAlignment="1">
      <alignment horizontal="center" vertical="center" wrapText="1"/>
    </xf>
    <xf numFmtId="170" fontId="9" fillId="0" borderId="19" xfId="0" applyNumberFormat="1" applyFont="1" applyBorder="1" applyAlignment="1">
      <alignment horizontal="center" vertical="center"/>
    </xf>
    <xf numFmtId="0" fontId="9" fillId="0" borderId="19" xfId="0" applyFont="1" applyBorder="1" applyAlignment="1">
      <alignment horizontal="justify" vertical="center" wrapText="1"/>
    </xf>
    <xf numFmtId="0" fontId="10" fillId="0" borderId="19" xfId="4" applyFont="1" applyBorder="1" applyAlignment="1">
      <alignment horizontal="center" vertical="center" wrapText="1"/>
    </xf>
    <xf numFmtId="0" fontId="9" fillId="0" borderId="19" xfId="0" applyFont="1" applyBorder="1" applyAlignment="1">
      <alignment horizontal="justify" vertical="center"/>
    </xf>
    <xf numFmtId="164" fontId="9" fillId="0" borderId="19" xfId="1" applyFont="1" applyFill="1" applyBorder="1" applyAlignment="1">
      <alignment vertical="center"/>
    </xf>
    <xf numFmtId="164" fontId="9" fillId="0" borderId="19" xfId="1" applyFont="1" applyFill="1" applyBorder="1" applyAlignment="1">
      <alignment horizontal="center" vertical="center" wrapText="1"/>
    </xf>
    <xf numFmtId="172" fontId="9" fillId="0" borderId="19" xfId="7" applyFont="1" applyFill="1" applyBorder="1" applyAlignment="1">
      <alignment horizontal="left" vertical="center" wrapText="1"/>
    </xf>
    <xf numFmtId="171" fontId="9" fillId="0" borderId="19" xfId="2" applyNumberFormat="1" applyFont="1" applyBorder="1" applyAlignment="1">
      <alignment horizontal="center" vertical="center" wrapText="1"/>
    </xf>
    <xf numFmtId="1" fontId="9" fillId="0" borderId="19" xfId="0" applyNumberFormat="1" applyFont="1" applyBorder="1" applyAlignment="1">
      <alignment horizontal="justify" vertical="center"/>
    </xf>
    <xf numFmtId="0" fontId="9" fillId="0" borderId="19" xfId="8" quotePrefix="1" applyFont="1" applyBorder="1" applyAlignment="1">
      <alignment horizontal="center" vertical="center" wrapText="1"/>
    </xf>
    <xf numFmtId="0" fontId="9" fillId="0" borderId="19" xfId="8" applyFont="1" applyBorder="1" applyAlignment="1">
      <alignment horizontal="justify" vertical="center" wrapText="1"/>
    </xf>
    <xf numFmtId="0" fontId="9" fillId="0" borderId="19" xfId="8" applyFont="1" applyBorder="1" applyAlignment="1">
      <alignment horizontal="center" vertical="center" wrapText="1"/>
    </xf>
    <xf numFmtId="1" fontId="9" fillId="0" borderId="19" xfId="2" applyNumberFormat="1" applyFont="1" applyBorder="1" applyAlignment="1">
      <alignment horizontal="justify" vertical="center" wrapText="1"/>
    </xf>
    <xf numFmtId="2" fontId="9" fillId="0" borderId="19" xfId="4" applyNumberFormat="1" applyFont="1" applyBorder="1" applyAlignment="1">
      <alignment horizontal="left" vertical="center" wrapText="1"/>
    </xf>
    <xf numFmtId="0" fontId="9" fillId="0" borderId="19" xfId="4" applyFont="1" applyBorder="1" applyAlignment="1">
      <alignment vertical="center"/>
    </xf>
    <xf numFmtId="1" fontId="9" fillId="0" borderId="19" xfId="4" applyNumberFormat="1" applyFont="1" applyBorder="1" applyAlignment="1">
      <alignment horizontal="center" vertical="center"/>
    </xf>
    <xf numFmtId="4" fontId="9" fillId="0" borderId="19" xfId="9" applyNumberFormat="1" applyFont="1" applyFill="1" applyBorder="1" applyAlignment="1">
      <alignment horizontal="left" vertical="center" wrapText="1"/>
    </xf>
    <xf numFmtId="4" fontId="9" fillId="0" borderId="19" xfId="9" applyNumberFormat="1" applyFont="1" applyFill="1" applyBorder="1" applyAlignment="1">
      <alignment horizontal="center" vertical="center" wrapText="1"/>
    </xf>
    <xf numFmtId="0" fontId="9" fillId="0" borderId="19" xfId="2" applyFont="1" applyBorder="1" applyAlignment="1">
      <alignment horizontal="center" vertical="center"/>
    </xf>
    <xf numFmtId="2" fontId="9" fillId="0" borderId="19" xfId="2" applyNumberFormat="1" applyFont="1" applyBorder="1" applyAlignment="1">
      <alignment horizontal="justify" vertical="center" wrapText="1"/>
    </xf>
    <xf numFmtId="164" fontId="9" fillId="0" borderId="19" xfId="1" applyFont="1" applyFill="1" applyBorder="1" applyAlignment="1">
      <alignment vertical="center" wrapText="1"/>
    </xf>
    <xf numFmtId="1" fontId="10" fillId="0" borderId="19" xfId="4" applyNumberFormat="1" applyFont="1" applyBorder="1" applyAlignment="1">
      <alignment horizontal="justify" vertical="center" wrapText="1"/>
    </xf>
    <xf numFmtId="0" fontId="10" fillId="0" borderId="19" xfId="0" applyFont="1" applyBorder="1" applyAlignment="1">
      <alignment horizontal="center" vertical="center" wrapText="1"/>
    </xf>
    <xf numFmtId="0" fontId="9" fillId="0" borderId="19" xfId="7" applyNumberFormat="1" applyFont="1" applyFill="1" applyBorder="1" applyAlignment="1">
      <alignment horizontal="left" vertical="center" wrapText="1"/>
    </xf>
    <xf numFmtId="0" fontId="9" fillId="0" borderId="19" xfId="3" applyFont="1" applyBorder="1" applyAlignment="1">
      <alignment horizontal="center" vertical="center"/>
    </xf>
    <xf numFmtId="0" fontId="10" fillId="0" borderId="19" xfId="3" applyFont="1" applyBorder="1" applyAlignment="1">
      <alignment horizontal="center" vertical="center" wrapText="1"/>
    </xf>
    <xf numFmtId="2" fontId="9" fillId="0" borderId="19" xfId="2" applyNumberFormat="1" applyFont="1" applyBorder="1" applyAlignment="1">
      <alignment horizontal="center" vertical="center" wrapText="1"/>
    </xf>
    <xf numFmtId="0" fontId="4" fillId="0" borderId="19" xfId="0" applyFont="1" applyBorder="1" applyAlignment="1">
      <alignment horizontal="center" vertical="center"/>
    </xf>
    <xf numFmtId="0" fontId="4" fillId="0" borderId="19" xfId="0" applyFont="1" applyBorder="1" applyAlignment="1">
      <alignment vertical="center" wrapText="1"/>
    </xf>
    <xf numFmtId="164" fontId="4" fillId="0" borderId="19" xfId="1" applyFont="1" applyFill="1" applyBorder="1" applyAlignment="1">
      <alignment vertical="center"/>
    </xf>
    <xf numFmtId="0" fontId="9" fillId="0" borderId="19" xfId="2" applyFont="1" applyBorder="1" applyAlignment="1">
      <alignment vertical="center"/>
    </xf>
    <xf numFmtId="4" fontId="9" fillId="0" borderId="19" xfId="2" applyNumberFormat="1" applyFont="1" applyBorder="1" applyAlignment="1">
      <alignment horizontal="left" vertical="center" wrapText="1"/>
    </xf>
    <xf numFmtId="4" fontId="9" fillId="0" borderId="19" xfId="2" applyNumberFormat="1" applyFont="1" applyBorder="1" applyAlignment="1">
      <alignment horizontal="center" vertical="center" wrapText="1"/>
    </xf>
    <xf numFmtId="0" fontId="0" fillId="0" borderId="19" xfId="0" applyBorder="1" applyAlignment="1">
      <alignment horizontal="center" vertical="center"/>
    </xf>
    <xf numFmtId="0" fontId="0" fillId="0" borderId="19" xfId="0" applyBorder="1" applyAlignment="1">
      <alignment vertical="center"/>
    </xf>
    <xf numFmtId="0" fontId="20" fillId="0" borderId="19" xfId="0" applyFont="1" applyBorder="1" applyAlignment="1">
      <alignment vertical="center" wrapText="1"/>
    </xf>
    <xf numFmtId="1" fontId="13" fillId="0" borderId="19" xfId="0" applyNumberFormat="1" applyFont="1" applyBorder="1" applyAlignment="1">
      <alignment horizontal="center" vertical="center"/>
    </xf>
    <xf numFmtId="178" fontId="22" fillId="0" borderId="19" xfId="1" applyNumberFormat="1" applyFont="1" applyFill="1" applyBorder="1" applyAlignment="1">
      <alignment horizontal="center" vertical="center" shrinkToFit="1"/>
    </xf>
    <xf numFmtId="0" fontId="15" fillId="0" borderId="19" xfId="0" applyFont="1" applyBorder="1" applyAlignment="1">
      <alignment horizontal="center" vertical="center"/>
    </xf>
    <xf numFmtId="177" fontId="24" fillId="0" borderId="19" xfId="10" applyNumberFormat="1" applyFont="1" applyFill="1" applyBorder="1" applyAlignment="1">
      <alignment horizontal="center" vertical="center"/>
    </xf>
    <xf numFmtId="2" fontId="26" fillId="0" borderId="19" xfId="0" applyNumberFormat="1" applyFont="1" applyBorder="1" applyAlignment="1">
      <alignment horizontal="left" vertical="center" wrapText="1"/>
    </xf>
    <xf numFmtId="1" fontId="9" fillId="0" borderId="19" xfId="0" applyNumberFormat="1" applyFont="1" applyBorder="1" applyAlignment="1">
      <alignment horizontal="center" vertical="center"/>
    </xf>
    <xf numFmtId="178" fontId="25" fillId="0" borderId="19" xfId="1" applyNumberFormat="1" applyFont="1" applyFill="1" applyBorder="1" applyAlignment="1">
      <alignment horizontal="center" vertical="center"/>
    </xf>
    <xf numFmtId="0" fontId="0" fillId="0" borderId="19" xfId="0" applyBorder="1" applyAlignment="1">
      <alignment vertical="center" wrapText="1"/>
    </xf>
    <xf numFmtId="0" fontId="0" fillId="0" borderId="19" xfId="0" applyBorder="1" applyAlignment="1">
      <alignment horizontal="center" vertical="center" wrapText="1"/>
    </xf>
    <xf numFmtId="165" fontId="0" fillId="0" borderId="19" xfId="0" applyNumberFormat="1" applyBorder="1" applyAlignment="1">
      <alignment horizontal="center" vertical="center"/>
    </xf>
    <xf numFmtId="0" fontId="2" fillId="0" borderId="19" xfId="2" applyBorder="1" applyAlignment="1">
      <alignment horizontal="justify" vertical="center" wrapText="1"/>
    </xf>
    <xf numFmtId="172" fontId="25" fillId="0" borderId="19" xfId="9" applyNumberFormat="1" applyFont="1" applyFill="1" applyBorder="1" applyAlignment="1">
      <alignment horizontal="right" vertical="center" wrapText="1"/>
    </xf>
    <xf numFmtId="179" fontId="9" fillId="0" borderId="19" xfId="2" applyNumberFormat="1" applyFont="1" applyBorder="1" applyAlignment="1">
      <alignment horizontal="right" vertical="center"/>
    </xf>
    <xf numFmtId="178" fontId="9" fillId="0" borderId="19" xfId="11" applyNumberFormat="1" applyFont="1" applyFill="1" applyBorder="1" applyAlignment="1">
      <alignment horizontal="left" vertical="center"/>
    </xf>
    <xf numFmtId="0" fontId="2" fillId="0" borderId="19" xfId="2" applyBorder="1" applyAlignment="1">
      <alignment horizontal="center" vertical="center" wrapText="1"/>
    </xf>
    <xf numFmtId="0" fontId="18" fillId="0" borderId="19" xfId="0" applyFont="1" applyBorder="1" applyAlignment="1">
      <alignment horizontal="justify" vertical="center" wrapText="1"/>
    </xf>
    <xf numFmtId="4" fontId="9" fillId="0" borderId="19" xfId="2" applyNumberFormat="1" applyFont="1" applyBorder="1" applyAlignment="1">
      <alignment horizontal="right" vertical="center"/>
    </xf>
    <xf numFmtId="0" fontId="18" fillId="0" borderId="19" xfId="0" applyFont="1" applyBorder="1" applyAlignment="1">
      <alignment horizontal="justify" vertical="center"/>
    </xf>
    <xf numFmtId="0" fontId="16" fillId="0" borderId="19" xfId="0" applyFont="1" applyBorder="1" applyAlignment="1">
      <alignment horizontal="center" vertical="center"/>
    </xf>
    <xf numFmtId="0" fontId="16" fillId="0" borderId="19" xfId="0" applyFont="1" applyBorder="1" applyAlignment="1">
      <alignment horizontal="justify" vertical="center" wrapText="1"/>
    </xf>
    <xf numFmtId="164" fontId="15" fillId="0" borderId="19" xfId="1" applyFont="1" applyFill="1" applyBorder="1" applyAlignment="1">
      <alignment horizontal="left" vertical="center"/>
    </xf>
    <xf numFmtId="0" fontId="18" fillId="0" borderId="19" xfId="0" applyFont="1" applyBorder="1" applyAlignment="1">
      <alignment vertical="center" wrapText="1"/>
    </xf>
    <xf numFmtId="2" fontId="25" fillId="0" borderId="19" xfId="0" applyNumberFormat="1" applyFont="1" applyBorder="1" applyAlignment="1">
      <alignment horizontal="left" vertical="center" wrapText="1"/>
    </xf>
    <xf numFmtId="1" fontId="25" fillId="0" borderId="19" xfId="0" applyNumberFormat="1" applyFont="1" applyBorder="1" applyAlignment="1">
      <alignment horizontal="center" vertical="center" wrapText="1"/>
    </xf>
    <xf numFmtId="178" fontId="25" fillId="0" borderId="19" xfId="1" applyNumberFormat="1" applyFont="1" applyFill="1" applyBorder="1" applyAlignment="1">
      <alignment horizontal="left" vertical="center" wrapText="1"/>
    </xf>
    <xf numFmtId="0" fontId="19" fillId="0" borderId="19" xfId="0" applyFont="1" applyBorder="1" applyAlignment="1">
      <alignment vertical="center" wrapText="1"/>
    </xf>
    <xf numFmtId="164" fontId="10" fillId="0" borderId="19" xfId="1" applyFont="1" applyFill="1" applyBorder="1" applyAlignment="1">
      <alignment vertical="center"/>
    </xf>
    <xf numFmtId="0" fontId="9" fillId="0" borderId="19" xfId="0" applyFont="1" applyBorder="1" applyAlignment="1">
      <alignment vertical="center" wrapText="1"/>
    </xf>
    <xf numFmtId="165" fontId="4" fillId="0" borderId="19" xfId="0" applyNumberFormat="1" applyFont="1" applyBorder="1" applyAlignment="1">
      <alignment horizontal="center" vertical="center"/>
    </xf>
    <xf numFmtId="171" fontId="4" fillId="0" borderId="19" xfId="0" applyNumberFormat="1" applyFont="1" applyBorder="1" applyAlignment="1">
      <alignment horizontal="center" vertical="center"/>
    </xf>
    <xf numFmtId="165" fontId="11" fillId="0" borderId="19" xfId="0" applyNumberFormat="1" applyFont="1" applyBorder="1" applyAlignment="1">
      <alignment horizontal="center" vertical="center"/>
    </xf>
    <xf numFmtId="4" fontId="9" fillId="0" borderId="19" xfId="2" applyNumberFormat="1" applyFont="1" applyBorder="1" applyAlignment="1">
      <alignment horizontal="justify" vertical="center" wrapText="1"/>
    </xf>
    <xf numFmtId="0" fontId="9" fillId="0" borderId="19" xfId="6" applyFont="1" applyBorder="1" applyAlignment="1">
      <alignment horizontal="center" vertical="center" wrapText="1"/>
    </xf>
    <xf numFmtId="0" fontId="9" fillId="0" borderId="19" xfId="3" applyFont="1" applyBorder="1" applyAlignment="1">
      <alignment horizontal="center" vertical="center" wrapText="1"/>
    </xf>
    <xf numFmtId="0" fontId="9" fillId="0" borderId="19" xfId="12" applyFont="1" applyBorder="1" applyAlignment="1">
      <alignment horizontal="center" vertical="center" wrapText="1"/>
    </xf>
    <xf numFmtId="175" fontId="9" fillId="0" borderId="19" xfId="0" applyNumberFormat="1" applyFont="1" applyBorder="1" applyAlignment="1">
      <alignment horizontal="center" vertical="center"/>
    </xf>
    <xf numFmtId="164" fontId="17" fillId="0" borderId="19" xfId="1" applyFont="1" applyFill="1" applyBorder="1" applyAlignment="1">
      <alignment vertical="center"/>
    </xf>
    <xf numFmtId="164" fontId="15" fillId="0" borderId="19" xfId="1" applyFont="1" applyFill="1" applyBorder="1" applyAlignment="1">
      <alignment horizontal="center" vertical="center"/>
    </xf>
    <xf numFmtId="0" fontId="16" fillId="0" borderId="19" xfId="0" applyFont="1" applyBorder="1" applyAlignment="1">
      <alignment vertical="center" wrapText="1"/>
    </xf>
    <xf numFmtId="3" fontId="9" fillId="0" borderId="19" xfId="2" applyNumberFormat="1" applyFont="1" applyBorder="1" applyAlignment="1">
      <alignment horizontal="right" vertical="center"/>
    </xf>
    <xf numFmtId="164" fontId="25" fillId="0" borderId="19" xfId="1" applyFont="1" applyFill="1" applyBorder="1" applyAlignment="1">
      <alignment horizontal="center" vertical="center"/>
    </xf>
    <xf numFmtId="0" fontId="10" fillId="0" borderId="19" xfId="0" applyFont="1" applyBorder="1" applyAlignment="1">
      <alignment horizontal="center" vertical="center"/>
    </xf>
    <xf numFmtId="0" fontId="10" fillId="0" borderId="19" xfId="0" applyFont="1" applyBorder="1" applyAlignment="1">
      <alignment vertical="top" wrapText="1"/>
    </xf>
    <xf numFmtId="164" fontId="10" fillId="0" borderId="19" xfId="1" applyFont="1" applyFill="1" applyBorder="1" applyAlignment="1">
      <alignment vertical="center" wrapText="1"/>
    </xf>
    <xf numFmtId="0" fontId="9" fillId="0" borderId="19" xfId="2" applyFont="1" applyBorder="1" applyAlignment="1">
      <alignment horizontal="justify" vertical="top" wrapText="1"/>
    </xf>
    <xf numFmtId="0" fontId="9" fillId="0" borderId="19" xfId="0" applyFont="1" applyBorder="1" applyAlignment="1">
      <alignment vertical="top"/>
    </xf>
    <xf numFmtId="0" fontId="10" fillId="0" borderId="19" xfId="0" applyFont="1" applyBorder="1" applyAlignment="1">
      <alignment vertical="top"/>
    </xf>
    <xf numFmtId="0" fontId="9" fillId="0" borderId="19" xfId="0" applyFont="1" applyBorder="1" applyAlignment="1">
      <alignment vertical="top" wrapText="1"/>
    </xf>
    <xf numFmtId="0" fontId="9" fillId="0" borderId="19" xfId="0" applyFont="1" applyBorder="1" applyAlignment="1">
      <alignment horizontal="justify" vertical="top"/>
    </xf>
    <xf numFmtId="0" fontId="9" fillId="0" borderId="19" xfId="0" applyFont="1" applyBorder="1" applyAlignment="1">
      <alignment horizontal="justify" vertical="top" wrapText="1"/>
    </xf>
    <xf numFmtId="1" fontId="29" fillId="0" borderId="19" xfId="4" applyNumberFormat="1" applyFont="1" applyBorder="1" applyAlignment="1">
      <alignment horizontal="justify" vertical="center" wrapText="1"/>
    </xf>
    <xf numFmtId="0" fontId="9" fillId="0" borderId="19" xfId="4" applyFont="1" applyBorder="1" applyAlignment="1">
      <alignment horizontal="center" vertical="top"/>
    </xf>
    <xf numFmtId="178" fontId="12" fillId="0" borderId="2" xfId="1" applyNumberFormat="1" applyFont="1" applyFill="1" applyBorder="1" applyAlignment="1">
      <alignment vertical="center"/>
    </xf>
    <xf numFmtId="0" fontId="17" fillId="0" borderId="19" xfId="0" applyFont="1" applyBorder="1" applyAlignment="1">
      <alignment horizontal="center" vertical="center"/>
    </xf>
    <xf numFmtId="0" fontId="17" fillId="0" borderId="19" xfId="0" applyFont="1" applyBorder="1" applyAlignment="1">
      <alignment vertical="center"/>
    </xf>
    <xf numFmtId="178" fontId="17" fillId="0" borderId="19" xfId="1" applyNumberFormat="1" applyFont="1" applyFill="1" applyBorder="1" applyAlignment="1">
      <alignment vertical="center"/>
    </xf>
    <xf numFmtId="0" fontId="17" fillId="0" borderId="19" xfId="0" applyFont="1" applyBorder="1" applyAlignment="1">
      <alignment vertical="center" wrapText="1"/>
    </xf>
    <xf numFmtId="178" fontId="13" fillId="0" borderId="19" xfId="1" applyNumberFormat="1" applyFont="1" applyFill="1" applyBorder="1" applyAlignment="1">
      <alignment vertical="center"/>
    </xf>
    <xf numFmtId="1" fontId="17" fillId="0" borderId="19" xfId="0" applyNumberFormat="1" applyFont="1" applyBorder="1" applyAlignment="1">
      <alignment horizontal="center" vertical="center"/>
    </xf>
    <xf numFmtId="0" fontId="17" fillId="0" borderId="19" xfId="0" applyFont="1" applyBorder="1" applyAlignment="1">
      <alignment horizontal="left" vertical="center" wrapText="1"/>
    </xf>
    <xf numFmtId="1" fontId="17" fillId="0" borderId="19" xfId="0" applyNumberFormat="1" applyFont="1" applyBorder="1" applyAlignment="1">
      <alignment vertical="center"/>
    </xf>
    <xf numFmtId="178" fontId="17" fillId="0" borderId="19" xfId="1" applyNumberFormat="1" applyFont="1" applyFill="1" applyBorder="1" applyAlignment="1">
      <alignment horizontal="center" vertical="center"/>
    </xf>
    <xf numFmtId="0" fontId="17" fillId="0" borderId="19" xfId="0" applyFont="1" applyBorder="1" applyAlignment="1">
      <alignment horizontal="left" vertical="center"/>
    </xf>
    <xf numFmtId="0" fontId="15" fillId="0" borderId="19" xfId="0" applyFont="1" applyBorder="1" applyAlignment="1">
      <alignment horizontal="left" vertical="center" wrapText="1"/>
    </xf>
    <xf numFmtId="176" fontId="14" fillId="0" borderId="19" xfId="0" applyNumberFormat="1" applyFont="1" applyBorder="1" applyAlignment="1">
      <alignment horizontal="center" vertical="center" wrapText="1"/>
    </xf>
    <xf numFmtId="171" fontId="13" fillId="0" borderId="19" xfId="0" applyNumberFormat="1" applyFont="1" applyBorder="1" applyAlignment="1">
      <alignment horizontal="center" vertical="center"/>
    </xf>
    <xf numFmtId="2" fontId="13" fillId="0" borderId="19" xfId="0" applyNumberFormat="1" applyFont="1" applyBorder="1" applyAlignment="1">
      <alignment horizontal="center" vertical="center"/>
    </xf>
    <xf numFmtId="1" fontId="14" fillId="0" borderId="19" xfId="0" applyNumberFormat="1" applyFont="1" applyBorder="1" applyAlignment="1">
      <alignment horizontal="center" vertical="center" wrapText="1"/>
    </xf>
    <xf numFmtId="165" fontId="13" fillId="0" borderId="19" xfId="0" applyNumberFormat="1" applyFont="1" applyBorder="1" applyAlignment="1">
      <alignment horizontal="center" vertical="center"/>
    </xf>
    <xf numFmtId="167" fontId="17" fillId="0" borderId="19" xfId="0" applyNumberFormat="1" applyFont="1" applyBorder="1" applyAlignment="1">
      <alignment horizontal="center" vertical="center"/>
    </xf>
    <xf numFmtId="167" fontId="13" fillId="0" borderId="19" xfId="0" applyNumberFormat="1" applyFont="1" applyBorder="1" applyAlignment="1">
      <alignment horizontal="center" vertical="center"/>
    </xf>
    <xf numFmtId="1" fontId="13" fillId="0" borderId="2" xfId="0" applyNumberFormat="1" applyFont="1" applyBorder="1" applyAlignment="1">
      <alignment vertical="center"/>
    </xf>
    <xf numFmtId="1" fontId="13" fillId="0" borderId="2" xfId="0" applyNumberFormat="1" applyFont="1" applyBorder="1" applyAlignment="1">
      <alignment horizontal="center" vertical="center"/>
    </xf>
    <xf numFmtId="178" fontId="13" fillId="0" borderId="2" xfId="1" applyNumberFormat="1" applyFont="1" applyFill="1" applyBorder="1" applyAlignment="1">
      <alignment vertical="center"/>
    </xf>
    <xf numFmtId="0" fontId="17" fillId="0" borderId="2" xfId="0" applyFont="1" applyBorder="1" applyAlignment="1">
      <alignment horizontal="center" vertical="center"/>
    </xf>
    <xf numFmtId="178" fontId="24" fillId="0" borderId="2" xfId="1" applyNumberFormat="1" applyFont="1" applyFill="1" applyBorder="1" applyAlignment="1">
      <alignment vertical="center"/>
    </xf>
    <xf numFmtId="178" fontId="17" fillId="0" borderId="2" xfId="1" applyNumberFormat="1" applyFont="1" applyFill="1" applyBorder="1" applyAlignment="1">
      <alignment vertical="center"/>
    </xf>
    <xf numFmtId="0" fontId="13" fillId="0" borderId="2" xfId="0" applyFont="1" applyBorder="1" applyAlignment="1">
      <alignment horizontal="right" vertical="center" wrapText="1"/>
    </xf>
    <xf numFmtId="0" fontId="17" fillId="0" borderId="2" xfId="0" applyFont="1" applyBorder="1" applyAlignment="1">
      <alignment vertical="center"/>
    </xf>
    <xf numFmtId="1" fontId="23" fillId="0" borderId="2" xfId="0" applyNumberFormat="1" applyFont="1" applyBorder="1" applyAlignment="1">
      <alignment horizontal="right" vertical="center" shrinkToFit="1"/>
    </xf>
    <xf numFmtId="1" fontId="17" fillId="0" borderId="2" xfId="0" applyNumberFormat="1" applyFont="1" applyBorder="1" applyAlignment="1">
      <alignment horizontal="center" vertical="center"/>
    </xf>
    <xf numFmtId="0" fontId="17" fillId="0" borderId="9" xfId="0" applyFont="1" applyBorder="1" applyAlignment="1">
      <alignment horizontal="center" vertical="center"/>
    </xf>
    <xf numFmtId="1" fontId="24" fillId="0" borderId="9" xfId="0" applyNumberFormat="1" applyFont="1" applyBorder="1" applyAlignment="1">
      <alignment vertical="center"/>
    </xf>
    <xf numFmtId="177" fontId="24" fillId="0" borderId="2" xfId="10" applyNumberFormat="1" applyFont="1" applyFill="1" applyBorder="1" applyAlignment="1">
      <alignment horizontal="center" vertical="center"/>
    </xf>
    <xf numFmtId="0" fontId="2" fillId="0" borderId="19" xfId="2" applyBorder="1" applyAlignment="1">
      <alignment horizontal="justify" vertical="top" wrapText="1"/>
    </xf>
    <xf numFmtId="0" fontId="18" fillId="0" borderId="19" xfId="0" applyFont="1" applyBorder="1" applyAlignment="1">
      <alignment horizontal="justify" vertical="top" wrapText="1"/>
    </xf>
    <xf numFmtId="0" fontId="20" fillId="0" borderId="19" xfId="0" applyFont="1" applyBorder="1" applyAlignment="1">
      <alignment vertical="top" wrapText="1"/>
    </xf>
    <xf numFmtId="164" fontId="8" fillId="3" borderId="2" xfId="1" applyFont="1" applyFill="1" applyBorder="1" applyAlignment="1">
      <alignment vertical="center"/>
    </xf>
    <xf numFmtId="164" fontId="10" fillId="3" borderId="2" xfId="1" applyFont="1" applyFill="1" applyBorder="1" applyAlignment="1">
      <alignment horizontal="right" vertical="center" wrapText="1"/>
    </xf>
    <xf numFmtId="164" fontId="10" fillId="0" borderId="6" xfId="1" applyFont="1" applyFill="1" applyBorder="1" applyAlignment="1">
      <alignment horizontal="right" vertical="center" wrapText="1"/>
    </xf>
    <xf numFmtId="164" fontId="10" fillId="3" borderId="2" xfId="1" applyFont="1" applyFill="1" applyBorder="1" applyAlignment="1">
      <alignment vertical="center" wrapText="1"/>
    </xf>
    <xf numFmtId="164" fontId="10" fillId="0" borderId="6" xfId="1" applyFont="1" applyFill="1" applyBorder="1" applyAlignment="1">
      <alignment vertical="center"/>
    </xf>
    <xf numFmtId="178" fontId="24" fillId="0" borderId="6" xfId="0" applyNumberFormat="1" applyFont="1" applyBorder="1" applyAlignment="1">
      <alignment vertical="center"/>
    </xf>
    <xf numFmtId="164" fontId="10" fillId="0" borderId="6" xfId="1" applyFont="1" applyFill="1" applyBorder="1" applyAlignment="1">
      <alignment horizontal="right" vertical="center"/>
    </xf>
    <xf numFmtId="178" fontId="28" fillId="4" borderId="13" xfId="0" applyNumberFormat="1" applyFont="1" applyFill="1" applyBorder="1" applyAlignment="1">
      <alignment vertical="center"/>
    </xf>
    <xf numFmtId="178" fontId="4" fillId="0" borderId="0" xfId="1" applyNumberFormat="1" applyFont="1" applyFill="1"/>
    <xf numFmtId="0" fontId="13" fillId="3" borderId="2" xfId="0" applyFont="1" applyFill="1" applyBorder="1" applyAlignment="1">
      <alignment vertical="center"/>
    </xf>
    <xf numFmtId="178" fontId="25" fillId="3" borderId="6" xfId="1" applyNumberFormat="1" applyFont="1" applyFill="1" applyBorder="1" applyAlignment="1">
      <alignment horizontal="center" vertical="center"/>
    </xf>
    <xf numFmtId="178" fontId="10" fillId="0" borderId="19" xfId="1" applyNumberFormat="1" applyFont="1" applyFill="1" applyBorder="1" applyAlignment="1">
      <alignment horizontal="right" vertical="center" wrapText="1"/>
    </xf>
    <xf numFmtId="178" fontId="10" fillId="3" borderId="2" xfId="1" applyNumberFormat="1" applyFont="1" applyFill="1" applyBorder="1" applyAlignment="1">
      <alignment horizontal="right" vertical="center" wrapText="1"/>
    </xf>
    <xf numFmtId="164" fontId="6" fillId="2" borderId="2" xfId="1" applyFont="1" applyFill="1" applyBorder="1" applyAlignment="1">
      <alignment horizontal="center" vertical="center" wrapText="1"/>
    </xf>
    <xf numFmtId="164" fontId="9" fillId="0" borderId="2" xfId="1" applyFont="1" applyFill="1" applyBorder="1" applyAlignment="1">
      <alignment horizontal="right" vertical="center"/>
    </xf>
    <xf numFmtId="0" fontId="4" fillId="0" borderId="2" xfId="0" applyFont="1" applyBorder="1"/>
    <xf numFmtId="0" fontId="9" fillId="0" borderId="2" xfId="0" applyFont="1" applyBorder="1" applyAlignment="1">
      <alignment horizontal="center" vertical="center"/>
    </xf>
    <xf numFmtId="0" fontId="9" fillId="0" borderId="2" xfId="0" applyFont="1" applyBorder="1" applyAlignment="1">
      <alignment horizontal="left" vertical="center" wrapText="1"/>
    </xf>
    <xf numFmtId="165" fontId="9" fillId="0" borderId="2" xfId="2" applyNumberFormat="1" applyFont="1" applyBorder="1" applyAlignment="1">
      <alignment horizontal="center" vertical="center" wrapText="1"/>
    </xf>
    <xf numFmtId="164" fontId="9" fillId="0" borderId="2" xfId="1" applyFont="1" applyFill="1" applyBorder="1" applyAlignment="1">
      <alignment horizontal="center" vertical="center" wrapText="1" readingOrder="1"/>
    </xf>
    <xf numFmtId="0" fontId="9" fillId="0" borderId="2" xfId="4" applyFont="1" applyBorder="1" applyAlignment="1">
      <alignment horizontal="center" vertical="center"/>
    </xf>
    <xf numFmtId="0" fontId="9" fillId="0" borderId="2" xfId="0" applyFont="1" applyBorder="1" applyAlignment="1">
      <alignment horizontal="center" vertical="center" wrapText="1"/>
    </xf>
    <xf numFmtId="0" fontId="9" fillId="0" borderId="2" xfId="5" applyFont="1" applyBorder="1"/>
    <xf numFmtId="167" fontId="9" fillId="0" borderId="2" xfId="2" applyNumberFormat="1" applyFont="1" applyBorder="1" applyAlignment="1">
      <alignment horizontal="center" vertical="center" wrapText="1"/>
    </xf>
    <xf numFmtId="168" fontId="9" fillId="0" borderId="2" xfId="2" applyNumberFormat="1" applyFont="1" applyBorder="1" applyAlignment="1">
      <alignment horizontal="center" vertical="center" wrapText="1"/>
    </xf>
    <xf numFmtId="0" fontId="9" fillId="0" borderId="9" xfId="4" applyFont="1" applyBorder="1" applyAlignment="1">
      <alignment horizontal="center" vertical="center"/>
    </xf>
    <xf numFmtId="0" fontId="9" fillId="0" borderId="9" xfId="0" applyFont="1" applyBorder="1" applyAlignment="1">
      <alignment horizontal="left" vertical="center" wrapText="1"/>
    </xf>
    <xf numFmtId="165" fontId="9" fillId="0" borderId="9" xfId="2" applyNumberFormat="1" applyFont="1" applyBorder="1" applyAlignment="1">
      <alignment horizontal="center" vertical="center" wrapText="1"/>
    </xf>
    <xf numFmtId="164" fontId="9" fillId="0" borderId="9" xfId="1" applyFont="1" applyFill="1" applyBorder="1" applyAlignment="1">
      <alignment horizontal="center" vertical="center" wrapText="1" readingOrder="1"/>
    </xf>
    <xf numFmtId="0" fontId="9" fillId="0" borderId="9" xfId="5" applyFont="1" applyBorder="1"/>
    <xf numFmtId="0" fontId="9" fillId="0" borderId="6" xfId="4" applyFont="1" applyBorder="1" applyAlignment="1">
      <alignment horizontal="center" vertical="center"/>
    </xf>
    <xf numFmtId="0" fontId="9" fillId="0" borderId="6" xfId="0" applyFont="1" applyBorder="1" applyAlignment="1">
      <alignment horizontal="left" vertical="center" wrapText="1"/>
    </xf>
    <xf numFmtId="0" fontId="9" fillId="0" borderId="6" xfId="0" applyFont="1" applyBorder="1" applyAlignment="1">
      <alignment horizontal="center" vertical="center" wrapText="1"/>
    </xf>
    <xf numFmtId="164" fontId="9" fillId="0" borderId="6" xfId="1" applyFont="1" applyFill="1" applyBorder="1" applyAlignment="1">
      <alignment horizontal="right" vertical="center"/>
    </xf>
    <xf numFmtId="0" fontId="9" fillId="0" borderId="6" xfId="5" applyFont="1" applyBorder="1"/>
    <xf numFmtId="0" fontId="4" fillId="0" borderId="9" xfId="0" applyFont="1" applyBorder="1"/>
    <xf numFmtId="0" fontId="9" fillId="0" borderId="6" xfId="0" applyFont="1" applyBorder="1" applyAlignment="1">
      <alignment horizontal="center" vertical="center"/>
    </xf>
    <xf numFmtId="0" fontId="4" fillId="0" borderId="6" xfId="0" applyFont="1" applyBorder="1"/>
    <xf numFmtId="0" fontId="9" fillId="0" borderId="2" xfId="4" applyFont="1" applyBorder="1" applyAlignment="1">
      <alignment horizontal="center" vertical="center" wrapText="1"/>
    </xf>
    <xf numFmtId="0" fontId="9" fillId="0" borderId="2" xfId="6" applyFont="1" applyBorder="1" applyAlignment="1">
      <alignment horizontal="justify" vertical="center" wrapText="1"/>
    </xf>
    <xf numFmtId="164" fontId="9" fillId="0" borderId="2" xfId="1" applyFont="1" applyFill="1" applyBorder="1" applyAlignment="1">
      <alignment horizontal="center" vertical="center"/>
    </xf>
    <xf numFmtId="169" fontId="9" fillId="0" borderId="2" xfId="6" applyNumberFormat="1" applyFont="1" applyBorder="1" applyAlignment="1">
      <alignment horizontal="center" vertical="center" wrapText="1"/>
    </xf>
    <xf numFmtId="170" fontId="9" fillId="0" borderId="2" xfId="6" applyNumberFormat="1" applyFont="1" applyBorder="1" applyAlignment="1">
      <alignment horizontal="center" vertical="center" wrapText="1"/>
    </xf>
    <xf numFmtId="164" fontId="9" fillId="0" borderId="2" xfId="1" applyFont="1" applyFill="1" applyBorder="1" applyAlignment="1">
      <alignment horizontal="right" vertical="center" wrapText="1"/>
    </xf>
    <xf numFmtId="0" fontId="9" fillId="0" borderId="2" xfId="0" applyFont="1" applyBorder="1" applyAlignment="1">
      <alignment horizontal="justify" vertical="center" wrapText="1"/>
    </xf>
    <xf numFmtId="0" fontId="9" fillId="0" borderId="9" xfId="0" applyFont="1" applyBorder="1" applyAlignment="1">
      <alignment horizontal="justify" vertical="center" wrapText="1"/>
    </xf>
    <xf numFmtId="164" fontId="9" fillId="0" borderId="9" xfId="1" applyFont="1" applyFill="1" applyBorder="1" applyAlignment="1">
      <alignment horizontal="center" vertical="center"/>
    </xf>
    <xf numFmtId="0" fontId="9" fillId="0" borderId="2" xfId="0" applyFont="1" applyBorder="1" applyAlignment="1">
      <alignment horizontal="justify" vertical="center"/>
    </xf>
    <xf numFmtId="169" fontId="9" fillId="0" borderId="2" xfId="2" applyNumberFormat="1" applyFont="1" applyBorder="1" applyAlignment="1">
      <alignment horizontal="center" vertical="center" wrapText="1"/>
    </xf>
    <xf numFmtId="164" fontId="9" fillId="0" borderId="2" xfId="1" applyFont="1" applyFill="1" applyBorder="1" applyAlignment="1">
      <alignment vertical="center"/>
    </xf>
    <xf numFmtId="171" fontId="9" fillId="0" borderId="2" xfId="3" applyNumberFormat="1" applyFont="1" applyBorder="1" applyAlignment="1">
      <alignment horizontal="center" vertical="center"/>
    </xf>
    <xf numFmtId="0" fontId="9" fillId="0" borderId="2" xfId="7" applyNumberFormat="1" applyFont="1" applyFill="1" applyBorder="1" applyAlignment="1">
      <alignment horizontal="left" vertical="center" wrapText="1"/>
    </xf>
    <xf numFmtId="0" fontId="9" fillId="0" borderId="2" xfId="3" applyFont="1" applyBorder="1" applyAlignment="1">
      <alignment horizontal="center" vertical="center"/>
    </xf>
    <xf numFmtId="0" fontId="9" fillId="0" borderId="2" xfId="2" applyFont="1" applyBorder="1" applyAlignment="1">
      <alignment horizontal="center" vertical="center"/>
    </xf>
    <xf numFmtId="2" fontId="9" fillId="0" borderId="2" xfId="2" applyNumberFormat="1" applyFont="1" applyBorder="1" applyAlignment="1">
      <alignment horizontal="justify" vertical="center" wrapText="1"/>
    </xf>
    <xf numFmtId="164" fontId="9" fillId="0" borderId="9" xfId="1" applyFont="1" applyFill="1" applyBorder="1" applyAlignment="1">
      <alignment horizontal="right" vertical="center"/>
    </xf>
    <xf numFmtId="0" fontId="9" fillId="0" borderId="6" xfId="0" applyFont="1" applyBorder="1" applyAlignment="1">
      <alignment horizontal="justify" vertical="center"/>
    </xf>
    <xf numFmtId="169" fontId="9" fillId="0" borderId="2" xfId="0" applyNumberFormat="1" applyFont="1" applyBorder="1" applyAlignment="1">
      <alignment horizontal="center" vertical="center" wrapText="1"/>
    </xf>
    <xf numFmtId="172" fontId="9" fillId="0" borderId="2" xfId="7" applyFont="1" applyFill="1" applyBorder="1" applyAlignment="1">
      <alignment horizontal="left" vertical="center" wrapText="1"/>
    </xf>
    <xf numFmtId="173" fontId="9" fillId="0" borderId="2" xfId="0" applyNumberFormat="1" applyFont="1" applyBorder="1" applyAlignment="1">
      <alignment horizontal="center" vertical="center" wrapText="1"/>
    </xf>
    <xf numFmtId="1" fontId="9" fillId="0" borderId="2" xfId="0" applyNumberFormat="1" applyFont="1" applyBorder="1" applyAlignment="1">
      <alignment horizontal="justify" vertical="center"/>
    </xf>
    <xf numFmtId="164" fontId="9" fillId="0" borderId="6" xfId="1" applyFont="1" applyFill="1" applyBorder="1" applyAlignment="1">
      <alignment horizontal="center" vertical="center"/>
    </xf>
    <xf numFmtId="0" fontId="9" fillId="0" borderId="2" xfId="3" applyFont="1" applyBorder="1" applyAlignment="1">
      <alignment horizontal="justify" vertical="center" wrapText="1"/>
    </xf>
    <xf numFmtId="2" fontId="9" fillId="0" borderId="2" xfId="4" applyNumberFormat="1" applyFont="1" applyBorder="1" applyAlignment="1">
      <alignment horizontal="left" vertical="center" wrapText="1"/>
    </xf>
    <xf numFmtId="0" fontId="9" fillId="0" borderId="2" xfId="8" quotePrefix="1" applyFont="1" applyBorder="1" applyAlignment="1">
      <alignment horizontal="center" vertical="center" wrapText="1"/>
    </xf>
    <xf numFmtId="0" fontId="9" fillId="0" borderId="2" xfId="8" applyFont="1" applyBorder="1" applyAlignment="1">
      <alignment horizontal="justify" vertical="center" wrapText="1"/>
    </xf>
    <xf numFmtId="164" fontId="9" fillId="0" borderId="2" xfId="1" applyFont="1" applyFill="1" applyBorder="1" applyAlignment="1">
      <alignment horizontal="center" vertical="center" wrapText="1"/>
    </xf>
    <xf numFmtId="0" fontId="9" fillId="0" borderId="2" xfId="8" applyFont="1" applyBorder="1" applyAlignment="1">
      <alignment horizontal="center" vertical="center" wrapText="1"/>
    </xf>
    <xf numFmtId="171" fontId="9" fillId="0" borderId="2" xfId="2" applyNumberFormat="1" applyFont="1" applyBorder="1" applyAlignment="1">
      <alignment horizontal="center" vertical="center" wrapText="1"/>
    </xf>
    <xf numFmtId="1" fontId="9" fillId="0" borderId="2" xfId="2" applyNumberFormat="1" applyFont="1" applyBorder="1" applyAlignment="1">
      <alignment horizontal="justify" vertical="center" wrapText="1"/>
    </xf>
    <xf numFmtId="164" fontId="9" fillId="0" borderId="2" xfId="1" applyFont="1" applyFill="1" applyBorder="1" applyAlignment="1">
      <alignment horizontal="left" vertical="center"/>
    </xf>
    <xf numFmtId="1" fontId="9" fillId="0" borderId="2" xfId="4" applyNumberFormat="1" applyFont="1" applyBorder="1" applyAlignment="1">
      <alignment horizontal="center" vertical="center"/>
    </xf>
    <xf numFmtId="0" fontId="9" fillId="0" borderId="2" xfId="2" applyFont="1" applyBorder="1" applyAlignment="1">
      <alignment horizontal="justify" vertical="center" wrapText="1"/>
    </xf>
    <xf numFmtId="168" fontId="9" fillId="0" borderId="2" xfId="0" applyNumberFormat="1" applyFont="1" applyBorder="1" applyAlignment="1">
      <alignment horizontal="center" vertical="center"/>
    </xf>
    <xf numFmtId="170" fontId="9" fillId="0" borderId="2" xfId="0" applyNumberFormat="1" applyFont="1" applyBorder="1" applyAlignment="1">
      <alignment horizontal="center" vertical="center"/>
    </xf>
    <xf numFmtId="0" fontId="9" fillId="0" borderId="2" xfId="2" applyFont="1" applyBorder="1" applyAlignment="1">
      <alignment horizontal="center" vertical="center" wrapText="1"/>
    </xf>
    <xf numFmtId="174" fontId="9" fillId="0" borderId="2" xfId="2" applyNumberFormat="1" applyFont="1" applyBorder="1" applyAlignment="1">
      <alignment horizontal="center" vertical="center" wrapText="1"/>
    </xf>
    <xf numFmtId="164" fontId="9" fillId="0" borderId="2" xfId="1" applyFont="1" applyFill="1" applyBorder="1" applyAlignment="1">
      <alignment horizontal="left" vertical="center" wrapText="1"/>
    </xf>
    <xf numFmtId="0" fontId="4" fillId="0" borderId="2" xfId="0" applyFont="1" applyBorder="1" applyAlignment="1">
      <alignment vertical="center"/>
    </xf>
    <xf numFmtId="0" fontId="9" fillId="0" borderId="2" xfId="4" applyFont="1" applyBorder="1" applyAlignment="1">
      <alignment vertical="center"/>
    </xf>
    <xf numFmtId="0" fontId="9" fillId="0" borderId="2" xfId="2" applyFont="1" applyBorder="1" applyAlignment="1">
      <alignment horizontal="justify" vertical="center"/>
    </xf>
    <xf numFmtId="0" fontId="9" fillId="0" borderId="2" xfId="3" applyFont="1" applyBorder="1" applyAlignment="1">
      <alignment horizontal="justify" vertical="center"/>
    </xf>
    <xf numFmtId="164" fontId="9" fillId="0" borderId="2" xfId="1" applyFont="1" applyFill="1" applyBorder="1" applyAlignment="1">
      <alignment horizontal="justify" vertical="center" wrapText="1"/>
    </xf>
    <xf numFmtId="0" fontId="10" fillId="0" borderId="2" xfId="4" applyFont="1" applyBorder="1" applyAlignment="1">
      <alignment horizontal="center" vertical="center" wrapText="1"/>
    </xf>
    <xf numFmtId="4" fontId="9" fillId="0" borderId="2" xfId="9" applyNumberFormat="1" applyFont="1" applyFill="1" applyBorder="1" applyAlignment="1">
      <alignment horizontal="left" vertical="center" wrapText="1"/>
    </xf>
    <xf numFmtId="4" fontId="9" fillId="0" borderId="2" xfId="9" applyNumberFormat="1" applyFont="1" applyFill="1" applyBorder="1" applyAlignment="1">
      <alignment horizontal="center" vertical="center" wrapText="1"/>
    </xf>
    <xf numFmtId="164" fontId="9" fillId="0" borderId="2" xfId="1" applyFont="1" applyFill="1" applyBorder="1" applyAlignment="1">
      <alignment vertical="center" wrapText="1"/>
    </xf>
    <xf numFmtId="0" fontId="9" fillId="0" borderId="2" xfId="0" applyFont="1" applyBorder="1" applyAlignment="1">
      <alignment horizontal="justify" vertical="top"/>
    </xf>
    <xf numFmtId="0" fontId="9" fillId="0" borderId="2" xfId="0" applyFont="1" applyBorder="1" applyAlignment="1">
      <alignment horizontal="justify" vertical="top" wrapText="1"/>
    </xf>
    <xf numFmtId="1" fontId="29" fillId="0" borderId="2" xfId="4" applyNumberFormat="1" applyFont="1" applyBorder="1" applyAlignment="1">
      <alignment horizontal="justify" vertical="center" wrapText="1"/>
    </xf>
    <xf numFmtId="0" fontId="10" fillId="0" borderId="2" xfId="0" applyFont="1" applyBorder="1" applyAlignment="1">
      <alignment horizontal="center" vertical="center" wrapText="1"/>
    </xf>
    <xf numFmtId="1" fontId="29" fillId="0" borderId="6" xfId="4" applyNumberFormat="1" applyFont="1" applyBorder="1" applyAlignment="1">
      <alignment horizontal="justify" vertical="center" wrapText="1"/>
    </xf>
    <xf numFmtId="0" fontId="10" fillId="0" borderId="6" xfId="0" applyFont="1" applyBorder="1" applyAlignment="1">
      <alignment horizontal="center" vertical="center" wrapText="1"/>
    </xf>
    <xf numFmtId="0" fontId="9" fillId="0" borderId="2" xfId="2" applyFont="1" applyBorder="1" applyAlignment="1">
      <alignment horizontal="justify" vertical="top" wrapText="1"/>
    </xf>
    <xf numFmtId="0" fontId="10" fillId="0" borderId="2" xfId="3" applyFont="1" applyBorder="1" applyAlignment="1">
      <alignment horizontal="center" vertical="center" wrapText="1"/>
    </xf>
    <xf numFmtId="2" fontId="9" fillId="0" borderId="2" xfId="2" applyNumberFormat="1" applyFont="1" applyBorder="1" applyAlignment="1">
      <alignment horizontal="center" vertical="center" wrapText="1"/>
    </xf>
    <xf numFmtId="0" fontId="9" fillId="0" borderId="2" xfId="4" applyFont="1" applyBorder="1" applyAlignment="1">
      <alignment horizontal="center" vertical="top"/>
    </xf>
    <xf numFmtId="0" fontId="9" fillId="0" borderId="9" xfId="2" applyFont="1" applyBorder="1" applyAlignment="1">
      <alignment horizontal="center" vertical="center"/>
    </xf>
    <xf numFmtId="2" fontId="9" fillId="0" borderId="9" xfId="2" applyNumberFormat="1" applyFont="1" applyBorder="1" applyAlignment="1">
      <alignment horizontal="justify" vertical="center" wrapText="1"/>
    </xf>
    <xf numFmtId="0" fontId="10" fillId="0" borderId="6" xfId="3" applyFont="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vertical="center" wrapText="1"/>
    </xf>
    <xf numFmtId="164" fontId="4" fillId="0" borderId="2" xfId="1" applyFont="1" applyFill="1" applyBorder="1" applyAlignment="1">
      <alignment vertical="center"/>
    </xf>
    <xf numFmtId="0" fontId="9" fillId="0" borderId="2" xfId="2" applyFont="1" applyBorder="1" applyAlignment="1">
      <alignment vertical="center"/>
    </xf>
    <xf numFmtId="4" fontId="9" fillId="0" borderId="2" xfId="2" applyNumberFormat="1" applyFont="1" applyBorder="1" applyAlignment="1">
      <alignment horizontal="left" vertical="center" wrapText="1"/>
    </xf>
    <xf numFmtId="4" fontId="9" fillId="0" borderId="2" xfId="2" applyNumberFormat="1" applyFont="1" applyBorder="1" applyAlignment="1">
      <alignment horizontal="center" vertical="center" wrapText="1"/>
    </xf>
    <xf numFmtId="0" fontId="28" fillId="4" borderId="2" xfId="0" applyFont="1" applyFill="1" applyBorder="1" applyAlignment="1">
      <alignment horizontal="left" vertical="center"/>
    </xf>
    <xf numFmtId="0" fontId="4" fillId="4" borderId="2" xfId="0" applyFont="1" applyFill="1" applyBorder="1"/>
    <xf numFmtId="0" fontId="17" fillId="0" borderId="2" xfId="0" applyFont="1" applyBorder="1"/>
    <xf numFmtId="0" fontId="0" fillId="0" borderId="2" xfId="0" applyBorder="1"/>
    <xf numFmtId="0" fontId="17" fillId="0" borderId="2" xfId="0" applyFont="1" applyBorder="1" applyAlignment="1">
      <alignment vertical="center" wrapText="1"/>
    </xf>
    <xf numFmtId="0" fontId="17" fillId="0" borderId="2" xfId="0" applyFont="1" applyBorder="1" applyAlignment="1">
      <alignment horizontal="left" vertical="center" wrapText="1"/>
    </xf>
    <xf numFmtId="0" fontId="17" fillId="0" borderId="2" xfId="0" applyFont="1" applyBorder="1" applyAlignment="1">
      <alignment horizontal="left" vertical="center"/>
    </xf>
    <xf numFmtId="0" fontId="15" fillId="0" borderId="2" xfId="0" applyFont="1" applyBorder="1" applyAlignment="1">
      <alignment horizontal="center" vertical="center"/>
    </xf>
    <xf numFmtId="0" fontId="15" fillId="0" borderId="2" xfId="0" applyFont="1" applyBorder="1" applyAlignment="1">
      <alignment horizontal="left" vertical="center" wrapText="1"/>
    </xf>
    <xf numFmtId="2" fontId="13" fillId="0" borderId="2" xfId="0" applyNumberFormat="1" applyFont="1" applyBorder="1" applyAlignment="1">
      <alignment horizontal="center" vertical="center"/>
    </xf>
    <xf numFmtId="2" fontId="26" fillId="0" borderId="2" xfId="0" applyNumberFormat="1" applyFont="1" applyBorder="1" applyAlignment="1">
      <alignment horizontal="left" vertical="center" wrapText="1"/>
    </xf>
    <xf numFmtId="178" fontId="25" fillId="0" borderId="2" xfId="1"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0" fontId="0" fillId="0" borderId="2" xfId="0" applyBorder="1" applyAlignment="1">
      <alignment horizontal="center" vertical="center" wrapText="1"/>
    </xf>
    <xf numFmtId="165" fontId="0" fillId="0" borderId="2" xfId="0" applyNumberFormat="1" applyBorder="1" applyAlignment="1">
      <alignment horizontal="center" vertical="center"/>
    </xf>
    <xf numFmtId="0" fontId="2" fillId="0" borderId="2" xfId="2" applyBorder="1" applyAlignment="1">
      <alignment horizontal="justify" vertical="top" wrapText="1"/>
    </xf>
    <xf numFmtId="179" fontId="9" fillId="0" borderId="2" xfId="2" applyNumberFormat="1" applyFont="1" applyBorder="1" applyAlignment="1">
      <alignment horizontal="right" vertical="center"/>
    </xf>
    <xf numFmtId="0" fontId="20" fillId="0" borderId="2" xfId="0" applyFont="1" applyBorder="1" applyAlignment="1">
      <alignment vertical="center" wrapText="1"/>
    </xf>
    <xf numFmtId="0" fontId="0" fillId="0" borderId="2" xfId="0" applyBorder="1" applyAlignment="1">
      <alignment vertical="center"/>
    </xf>
    <xf numFmtId="0" fontId="4" fillId="4" borderId="2" xfId="0" applyFont="1" applyFill="1" applyBorder="1" applyAlignment="1">
      <alignment horizontal="left"/>
    </xf>
    <xf numFmtId="0" fontId="2" fillId="0" borderId="2" xfId="2" applyBorder="1" applyAlignment="1">
      <alignment horizontal="center" vertical="center" wrapText="1"/>
    </xf>
    <xf numFmtId="0" fontId="18" fillId="0" borderId="2" xfId="0" applyFont="1" applyBorder="1" applyAlignment="1">
      <alignment horizontal="justify" vertical="center" wrapText="1"/>
    </xf>
    <xf numFmtId="4" fontId="9" fillId="0" borderId="2" xfId="2" applyNumberFormat="1" applyFont="1" applyBorder="1" applyAlignment="1">
      <alignment horizontal="right" vertical="center"/>
    </xf>
    <xf numFmtId="0" fontId="18" fillId="0" borderId="2" xfId="0" applyFont="1" applyBorder="1" applyAlignment="1">
      <alignment horizontal="justify" vertical="center"/>
    </xf>
    <xf numFmtId="0" fontId="16" fillId="0" borderId="2" xfId="0" applyFont="1" applyBorder="1" applyAlignment="1">
      <alignment horizontal="center" vertical="center"/>
    </xf>
    <xf numFmtId="0" fontId="18" fillId="0" borderId="2" xfId="0" applyFont="1" applyBorder="1" applyAlignment="1">
      <alignment horizontal="justify" vertical="top" wrapText="1"/>
    </xf>
    <xf numFmtId="0" fontId="16" fillId="0" borderId="2" xfId="0" applyFont="1" applyBorder="1" applyAlignment="1">
      <alignment horizontal="justify" vertical="center" wrapText="1"/>
    </xf>
    <xf numFmtId="164" fontId="15" fillId="0" borderId="2" xfId="1" applyFont="1" applyFill="1" applyBorder="1" applyAlignment="1">
      <alignment horizontal="left" vertical="center"/>
    </xf>
    <xf numFmtId="0" fontId="18" fillId="0" borderId="2" xfId="0" applyFont="1" applyBorder="1" applyAlignment="1">
      <alignment vertical="center" wrapText="1"/>
    </xf>
    <xf numFmtId="178" fontId="25" fillId="0" borderId="2" xfId="1" applyNumberFormat="1" applyFont="1" applyFill="1" applyBorder="1" applyAlignment="1">
      <alignment horizontal="left" vertical="center" wrapText="1"/>
    </xf>
    <xf numFmtId="0" fontId="8" fillId="5" borderId="2" xfId="0" applyFont="1" applyFill="1" applyBorder="1" applyAlignment="1">
      <alignment vertical="center"/>
    </xf>
    <xf numFmtId="166" fontId="9" fillId="0" borderId="2" xfId="2" applyNumberFormat="1" applyFont="1" applyBorder="1" applyAlignment="1">
      <alignment horizontal="center" vertical="center" wrapText="1"/>
    </xf>
    <xf numFmtId="0" fontId="4" fillId="5" borderId="2" xfId="0" applyFont="1" applyFill="1" applyBorder="1"/>
    <xf numFmtId="0" fontId="20" fillId="0" borderId="2" xfId="0" applyFont="1" applyBorder="1" applyAlignment="1">
      <alignment vertical="top" wrapText="1"/>
    </xf>
    <xf numFmtId="0" fontId="9" fillId="0" borderId="2" xfId="0" applyFont="1" applyBorder="1" applyAlignment="1">
      <alignment vertical="center" wrapText="1"/>
    </xf>
    <xf numFmtId="165" fontId="4" fillId="0" borderId="2" xfId="0" applyNumberFormat="1" applyFont="1" applyBorder="1" applyAlignment="1">
      <alignment horizontal="center" vertical="center"/>
    </xf>
    <xf numFmtId="171" fontId="4" fillId="0" borderId="2" xfId="0" applyNumberFormat="1" applyFont="1" applyBorder="1" applyAlignment="1">
      <alignment horizontal="center" vertical="center"/>
    </xf>
    <xf numFmtId="165" fontId="11" fillId="0" borderId="2" xfId="0" applyNumberFormat="1" applyFont="1" applyBorder="1" applyAlignment="1">
      <alignment horizontal="center" vertical="center"/>
    </xf>
    <xf numFmtId="4" fontId="9" fillId="0" borderId="2" xfId="2" applyNumberFormat="1" applyFont="1" applyBorder="1" applyAlignment="1">
      <alignment horizontal="justify" vertical="center" wrapText="1"/>
    </xf>
    <xf numFmtId="0" fontId="9" fillId="0" borderId="2" xfId="3" applyFont="1" applyBorder="1" applyAlignment="1">
      <alignment horizontal="center" vertical="center" wrapText="1"/>
    </xf>
    <xf numFmtId="0" fontId="9" fillId="0" borderId="2" xfId="12" applyFont="1" applyBorder="1" applyAlignment="1">
      <alignment horizontal="center" vertical="center" wrapText="1"/>
    </xf>
    <xf numFmtId="175" fontId="9" fillId="0" borderId="2" xfId="0" applyNumberFormat="1" applyFont="1" applyBorder="1" applyAlignment="1">
      <alignment horizontal="center" vertical="center"/>
    </xf>
    <xf numFmtId="164" fontId="17" fillId="0" borderId="2" xfId="1" applyFont="1" applyFill="1" applyBorder="1" applyAlignment="1">
      <alignment vertical="center"/>
    </xf>
    <xf numFmtId="0" fontId="2" fillId="0" borderId="2" xfId="2" applyBorder="1" applyAlignment="1">
      <alignment horizontal="justify" vertical="center" wrapText="1"/>
    </xf>
    <xf numFmtId="164" fontId="15" fillId="0" borderId="2" xfId="1" applyFont="1" applyFill="1" applyBorder="1" applyAlignment="1">
      <alignment horizontal="center" vertical="center"/>
    </xf>
    <xf numFmtId="0" fontId="16" fillId="0" borderId="2" xfId="0" applyFont="1" applyBorder="1" applyAlignment="1">
      <alignment vertical="center" wrapText="1"/>
    </xf>
    <xf numFmtId="3" fontId="9" fillId="0" borderId="2" xfId="2" applyNumberFormat="1" applyFont="1" applyBorder="1" applyAlignment="1">
      <alignment horizontal="right" vertical="center"/>
    </xf>
    <xf numFmtId="0" fontId="10" fillId="0" borderId="2" xfId="0" applyFont="1" applyBorder="1" applyAlignment="1">
      <alignment horizontal="center" vertical="center"/>
    </xf>
    <xf numFmtId="0" fontId="10" fillId="0" borderId="2" xfId="0" applyFont="1" applyBorder="1" applyAlignment="1">
      <alignment vertical="top" wrapText="1"/>
    </xf>
    <xf numFmtId="164" fontId="10" fillId="0" borderId="2" xfId="1" applyFont="1" applyFill="1" applyBorder="1" applyAlignment="1">
      <alignment vertical="center" wrapText="1"/>
    </xf>
    <xf numFmtId="164" fontId="10" fillId="0" borderId="2" xfId="1" applyFont="1" applyFill="1" applyBorder="1" applyAlignment="1">
      <alignment vertical="center"/>
    </xf>
    <xf numFmtId="0" fontId="9" fillId="0" borderId="2" xfId="0" applyFont="1" applyBorder="1" applyAlignment="1">
      <alignment vertical="top"/>
    </xf>
    <xf numFmtId="0" fontId="10" fillId="0" borderId="2" xfId="0" applyFont="1" applyBorder="1" applyAlignment="1">
      <alignment vertical="top"/>
    </xf>
    <xf numFmtId="0" fontId="9" fillId="0" borderId="2" xfId="0" applyFont="1" applyBorder="1" applyAlignment="1">
      <alignment vertical="top" wrapText="1"/>
    </xf>
    <xf numFmtId="0" fontId="8" fillId="5" borderId="2" xfId="0" applyFont="1" applyFill="1" applyBorder="1" applyAlignment="1">
      <alignment horizontal="center" vertical="center"/>
    </xf>
    <xf numFmtId="0" fontId="28" fillId="4" borderId="2" xfId="0" applyFont="1" applyFill="1" applyBorder="1" applyAlignment="1">
      <alignment horizontal="center" vertical="center"/>
    </xf>
    <xf numFmtId="179" fontId="9" fillId="0" borderId="2" xfId="2" applyNumberFormat="1" applyFont="1" applyBorder="1" applyAlignment="1">
      <alignment horizontal="center" vertical="center"/>
    </xf>
    <xf numFmtId="4" fontId="9" fillId="0" borderId="2" xfId="2" applyNumberFormat="1" applyFont="1" applyBorder="1" applyAlignment="1">
      <alignment horizontal="center" vertical="center"/>
    </xf>
    <xf numFmtId="2" fontId="25" fillId="0" borderId="2" xfId="0" applyNumberFormat="1" applyFont="1" applyBorder="1" applyAlignment="1">
      <alignment horizontal="center" vertical="center" wrapText="1"/>
    </xf>
    <xf numFmtId="176" fontId="8" fillId="5" borderId="2" xfId="0" applyNumberFormat="1" applyFont="1" applyFill="1" applyBorder="1" applyAlignment="1">
      <alignment horizontal="center" vertical="center"/>
    </xf>
    <xf numFmtId="176" fontId="9" fillId="0" borderId="2" xfId="1" applyNumberFormat="1" applyFont="1" applyFill="1" applyBorder="1" applyAlignment="1">
      <alignment horizontal="center" vertical="center" wrapText="1"/>
    </xf>
    <xf numFmtId="176" fontId="9" fillId="0" borderId="2" xfId="1" applyNumberFormat="1" applyFont="1" applyFill="1" applyBorder="1" applyAlignment="1">
      <alignment horizontal="center" vertical="center" wrapText="1" readingOrder="1"/>
    </xf>
    <xf numFmtId="176" fontId="9" fillId="0" borderId="2" xfId="1" applyNumberFormat="1" applyFont="1" applyFill="1" applyBorder="1" applyAlignment="1">
      <alignment horizontal="center" vertical="center"/>
    </xf>
    <xf numFmtId="176" fontId="30" fillId="0" borderId="2" xfId="1" applyNumberFormat="1" applyFont="1" applyFill="1" applyBorder="1" applyAlignment="1">
      <alignment horizontal="center" vertical="center" wrapText="1"/>
    </xf>
    <xf numFmtId="176" fontId="4" fillId="0" borderId="2" xfId="1" applyNumberFormat="1" applyFont="1" applyFill="1" applyBorder="1" applyAlignment="1">
      <alignment horizontal="center" vertical="center"/>
    </xf>
    <xf numFmtId="176" fontId="17" fillId="0" borderId="2" xfId="0" applyNumberFormat="1" applyFont="1" applyBorder="1" applyAlignment="1">
      <alignment horizontal="center" vertical="center"/>
    </xf>
    <xf numFmtId="176" fontId="9" fillId="0" borderId="2" xfId="0" applyNumberFormat="1" applyFont="1" applyBorder="1" applyAlignment="1">
      <alignment horizontal="center" vertical="center"/>
    </xf>
    <xf numFmtId="176" fontId="0" fillId="0" borderId="2" xfId="0" applyNumberFormat="1" applyBorder="1" applyAlignment="1">
      <alignment horizontal="center" vertical="center"/>
    </xf>
    <xf numFmtId="176" fontId="25" fillId="0" borderId="2" xfId="9" applyNumberFormat="1" applyFont="1" applyFill="1" applyBorder="1" applyAlignment="1">
      <alignment horizontal="center" vertical="center" wrapText="1"/>
    </xf>
    <xf numFmtId="176" fontId="28" fillId="4" borderId="2" xfId="0" applyNumberFormat="1" applyFont="1" applyFill="1" applyBorder="1" applyAlignment="1">
      <alignment horizontal="center" vertical="center"/>
    </xf>
    <xf numFmtId="176" fontId="9" fillId="0" borderId="2" xfId="2" applyNumberFormat="1" applyFont="1" applyBorder="1" applyAlignment="1">
      <alignment horizontal="center" vertical="center"/>
    </xf>
    <xf numFmtId="176" fontId="9" fillId="0" borderId="2" xfId="2" applyNumberFormat="1" applyFont="1" applyBorder="1" applyAlignment="1">
      <alignment horizontal="center" vertical="center" wrapText="1"/>
    </xf>
    <xf numFmtId="176" fontId="15" fillId="0" borderId="2" xfId="0" applyNumberFormat="1" applyFont="1" applyBorder="1" applyAlignment="1">
      <alignment horizontal="center" vertical="center"/>
    </xf>
    <xf numFmtId="176" fontId="25" fillId="0" borderId="2" xfId="0" applyNumberFormat="1" applyFont="1" applyBorder="1" applyAlignment="1">
      <alignment horizontal="center" vertical="center" wrapText="1"/>
    </xf>
    <xf numFmtId="176" fontId="10" fillId="0" borderId="2" xfId="1" applyNumberFormat="1" applyFont="1" applyFill="1" applyBorder="1" applyAlignment="1">
      <alignment horizontal="center" vertical="center" wrapText="1"/>
    </xf>
    <xf numFmtId="176" fontId="10" fillId="0" borderId="2" xfId="1" applyNumberFormat="1" applyFont="1" applyFill="1" applyBorder="1" applyAlignment="1">
      <alignment horizontal="center" vertical="center"/>
    </xf>
    <xf numFmtId="176" fontId="4" fillId="0" borderId="0" xfId="1" applyNumberFormat="1" applyFont="1" applyFill="1" applyAlignment="1">
      <alignment horizontal="center" vertical="center"/>
    </xf>
    <xf numFmtId="0" fontId="9" fillId="0" borderId="9" xfId="4" applyFont="1" applyBorder="1" applyAlignment="1">
      <alignment horizontal="center" vertical="center" wrapText="1"/>
    </xf>
    <xf numFmtId="176" fontId="9" fillId="0" borderId="9" xfId="1" applyNumberFormat="1" applyFont="1" applyFill="1" applyBorder="1" applyAlignment="1">
      <alignment horizontal="center" vertical="center"/>
    </xf>
    <xf numFmtId="176" fontId="9" fillId="0" borderId="6" xfId="1" applyNumberFormat="1" applyFont="1" applyFill="1" applyBorder="1" applyAlignment="1">
      <alignment horizontal="center" vertical="center"/>
    </xf>
    <xf numFmtId="1" fontId="10" fillId="0" borderId="6" xfId="4" applyNumberFormat="1" applyFont="1" applyBorder="1" applyAlignment="1">
      <alignment horizontal="justify" vertical="center" wrapText="1"/>
    </xf>
    <xf numFmtId="0" fontId="9" fillId="0" borderId="9" xfId="3" applyFont="1" applyBorder="1" applyAlignment="1">
      <alignment horizontal="justify" vertical="center" wrapText="1"/>
    </xf>
    <xf numFmtId="176" fontId="15" fillId="0" borderId="2" xfId="0" applyNumberFormat="1" applyFont="1" applyBorder="1" applyAlignment="1">
      <alignment horizontal="center" vertical="center" wrapText="1"/>
    </xf>
    <xf numFmtId="176" fontId="9" fillId="0" borderId="9" xfId="1" applyNumberFormat="1" applyFont="1" applyFill="1" applyBorder="1" applyAlignment="1">
      <alignment horizontal="center" vertical="center" wrapText="1" readingOrder="1"/>
    </xf>
    <xf numFmtId="0" fontId="9" fillId="0" borderId="9" xfId="2" applyFont="1" applyBorder="1" applyAlignment="1">
      <alignment horizontal="justify" vertical="center" wrapText="1"/>
    </xf>
    <xf numFmtId="0" fontId="9" fillId="0" borderId="6" xfId="2" applyFont="1" applyBorder="1" applyAlignment="1">
      <alignment horizontal="justify" vertical="center" wrapText="1"/>
    </xf>
    <xf numFmtId="3" fontId="9" fillId="0" borderId="2" xfId="3" applyNumberFormat="1" applyFont="1" applyBorder="1" applyAlignment="1">
      <alignment vertical="center"/>
    </xf>
    <xf numFmtId="178" fontId="4" fillId="0" borderId="0" xfId="0" applyNumberFormat="1" applyFont="1"/>
    <xf numFmtId="43" fontId="4" fillId="0" borderId="0" xfId="0" applyNumberFormat="1" applyFont="1"/>
    <xf numFmtId="164" fontId="10" fillId="3" borderId="9" xfId="1" applyFont="1" applyFill="1" applyBorder="1" applyAlignment="1">
      <alignment horizontal="right" vertical="center" wrapText="1"/>
    </xf>
    <xf numFmtId="0" fontId="29" fillId="0" borderId="19" xfId="0" applyFont="1" applyBorder="1" applyAlignment="1">
      <alignment horizontal="justify" vertical="center"/>
    </xf>
    <xf numFmtId="3" fontId="4" fillId="0" borderId="0" xfId="0" applyNumberFormat="1" applyFont="1"/>
    <xf numFmtId="0" fontId="32" fillId="0" borderId="0" xfId="0" applyFont="1"/>
    <xf numFmtId="0" fontId="33" fillId="0" borderId="0" xfId="0" applyFont="1"/>
    <xf numFmtId="43" fontId="32" fillId="0" borderId="0" xfId="0" applyNumberFormat="1" applyFont="1"/>
    <xf numFmtId="0" fontId="34" fillId="0" borderId="0" xfId="5" applyFont="1"/>
    <xf numFmtId="0" fontId="32" fillId="0" borderId="0" xfId="0" applyFont="1" applyAlignment="1">
      <alignment vertical="center"/>
    </xf>
    <xf numFmtId="0" fontId="31" fillId="0" borderId="0" xfId="0" applyFont="1"/>
    <xf numFmtId="3" fontId="35" fillId="0" borderId="2" xfId="3" applyNumberFormat="1" applyFont="1" applyBorder="1" applyAlignment="1">
      <alignment vertical="center"/>
    </xf>
    <xf numFmtId="169" fontId="9" fillId="0" borderId="9" xfId="2" applyNumberFormat="1" applyFont="1" applyBorder="1" applyAlignment="1">
      <alignment horizontal="center" vertical="center" wrapText="1"/>
    </xf>
    <xf numFmtId="164" fontId="9" fillId="0" borderId="9" xfId="1" applyFont="1" applyFill="1" applyBorder="1" applyAlignment="1">
      <alignment vertical="center"/>
    </xf>
    <xf numFmtId="0" fontId="9" fillId="0" borderId="6" xfId="0" applyFont="1" applyBorder="1" applyAlignment="1">
      <alignment horizontal="justify" vertical="center" wrapText="1"/>
    </xf>
    <xf numFmtId="169" fontId="9" fillId="0" borderId="6" xfId="2" applyNumberFormat="1" applyFont="1" applyBorder="1" applyAlignment="1">
      <alignment horizontal="center" vertical="center" wrapText="1"/>
    </xf>
    <xf numFmtId="164" fontId="9" fillId="0" borderId="6" xfId="1" applyFont="1" applyFill="1" applyBorder="1" applyAlignment="1">
      <alignment vertical="center"/>
    </xf>
    <xf numFmtId="0" fontId="29" fillId="0" borderId="6" xfId="0" applyFont="1" applyBorder="1" applyAlignment="1">
      <alignment horizontal="justify" vertical="center" wrapText="1"/>
    </xf>
    <xf numFmtId="0" fontId="9" fillId="0" borderId="9" xfId="0" applyFont="1" applyBorder="1" applyAlignment="1">
      <alignment horizontal="justify" vertical="center"/>
    </xf>
    <xf numFmtId="0" fontId="36" fillId="0" borderId="6" xfId="0" applyFont="1" applyBorder="1" applyAlignment="1">
      <alignment horizontal="justify" vertical="center"/>
    </xf>
    <xf numFmtId="0" fontId="37" fillId="5" borderId="2" xfId="0" applyFont="1" applyFill="1" applyBorder="1" applyAlignment="1">
      <alignment vertical="center"/>
    </xf>
    <xf numFmtId="0" fontId="39" fillId="4" borderId="2" xfId="0" applyFont="1" applyFill="1" applyBorder="1"/>
    <xf numFmtId="0" fontId="39" fillId="5" borderId="2" xfId="0" applyFont="1" applyFill="1" applyBorder="1"/>
    <xf numFmtId="0" fontId="9" fillId="0" borderId="6" xfId="2" applyFont="1" applyBorder="1" applyAlignment="1">
      <alignment horizontal="center" vertical="center" wrapText="1"/>
    </xf>
    <xf numFmtId="4" fontId="9" fillId="0" borderId="6" xfId="2" applyNumberFormat="1" applyFont="1" applyBorder="1" applyAlignment="1">
      <alignment horizontal="left" vertical="center" wrapText="1"/>
    </xf>
    <xf numFmtId="4" fontId="9" fillId="0" borderId="6" xfId="2" applyNumberFormat="1" applyFont="1" applyBorder="1" applyAlignment="1">
      <alignment horizontal="center" vertical="center" wrapText="1"/>
    </xf>
    <xf numFmtId="176" fontId="9" fillId="0" borderId="6" xfId="1" applyNumberFormat="1" applyFont="1" applyFill="1" applyBorder="1" applyAlignment="1">
      <alignment horizontal="center" vertical="center" wrapText="1"/>
    </xf>
    <xf numFmtId="164" fontId="9" fillId="0" borderId="6" xfId="1" applyFont="1" applyFill="1" applyBorder="1" applyAlignment="1">
      <alignment horizontal="left" vertical="center" wrapText="1"/>
    </xf>
    <xf numFmtId="0" fontId="9" fillId="0" borderId="9" xfId="2" applyFont="1" applyBorder="1" applyAlignment="1">
      <alignment horizontal="center" vertical="center" wrapText="1"/>
    </xf>
    <xf numFmtId="4" fontId="9" fillId="0" borderId="9" xfId="2" applyNumberFormat="1" applyFont="1" applyBorder="1" applyAlignment="1">
      <alignment horizontal="left" vertical="center" wrapText="1"/>
    </xf>
    <xf numFmtId="176" fontId="9" fillId="0" borderId="9" xfId="1" applyNumberFormat="1" applyFont="1" applyFill="1" applyBorder="1" applyAlignment="1">
      <alignment horizontal="center" vertical="center" wrapText="1"/>
    </xf>
    <xf numFmtId="164" fontId="9" fillId="0" borderId="9" xfId="1" applyFont="1" applyFill="1" applyBorder="1" applyAlignment="1">
      <alignment horizontal="right" vertical="center" wrapText="1"/>
    </xf>
    <xf numFmtId="165" fontId="9" fillId="0" borderId="6" xfId="2" applyNumberFormat="1" applyFont="1" applyBorder="1" applyAlignment="1">
      <alignment horizontal="center" vertical="center" wrapText="1"/>
    </xf>
    <xf numFmtId="0" fontId="39" fillId="0" borderId="2" xfId="0" applyFont="1" applyBorder="1"/>
    <xf numFmtId="0" fontId="41" fillId="0" borderId="2" xfId="0" applyFont="1" applyBorder="1"/>
    <xf numFmtId="0" fontId="44" fillId="0" borderId="2" xfId="0" applyFont="1" applyBorder="1" applyAlignment="1">
      <alignment vertical="center" wrapText="1"/>
    </xf>
    <xf numFmtId="0" fontId="9" fillId="0" borderId="6" xfId="3" applyFont="1" applyBorder="1" applyAlignment="1">
      <alignment horizontal="justify" vertical="center" wrapText="1"/>
    </xf>
    <xf numFmtId="0" fontId="9" fillId="0" borderId="6" xfId="3" applyFont="1" applyBorder="1" applyAlignment="1">
      <alignment horizontal="center" vertical="center" wrapText="1"/>
    </xf>
    <xf numFmtId="164" fontId="9" fillId="0" borderId="6" xfId="1" applyFont="1" applyFill="1" applyBorder="1" applyAlignment="1">
      <alignment horizontal="right" vertical="center" wrapText="1"/>
    </xf>
    <xf numFmtId="0" fontId="9" fillId="0" borderId="9" xfId="0" applyFont="1" applyBorder="1" applyAlignment="1">
      <alignment horizontal="center" vertical="center"/>
    </xf>
    <xf numFmtId="176" fontId="9" fillId="0" borderId="6" xfId="1" applyNumberFormat="1" applyFont="1" applyFill="1" applyBorder="1" applyAlignment="1">
      <alignment horizontal="center" vertical="center" wrapText="1" readingOrder="1"/>
    </xf>
    <xf numFmtId="164" fontId="9" fillId="0" borderId="6" xfId="1" applyFont="1" applyFill="1" applyBorder="1" applyAlignment="1">
      <alignment horizontal="center" vertical="center" wrapText="1" readingOrder="1"/>
    </xf>
    <xf numFmtId="0" fontId="9" fillId="0" borderId="9" xfId="2" applyFont="1" applyBorder="1" applyAlignment="1">
      <alignment horizontal="justify" vertical="center"/>
    </xf>
    <xf numFmtId="0" fontId="9" fillId="0" borderId="6" xfId="2" applyFont="1" applyBorder="1" applyAlignment="1">
      <alignment horizontal="justify" vertical="center"/>
    </xf>
    <xf numFmtId="0" fontId="9" fillId="0" borderId="6" xfId="6" applyFont="1" applyBorder="1" applyAlignment="1">
      <alignment horizontal="justify" vertical="center" wrapText="1"/>
    </xf>
    <xf numFmtId="178" fontId="4" fillId="0" borderId="2" xfId="1" applyNumberFormat="1" applyFont="1" applyFill="1" applyBorder="1"/>
    <xf numFmtId="0" fontId="42" fillId="0" borderId="2" xfId="0" applyFont="1" applyBorder="1" applyAlignment="1">
      <alignment horizontal="left" vertical="center"/>
    </xf>
    <xf numFmtId="1" fontId="13" fillId="0" borderId="2" xfId="0" applyNumberFormat="1" applyFont="1" applyBorder="1" applyAlignment="1">
      <alignment horizontal="right" vertical="center"/>
    </xf>
    <xf numFmtId="164" fontId="6" fillId="2" borderId="2" xfId="1" applyFont="1" applyFill="1" applyBorder="1" applyAlignment="1">
      <alignment horizontal="center" vertical="center" wrapText="1"/>
    </xf>
    <xf numFmtId="164" fontId="6" fillId="2" borderId="2" xfId="1" applyFont="1" applyFill="1" applyBorder="1" applyAlignment="1">
      <alignment horizontal="center" vertical="center"/>
    </xf>
    <xf numFmtId="0" fontId="38" fillId="4" borderId="2" xfId="0" applyFont="1" applyFill="1" applyBorder="1" applyAlignment="1">
      <alignment horizontal="left" vertical="center"/>
    </xf>
    <xf numFmtId="0" fontId="37" fillId="5" borderId="2" xfId="0" applyFont="1" applyFill="1" applyBorder="1" applyAlignment="1">
      <alignment horizontal="left" vertical="center"/>
    </xf>
    <xf numFmtId="0" fontId="6" fillId="2" borderId="2" xfId="2" applyFont="1" applyFill="1" applyBorder="1" applyAlignment="1">
      <alignment horizontal="center" vertical="center"/>
    </xf>
    <xf numFmtId="0" fontId="6" fillId="2" borderId="2" xfId="2" applyFont="1" applyFill="1" applyBorder="1" applyAlignment="1">
      <alignment horizontal="center" vertical="center" wrapText="1"/>
    </xf>
    <xf numFmtId="176" fontId="6" fillId="2" borderId="2" xfId="1" applyNumberFormat="1" applyFont="1" applyFill="1" applyBorder="1" applyAlignment="1">
      <alignment horizontal="center" vertical="center"/>
    </xf>
    <xf numFmtId="0" fontId="5" fillId="2" borderId="2" xfId="0" applyFont="1" applyFill="1" applyBorder="1" applyAlignment="1">
      <alignment horizontal="center" vertical="center"/>
    </xf>
    <xf numFmtId="0" fontId="9" fillId="0" borderId="2" xfId="4" applyFont="1" applyBorder="1" applyAlignment="1">
      <alignment horizontal="center" vertical="center"/>
    </xf>
    <xf numFmtId="0" fontId="10" fillId="0" borderId="2" xfId="3" applyFont="1" applyBorder="1" applyAlignment="1">
      <alignment horizontal="right" vertical="center"/>
    </xf>
    <xf numFmtId="0" fontId="9" fillId="0" borderId="2" xfId="2" applyFont="1" applyBorder="1" applyAlignment="1">
      <alignment horizontal="center" vertical="center" wrapText="1"/>
    </xf>
    <xf numFmtId="0" fontId="10" fillId="0" borderId="2" xfId="0" applyFont="1" applyBorder="1" applyAlignment="1">
      <alignment horizontal="right" vertical="center"/>
    </xf>
    <xf numFmtId="0" fontId="0" fillId="0" borderId="2" xfId="0" applyBorder="1" applyAlignment="1">
      <alignment horizontal="right" vertical="center"/>
    </xf>
    <xf numFmtId="0" fontId="13" fillId="0" borderId="2" xfId="0" applyFont="1" applyBorder="1" applyAlignment="1">
      <alignment horizontal="right" vertical="center"/>
    </xf>
    <xf numFmtId="0" fontId="8" fillId="0" borderId="2" xfId="0" applyFont="1" applyBorder="1" applyAlignment="1">
      <alignment horizontal="right" vertical="center"/>
    </xf>
    <xf numFmtId="0" fontId="40" fillId="0" borderId="2" xfId="0" applyFont="1" applyBorder="1" applyAlignment="1">
      <alignment horizontal="left" vertical="center"/>
    </xf>
    <xf numFmtId="0" fontId="12" fillId="0" borderId="2" xfId="0" applyFont="1" applyBorder="1" applyAlignment="1">
      <alignment horizontal="left" vertical="center"/>
    </xf>
    <xf numFmtId="0" fontId="40" fillId="0" borderId="2" xfId="0" applyFont="1" applyBorder="1" applyAlignment="1">
      <alignment horizontal="left" vertical="center" wrapText="1"/>
    </xf>
    <xf numFmtId="0" fontId="9" fillId="0" borderId="6" xfId="2" applyFont="1" applyBorder="1" applyAlignment="1">
      <alignment horizontal="center" vertical="center" wrapText="1"/>
    </xf>
    <xf numFmtId="0" fontId="9" fillId="0" borderId="9" xfId="2" applyFont="1" applyBorder="1" applyAlignment="1">
      <alignment horizontal="center" vertical="center" wrapText="1"/>
    </xf>
    <xf numFmtId="0" fontId="37" fillId="0" borderId="2" xfId="0" applyFont="1" applyBorder="1" applyAlignment="1">
      <alignment horizontal="left" vertical="center"/>
    </xf>
    <xf numFmtId="0" fontId="10" fillId="0" borderId="2" xfId="2" applyFont="1" applyBorder="1" applyAlignment="1">
      <alignment horizontal="right" vertical="center" wrapText="1"/>
    </xf>
    <xf numFmtId="0" fontId="10" fillId="0" borderId="2" xfId="2" applyFont="1" applyBorder="1" applyAlignment="1">
      <alignment horizontal="right" vertical="center"/>
    </xf>
    <xf numFmtId="2" fontId="10" fillId="0" borderId="2" xfId="0" applyNumberFormat="1" applyFont="1" applyBorder="1" applyAlignment="1">
      <alignment horizontal="right" vertical="center" wrapText="1" readingOrder="1"/>
    </xf>
    <xf numFmtId="0" fontId="3" fillId="0" borderId="1" xfId="2" applyFont="1" applyBorder="1" applyAlignment="1">
      <alignment horizontal="center" vertical="top" wrapText="1"/>
    </xf>
    <xf numFmtId="0" fontId="5" fillId="0" borderId="1" xfId="0" applyFont="1" applyBorder="1" applyAlignment="1">
      <alignment horizontal="right" vertical="center"/>
    </xf>
    <xf numFmtId="0" fontId="43" fillId="0" borderId="3" xfId="0" applyFont="1" applyBorder="1" applyAlignment="1">
      <alignment horizontal="left" vertical="center" wrapText="1"/>
    </xf>
    <xf numFmtId="0" fontId="43" fillId="0" borderId="5" xfId="0" applyFont="1" applyBorder="1" applyAlignment="1">
      <alignment horizontal="left" vertical="center" wrapText="1"/>
    </xf>
    <xf numFmtId="0" fontId="43" fillId="0" borderId="4" xfId="0" applyFont="1" applyBorder="1" applyAlignment="1">
      <alignment horizontal="left" vertical="center" wrapText="1"/>
    </xf>
    <xf numFmtId="0" fontId="40" fillId="5" borderId="3" xfId="0" applyFont="1" applyFill="1" applyBorder="1" applyAlignment="1">
      <alignment horizontal="left" vertical="center"/>
    </xf>
    <xf numFmtId="0" fontId="40" fillId="5" borderId="5" xfId="0" applyFont="1" applyFill="1" applyBorder="1" applyAlignment="1">
      <alignment horizontal="left" vertical="center"/>
    </xf>
    <xf numFmtId="0" fontId="40" fillId="5" borderId="4" xfId="0" applyFont="1" applyFill="1" applyBorder="1" applyAlignment="1">
      <alignment horizontal="left" vertical="center"/>
    </xf>
    <xf numFmtId="0" fontId="28" fillId="4" borderId="14" xfId="0" applyFont="1" applyFill="1" applyBorder="1" applyAlignment="1">
      <alignment horizontal="left" vertical="center"/>
    </xf>
    <xf numFmtId="0" fontId="28" fillId="4" borderId="12" xfId="0" applyFont="1" applyFill="1" applyBorder="1" applyAlignment="1">
      <alignment horizontal="left" vertical="center"/>
    </xf>
    <xf numFmtId="0" fontId="8" fillId="0" borderId="10" xfId="0" applyFont="1" applyBorder="1" applyAlignment="1">
      <alignment horizontal="left" vertical="center"/>
    </xf>
    <xf numFmtId="0" fontId="8" fillId="0" borderId="1" xfId="0" applyFont="1" applyBorder="1" applyAlignment="1">
      <alignment horizontal="left" vertical="center"/>
    </xf>
    <xf numFmtId="0" fontId="8" fillId="0" borderId="11"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5" xfId="0" applyFont="1" applyBorder="1" applyAlignment="1">
      <alignment horizontal="left" vertical="center"/>
    </xf>
    <xf numFmtId="0" fontId="8" fillId="0" borderId="4" xfId="0" applyFont="1" applyBorder="1" applyAlignment="1">
      <alignment horizontal="left" vertical="center"/>
    </xf>
    <xf numFmtId="0" fontId="9" fillId="0" borderId="15" xfId="4" applyFont="1" applyBorder="1" applyAlignment="1">
      <alignment horizontal="center" vertical="center"/>
    </xf>
    <xf numFmtId="0" fontId="10" fillId="0" borderId="6" xfId="3" applyFont="1" applyBorder="1" applyAlignment="1">
      <alignment horizontal="right" vertical="center"/>
    </xf>
    <xf numFmtId="0" fontId="28" fillId="4" borderId="21" xfId="0" applyFont="1" applyFill="1" applyBorder="1" applyAlignment="1">
      <alignment horizontal="left" vertical="center"/>
    </xf>
    <xf numFmtId="0" fontId="28" fillId="4" borderId="15" xfId="0" applyFont="1" applyFill="1" applyBorder="1" applyAlignment="1">
      <alignment horizontal="left" vertical="center"/>
    </xf>
    <xf numFmtId="0" fontId="28" fillId="4" borderId="18" xfId="0" applyFont="1" applyFill="1" applyBorder="1" applyAlignment="1">
      <alignment horizontal="left" vertical="center"/>
    </xf>
    <xf numFmtId="0" fontId="8" fillId="0" borderId="9" xfId="0" applyFont="1" applyBorder="1" applyAlignment="1">
      <alignment horizontal="left" vertical="center"/>
    </xf>
    <xf numFmtId="0" fontId="9" fillId="0" borderId="15" xfId="2" applyFont="1" applyBorder="1" applyAlignment="1">
      <alignment horizontal="center" vertical="center" wrapText="1"/>
    </xf>
    <xf numFmtId="0" fontId="9" fillId="0" borderId="19" xfId="2" applyFont="1" applyBorder="1" applyAlignment="1">
      <alignment horizontal="center" vertical="center" wrapText="1"/>
    </xf>
    <xf numFmtId="0" fontId="9" fillId="0" borderId="19" xfId="4" applyFont="1" applyBorder="1" applyAlignment="1">
      <alignment horizontal="center" vertical="center"/>
    </xf>
    <xf numFmtId="0" fontId="28" fillId="4" borderId="22" xfId="0" applyFont="1" applyFill="1" applyBorder="1" applyAlignment="1">
      <alignment horizontal="left" vertical="center"/>
    </xf>
    <xf numFmtId="0" fontId="28" fillId="4" borderId="23" xfId="0" applyFont="1" applyFill="1" applyBorder="1" applyAlignment="1">
      <alignment horizontal="left" vertical="center"/>
    </xf>
    <xf numFmtId="0" fontId="28" fillId="4" borderId="24" xfId="0" applyFont="1" applyFill="1" applyBorder="1" applyAlignment="1">
      <alignment horizontal="left" vertical="center"/>
    </xf>
    <xf numFmtId="0" fontId="10" fillId="0" borderId="6" xfId="2" applyFont="1" applyBorder="1" applyAlignment="1">
      <alignment horizontal="right" vertical="center" wrapText="1"/>
    </xf>
    <xf numFmtId="0" fontId="21" fillId="0" borderId="9" xfId="0" applyFont="1" applyBorder="1" applyAlignment="1">
      <alignment horizontal="left" vertical="center" wrapText="1"/>
    </xf>
    <xf numFmtId="0" fontId="13" fillId="0" borderId="2" xfId="0" applyFont="1" applyBorder="1" applyAlignment="1">
      <alignment horizontal="left" vertical="center"/>
    </xf>
    <xf numFmtId="1" fontId="13" fillId="0" borderId="3" xfId="0" applyNumberFormat="1" applyFont="1" applyBorder="1" applyAlignment="1">
      <alignment horizontal="right" vertical="center"/>
    </xf>
    <xf numFmtId="1" fontId="13" fillId="0" borderId="5" xfId="0" applyNumberFormat="1" applyFont="1" applyBorder="1" applyAlignment="1">
      <alignment horizontal="right" vertical="center"/>
    </xf>
    <xf numFmtId="1" fontId="13" fillId="0" borderId="4" xfId="0" applyNumberFormat="1" applyFont="1" applyBorder="1" applyAlignment="1">
      <alignment horizontal="right" vertical="center"/>
    </xf>
    <xf numFmtId="0" fontId="13" fillId="0" borderId="9" xfId="0" applyFont="1" applyBorder="1" applyAlignment="1">
      <alignment horizontal="left" vertical="center"/>
    </xf>
    <xf numFmtId="0" fontId="21" fillId="0" borderId="2" xfId="0" applyFont="1" applyBorder="1" applyAlignment="1">
      <alignment horizontal="left" vertical="center" wrapText="1"/>
    </xf>
    <xf numFmtId="1" fontId="13" fillId="0" borderId="9" xfId="0" applyNumberFormat="1" applyFont="1" applyBorder="1" applyAlignment="1">
      <alignment horizontal="right" vertical="center"/>
    </xf>
    <xf numFmtId="0" fontId="21" fillId="0" borderId="9" xfId="0" applyFont="1" applyBorder="1" applyAlignment="1">
      <alignment horizontal="left" vertical="center"/>
    </xf>
    <xf numFmtId="0" fontId="12" fillId="0" borderId="9" xfId="0" applyFont="1" applyBorder="1" applyAlignment="1">
      <alignment horizontal="left" vertical="center"/>
    </xf>
    <xf numFmtId="0" fontId="13" fillId="0" borderId="6" xfId="0" applyFont="1" applyBorder="1" applyAlignment="1">
      <alignment horizontal="right" vertical="center"/>
    </xf>
    <xf numFmtId="0" fontId="14" fillId="0" borderId="2" xfId="0" applyFont="1" applyBorder="1" applyAlignment="1">
      <alignment horizontal="left" vertical="center" wrapText="1"/>
    </xf>
    <xf numFmtId="0" fontId="10" fillId="0" borderId="9" xfId="3" applyFont="1" applyBorder="1" applyAlignment="1">
      <alignment horizontal="right" vertical="center"/>
    </xf>
    <xf numFmtId="0" fontId="0" fillId="0" borderId="7" xfId="0" applyBorder="1" applyAlignment="1">
      <alignment horizontal="right" vertical="center"/>
    </xf>
    <xf numFmtId="0" fontId="0" fillId="0" borderId="20" xfId="0" applyBorder="1" applyAlignment="1">
      <alignment horizontal="right" vertical="center"/>
    </xf>
    <xf numFmtId="0" fontId="0" fillId="0" borderId="8" xfId="0" applyBorder="1" applyAlignment="1">
      <alignment horizontal="right" vertical="center"/>
    </xf>
    <xf numFmtId="0" fontId="10" fillId="0" borderId="19" xfId="3" applyFont="1" applyBorder="1" applyAlignment="1">
      <alignment horizontal="right" vertical="center"/>
    </xf>
    <xf numFmtId="0" fontId="13" fillId="0" borderId="3" xfId="0" applyFont="1" applyBorder="1" applyAlignment="1">
      <alignment horizontal="right" vertical="center"/>
    </xf>
    <xf numFmtId="0" fontId="13" fillId="0" borderId="5" xfId="0" applyFont="1" applyBorder="1" applyAlignment="1">
      <alignment horizontal="right" vertical="center"/>
    </xf>
    <xf numFmtId="0" fontId="13" fillId="0" borderId="4" xfId="0" applyFont="1" applyBorder="1" applyAlignment="1">
      <alignment horizontal="right" vertical="center"/>
    </xf>
  </cellXfs>
  <cellStyles count="13">
    <cellStyle name="Comma" xfId="1" builtinId="3"/>
    <cellStyle name="Comma 2" xfId="11" xr:uid="{CCEB4BDB-8BBD-43D6-A092-09CC4A33DFE1}"/>
    <cellStyle name="Comma 2 2" xfId="9" xr:uid="{9B453410-5CE4-4075-A56F-27096915A223}"/>
    <cellStyle name="Comma 2 2 2" xfId="7" xr:uid="{57A60D04-323A-4EC4-B877-961C20F2C1C2}"/>
    <cellStyle name="Comma 3" xfId="10" xr:uid="{9AACB256-6FB4-4DD0-8919-6DD932B84928}"/>
    <cellStyle name="Normal" xfId="0" builtinId="0"/>
    <cellStyle name="Normal 2" xfId="2" xr:uid="{5C887109-9223-4EC7-89BE-3373A4C64320}"/>
    <cellStyle name="Normal 2 2" xfId="4" xr:uid="{94803E8B-DDCA-4E20-AA75-273F4D563819}"/>
    <cellStyle name="Normal 2 2 2 2" xfId="12" xr:uid="{A8AA6522-566B-4B4C-BB8A-CA5F2A31E91F}"/>
    <cellStyle name="Normal 21" xfId="8" xr:uid="{FD612B6C-809B-468B-94C4-0853C0B1FAC3}"/>
    <cellStyle name="Normal 27 2" xfId="5" xr:uid="{2735CCE2-2D18-4844-91D3-75A4A62EAF67}"/>
    <cellStyle name="Normal 3 2 13" xfId="6" xr:uid="{C63CEFB4-9603-4E46-85D1-EF5829F4B8E3}"/>
    <cellStyle name="Normal_Cost modified revised4 2" xfId="3" xr:uid="{4E1361D9-071E-45F0-AA86-5CB2E8DB9695}"/>
  </cellStyles>
  <dxfs count="33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DC15-6145-4387-A2B9-D143C9A333C3}">
  <dimension ref="A1:G2390"/>
  <sheetViews>
    <sheetView showGridLines="0" view="pageBreakPreview" zoomScale="70" zoomScaleNormal="60" zoomScaleSheetLayoutView="70" workbookViewId="0">
      <pane ySplit="4" topLeftCell="A26" activePane="bottomLeft" state="frozen"/>
      <selection pane="bottomLeft" activeCell="B8" sqref="B8"/>
    </sheetView>
  </sheetViews>
  <sheetFormatPr defaultRowHeight="15.75" outlineLevelRow="1" x14ac:dyDescent="0.25"/>
  <cols>
    <col min="1" max="1" width="5.85546875" style="1" bestFit="1" customWidth="1"/>
    <col min="2" max="2" width="63.7109375" style="3" customWidth="1"/>
    <col min="3" max="3" width="17.85546875" style="5" customWidth="1"/>
    <col min="4" max="4" width="17.85546875" style="438" customWidth="1"/>
    <col min="5" max="5" width="22.5703125" style="4" customWidth="1"/>
    <col min="6" max="7" width="22.5703125" style="1" customWidth="1"/>
    <col min="8" max="16384" width="9.140625" style="1"/>
  </cols>
  <sheetData>
    <row r="1" spans="1:7" ht="26.25" customHeight="1" x14ac:dyDescent="0.25">
      <c r="A1" s="521" t="s">
        <v>0</v>
      </c>
      <c r="B1" s="521"/>
      <c r="C1" s="521"/>
      <c r="D1" s="521"/>
      <c r="E1" s="521"/>
      <c r="F1" s="521"/>
      <c r="G1" s="521"/>
    </row>
    <row r="2" spans="1:7" ht="18.75" customHeight="1" x14ac:dyDescent="0.25">
      <c r="A2" s="522" t="s">
        <v>579</v>
      </c>
      <c r="B2" s="522"/>
      <c r="C2" s="522"/>
      <c r="D2" s="522"/>
      <c r="E2" s="522"/>
      <c r="F2" s="522"/>
      <c r="G2" s="522"/>
    </row>
    <row r="3" spans="1:7" ht="18.75" customHeight="1" x14ac:dyDescent="0.25">
      <c r="A3" s="502" t="s">
        <v>2</v>
      </c>
      <c r="B3" s="501" t="s">
        <v>574</v>
      </c>
      <c r="C3" s="501" t="s">
        <v>4</v>
      </c>
      <c r="D3" s="503" t="s">
        <v>5</v>
      </c>
      <c r="E3" s="504" t="s">
        <v>6</v>
      </c>
      <c r="F3" s="504"/>
      <c r="G3" s="497" t="s">
        <v>577</v>
      </c>
    </row>
    <row r="4" spans="1:7" s="14" customFormat="1" ht="36" x14ac:dyDescent="0.3">
      <c r="A4" s="502"/>
      <c r="B4" s="501"/>
      <c r="C4" s="501"/>
      <c r="D4" s="503"/>
      <c r="E4" s="268" t="s">
        <v>575</v>
      </c>
      <c r="F4" s="268" t="s">
        <v>576</v>
      </c>
      <c r="G4" s="498"/>
    </row>
    <row r="5" spans="1:7" ht="25.5" customHeight="1" x14ac:dyDescent="0.25">
      <c r="A5" s="499" t="s">
        <v>8</v>
      </c>
      <c r="B5" s="499"/>
      <c r="C5" s="499"/>
      <c r="D5" s="499"/>
      <c r="E5" s="499"/>
      <c r="F5" s="362"/>
      <c r="G5" s="362"/>
    </row>
    <row r="6" spans="1:7" ht="19.5" outlineLevel="1" x14ac:dyDescent="0.25">
      <c r="A6" s="469" t="s">
        <v>9</v>
      </c>
      <c r="B6" s="469"/>
      <c r="C6" s="416"/>
      <c r="D6" s="421"/>
      <c r="E6" s="392"/>
      <c r="F6" s="392"/>
      <c r="G6" s="392"/>
    </row>
    <row r="7" spans="1:7" ht="75" outlineLevel="1" x14ac:dyDescent="0.25">
      <c r="A7" s="330">
        <v>1</v>
      </c>
      <c r="B7" s="327" t="s">
        <v>10</v>
      </c>
      <c r="C7" s="273">
        <v>1000</v>
      </c>
      <c r="D7" s="422">
        <v>616487.5</v>
      </c>
      <c r="E7" s="269"/>
      <c r="F7" s="270"/>
      <c r="G7" s="270"/>
    </row>
    <row r="8" spans="1:7" ht="36.75" customHeight="1" outlineLevel="1" x14ac:dyDescent="0.25">
      <c r="A8" s="330">
        <v>2</v>
      </c>
      <c r="B8" s="327" t="s">
        <v>11</v>
      </c>
      <c r="C8" s="273">
        <v>1000</v>
      </c>
      <c r="D8" s="422">
        <v>174315</v>
      </c>
      <c r="E8" s="269"/>
      <c r="F8" s="270"/>
      <c r="G8" s="270"/>
    </row>
    <row r="9" spans="1:7" ht="45" outlineLevel="1" x14ac:dyDescent="0.25">
      <c r="A9" s="330">
        <v>3</v>
      </c>
      <c r="B9" s="327" t="s">
        <v>12</v>
      </c>
      <c r="C9" s="330"/>
      <c r="D9" s="422"/>
      <c r="E9" s="269"/>
      <c r="F9" s="270"/>
      <c r="G9" s="270"/>
    </row>
    <row r="10" spans="1:7" outlineLevel="1" x14ac:dyDescent="0.25">
      <c r="A10" s="330"/>
      <c r="B10" s="327" t="s">
        <v>13</v>
      </c>
      <c r="C10" s="273">
        <v>1000</v>
      </c>
      <c r="D10" s="422">
        <v>20640</v>
      </c>
      <c r="E10" s="269"/>
      <c r="F10" s="270"/>
      <c r="G10" s="270"/>
    </row>
    <row r="11" spans="1:7" outlineLevel="1" x14ac:dyDescent="0.25">
      <c r="A11" s="330"/>
      <c r="B11" s="327" t="s">
        <v>14</v>
      </c>
      <c r="C11" s="273">
        <v>1000</v>
      </c>
      <c r="D11" s="422">
        <v>2970</v>
      </c>
      <c r="E11" s="269"/>
      <c r="F11" s="270"/>
      <c r="G11" s="270"/>
    </row>
    <row r="12" spans="1:7" outlineLevel="1" x14ac:dyDescent="0.25">
      <c r="A12" s="330"/>
      <c r="B12" s="327" t="s">
        <v>15</v>
      </c>
      <c r="C12" s="273">
        <v>1000</v>
      </c>
      <c r="D12" s="422">
        <v>8792.5</v>
      </c>
      <c r="E12" s="269"/>
      <c r="F12" s="270"/>
      <c r="G12" s="270"/>
    </row>
    <row r="13" spans="1:7" outlineLevel="1" x14ac:dyDescent="0.25">
      <c r="A13" s="330"/>
      <c r="B13" s="327" t="s">
        <v>16</v>
      </c>
      <c r="C13" s="273">
        <v>1000</v>
      </c>
      <c r="D13" s="422">
        <v>1215</v>
      </c>
      <c r="E13" s="269"/>
      <c r="F13" s="270"/>
      <c r="G13" s="270"/>
    </row>
    <row r="14" spans="1:7" outlineLevel="1" x14ac:dyDescent="0.25">
      <c r="A14" s="330"/>
      <c r="B14" s="327" t="s">
        <v>17</v>
      </c>
      <c r="C14" s="273">
        <v>1000</v>
      </c>
      <c r="D14" s="422">
        <v>18740</v>
      </c>
      <c r="E14" s="269"/>
      <c r="F14" s="270"/>
      <c r="G14" s="270"/>
    </row>
    <row r="15" spans="1:7" outlineLevel="1" x14ac:dyDescent="0.25">
      <c r="A15" s="330"/>
      <c r="B15" s="327" t="s">
        <v>18</v>
      </c>
      <c r="C15" s="273">
        <v>1000</v>
      </c>
      <c r="D15" s="422">
        <v>54772.5</v>
      </c>
      <c r="E15" s="269"/>
      <c r="F15" s="270"/>
      <c r="G15" s="270"/>
    </row>
    <row r="16" spans="1:7" ht="49.5" customHeight="1" outlineLevel="1" x14ac:dyDescent="0.25">
      <c r="A16" s="330">
        <v>4</v>
      </c>
      <c r="B16" s="327" t="s">
        <v>19</v>
      </c>
      <c r="C16" s="393">
        <v>1</v>
      </c>
      <c r="D16" s="422">
        <v>410</v>
      </c>
      <c r="E16" s="269"/>
      <c r="F16" s="270"/>
      <c r="G16" s="270"/>
    </row>
    <row r="17" spans="1:7" ht="29.25" customHeight="1" outlineLevel="1" x14ac:dyDescent="0.25">
      <c r="A17" s="330">
        <v>5</v>
      </c>
      <c r="B17" s="317" t="s">
        <v>20</v>
      </c>
      <c r="C17" s="278">
        <v>1000</v>
      </c>
      <c r="D17" s="422">
        <v>315680</v>
      </c>
      <c r="E17" s="269"/>
      <c r="F17" s="270"/>
      <c r="G17" s="270"/>
    </row>
    <row r="18" spans="1:7" ht="15" customHeight="1" outlineLevel="1" x14ac:dyDescent="0.25">
      <c r="A18" s="469" t="s">
        <v>21</v>
      </c>
      <c r="B18" s="392"/>
      <c r="C18" s="416"/>
      <c r="D18" s="421"/>
      <c r="E18" s="392"/>
      <c r="F18" s="394"/>
      <c r="G18" s="394"/>
    </row>
    <row r="19" spans="1:7" ht="66.75" customHeight="1" outlineLevel="1" x14ac:dyDescent="0.25">
      <c r="A19" s="271">
        <v>1</v>
      </c>
      <c r="B19" s="272" t="s">
        <v>22</v>
      </c>
      <c r="C19" s="273">
        <v>1000</v>
      </c>
      <c r="D19" s="423">
        <v>98</v>
      </c>
      <c r="E19" s="274"/>
      <c r="F19" s="270"/>
      <c r="G19" s="270"/>
    </row>
    <row r="20" spans="1:7" s="15" customFormat="1" ht="54" customHeight="1" outlineLevel="1" x14ac:dyDescent="0.2">
      <c r="A20" s="285">
        <v>2</v>
      </c>
      <c r="B20" s="286" t="s">
        <v>23</v>
      </c>
      <c r="C20" s="287"/>
      <c r="D20" s="441"/>
      <c r="E20" s="288"/>
      <c r="F20" s="289"/>
      <c r="G20" s="289"/>
    </row>
    <row r="21" spans="1:7" s="15" customFormat="1" ht="22.5" customHeight="1" outlineLevel="1" x14ac:dyDescent="0.2">
      <c r="A21" s="280"/>
      <c r="B21" s="281" t="s">
        <v>24</v>
      </c>
      <c r="C21" s="282">
        <v>100</v>
      </c>
      <c r="D21" s="445">
        <v>24.5</v>
      </c>
      <c r="E21" s="283"/>
      <c r="F21" s="284"/>
      <c r="G21" s="284"/>
    </row>
    <row r="22" spans="1:7" s="15" customFormat="1" ht="40.5" customHeight="1" outlineLevel="1" x14ac:dyDescent="0.2">
      <c r="A22" s="275">
        <v>3</v>
      </c>
      <c r="B22" s="272" t="s">
        <v>25</v>
      </c>
      <c r="C22" s="273">
        <v>100</v>
      </c>
      <c r="D22" s="423">
        <v>97.5</v>
      </c>
      <c r="E22" s="274"/>
      <c r="F22" s="277"/>
      <c r="G22" s="277"/>
    </row>
    <row r="23" spans="1:7" s="15" customFormat="1" ht="54" customHeight="1" outlineLevel="1" x14ac:dyDescent="0.2">
      <c r="A23" s="275">
        <v>4</v>
      </c>
      <c r="B23" s="272" t="s">
        <v>26</v>
      </c>
      <c r="C23" s="278">
        <v>100</v>
      </c>
      <c r="D23" s="423">
        <v>39</v>
      </c>
      <c r="E23" s="274"/>
      <c r="F23" s="277"/>
      <c r="G23" s="277"/>
    </row>
    <row r="24" spans="1:7" ht="38.25" customHeight="1" outlineLevel="1" x14ac:dyDescent="0.25">
      <c r="A24" s="271">
        <v>5</v>
      </c>
      <c r="B24" s="272" t="s">
        <v>27</v>
      </c>
      <c r="C24" s="273">
        <v>100</v>
      </c>
      <c r="D24" s="423">
        <v>81.703125</v>
      </c>
      <c r="E24" s="274"/>
      <c r="F24" s="270"/>
      <c r="G24" s="270"/>
    </row>
    <row r="25" spans="1:7" ht="27" customHeight="1" outlineLevel="1" x14ac:dyDescent="0.25">
      <c r="A25" s="271">
        <v>6</v>
      </c>
      <c r="B25" s="272" t="s">
        <v>28</v>
      </c>
      <c r="C25" s="278">
        <v>100</v>
      </c>
      <c r="D25" s="423">
        <v>230.64999999999998</v>
      </c>
      <c r="E25" s="274"/>
      <c r="F25" s="270"/>
      <c r="G25" s="270"/>
    </row>
    <row r="26" spans="1:7" ht="68.25" customHeight="1" outlineLevel="1" x14ac:dyDescent="0.25">
      <c r="A26" s="271">
        <v>7</v>
      </c>
      <c r="B26" s="272" t="s">
        <v>29</v>
      </c>
      <c r="C26" s="278">
        <v>100</v>
      </c>
      <c r="D26" s="423">
        <v>230.64999999999998</v>
      </c>
      <c r="E26" s="274"/>
      <c r="F26" s="270"/>
      <c r="G26" s="270"/>
    </row>
    <row r="27" spans="1:7" ht="29.25" customHeight="1" outlineLevel="1" x14ac:dyDescent="0.25">
      <c r="A27" s="271">
        <v>8</v>
      </c>
      <c r="B27" s="272" t="s">
        <v>30</v>
      </c>
      <c r="C27" s="279">
        <v>1</v>
      </c>
      <c r="D27" s="423">
        <v>500</v>
      </c>
      <c r="E27" s="274"/>
      <c r="F27" s="270"/>
      <c r="G27" s="270"/>
    </row>
    <row r="28" spans="1:7" ht="84.75" customHeight="1" outlineLevel="1" x14ac:dyDescent="0.25">
      <c r="A28" s="291">
        <v>9</v>
      </c>
      <c r="B28" s="286" t="s">
        <v>31</v>
      </c>
      <c r="C28" s="287"/>
      <c r="D28" s="489"/>
      <c r="E28" s="490"/>
      <c r="F28" s="292"/>
      <c r="G28" s="292"/>
    </row>
    <row r="29" spans="1:7" outlineLevel="1" x14ac:dyDescent="0.25">
      <c r="A29" s="488"/>
      <c r="B29" s="281" t="s">
        <v>32</v>
      </c>
      <c r="C29" s="282">
        <v>100</v>
      </c>
      <c r="D29" s="445">
        <v>4.29</v>
      </c>
      <c r="E29" s="283"/>
      <c r="F29" s="290"/>
      <c r="G29" s="290"/>
    </row>
    <row r="30" spans="1:7" ht="15" customHeight="1" outlineLevel="1" x14ac:dyDescent="0.25">
      <c r="A30" s="500" t="s">
        <v>33</v>
      </c>
      <c r="B30" s="500"/>
      <c r="C30" s="500"/>
      <c r="D30" s="500"/>
      <c r="E30" s="500"/>
      <c r="F30" s="394"/>
      <c r="G30" s="394"/>
    </row>
    <row r="31" spans="1:7" s="15" customFormat="1" ht="24.75" customHeight="1" outlineLevel="1" x14ac:dyDescent="0.2">
      <c r="A31" s="293">
        <v>1</v>
      </c>
      <c r="B31" s="294" t="s">
        <v>34</v>
      </c>
      <c r="C31" s="273">
        <v>1</v>
      </c>
      <c r="D31" s="424">
        <v>55.04</v>
      </c>
      <c r="E31" s="295"/>
      <c r="F31" s="277"/>
      <c r="G31" s="277"/>
    </row>
    <row r="32" spans="1:7" s="15" customFormat="1" ht="51" customHeight="1" outlineLevel="1" x14ac:dyDescent="0.2">
      <c r="A32" s="293">
        <v>2</v>
      </c>
      <c r="B32" s="294" t="s">
        <v>35</v>
      </c>
      <c r="C32" s="296">
        <v>100</v>
      </c>
      <c r="D32" s="424">
        <v>125.76</v>
      </c>
      <c r="E32" s="295"/>
      <c r="F32" s="277"/>
      <c r="G32" s="277"/>
    </row>
    <row r="33" spans="1:7" s="15" customFormat="1" ht="27.75" customHeight="1" outlineLevel="1" x14ac:dyDescent="0.2">
      <c r="A33" s="275">
        <v>3</v>
      </c>
      <c r="B33" s="294" t="s">
        <v>36</v>
      </c>
      <c r="C33" s="279">
        <v>1</v>
      </c>
      <c r="D33" s="424">
        <v>32</v>
      </c>
      <c r="E33" s="295"/>
      <c r="F33" s="277"/>
      <c r="G33" s="277"/>
    </row>
    <row r="34" spans="1:7" s="15" customFormat="1" ht="27.75" customHeight="1" outlineLevel="1" x14ac:dyDescent="0.2">
      <c r="A34" s="275">
        <v>4</v>
      </c>
      <c r="B34" s="294" t="s">
        <v>37</v>
      </c>
      <c r="C34" s="297">
        <v>1</v>
      </c>
      <c r="D34" s="424">
        <v>32</v>
      </c>
      <c r="E34" s="295"/>
      <c r="F34" s="277"/>
      <c r="G34" s="277"/>
    </row>
    <row r="35" spans="1:7" s="15" customFormat="1" ht="27.75" customHeight="1" outlineLevel="1" x14ac:dyDescent="0.2">
      <c r="A35" s="275">
        <v>5</v>
      </c>
      <c r="B35" s="294" t="s">
        <v>38</v>
      </c>
      <c r="C35" s="278">
        <v>100</v>
      </c>
      <c r="D35" s="424">
        <v>112</v>
      </c>
      <c r="E35" s="295"/>
      <c r="F35" s="277"/>
      <c r="G35" s="277"/>
    </row>
    <row r="36" spans="1:7" s="15" customFormat="1" ht="38.25" customHeight="1" outlineLevel="1" x14ac:dyDescent="0.2">
      <c r="A36" s="275">
        <v>6</v>
      </c>
      <c r="B36" s="294" t="s">
        <v>39</v>
      </c>
      <c r="C36" s="279">
        <v>1</v>
      </c>
      <c r="D36" s="424">
        <v>320</v>
      </c>
      <c r="E36" s="295"/>
      <c r="F36" s="277"/>
      <c r="G36" s="277"/>
    </row>
    <row r="37" spans="1:7" s="15" customFormat="1" ht="89.25" customHeight="1" outlineLevel="1" x14ac:dyDescent="0.2">
      <c r="A37" s="285">
        <v>7</v>
      </c>
      <c r="B37" s="493" t="s">
        <v>40</v>
      </c>
      <c r="C37" s="287"/>
      <c r="D37" s="441"/>
      <c r="E37" s="487"/>
      <c r="F37" s="289"/>
      <c r="G37" s="289"/>
    </row>
    <row r="38" spans="1:7" s="15" customFormat="1" ht="15" outlineLevel="1" x14ac:dyDescent="0.2">
      <c r="A38" s="280" t="s">
        <v>41</v>
      </c>
      <c r="B38" s="300" t="s">
        <v>42</v>
      </c>
      <c r="C38" s="282">
        <v>100</v>
      </c>
      <c r="D38" s="440">
        <v>48.435200000000002</v>
      </c>
      <c r="E38" s="301"/>
      <c r="F38" s="284"/>
      <c r="G38" s="284"/>
    </row>
    <row r="39" spans="1:7" outlineLevel="1" x14ac:dyDescent="0.25">
      <c r="A39" s="518" t="s">
        <v>43</v>
      </c>
      <c r="B39" s="518"/>
      <c r="C39" s="518"/>
      <c r="D39" s="518"/>
      <c r="E39" s="518"/>
      <c r="F39" s="270"/>
      <c r="G39" s="270"/>
    </row>
    <row r="40" spans="1:7" ht="19.5" outlineLevel="1" x14ac:dyDescent="0.25">
      <c r="A40" s="500" t="s">
        <v>44</v>
      </c>
      <c r="B40" s="500"/>
      <c r="C40" s="500"/>
      <c r="D40" s="500"/>
      <c r="E40" s="500"/>
      <c r="F40" s="394"/>
      <c r="G40" s="394"/>
    </row>
    <row r="41" spans="1:7" ht="82.5" customHeight="1" outlineLevel="1" x14ac:dyDescent="0.25">
      <c r="A41" s="293">
        <v>1</v>
      </c>
      <c r="B41" s="299" t="s">
        <v>45</v>
      </c>
      <c r="C41" s="273">
        <v>1000</v>
      </c>
      <c r="D41" s="424">
        <v>6406.1200000000063</v>
      </c>
      <c r="E41" s="269"/>
      <c r="F41" s="270"/>
      <c r="G41" s="270"/>
    </row>
    <row r="42" spans="1:7" ht="45.75" customHeight="1" outlineLevel="1" x14ac:dyDescent="0.25">
      <c r="A42" s="285">
        <v>2</v>
      </c>
      <c r="B42" s="311" t="s">
        <v>23</v>
      </c>
      <c r="C42" s="291"/>
      <c r="D42" s="441"/>
      <c r="E42" s="288"/>
      <c r="F42" s="292"/>
      <c r="G42" s="292"/>
    </row>
    <row r="43" spans="1:7" outlineLevel="1" x14ac:dyDescent="0.25">
      <c r="A43" s="280"/>
      <c r="B43" s="300" t="s">
        <v>24</v>
      </c>
      <c r="C43" s="282">
        <v>100</v>
      </c>
      <c r="D43" s="440">
        <v>361</v>
      </c>
      <c r="E43" s="310"/>
      <c r="F43" s="290"/>
      <c r="G43" s="290"/>
    </row>
    <row r="44" spans="1:7" ht="90" outlineLevel="1" x14ac:dyDescent="0.25">
      <c r="A44" s="275">
        <v>3</v>
      </c>
      <c r="B44" s="299" t="s">
        <v>46</v>
      </c>
      <c r="C44" s="303">
        <v>100</v>
      </c>
      <c r="D44" s="424">
        <v>12000.720000000016</v>
      </c>
      <c r="E44" s="304"/>
      <c r="F44" s="270"/>
      <c r="G44" s="270"/>
    </row>
    <row r="45" spans="1:7" ht="130.5" customHeight="1" outlineLevel="1" x14ac:dyDescent="0.25">
      <c r="A45" s="275">
        <v>4</v>
      </c>
      <c r="B45" s="302" t="s">
        <v>47</v>
      </c>
      <c r="C45" s="271"/>
      <c r="D45" s="424"/>
      <c r="E45" s="295"/>
      <c r="F45" s="270"/>
      <c r="G45" s="270"/>
    </row>
    <row r="46" spans="1:7" ht="75" outlineLevel="1" x14ac:dyDescent="0.25">
      <c r="A46" s="275" t="s">
        <v>48</v>
      </c>
      <c r="B46" s="299" t="s">
        <v>49</v>
      </c>
      <c r="C46" s="273">
        <v>1</v>
      </c>
      <c r="D46" s="424">
        <v>2556.2400000000052</v>
      </c>
      <c r="E46" s="269"/>
      <c r="F46" s="270"/>
      <c r="G46" s="270"/>
    </row>
    <row r="47" spans="1:7" ht="75" outlineLevel="1" x14ac:dyDescent="0.25">
      <c r="A47" s="275" t="s">
        <v>50</v>
      </c>
      <c r="B47" s="299" t="s">
        <v>51</v>
      </c>
      <c r="C47" s="273">
        <v>1</v>
      </c>
      <c r="D47" s="424">
        <v>1444</v>
      </c>
      <c r="E47" s="269"/>
      <c r="F47" s="270"/>
      <c r="G47" s="270"/>
    </row>
    <row r="48" spans="1:7" ht="35.25" customHeight="1" outlineLevel="1" x14ac:dyDescent="0.25">
      <c r="A48" s="275">
        <v>5</v>
      </c>
      <c r="B48" s="299" t="s">
        <v>52</v>
      </c>
      <c r="C48" s="278">
        <v>100</v>
      </c>
      <c r="D48" s="424">
        <v>2739.760000000007</v>
      </c>
      <c r="E48" s="295"/>
      <c r="F48" s="270"/>
      <c r="G48" s="270"/>
    </row>
    <row r="49" spans="1:7" ht="45" outlineLevel="1" x14ac:dyDescent="0.25">
      <c r="A49" s="275">
        <v>6</v>
      </c>
      <c r="B49" s="299" t="s">
        <v>53</v>
      </c>
      <c r="C49" s="305">
        <v>1</v>
      </c>
      <c r="D49" s="424">
        <v>13.5</v>
      </c>
      <c r="E49" s="295"/>
      <c r="F49" s="270"/>
      <c r="G49" s="270"/>
    </row>
    <row r="50" spans="1:7" ht="114.75" customHeight="1" outlineLevel="1" x14ac:dyDescent="0.25">
      <c r="A50" s="275">
        <v>7</v>
      </c>
      <c r="B50" s="306" t="s">
        <v>54</v>
      </c>
      <c r="C50" s="273">
        <v>100</v>
      </c>
      <c r="D50" s="424">
        <v>480</v>
      </c>
      <c r="E50" s="270"/>
      <c r="F50" s="270"/>
      <c r="G50" s="270"/>
    </row>
    <row r="51" spans="1:7" ht="112.5" customHeight="1" outlineLevel="1" x14ac:dyDescent="0.25">
      <c r="A51" s="275">
        <v>8</v>
      </c>
      <c r="B51" s="306" t="s">
        <v>55</v>
      </c>
      <c r="C51" s="273">
        <v>100</v>
      </c>
      <c r="D51" s="424">
        <v>480</v>
      </c>
      <c r="E51" s="270"/>
      <c r="F51" s="270"/>
      <c r="G51" s="270"/>
    </row>
    <row r="52" spans="1:7" ht="35.25" customHeight="1" outlineLevel="1" x14ac:dyDescent="0.25">
      <c r="A52" s="275">
        <v>9</v>
      </c>
      <c r="B52" s="306" t="s">
        <v>56</v>
      </c>
      <c r="C52" s="305">
        <v>1</v>
      </c>
      <c r="D52" s="424">
        <v>120</v>
      </c>
      <c r="E52" s="270"/>
      <c r="F52" s="270"/>
      <c r="G52" s="270"/>
    </row>
    <row r="53" spans="1:7" ht="105" outlineLevel="1" x14ac:dyDescent="0.25">
      <c r="A53" s="275">
        <v>10</v>
      </c>
      <c r="B53" s="306" t="s">
        <v>57</v>
      </c>
      <c r="C53" s="307"/>
      <c r="D53" s="424"/>
      <c r="E53" s="295"/>
      <c r="F53" s="270"/>
      <c r="G53" s="270"/>
    </row>
    <row r="54" spans="1:7" ht="45" outlineLevel="1" x14ac:dyDescent="0.25">
      <c r="A54" s="275" t="s">
        <v>58</v>
      </c>
      <c r="B54" s="306" t="s">
        <v>59</v>
      </c>
      <c r="C54" s="278">
        <v>100</v>
      </c>
      <c r="D54" s="424">
        <v>960</v>
      </c>
      <c r="E54" s="295"/>
      <c r="F54" s="270"/>
      <c r="G54" s="270"/>
    </row>
    <row r="55" spans="1:7" ht="45" outlineLevel="1" x14ac:dyDescent="0.25">
      <c r="A55" s="275" t="s">
        <v>60</v>
      </c>
      <c r="B55" s="306" t="s">
        <v>61</v>
      </c>
      <c r="C55" s="278">
        <v>100</v>
      </c>
      <c r="D55" s="424">
        <v>960</v>
      </c>
      <c r="E55" s="295"/>
      <c r="F55" s="270"/>
      <c r="G55" s="270"/>
    </row>
    <row r="56" spans="1:7" ht="45" outlineLevel="1" x14ac:dyDescent="0.25">
      <c r="A56" s="275" t="s">
        <v>62</v>
      </c>
      <c r="B56" s="306" t="s">
        <v>63</v>
      </c>
      <c r="C56" s="278">
        <v>100</v>
      </c>
      <c r="D56" s="424">
        <v>960</v>
      </c>
      <c r="E56" s="295"/>
      <c r="F56" s="270"/>
      <c r="G56" s="270"/>
    </row>
    <row r="57" spans="1:7" ht="45" outlineLevel="1" x14ac:dyDescent="0.25">
      <c r="A57" s="275">
        <v>11</v>
      </c>
      <c r="B57" s="306" t="s">
        <v>64</v>
      </c>
      <c r="C57" s="273">
        <v>100</v>
      </c>
      <c r="D57" s="424">
        <v>960</v>
      </c>
      <c r="E57" s="295"/>
      <c r="F57" s="270"/>
      <c r="G57" s="270"/>
    </row>
    <row r="58" spans="1:7" ht="30.75" customHeight="1" outlineLevel="1" x14ac:dyDescent="0.25">
      <c r="A58" s="308">
        <v>12</v>
      </c>
      <c r="B58" s="309" t="s">
        <v>65</v>
      </c>
      <c r="C58" s="273">
        <v>1000</v>
      </c>
      <c r="D58" s="424">
        <v>6480</v>
      </c>
      <c r="E58" s="295"/>
      <c r="F58" s="270"/>
      <c r="G58" s="270"/>
    </row>
    <row r="59" spans="1:7" ht="30.75" customHeight="1" outlineLevel="1" x14ac:dyDescent="0.25">
      <c r="A59" s="275">
        <v>14</v>
      </c>
      <c r="B59" s="299" t="s">
        <v>66</v>
      </c>
      <c r="C59" s="273">
        <v>1000</v>
      </c>
      <c r="D59" s="424">
        <v>6480</v>
      </c>
      <c r="E59" s="298"/>
      <c r="F59" s="270"/>
      <c r="G59" s="270"/>
    </row>
    <row r="60" spans="1:7" ht="75.75" outlineLevel="1" x14ac:dyDescent="0.25">
      <c r="A60" s="275">
        <v>15</v>
      </c>
      <c r="B60" s="299" t="s">
        <v>40</v>
      </c>
      <c r="C60" s="276"/>
      <c r="D60" s="424"/>
      <c r="E60" s="298"/>
      <c r="F60" s="270"/>
      <c r="G60" s="270"/>
    </row>
    <row r="61" spans="1:7" outlineLevel="1" x14ac:dyDescent="0.25">
      <c r="A61" s="275" t="s">
        <v>67</v>
      </c>
      <c r="B61" s="299" t="s">
        <v>68</v>
      </c>
      <c r="C61" s="273">
        <v>100</v>
      </c>
      <c r="D61" s="424">
        <v>346.56</v>
      </c>
      <c r="E61" s="298"/>
      <c r="F61" s="270"/>
      <c r="G61" s="270"/>
    </row>
    <row r="62" spans="1:7" outlineLevel="1" x14ac:dyDescent="0.25">
      <c r="A62" s="275" t="s">
        <v>41</v>
      </c>
      <c r="B62" s="299" t="s">
        <v>69</v>
      </c>
      <c r="C62" s="273">
        <v>100</v>
      </c>
      <c r="D62" s="424">
        <v>3360.2016000000044</v>
      </c>
      <c r="E62" s="298"/>
      <c r="F62" s="270"/>
      <c r="G62" s="270"/>
    </row>
    <row r="63" spans="1:7" outlineLevel="1" x14ac:dyDescent="0.25">
      <c r="A63" s="275" t="s">
        <v>70</v>
      </c>
      <c r="B63" s="299" t="s">
        <v>71</v>
      </c>
      <c r="C63" s="273">
        <v>100</v>
      </c>
      <c r="D63" s="424">
        <v>585.6</v>
      </c>
      <c r="E63" s="298"/>
      <c r="F63" s="270"/>
      <c r="G63" s="270"/>
    </row>
    <row r="64" spans="1:7" outlineLevel="1" x14ac:dyDescent="0.25">
      <c r="A64" s="275" t="s">
        <v>70</v>
      </c>
      <c r="B64" s="299" t="s">
        <v>72</v>
      </c>
      <c r="C64" s="273">
        <v>100</v>
      </c>
      <c r="D64" s="424">
        <v>72</v>
      </c>
      <c r="E64" s="298"/>
      <c r="F64" s="270"/>
      <c r="G64" s="270"/>
    </row>
    <row r="65" spans="1:7" outlineLevel="1" x14ac:dyDescent="0.25">
      <c r="A65" s="506" t="s">
        <v>73</v>
      </c>
      <c r="B65" s="506"/>
      <c r="C65" s="506"/>
      <c r="D65" s="506"/>
      <c r="E65" s="506"/>
      <c r="F65" s="270"/>
      <c r="G65" s="270"/>
    </row>
    <row r="66" spans="1:7" ht="19.5" outlineLevel="1" x14ac:dyDescent="0.25">
      <c r="A66" s="500" t="s">
        <v>74</v>
      </c>
      <c r="B66" s="500"/>
      <c r="C66" s="500"/>
      <c r="D66" s="500"/>
      <c r="E66" s="500"/>
      <c r="F66" s="394"/>
      <c r="G66" s="394"/>
    </row>
    <row r="67" spans="1:7" ht="75" outlineLevel="1" x14ac:dyDescent="0.25">
      <c r="A67" s="293">
        <v>1</v>
      </c>
      <c r="B67" s="299" t="s">
        <v>45</v>
      </c>
      <c r="C67" s="273">
        <v>1000</v>
      </c>
      <c r="D67" s="424">
        <v>1867.645</v>
      </c>
      <c r="E67" s="269"/>
      <c r="F67" s="270"/>
      <c r="G67" s="270"/>
    </row>
    <row r="68" spans="1:7" ht="24" customHeight="1" outlineLevel="1" x14ac:dyDescent="0.25">
      <c r="A68" s="293">
        <v>2</v>
      </c>
      <c r="B68" s="299" t="s">
        <v>75</v>
      </c>
      <c r="C68" s="273">
        <v>1000</v>
      </c>
      <c r="D68" s="424">
        <v>1867.645</v>
      </c>
      <c r="E68" s="269"/>
      <c r="F68" s="270"/>
      <c r="G68" s="270"/>
    </row>
    <row r="69" spans="1:7" ht="45" outlineLevel="1" x14ac:dyDescent="0.25">
      <c r="A69" s="275">
        <v>3</v>
      </c>
      <c r="B69" s="302" t="s">
        <v>23</v>
      </c>
      <c r="C69" s="276"/>
      <c r="D69" s="424"/>
      <c r="E69" s="295"/>
      <c r="F69" s="270"/>
      <c r="G69" s="270"/>
    </row>
    <row r="70" spans="1:7" outlineLevel="1" x14ac:dyDescent="0.25">
      <c r="A70" s="275" t="s">
        <v>48</v>
      </c>
      <c r="B70" s="299" t="s">
        <v>76</v>
      </c>
      <c r="C70" s="273">
        <v>100</v>
      </c>
      <c r="D70" s="424">
        <v>257.19499999999999</v>
      </c>
      <c r="E70" s="269"/>
      <c r="F70" s="270"/>
      <c r="G70" s="270"/>
    </row>
    <row r="71" spans="1:7" outlineLevel="1" x14ac:dyDescent="0.25">
      <c r="A71" s="275" t="s">
        <v>50</v>
      </c>
      <c r="B71" s="299" t="s">
        <v>77</v>
      </c>
      <c r="C71" s="273">
        <v>100</v>
      </c>
      <c r="D71" s="424">
        <v>34</v>
      </c>
      <c r="E71" s="269"/>
      <c r="F71" s="270"/>
      <c r="G71" s="270"/>
    </row>
    <row r="72" spans="1:7" ht="90" outlineLevel="1" x14ac:dyDescent="0.25">
      <c r="A72" s="275">
        <v>4</v>
      </c>
      <c r="B72" s="299" t="s">
        <v>46</v>
      </c>
      <c r="C72" s="312">
        <v>100</v>
      </c>
      <c r="D72" s="424">
        <v>6108.9827999999998</v>
      </c>
      <c r="E72" s="304"/>
      <c r="F72" s="270"/>
      <c r="G72" s="270"/>
    </row>
    <row r="73" spans="1:7" ht="120.75" outlineLevel="1" x14ac:dyDescent="0.25">
      <c r="A73" s="275">
        <v>5</v>
      </c>
      <c r="B73" s="302" t="s">
        <v>78</v>
      </c>
      <c r="C73" s="276"/>
      <c r="D73" s="424"/>
      <c r="E73" s="295"/>
      <c r="F73" s="270"/>
      <c r="G73" s="270"/>
    </row>
    <row r="74" spans="1:7" ht="75" outlineLevel="1" x14ac:dyDescent="0.25">
      <c r="A74" s="275" t="s">
        <v>48</v>
      </c>
      <c r="B74" s="299" t="s">
        <v>49</v>
      </c>
      <c r="C74" s="273">
        <v>1</v>
      </c>
      <c r="D74" s="424">
        <v>1266.9126000000001</v>
      </c>
      <c r="E74" s="269"/>
      <c r="F74" s="270"/>
      <c r="G74" s="270"/>
    </row>
    <row r="75" spans="1:7" ht="75" outlineLevel="1" x14ac:dyDescent="0.25">
      <c r="A75" s="275" t="s">
        <v>50</v>
      </c>
      <c r="B75" s="299" t="s">
        <v>51</v>
      </c>
      <c r="C75" s="273">
        <v>1</v>
      </c>
      <c r="D75" s="424">
        <v>769.41499999999996</v>
      </c>
      <c r="E75" s="269"/>
      <c r="F75" s="270"/>
      <c r="G75" s="270"/>
    </row>
    <row r="76" spans="1:7" ht="33.75" customHeight="1" outlineLevel="1" x14ac:dyDescent="0.25">
      <c r="A76" s="275">
        <v>6</v>
      </c>
      <c r="B76" s="299" t="s">
        <v>52</v>
      </c>
      <c r="C76" s="278">
        <v>100</v>
      </c>
      <c r="D76" s="424">
        <v>751.27499999999998</v>
      </c>
      <c r="E76" s="295"/>
      <c r="F76" s="270"/>
      <c r="G76" s="270"/>
    </row>
    <row r="77" spans="1:7" ht="33.75" customHeight="1" outlineLevel="1" x14ac:dyDescent="0.25">
      <c r="A77" s="275">
        <v>7</v>
      </c>
      <c r="B77" s="302" t="s">
        <v>79</v>
      </c>
      <c r="C77" s="273">
        <v>100</v>
      </c>
      <c r="D77" s="424">
        <v>80</v>
      </c>
      <c r="E77" s="295"/>
      <c r="F77" s="270"/>
      <c r="G77" s="270"/>
    </row>
    <row r="78" spans="1:7" ht="45" outlineLevel="1" x14ac:dyDescent="0.25">
      <c r="A78" s="275">
        <v>8</v>
      </c>
      <c r="B78" s="313" t="s">
        <v>80</v>
      </c>
      <c r="C78" s="314">
        <v>1</v>
      </c>
      <c r="D78" s="424">
        <v>189.5</v>
      </c>
      <c r="E78" s="270"/>
      <c r="F78" s="270"/>
      <c r="G78" s="270"/>
    </row>
    <row r="79" spans="1:7" ht="30.75" customHeight="1" outlineLevel="1" x14ac:dyDescent="0.25">
      <c r="A79" s="275">
        <v>9</v>
      </c>
      <c r="B79" s="315" t="s">
        <v>81</v>
      </c>
      <c r="C79" s="314">
        <v>1</v>
      </c>
      <c r="D79" s="424">
        <v>70</v>
      </c>
      <c r="E79" s="270"/>
      <c r="F79" s="270"/>
      <c r="G79" s="270"/>
    </row>
    <row r="80" spans="1:7" ht="24" customHeight="1" outlineLevel="1" x14ac:dyDescent="0.25">
      <c r="A80" s="275">
        <v>10</v>
      </c>
      <c r="B80" s="299" t="s">
        <v>66</v>
      </c>
      <c r="C80" s="273">
        <v>1000</v>
      </c>
      <c r="D80" s="424">
        <v>4000</v>
      </c>
      <c r="E80" s="298"/>
      <c r="F80" s="270"/>
      <c r="G80" s="270"/>
    </row>
    <row r="81" spans="1:7" ht="75.75" outlineLevel="1" x14ac:dyDescent="0.25">
      <c r="A81" s="275">
        <v>11</v>
      </c>
      <c r="B81" s="299" t="s">
        <v>40</v>
      </c>
      <c r="C81" s="276"/>
      <c r="D81" s="424"/>
      <c r="E81" s="298"/>
      <c r="F81" s="270"/>
      <c r="G81" s="270"/>
    </row>
    <row r="82" spans="1:7" outlineLevel="1" x14ac:dyDescent="0.25">
      <c r="A82" s="275" t="s">
        <v>67</v>
      </c>
      <c r="B82" s="299" t="s">
        <v>68</v>
      </c>
      <c r="C82" s="273">
        <v>100</v>
      </c>
      <c r="D82" s="424">
        <v>246.90719999999999</v>
      </c>
      <c r="E82" s="298"/>
      <c r="F82" s="270"/>
      <c r="G82" s="270"/>
    </row>
    <row r="83" spans="1:7" outlineLevel="1" x14ac:dyDescent="0.25">
      <c r="A83" s="275" t="s">
        <v>41</v>
      </c>
      <c r="B83" s="299" t="s">
        <v>42</v>
      </c>
      <c r="C83" s="273">
        <v>100</v>
      </c>
      <c r="D83" s="424">
        <v>29.92</v>
      </c>
      <c r="E83" s="298"/>
      <c r="F83" s="270"/>
      <c r="G83" s="270"/>
    </row>
    <row r="84" spans="1:7" outlineLevel="1" x14ac:dyDescent="0.25">
      <c r="A84" s="275" t="s">
        <v>70</v>
      </c>
      <c r="B84" s="299" t="s">
        <v>82</v>
      </c>
      <c r="C84" s="273">
        <v>100</v>
      </c>
      <c r="D84" s="424">
        <v>1710.5151840000001</v>
      </c>
      <c r="E84" s="298"/>
      <c r="F84" s="270"/>
      <c r="G84" s="270"/>
    </row>
    <row r="85" spans="1:7" outlineLevel="1" x14ac:dyDescent="0.25">
      <c r="A85" s="506" t="s">
        <v>83</v>
      </c>
      <c r="B85" s="506"/>
      <c r="C85" s="506"/>
      <c r="D85" s="506"/>
      <c r="E85" s="506"/>
      <c r="F85" s="270"/>
      <c r="G85" s="270"/>
    </row>
    <row r="86" spans="1:7" ht="19.5" outlineLevel="1" x14ac:dyDescent="0.25">
      <c r="A86" s="500" t="s">
        <v>84</v>
      </c>
      <c r="B86" s="500"/>
      <c r="C86" s="500"/>
      <c r="D86" s="500"/>
      <c r="E86" s="500"/>
      <c r="F86" s="394"/>
      <c r="G86" s="394"/>
    </row>
    <row r="87" spans="1:7" ht="51.75" customHeight="1" outlineLevel="1" x14ac:dyDescent="0.25">
      <c r="A87" s="293">
        <v>1</v>
      </c>
      <c r="B87" s="302" t="s">
        <v>85</v>
      </c>
      <c r="C87" s="273">
        <v>1000</v>
      </c>
      <c r="D87" s="424">
        <v>476.44</v>
      </c>
      <c r="E87" s="269"/>
      <c r="F87" s="270"/>
      <c r="G87" s="270"/>
    </row>
    <row r="88" spans="1:7" ht="47.25" customHeight="1" outlineLevel="1" x14ac:dyDescent="0.25">
      <c r="A88" s="293">
        <v>2</v>
      </c>
      <c r="B88" s="302" t="s">
        <v>86</v>
      </c>
      <c r="C88" s="273">
        <v>100</v>
      </c>
      <c r="D88" s="424">
        <v>476.44</v>
      </c>
      <c r="E88" s="295"/>
      <c r="F88" s="270"/>
      <c r="G88" s="270"/>
    </row>
    <row r="89" spans="1:7" ht="20.25" customHeight="1" outlineLevel="1" x14ac:dyDescent="0.25">
      <c r="A89" s="275">
        <v>3</v>
      </c>
      <c r="B89" s="317" t="s">
        <v>87</v>
      </c>
      <c r="C89" s="278">
        <v>100</v>
      </c>
      <c r="D89" s="424">
        <v>735.36749999999995</v>
      </c>
      <c r="E89" s="295"/>
      <c r="F89" s="270"/>
      <c r="G89" s="270"/>
    </row>
    <row r="90" spans="1:7" ht="20.25" customHeight="1" outlineLevel="1" x14ac:dyDescent="0.25">
      <c r="A90" s="275">
        <v>4</v>
      </c>
      <c r="B90" s="317" t="s">
        <v>88</v>
      </c>
      <c r="C90" s="278">
        <v>100</v>
      </c>
      <c r="D90" s="424">
        <v>130.5</v>
      </c>
      <c r="E90" s="295"/>
      <c r="F90" s="270"/>
      <c r="G90" s="270"/>
    </row>
    <row r="91" spans="1:7" ht="20.25" customHeight="1" outlineLevel="1" x14ac:dyDescent="0.25">
      <c r="A91" s="293">
        <v>5</v>
      </c>
      <c r="B91" s="302" t="s">
        <v>89</v>
      </c>
      <c r="C91" s="273">
        <v>100</v>
      </c>
      <c r="D91" s="424">
        <v>242.67</v>
      </c>
      <c r="E91" s="295"/>
      <c r="F91" s="270"/>
      <c r="G91" s="270"/>
    </row>
    <row r="92" spans="1:7" ht="20.25" customHeight="1" outlineLevel="1" x14ac:dyDescent="0.25">
      <c r="A92" s="293">
        <v>6</v>
      </c>
      <c r="B92" s="302" t="s">
        <v>90</v>
      </c>
      <c r="C92" s="273">
        <v>100</v>
      </c>
      <c r="D92" s="424">
        <v>242.67</v>
      </c>
      <c r="E92" s="295"/>
      <c r="F92" s="270"/>
      <c r="G92" s="270"/>
    </row>
    <row r="93" spans="1:7" ht="20.25" customHeight="1" outlineLevel="1" x14ac:dyDescent="0.25">
      <c r="A93" s="293">
        <v>7</v>
      </c>
      <c r="B93" s="302" t="s">
        <v>91</v>
      </c>
      <c r="C93" s="273">
        <v>100</v>
      </c>
      <c r="D93" s="424">
        <v>43.07</v>
      </c>
      <c r="E93" s="295"/>
      <c r="F93" s="270"/>
      <c r="G93" s="270"/>
    </row>
    <row r="94" spans="1:7" ht="20.25" customHeight="1" outlineLevel="1" x14ac:dyDescent="0.25">
      <c r="A94" s="293">
        <v>8</v>
      </c>
      <c r="B94" s="302" t="s">
        <v>92</v>
      </c>
      <c r="C94" s="273">
        <v>100</v>
      </c>
      <c r="D94" s="424">
        <v>43.07</v>
      </c>
      <c r="E94" s="295"/>
      <c r="F94" s="270"/>
      <c r="G94" s="270"/>
    </row>
    <row r="95" spans="1:7" ht="20.25" customHeight="1" outlineLevel="1" x14ac:dyDescent="0.25">
      <c r="A95" s="293">
        <v>9</v>
      </c>
      <c r="B95" s="302" t="s">
        <v>93</v>
      </c>
      <c r="C95" s="273">
        <v>100</v>
      </c>
      <c r="D95" s="424">
        <v>735.37</v>
      </c>
      <c r="E95" s="295"/>
      <c r="F95" s="270"/>
      <c r="G95" s="270"/>
    </row>
    <row r="96" spans="1:7" ht="20.25" customHeight="1" outlineLevel="1" x14ac:dyDescent="0.25">
      <c r="A96" s="293">
        <v>10</v>
      </c>
      <c r="B96" s="302" t="s">
        <v>94</v>
      </c>
      <c r="C96" s="273">
        <v>100</v>
      </c>
      <c r="D96" s="424">
        <v>130.5</v>
      </c>
      <c r="E96" s="295"/>
      <c r="F96" s="270"/>
      <c r="G96" s="270"/>
    </row>
    <row r="97" spans="1:7" ht="60" outlineLevel="1" x14ac:dyDescent="0.25">
      <c r="A97" s="293">
        <v>11</v>
      </c>
      <c r="B97" s="318" t="s">
        <v>95</v>
      </c>
      <c r="C97" s="273">
        <v>100</v>
      </c>
      <c r="D97" s="424">
        <v>1682.2379999999998</v>
      </c>
      <c r="E97" s="295"/>
      <c r="F97" s="270"/>
      <c r="G97" s="270"/>
    </row>
    <row r="98" spans="1:7" outlineLevel="1" x14ac:dyDescent="0.25">
      <c r="A98" s="506" t="s">
        <v>43</v>
      </c>
      <c r="B98" s="506"/>
      <c r="C98" s="506"/>
      <c r="D98" s="506"/>
      <c r="E98" s="506"/>
      <c r="F98" s="270"/>
      <c r="G98" s="270"/>
    </row>
    <row r="99" spans="1:7" ht="19.5" outlineLevel="1" x14ac:dyDescent="0.25">
      <c r="A99" s="500" t="s">
        <v>96</v>
      </c>
      <c r="B99" s="500"/>
      <c r="C99" s="500"/>
      <c r="D99" s="500"/>
      <c r="E99" s="500"/>
      <c r="F99" s="394"/>
      <c r="G99" s="394"/>
    </row>
    <row r="100" spans="1:7" ht="60" outlineLevel="1" x14ac:dyDescent="0.25">
      <c r="A100" s="319">
        <v>1</v>
      </c>
      <c r="B100" s="320" t="s">
        <v>97</v>
      </c>
      <c r="C100" s="273">
        <v>100</v>
      </c>
      <c r="D100" s="422">
        <v>157.90375</v>
      </c>
      <c r="E100" s="269"/>
      <c r="F100" s="270"/>
      <c r="G100" s="270"/>
    </row>
    <row r="101" spans="1:7" ht="90" outlineLevel="1" x14ac:dyDescent="0.25">
      <c r="A101" s="319">
        <v>2</v>
      </c>
      <c r="B101" s="320" t="s">
        <v>98</v>
      </c>
      <c r="C101" s="303">
        <v>100</v>
      </c>
      <c r="D101" s="422">
        <v>1999.52</v>
      </c>
      <c r="E101" s="304"/>
      <c r="F101" s="270"/>
      <c r="G101" s="270"/>
    </row>
    <row r="102" spans="1:7" ht="120" outlineLevel="1" x14ac:dyDescent="0.25">
      <c r="A102" s="319">
        <v>3</v>
      </c>
      <c r="B102" s="320" t="s">
        <v>99</v>
      </c>
      <c r="C102" s="322"/>
      <c r="D102" s="422"/>
      <c r="E102" s="321"/>
      <c r="F102" s="270"/>
      <c r="G102" s="270"/>
    </row>
    <row r="103" spans="1:7" ht="75" outlineLevel="1" x14ac:dyDescent="0.25">
      <c r="A103" s="319" t="s">
        <v>58</v>
      </c>
      <c r="B103" s="320" t="s">
        <v>100</v>
      </c>
      <c r="C103" s="273">
        <v>1</v>
      </c>
      <c r="D103" s="422">
        <v>499.88</v>
      </c>
      <c r="E103" s="269"/>
      <c r="F103" s="270"/>
      <c r="G103" s="270"/>
    </row>
    <row r="104" spans="1:7" ht="24" customHeight="1" outlineLevel="1" x14ac:dyDescent="0.25">
      <c r="A104" s="319">
        <v>4</v>
      </c>
      <c r="B104" s="320" t="s">
        <v>101</v>
      </c>
      <c r="C104" s="323">
        <v>1</v>
      </c>
      <c r="D104" s="422">
        <v>12</v>
      </c>
      <c r="E104" s="321"/>
      <c r="F104" s="270"/>
      <c r="G104" s="270"/>
    </row>
    <row r="105" spans="1:7" ht="36" customHeight="1" outlineLevel="1" x14ac:dyDescent="0.25">
      <c r="A105" s="319">
        <v>5</v>
      </c>
      <c r="B105" s="320" t="s">
        <v>102</v>
      </c>
      <c r="C105" s="273">
        <v>1000</v>
      </c>
      <c r="D105" s="422">
        <v>3710</v>
      </c>
      <c r="E105" s="321"/>
      <c r="F105" s="270"/>
      <c r="G105" s="270"/>
    </row>
    <row r="106" spans="1:7" ht="32.25" customHeight="1" outlineLevel="1" x14ac:dyDescent="0.25">
      <c r="A106" s="319">
        <v>6</v>
      </c>
      <c r="B106" s="302" t="s">
        <v>103</v>
      </c>
      <c r="C106" s="278">
        <v>100</v>
      </c>
      <c r="D106" s="422">
        <v>694.5</v>
      </c>
      <c r="E106" s="295"/>
      <c r="F106" s="270"/>
      <c r="G106" s="270"/>
    </row>
    <row r="107" spans="1:7" ht="105" outlineLevel="1" x14ac:dyDescent="0.25">
      <c r="A107" s="319">
        <v>7</v>
      </c>
      <c r="B107" s="302" t="s">
        <v>104</v>
      </c>
      <c r="C107" s="323">
        <v>1</v>
      </c>
      <c r="D107" s="422">
        <v>96</v>
      </c>
      <c r="E107" s="295"/>
      <c r="F107" s="270"/>
      <c r="G107" s="270"/>
    </row>
    <row r="108" spans="1:7" ht="45" outlineLevel="1" x14ac:dyDescent="0.25">
      <c r="A108" s="319">
        <v>8</v>
      </c>
      <c r="B108" s="324" t="s">
        <v>105</v>
      </c>
      <c r="C108" s="273">
        <v>100</v>
      </c>
      <c r="D108" s="422">
        <v>307</v>
      </c>
      <c r="E108" s="325"/>
      <c r="F108" s="270"/>
      <c r="G108" s="270"/>
    </row>
    <row r="109" spans="1:7" ht="25.5" customHeight="1" outlineLevel="1" x14ac:dyDescent="0.25">
      <c r="A109" s="319">
        <v>9</v>
      </c>
      <c r="B109" s="324" t="s">
        <v>106</v>
      </c>
      <c r="C109" s="303">
        <v>1</v>
      </c>
      <c r="D109" s="424">
        <v>82</v>
      </c>
      <c r="E109" s="304"/>
      <c r="F109" s="270"/>
      <c r="G109" s="270"/>
    </row>
    <row r="110" spans="1:7" outlineLevel="1" x14ac:dyDescent="0.25">
      <c r="A110" s="519" t="s">
        <v>83</v>
      </c>
      <c r="B110" s="519"/>
      <c r="C110" s="519"/>
      <c r="D110" s="519"/>
      <c r="E110" s="519"/>
      <c r="F110" s="270"/>
      <c r="G110" s="270"/>
    </row>
    <row r="111" spans="1:7" ht="19.5" outlineLevel="1" x14ac:dyDescent="0.25">
      <c r="A111" s="500" t="s">
        <v>107</v>
      </c>
      <c r="B111" s="500"/>
      <c r="C111" s="500"/>
      <c r="D111" s="500"/>
      <c r="E111" s="500"/>
      <c r="F111" s="394"/>
      <c r="G111" s="394"/>
    </row>
    <row r="112" spans="1:7" ht="72.75" customHeight="1" outlineLevel="1" x14ac:dyDescent="0.25">
      <c r="A112" s="293">
        <v>1</v>
      </c>
      <c r="B112" s="299" t="s">
        <v>108</v>
      </c>
      <c r="C112" s="273">
        <v>1000</v>
      </c>
      <c r="D112" s="424">
        <v>2179.5676332792</v>
      </c>
      <c r="E112" s="269"/>
      <c r="F112" s="270"/>
      <c r="G112" s="270"/>
    </row>
    <row r="113" spans="1:7" ht="105" outlineLevel="1" x14ac:dyDescent="0.25">
      <c r="A113" s="293">
        <v>2</v>
      </c>
      <c r="B113" s="318" t="s">
        <v>109</v>
      </c>
      <c r="C113" s="278">
        <v>1</v>
      </c>
      <c r="D113" s="424">
        <v>2034</v>
      </c>
      <c r="E113" s="295"/>
      <c r="F113" s="270"/>
      <c r="G113" s="270"/>
    </row>
    <row r="114" spans="1:7" ht="45" outlineLevel="1" x14ac:dyDescent="0.25">
      <c r="A114" s="275">
        <v>3</v>
      </c>
      <c r="B114" s="302" t="s">
        <v>23</v>
      </c>
      <c r="C114" s="276"/>
      <c r="D114" s="424"/>
      <c r="E114" s="295"/>
      <c r="F114" s="270"/>
      <c r="G114" s="270"/>
    </row>
    <row r="115" spans="1:7" outlineLevel="1" x14ac:dyDescent="0.25">
      <c r="A115" s="275" t="s">
        <v>48</v>
      </c>
      <c r="B115" s="299" t="s">
        <v>76</v>
      </c>
      <c r="C115" s="273">
        <v>100</v>
      </c>
      <c r="D115" s="424">
        <v>422.44977729920004</v>
      </c>
      <c r="E115" s="269"/>
      <c r="F115" s="270"/>
      <c r="G115" s="270"/>
    </row>
    <row r="116" spans="1:7" ht="30.75" customHeight="1" outlineLevel="1" x14ac:dyDescent="0.25">
      <c r="A116" s="275">
        <v>4</v>
      </c>
      <c r="B116" s="302" t="s">
        <v>25</v>
      </c>
      <c r="C116" s="273">
        <v>100</v>
      </c>
      <c r="D116" s="424">
        <v>1260.1600000000001</v>
      </c>
      <c r="E116" s="269"/>
      <c r="F116" s="270"/>
      <c r="G116" s="270"/>
    </row>
    <row r="117" spans="1:7" ht="60" outlineLevel="1" x14ac:dyDescent="0.25">
      <c r="A117" s="275">
        <v>5</v>
      </c>
      <c r="B117" s="302" t="s">
        <v>110</v>
      </c>
      <c r="C117" s="278">
        <v>100</v>
      </c>
      <c r="D117" s="424">
        <v>258</v>
      </c>
      <c r="E117" s="269"/>
      <c r="F117" s="270"/>
      <c r="G117" s="270"/>
    </row>
    <row r="118" spans="1:7" ht="60" outlineLevel="1" x14ac:dyDescent="0.25">
      <c r="A118" s="275">
        <v>6</v>
      </c>
      <c r="B118" s="299" t="s">
        <v>111</v>
      </c>
      <c r="C118" s="278">
        <v>100</v>
      </c>
      <c r="D118" s="424">
        <v>480</v>
      </c>
      <c r="E118" s="269"/>
      <c r="F118" s="270"/>
      <c r="G118" s="270"/>
    </row>
    <row r="119" spans="1:7" ht="30" outlineLevel="1" x14ac:dyDescent="0.25">
      <c r="A119" s="275">
        <v>7</v>
      </c>
      <c r="B119" s="302" t="s">
        <v>112</v>
      </c>
      <c r="C119" s="273">
        <v>1000</v>
      </c>
      <c r="D119" s="424">
        <v>600</v>
      </c>
      <c r="E119" s="269"/>
      <c r="F119" s="270"/>
      <c r="G119" s="270"/>
    </row>
    <row r="120" spans="1:7" ht="30" outlineLevel="1" x14ac:dyDescent="0.25">
      <c r="A120" s="275">
        <v>8</v>
      </c>
      <c r="B120" s="299" t="s">
        <v>113</v>
      </c>
      <c r="C120" s="273">
        <v>100</v>
      </c>
      <c r="D120" s="424">
        <v>1163.5999999999999</v>
      </c>
      <c r="E120" s="269"/>
      <c r="F120" s="270"/>
      <c r="G120" s="270"/>
    </row>
    <row r="121" spans="1:7" ht="120.75" outlineLevel="1" x14ac:dyDescent="0.25">
      <c r="A121" s="275">
        <v>9</v>
      </c>
      <c r="B121" s="302" t="s">
        <v>47</v>
      </c>
      <c r="C121" s="271"/>
      <c r="D121" s="424"/>
      <c r="E121" s="269"/>
      <c r="F121" s="270"/>
      <c r="G121" s="270"/>
    </row>
    <row r="122" spans="1:7" ht="75" outlineLevel="1" x14ac:dyDescent="0.25">
      <c r="A122" s="275" t="s">
        <v>48</v>
      </c>
      <c r="B122" s="299" t="s">
        <v>114</v>
      </c>
      <c r="C122" s="273">
        <v>1</v>
      </c>
      <c r="D122" s="424">
        <v>616.66319999999996</v>
      </c>
      <c r="E122" s="269"/>
      <c r="F122" s="270"/>
      <c r="G122" s="270"/>
    </row>
    <row r="123" spans="1:7" ht="75" outlineLevel="1" x14ac:dyDescent="0.25">
      <c r="A123" s="275" t="s">
        <v>50</v>
      </c>
      <c r="B123" s="299" t="s">
        <v>115</v>
      </c>
      <c r="C123" s="273">
        <v>1</v>
      </c>
      <c r="D123" s="424">
        <v>73.631249999999994</v>
      </c>
      <c r="E123" s="269"/>
      <c r="F123" s="270"/>
      <c r="G123" s="270"/>
    </row>
    <row r="124" spans="1:7" ht="90" outlineLevel="1" x14ac:dyDescent="0.25">
      <c r="A124" s="326">
        <v>11</v>
      </c>
      <c r="B124" s="302" t="s">
        <v>116</v>
      </c>
      <c r="C124" s="303">
        <v>100</v>
      </c>
      <c r="D124" s="424">
        <v>4141.7667000000001</v>
      </c>
      <c r="E124" s="269"/>
      <c r="F124" s="270"/>
      <c r="G124" s="270"/>
    </row>
    <row r="125" spans="1:7" ht="180" outlineLevel="1" x14ac:dyDescent="0.25">
      <c r="A125" s="275">
        <v>12</v>
      </c>
      <c r="B125" s="302" t="s">
        <v>117</v>
      </c>
      <c r="C125" s="278">
        <v>1</v>
      </c>
      <c r="D125" s="424">
        <v>128</v>
      </c>
      <c r="E125" s="269"/>
      <c r="F125" s="270"/>
      <c r="G125" s="270"/>
    </row>
    <row r="126" spans="1:7" ht="60" outlineLevel="1" x14ac:dyDescent="0.25">
      <c r="A126" s="275">
        <v>13</v>
      </c>
      <c r="B126" s="302" t="s">
        <v>118</v>
      </c>
      <c r="C126" s="278">
        <v>1</v>
      </c>
      <c r="D126" s="424">
        <v>160</v>
      </c>
      <c r="E126" s="269"/>
      <c r="F126" s="270"/>
      <c r="G126" s="270"/>
    </row>
    <row r="127" spans="1:7" ht="45" outlineLevel="1" x14ac:dyDescent="0.25">
      <c r="A127" s="275">
        <v>14</v>
      </c>
      <c r="B127" s="302" t="s">
        <v>119</v>
      </c>
      <c r="C127" s="278">
        <v>1</v>
      </c>
      <c r="D127" s="424">
        <v>196</v>
      </c>
      <c r="E127" s="269"/>
      <c r="F127" s="270"/>
      <c r="G127" s="270"/>
    </row>
    <row r="128" spans="1:7" ht="75" outlineLevel="1" x14ac:dyDescent="0.25">
      <c r="A128" s="293">
        <v>15</v>
      </c>
      <c r="B128" s="302" t="s">
        <v>120</v>
      </c>
      <c r="C128" s="278">
        <v>100</v>
      </c>
      <c r="D128" s="424">
        <v>382.25</v>
      </c>
      <c r="E128" s="269"/>
      <c r="F128" s="270"/>
      <c r="G128" s="270"/>
    </row>
    <row r="129" spans="1:7" ht="30" outlineLevel="1" x14ac:dyDescent="0.25">
      <c r="A129" s="293">
        <v>16</v>
      </c>
      <c r="B129" s="302" t="s">
        <v>121</v>
      </c>
      <c r="C129" s="278">
        <v>1</v>
      </c>
      <c r="D129" s="424">
        <v>398.25</v>
      </c>
      <c r="E129" s="269"/>
      <c r="F129" s="270"/>
      <c r="G129" s="270"/>
    </row>
    <row r="130" spans="1:7" ht="29.25" customHeight="1" outlineLevel="1" x14ac:dyDescent="0.25">
      <c r="A130" s="275">
        <v>17</v>
      </c>
      <c r="B130" s="302" t="s">
        <v>122</v>
      </c>
      <c r="C130" s="273">
        <v>100</v>
      </c>
      <c r="D130" s="424">
        <v>163.75</v>
      </c>
      <c r="E130" s="295"/>
      <c r="F130" s="270"/>
      <c r="G130" s="270"/>
    </row>
    <row r="131" spans="1:7" ht="45" outlineLevel="1" x14ac:dyDescent="0.25">
      <c r="A131" s="293">
        <v>18</v>
      </c>
      <c r="B131" s="302" t="s">
        <v>123</v>
      </c>
      <c r="C131" s="273">
        <v>100</v>
      </c>
      <c r="D131" s="424">
        <v>195.75</v>
      </c>
      <c r="E131" s="295"/>
      <c r="F131" s="270"/>
      <c r="G131" s="270"/>
    </row>
    <row r="132" spans="1:7" ht="45" customHeight="1" outlineLevel="1" x14ac:dyDescent="0.25">
      <c r="A132" s="505">
        <v>19</v>
      </c>
      <c r="B132" s="327" t="s">
        <v>124</v>
      </c>
      <c r="C132" s="271"/>
      <c r="D132" s="424"/>
      <c r="E132" s="269"/>
      <c r="F132" s="270"/>
      <c r="G132" s="270"/>
    </row>
    <row r="133" spans="1:7" outlineLevel="1" x14ac:dyDescent="0.25">
      <c r="A133" s="505"/>
      <c r="B133" s="327" t="s">
        <v>125</v>
      </c>
      <c r="C133" s="273">
        <v>100</v>
      </c>
      <c r="D133" s="424">
        <v>183.44</v>
      </c>
      <c r="E133" s="269"/>
      <c r="F133" s="270"/>
      <c r="G133" s="270"/>
    </row>
    <row r="134" spans="1:7" ht="30.75" customHeight="1" outlineLevel="1" x14ac:dyDescent="0.25">
      <c r="A134" s="275">
        <v>20</v>
      </c>
      <c r="B134" s="302" t="s">
        <v>126</v>
      </c>
      <c r="C134" s="278">
        <v>100</v>
      </c>
      <c r="D134" s="424">
        <v>2273.2200000000003</v>
      </c>
      <c r="E134" s="295"/>
      <c r="F134" s="270"/>
      <c r="G134" s="270"/>
    </row>
    <row r="135" spans="1:7" ht="45" outlineLevel="1" x14ac:dyDescent="0.25">
      <c r="A135" s="275">
        <v>21</v>
      </c>
      <c r="B135" s="302" t="s">
        <v>127</v>
      </c>
      <c r="C135" s="278">
        <v>100</v>
      </c>
      <c r="D135" s="424">
        <v>458.08</v>
      </c>
      <c r="E135" s="295"/>
      <c r="F135" s="270"/>
      <c r="G135" s="270"/>
    </row>
    <row r="136" spans="1:7" ht="61.5" customHeight="1" outlineLevel="1" x14ac:dyDescent="0.25">
      <c r="A136" s="275">
        <v>22</v>
      </c>
      <c r="B136" s="302" t="s">
        <v>128</v>
      </c>
      <c r="C136" s="278">
        <v>100</v>
      </c>
      <c r="D136" s="424">
        <v>1959.5</v>
      </c>
      <c r="E136" s="295"/>
      <c r="F136" s="270"/>
      <c r="G136" s="270"/>
    </row>
    <row r="137" spans="1:7" ht="45" outlineLevel="1" x14ac:dyDescent="0.25">
      <c r="A137" s="275">
        <v>23</v>
      </c>
      <c r="B137" s="302" t="s">
        <v>129</v>
      </c>
      <c r="C137" s="323">
        <v>1</v>
      </c>
      <c r="D137" s="424">
        <v>52</v>
      </c>
      <c r="E137" s="295"/>
      <c r="F137" s="270"/>
      <c r="G137" s="270"/>
    </row>
    <row r="138" spans="1:7" ht="31.5" customHeight="1" outlineLevel="1" x14ac:dyDescent="0.25">
      <c r="A138" s="275">
        <v>24</v>
      </c>
      <c r="B138" s="302" t="s">
        <v>130</v>
      </c>
      <c r="C138" s="328">
        <v>1</v>
      </c>
      <c r="D138" s="424">
        <v>8</v>
      </c>
      <c r="E138" s="295"/>
      <c r="F138" s="270"/>
      <c r="G138" s="270"/>
    </row>
    <row r="139" spans="1:7" ht="23.25" customHeight="1" outlineLevel="1" x14ac:dyDescent="0.25">
      <c r="A139" s="275">
        <v>25</v>
      </c>
      <c r="B139" s="302" t="s">
        <v>131</v>
      </c>
      <c r="C139" s="328">
        <v>1</v>
      </c>
      <c r="D139" s="424">
        <v>4</v>
      </c>
      <c r="E139" s="295"/>
      <c r="F139" s="270"/>
      <c r="G139" s="270"/>
    </row>
    <row r="140" spans="1:7" ht="23.25" customHeight="1" outlineLevel="1" x14ac:dyDescent="0.25">
      <c r="A140" s="275">
        <v>26</v>
      </c>
      <c r="B140" s="302" t="s">
        <v>132</v>
      </c>
      <c r="C140" s="278">
        <v>100</v>
      </c>
      <c r="D140" s="424">
        <v>2041.08</v>
      </c>
      <c r="E140" s="295"/>
      <c r="F140" s="270"/>
      <c r="G140" s="270"/>
    </row>
    <row r="141" spans="1:7" ht="45" outlineLevel="1" x14ac:dyDescent="0.25">
      <c r="A141" s="275">
        <v>27</v>
      </c>
      <c r="B141" s="302" t="s">
        <v>133</v>
      </c>
      <c r="C141" s="278">
        <v>100</v>
      </c>
      <c r="D141" s="424">
        <v>690.22</v>
      </c>
      <c r="E141" s="295"/>
      <c r="F141" s="270"/>
      <c r="G141" s="270"/>
    </row>
    <row r="142" spans="1:7" ht="30" outlineLevel="1" x14ac:dyDescent="0.25">
      <c r="A142" s="275">
        <v>28</v>
      </c>
      <c r="B142" s="302" t="s">
        <v>134</v>
      </c>
      <c r="C142" s="278">
        <v>100</v>
      </c>
      <c r="D142" s="424">
        <v>356</v>
      </c>
      <c r="E142" s="295"/>
      <c r="F142" s="270"/>
      <c r="G142" s="270"/>
    </row>
    <row r="143" spans="1:7" ht="60" outlineLevel="1" x14ac:dyDescent="0.25">
      <c r="A143" s="275">
        <v>29</v>
      </c>
      <c r="B143" s="327" t="s">
        <v>135</v>
      </c>
      <c r="C143" s="303">
        <v>100</v>
      </c>
      <c r="D143" s="424">
        <v>1339.834890683117</v>
      </c>
      <c r="E143" s="269"/>
      <c r="F143" s="270"/>
      <c r="G143" s="270"/>
    </row>
    <row r="144" spans="1:7" ht="45" outlineLevel="1" x14ac:dyDescent="0.25">
      <c r="A144" s="275">
        <v>30</v>
      </c>
      <c r="B144" s="302" t="s">
        <v>136</v>
      </c>
      <c r="C144" s="271"/>
      <c r="D144" s="424"/>
      <c r="E144" s="295"/>
      <c r="F144" s="270"/>
      <c r="G144" s="270"/>
    </row>
    <row r="145" spans="1:7" ht="19.5" customHeight="1" outlineLevel="1" x14ac:dyDescent="0.25">
      <c r="A145" s="275" t="s">
        <v>48</v>
      </c>
      <c r="B145" s="302" t="s">
        <v>137</v>
      </c>
      <c r="C145" s="323">
        <v>1</v>
      </c>
      <c r="D145" s="424">
        <v>240</v>
      </c>
      <c r="E145" s="295"/>
      <c r="F145" s="270"/>
      <c r="G145" s="270"/>
    </row>
    <row r="146" spans="1:7" ht="19.5" customHeight="1" outlineLevel="1" x14ac:dyDescent="0.25">
      <c r="A146" s="275" t="s">
        <v>50</v>
      </c>
      <c r="B146" s="302" t="s">
        <v>138</v>
      </c>
      <c r="C146" s="323">
        <v>1</v>
      </c>
      <c r="D146" s="424">
        <v>120</v>
      </c>
      <c r="E146" s="295"/>
      <c r="F146" s="270"/>
      <c r="G146" s="270"/>
    </row>
    <row r="147" spans="1:7" ht="19.5" customHeight="1" outlineLevel="1" x14ac:dyDescent="0.25">
      <c r="A147" s="275" t="s">
        <v>139</v>
      </c>
      <c r="B147" s="302" t="s">
        <v>140</v>
      </c>
      <c r="C147" s="323">
        <v>1</v>
      </c>
      <c r="D147" s="424">
        <v>60</v>
      </c>
      <c r="E147" s="295"/>
      <c r="F147" s="270"/>
      <c r="G147" s="270"/>
    </row>
    <row r="148" spans="1:7" ht="75" outlineLevel="1" x14ac:dyDescent="0.25">
      <c r="A148" s="275">
        <v>31</v>
      </c>
      <c r="B148" s="302" t="s">
        <v>141</v>
      </c>
      <c r="C148" s="271"/>
      <c r="D148" s="424"/>
      <c r="E148" s="295"/>
      <c r="F148" s="270"/>
      <c r="G148" s="270"/>
    </row>
    <row r="149" spans="1:7" ht="16.5" customHeight="1" outlineLevel="1" x14ac:dyDescent="0.25">
      <c r="A149" s="275" t="s">
        <v>48</v>
      </c>
      <c r="B149" s="302" t="s">
        <v>142</v>
      </c>
      <c r="C149" s="323">
        <v>1</v>
      </c>
      <c r="D149" s="424">
        <v>720</v>
      </c>
      <c r="E149" s="295"/>
      <c r="F149" s="270"/>
      <c r="G149" s="270"/>
    </row>
    <row r="150" spans="1:7" ht="16.5" customHeight="1" outlineLevel="1" x14ac:dyDescent="0.25">
      <c r="A150" s="275" t="s">
        <v>50</v>
      </c>
      <c r="B150" s="302" t="s">
        <v>143</v>
      </c>
      <c r="C150" s="323">
        <v>1</v>
      </c>
      <c r="D150" s="424">
        <v>240</v>
      </c>
      <c r="E150" s="295"/>
      <c r="F150" s="270"/>
      <c r="G150" s="270"/>
    </row>
    <row r="151" spans="1:7" ht="75" outlineLevel="1" x14ac:dyDescent="0.25">
      <c r="A151" s="275">
        <v>32</v>
      </c>
      <c r="B151" s="302" t="s">
        <v>144</v>
      </c>
      <c r="C151" s="323">
        <v>1</v>
      </c>
      <c r="D151" s="424">
        <v>160</v>
      </c>
      <c r="E151" s="295"/>
      <c r="F151" s="270"/>
      <c r="G151" s="270"/>
    </row>
    <row r="152" spans="1:7" ht="60" outlineLevel="1" x14ac:dyDescent="0.25">
      <c r="A152" s="275">
        <v>33</v>
      </c>
      <c r="B152" s="302" t="s">
        <v>145</v>
      </c>
      <c r="C152" s="271"/>
      <c r="D152" s="424"/>
      <c r="E152" s="295"/>
      <c r="F152" s="270"/>
      <c r="G152" s="270"/>
    </row>
    <row r="153" spans="1:7" ht="18" customHeight="1" outlineLevel="1" x14ac:dyDescent="0.25">
      <c r="A153" s="275" t="s">
        <v>48</v>
      </c>
      <c r="B153" s="302" t="s">
        <v>146</v>
      </c>
      <c r="C153" s="329">
        <v>1</v>
      </c>
      <c r="D153" s="424">
        <v>4</v>
      </c>
      <c r="E153" s="295"/>
      <c r="F153" s="270"/>
      <c r="G153" s="270"/>
    </row>
    <row r="154" spans="1:7" ht="18" customHeight="1" outlineLevel="1" x14ac:dyDescent="0.25">
      <c r="A154" s="275" t="s">
        <v>50</v>
      </c>
      <c r="B154" s="302" t="s">
        <v>147</v>
      </c>
      <c r="C154" s="329">
        <v>1</v>
      </c>
      <c r="D154" s="424">
        <v>4</v>
      </c>
      <c r="E154" s="295"/>
      <c r="F154" s="270"/>
      <c r="G154" s="270"/>
    </row>
    <row r="155" spans="1:7" ht="18" customHeight="1" outlineLevel="1" x14ac:dyDescent="0.25">
      <c r="A155" s="275" t="s">
        <v>139</v>
      </c>
      <c r="B155" s="302" t="s">
        <v>148</v>
      </c>
      <c r="C155" s="329">
        <v>1</v>
      </c>
      <c r="D155" s="424">
        <v>4</v>
      </c>
      <c r="E155" s="295"/>
      <c r="F155" s="270"/>
      <c r="G155" s="270"/>
    </row>
    <row r="156" spans="1:7" ht="30" outlineLevel="1" x14ac:dyDescent="0.25">
      <c r="A156" s="275">
        <v>34</v>
      </c>
      <c r="B156" s="302" t="s">
        <v>149</v>
      </c>
      <c r="C156" s="329">
        <v>1</v>
      </c>
      <c r="D156" s="424">
        <v>80</v>
      </c>
      <c r="E156" s="295"/>
      <c r="F156" s="270"/>
      <c r="G156" s="270"/>
    </row>
    <row r="157" spans="1:7" ht="20.25" customHeight="1" outlineLevel="1" x14ac:dyDescent="0.25">
      <c r="A157" s="275">
        <v>35</v>
      </c>
      <c r="B157" s="302" t="s">
        <v>150</v>
      </c>
      <c r="C157" s="329">
        <v>1</v>
      </c>
      <c r="D157" s="424">
        <v>16</v>
      </c>
      <c r="E157" s="295"/>
      <c r="F157" s="270"/>
      <c r="G157" s="270"/>
    </row>
    <row r="158" spans="1:7" ht="20.25" customHeight="1" outlineLevel="1" x14ac:dyDescent="0.25">
      <c r="A158" s="275">
        <v>36</v>
      </c>
      <c r="B158" s="302" t="s">
        <v>151</v>
      </c>
      <c r="C158" s="329">
        <v>1</v>
      </c>
      <c r="D158" s="424">
        <v>8</v>
      </c>
      <c r="E158" s="295"/>
      <c r="F158" s="270"/>
      <c r="G158" s="270"/>
    </row>
    <row r="159" spans="1:7" ht="45" outlineLevel="1" x14ac:dyDescent="0.25">
      <c r="A159" s="275">
        <v>37</v>
      </c>
      <c r="B159" s="299" t="s">
        <v>152</v>
      </c>
      <c r="C159" s="329">
        <v>1</v>
      </c>
      <c r="D159" s="424">
        <v>4</v>
      </c>
      <c r="E159" s="295"/>
      <c r="F159" s="270"/>
      <c r="G159" s="270"/>
    </row>
    <row r="160" spans="1:7" ht="150" outlineLevel="1" x14ac:dyDescent="0.25">
      <c r="A160" s="275">
        <v>38</v>
      </c>
      <c r="B160" s="299" t="s">
        <v>153</v>
      </c>
      <c r="C160" s="328">
        <v>1</v>
      </c>
      <c r="D160" s="424">
        <v>4</v>
      </c>
      <c r="E160" s="295"/>
      <c r="F160" s="270"/>
      <c r="G160" s="270"/>
    </row>
    <row r="161" spans="1:7" ht="90" outlineLevel="1" x14ac:dyDescent="0.25">
      <c r="A161" s="275">
        <v>39</v>
      </c>
      <c r="B161" s="302" t="s">
        <v>154</v>
      </c>
      <c r="C161" s="328">
        <v>1</v>
      </c>
      <c r="D161" s="424">
        <v>24</v>
      </c>
      <c r="E161" s="295"/>
      <c r="F161" s="270"/>
      <c r="G161" s="270"/>
    </row>
    <row r="162" spans="1:7" ht="135" outlineLevel="1" x14ac:dyDescent="0.25">
      <c r="A162" s="275">
        <v>40</v>
      </c>
      <c r="B162" s="299" t="s">
        <v>155</v>
      </c>
      <c r="C162" s="328">
        <v>1</v>
      </c>
      <c r="D162" s="424">
        <v>8</v>
      </c>
      <c r="E162" s="295"/>
      <c r="F162" s="270"/>
      <c r="G162" s="270"/>
    </row>
    <row r="163" spans="1:7" ht="150" outlineLevel="1" x14ac:dyDescent="0.25">
      <c r="A163" s="275">
        <v>41</v>
      </c>
      <c r="B163" s="299" t="s">
        <v>156</v>
      </c>
      <c r="C163" s="328">
        <v>1</v>
      </c>
      <c r="D163" s="424">
        <v>4</v>
      </c>
      <c r="E163" s="295"/>
      <c r="F163" s="270"/>
      <c r="G163" s="270"/>
    </row>
    <row r="164" spans="1:7" ht="60" outlineLevel="1" x14ac:dyDescent="0.25">
      <c r="A164" s="275">
        <v>42</v>
      </c>
      <c r="B164" s="302" t="s">
        <v>157</v>
      </c>
      <c r="C164" s="328">
        <v>1</v>
      </c>
      <c r="D164" s="424">
        <v>12</v>
      </c>
      <c r="E164" s="295"/>
      <c r="F164" s="270"/>
      <c r="G164" s="270"/>
    </row>
    <row r="165" spans="1:7" ht="24.75" customHeight="1" outlineLevel="1" x14ac:dyDescent="0.25">
      <c r="A165" s="275">
        <v>43</v>
      </c>
      <c r="B165" s="302" t="s">
        <v>158</v>
      </c>
      <c r="C165" s="328">
        <v>1</v>
      </c>
      <c r="D165" s="424">
        <v>12</v>
      </c>
      <c r="E165" s="295"/>
      <c r="F165" s="270"/>
      <c r="G165" s="270"/>
    </row>
    <row r="166" spans="1:7" ht="75.75" outlineLevel="1" x14ac:dyDescent="0.25">
      <c r="A166" s="275">
        <v>44</v>
      </c>
      <c r="B166" s="299" t="s">
        <v>40</v>
      </c>
      <c r="C166" s="276"/>
      <c r="D166" s="424"/>
      <c r="E166" s="298"/>
      <c r="F166" s="270"/>
      <c r="G166" s="270"/>
    </row>
    <row r="167" spans="1:7" outlineLevel="1" x14ac:dyDescent="0.25">
      <c r="A167" s="275" t="s">
        <v>67</v>
      </c>
      <c r="B167" s="299" t="s">
        <v>68</v>
      </c>
      <c r="C167" s="273">
        <v>100</v>
      </c>
      <c r="D167" s="424">
        <v>405.551786207232</v>
      </c>
      <c r="E167" s="298"/>
      <c r="F167" s="270"/>
      <c r="G167" s="270"/>
    </row>
    <row r="168" spans="1:7" outlineLevel="1" x14ac:dyDescent="0.25">
      <c r="A168" s="275" t="s">
        <v>41</v>
      </c>
      <c r="B168" s="299" t="s">
        <v>42</v>
      </c>
      <c r="C168" s="273">
        <v>100</v>
      </c>
      <c r="D168" s="424">
        <v>161.4272</v>
      </c>
      <c r="E168" s="298"/>
      <c r="F168" s="270"/>
      <c r="G168" s="270"/>
    </row>
    <row r="169" spans="1:7" outlineLevel="1" x14ac:dyDescent="0.25">
      <c r="A169" s="275" t="s">
        <v>70</v>
      </c>
      <c r="B169" s="299" t="s">
        <v>159</v>
      </c>
      <c r="C169" s="273">
        <v>100</v>
      </c>
      <c r="D169" s="424">
        <v>607.45911599999999</v>
      </c>
      <c r="E169" s="298"/>
      <c r="F169" s="270"/>
      <c r="G169" s="270"/>
    </row>
    <row r="170" spans="1:7" outlineLevel="1" x14ac:dyDescent="0.25">
      <c r="A170" s="275" t="s">
        <v>160</v>
      </c>
      <c r="B170" s="299" t="s">
        <v>161</v>
      </c>
      <c r="C170" s="273">
        <v>100</v>
      </c>
      <c r="D170" s="424">
        <v>28.38</v>
      </c>
      <c r="E170" s="298"/>
      <c r="F170" s="270"/>
      <c r="G170" s="270"/>
    </row>
    <row r="171" spans="1:7" ht="18.75" customHeight="1" outlineLevel="1" x14ac:dyDescent="0.25">
      <c r="A171" s="506" t="s">
        <v>43</v>
      </c>
      <c r="B171" s="506"/>
      <c r="C171" s="506"/>
      <c r="D171" s="506"/>
      <c r="E171" s="506"/>
      <c r="F171" s="270"/>
      <c r="G171" s="270"/>
    </row>
    <row r="172" spans="1:7" ht="25.5" customHeight="1" x14ac:dyDescent="0.25">
      <c r="A172" s="499" t="s">
        <v>163</v>
      </c>
      <c r="B172" s="499"/>
      <c r="C172" s="499"/>
      <c r="D172" s="499"/>
      <c r="E172" s="499"/>
      <c r="F172" s="362"/>
      <c r="G172" s="362"/>
    </row>
    <row r="173" spans="1:7" ht="19.5" outlineLevel="1" x14ac:dyDescent="0.25">
      <c r="A173" s="517" t="s">
        <v>9</v>
      </c>
      <c r="B173" s="517"/>
      <c r="C173" s="517"/>
      <c r="D173" s="517"/>
      <c r="E173" s="517"/>
      <c r="F173" s="270"/>
      <c r="G173" s="270"/>
    </row>
    <row r="174" spans="1:7" ht="75" outlineLevel="1" x14ac:dyDescent="0.25">
      <c r="A174" s="330">
        <v>1</v>
      </c>
      <c r="B174" s="327" t="s">
        <v>10</v>
      </c>
      <c r="C174" s="273">
        <v>1000</v>
      </c>
      <c r="D174" s="422">
        <v>590424.88</v>
      </c>
      <c r="E174" s="269"/>
      <c r="F174" s="270"/>
      <c r="G174" s="270"/>
    </row>
    <row r="175" spans="1:7" ht="35.25" customHeight="1" outlineLevel="1" x14ac:dyDescent="0.25">
      <c r="A175" s="330">
        <v>2</v>
      </c>
      <c r="B175" s="327" t="s">
        <v>11</v>
      </c>
      <c r="C175" s="273">
        <v>1000</v>
      </c>
      <c r="D175" s="422">
        <v>112011.005</v>
      </c>
      <c r="E175" s="269"/>
      <c r="F175" s="270"/>
      <c r="G175" s="270"/>
    </row>
    <row r="176" spans="1:7" ht="45" outlineLevel="1" x14ac:dyDescent="0.25">
      <c r="A176" s="330">
        <v>3</v>
      </c>
      <c r="B176" s="327" t="s">
        <v>12</v>
      </c>
      <c r="C176" s="330"/>
      <c r="D176" s="422"/>
      <c r="E176" s="269"/>
      <c r="F176" s="270"/>
      <c r="G176" s="270"/>
    </row>
    <row r="177" spans="1:7" outlineLevel="1" x14ac:dyDescent="0.25">
      <c r="A177" s="330"/>
      <c r="B177" s="327" t="s">
        <v>13</v>
      </c>
      <c r="C177" s="273">
        <v>1000</v>
      </c>
      <c r="D177" s="422">
        <v>4055.6700000000005</v>
      </c>
      <c r="E177" s="269"/>
      <c r="F177" s="270"/>
      <c r="G177" s="270"/>
    </row>
    <row r="178" spans="1:7" outlineLevel="1" x14ac:dyDescent="0.25">
      <c r="A178" s="330"/>
      <c r="B178" s="327" t="s">
        <v>164</v>
      </c>
      <c r="C178" s="273">
        <v>1000</v>
      </c>
      <c r="D178" s="422">
        <v>4805</v>
      </c>
      <c r="E178" s="269"/>
      <c r="F178" s="270"/>
      <c r="G178" s="270"/>
    </row>
    <row r="179" spans="1:7" outlineLevel="1" x14ac:dyDescent="0.25">
      <c r="A179" s="330"/>
      <c r="B179" s="327" t="s">
        <v>15</v>
      </c>
      <c r="C179" s="273">
        <v>1000</v>
      </c>
      <c r="D179" s="422">
        <v>20505</v>
      </c>
      <c r="E179" s="269"/>
      <c r="F179" s="270"/>
      <c r="G179" s="270"/>
    </row>
    <row r="180" spans="1:7" outlineLevel="1" x14ac:dyDescent="0.25">
      <c r="A180" s="330"/>
      <c r="B180" s="327" t="s">
        <v>165</v>
      </c>
      <c r="C180" s="273">
        <v>1000</v>
      </c>
      <c r="D180" s="422">
        <v>1237.5</v>
      </c>
      <c r="E180" s="269"/>
      <c r="F180" s="270"/>
      <c r="G180" s="270"/>
    </row>
    <row r="181" spans="1:7" outlineLevel="1" x14ac:dyDescent="0.25">
      <c r="A181" s="330"/>
      <c r="B181" s="327" t="s">
        <v>166</v>
      </c>
      <c r="C181" s="273">
        <v>1000</v>
      </c>
      <c r="D181" s="422">
        <v>15772.5</v>
      </c>
      <c r="E181" s="269"/>
      <c r="F181" s="270"/>
      <c r="G181" s="270"/>
    </row>
    <row r="182" spans="1:7" outlineLevel="1" x14ac:dyDescent="0.25">
      <c r="A182" s="330"/>
      <c r="B182" s="327" t="s">
        <v>167</v>
      </c>
      <c r="C182" s="273">
        <v>1000</v>
      </c>
      <c r="D182" s="422">
        <v>4869.33</v>
      </c>
      <c r="E182" s="269"/>
      <c r="F182" s="270"/>
      <c r="G182" s="270"/>
    </row>
    <row r="183" spans="1:7" ht="45" outlineLevel="1" x14ac:dyDescent="0.25">
      <c r="A183" s="330">
        <v>4</v>
      </c>
      <c r="B183" s="327" t="s">
        <v>19</v>
      </c>
      <c r="C183" s="331">
        <v>1</v>
      </c>
      <c r="D183" s="422">
        <v>255</v>
      </c>
      <c r="E183" s="269"/>
      <c r="F183" s="270"/>
      <c r="G183" s="270"/>
    </row>
    <row r="184" spans="1:7" ht="25.5" customHeight="1" outlineLevel="1" x14ac:dyDescent="0.25">
      <c r="A184" s="330">
        <v>5</v>
      </c>
      <c r="B184" s="317" t="s">
        <v>20</v>
      </c>
      <c r="C184" s="278">
        <v>1000</v>
      </c>
      <c r="D184" s="422">
        <v>180070</v>
      </c>
      <c r="E184" s="332"/>
      <c r="F184" s="270"/>
      <c r="G184" s="270"/>
    </row>
    <row r="185" spans="1:7" outlineLevel="1" x14ac:dyDescent="0.25">
      <c r="A185" s="520" t="s">
        <v>83</v>
      </c>
      <c r="B185" s="520"/>
      <c r="C185" s="520"/>
      <c r="D185" s="520"/>
      <c r="E185" s="520"/>
      <c r="F185" s="270"/>
      <c r="G185" s="270"/>
    </row>
    <row r="186" spans="1:7" ht="21" customHeight="1" outlineLevel="1" x14ac:dyDescent="0.25">
      <c r="A186" s="500" t="s">
        <v>21</v>
      </c>
      <c r="B186" s="500"/>
      <c r="C186" s="500"/>
      <c r="D186" s="500"/>
      <c r="E186" s="500"/>
      <c r="F186" s="394"/>
      <c r="G186" s="394"/>
    </row>
    <row r="187" spans="1:7" ht="67.5" customHeight="1" outlineLevel="1" x14ac:dyDescent="0.25">
      <c r="A187" s="271">
        <v>1</v>
      </c>
      <c r="B187" s="272" t="s">
        <v>22</v>
      </c>
      <c r="C187" s="273">
        <v>1000</v>
      </c>
      <c r="D187" s="423">
        <v>98</v>
      </c>
      <c r="E187" s="274"/>
      <c r="F187" s="270"/>
      <c r="G187" s="270"/>
    </row>
    <row r="188" spans="1:7" s="15" customFormat="1" ht="50.25" customHeight="1" outlineLevel="1" x14ac:dyDescent="0.2">
      <c r="A188" s="285">
        <v>2</v>
      </c>
      <c r="B188" s="286" t="s">
        <v>23</v>
      </c>
      <c r="C188" s="287"/>
      <c r="D188" s="441"/>
      <c r="E188" s="316"/>
      <c r="F188" s="289"/>
      <c r="G188" s="289"/>
    </row>
    <row r="189" spans="1:7" s="15" customFormat="1" ht="22.5" customHeight="1" outlineLevel="1" x14ac:dyDescent="0.2">
      <c r="A189" s="280"/>
      <c r="B189" s="281" t="s">
        <v>24</v>
      </c>
      <c r="C189" s="282">
        <v>100</v>
      </c>
      <c r="D189" s="445">
        <v>24.5</v>
      </c>
      <c r="E189" s="310"/>
      <c r="F189" s="284"/>
      <c r="G189" s="284"/>
    </row>
    <row r="190" spans="1:7" s="15" customFormat="1" ht="35.25" customHeight="1" outlineLevel="1" x14ac:dyDescent="0.2">
      <c r="A190" s="275">
        <v>3</v>
      </c>
      <c r="B190" s="272" t="s">
        <v>25</v>
      </c>
      <c r="C190" s="273">
        <v>100</v>
      </c>
      <c r="D190" s="423">
        <v>97.5</v>
      </c>
      <c r="E190" s="274"/>
      <c r="F190" s="277"/>
      <c r="G190" s="277"/>
    </row>
    <row r="191" spans="1:7" s="15" customFormat="1" ht="54.75" customHeight="1" outlineLevel="1" x14ac:dyDescent="0.2">
      <c r="A191" s="275">
        <v>4</v>
      </c>
      <c r="B191" s="272" t="s">
        <v>26</v>
      </c>
      <c r="C191" s="278">
        <v>100</v>
      </c>
      <c r="D191" s="423">
        <v>39</v>
      </c>
      <c r="E191" s="274"/>
      <c r="F191" s="277"/>
      <c r="G191" s="277"/>
    </row>
    <row r="192" spans="1:7" ht="41.25" customHeight="1" outlineLevel="1" x14ac:dyDescent="0.25">
      <c r="A192" s="271">
        <v>5</v>
      </c>
      <c r="B192" s="272" t="s">
        <v>27</v>
      </c>
      <c r="C192" s="273">
        <v>100</v>
      </c>
      <c r="D192" s="423">
        <v>81.703125</v>
      </c>
      <c r="E192" s="274"/>
      <c r="F192" s="270"/>
      <c r="G192" s="270"/>
    </row>
    <row r="193" spans="1:7" ht="24.75" customHeight="1" outlineLevel="1" x14ac:dyDescent="0.25">
      <c r="A193" s="271">
        <v>6</v>
      </c>
      <c r="B193" s="272" t="s">
        <v>28</v>
      </c>
      <c r="C193" s="278">
        <v>100</v>
      </c>
      <c r="D193" s="423">
        <v>230.64999999999998</v>
      </c>
      <c r="E193" s="274"/>
      <c r="F193" s="270"/>
      <c r="G193" s="270"/>
    </row>
    <row r="194" spans="1:7" ht="63" customHeight="1" outlineLevel="1" x14ac:dyDescent="0.25">
      <c r="A194" s="271">
        <v>7</v>
      </c>
      <c r="B194" s="272" t="s">
        <v>29</v>
      </c>
      <c r="C194" s="278">
        <v>100</v>
      </c>
      <c r="D194" s="423">
        <v>230.64999999999998</v>
      </c>
      <c r="E194" s="274"/>
      <c r="F194" s="270"/>
      <c r="G194" s="270"/>
    </row>
    <row r="195" spans="1:7" ht="32.25" customHeight="1" outlineLevel="1" x14ac:dyDescent="0.25">
      <c r="A195" s="271">
        <v>8</v>
      </c>
      <c r="B195" s="272" t="s">
        <v>30</v>
      </c>
      <c r="C195" s="328">
        <v>1</v>
      </c>
      <c r="D195" s="423">
        <v>500</v>
      </c>
      <c r="E195" s="274"/>
      <c r="F195" s="270"/>
      <c r="G195" s="270"/>
    </row>
    <row r="196" spans="1:7" ht="75" outlineLevel="1" x14ac:dyDescent="0.25">
      <c r="A196" s="291">
        <v>9</v>
      </c>
      <c r="B196" s="286" t="s">
        <v>31</v>
      </c>
      <c r="C196" s="287"/>
      <c r="D196" s="489"/>
      <c r="E196" s="490"/>
      <c r="F196" s="292"/>
      <c r="G196" s="292"/>
    </row>
    <row r="197" spans="1:7" outlineLevel="1" x14ac:dyDescent="0.25">
      <c r="A197" s="488"/>
      <c r="B197" s="281" t="s">
        <v>32</v>
      </c>
      <c r="C197" s="282">
        <v>100</v>
      </c>
      <c r="D197" s="445">
        <v>4.29</v>
      </c>
      <c r="E197" s="283"/>
      <c r="F197" s="290"/>
      <c r="G197" s="290"/>
    </row>
    <row r="198" spans="1:7" ht="21" customHeight="1" outlineLevel="1" x14ac:dyDescent="0.25">
      <c r="A198" s="520" t="s">
        <v>83</v>
      </c>
      <c r="B198" s="520"/>
      <c r="C198" s="520"/>
      <c r="D198" s="520"/>
      <c r="E198" s="520"/>
      <c r="F198" s="270"/>
      <c r="G198" s="270"/>
    </row>
    <row r="199" spans="1:7" ht="19.5" outlineLevel="1" x14ac:dyDescent="0.25">
      <c r="A199" s="500" t="s">
        <v>168</v>
      </c>
      <c r="B199" s="500"/>
      <c r="C199" s="500"/>
      <c r="D199" s="500"/>
      <c r="E199" s="500"/>
      <c r="F199" s="394"/>
      <c r="G199" s="394"/>
    </row>
    <row r="200" spans="1:7" ht="25.5" customHeight="1" outlineLevel="1" x14ac:dyDescent="0.25">
      <c r="A200" s="293">
        <v>1</v>
      </c>
      <c r="B200" s="294" t="s">
        <v>34</v>
      </c>
      <c r="C200" s="273">
        <v>1</v>
      </c>
      <c r="D200" s="424">
        <v>30.96</v>
      </c>
      <c r="E200" s="295"/>
      <c r="F200" s="270"/>
      <c r="G200" s="270"/>
    </row>
    <row r="201" spans="1:7" ht="45" outlineLevel="1" x14ac:dyDescent="0.25">
      <c r="A201" s="293">
        <v>2</v>
      </c>
      <c r="B201" s="294" t="s">
        <v>35</v>
      </c>
      <c r="C201" s="303">
        <v>100</v>
      </c>
      <c r="D201" s="424">
        <v>70.740000000000009</v>
      </c>
      <c r="E201" s="295"/>
      <c r="F201" s="270"/>
      <c r="G201" s="270"/>
    </row>
    <row r="202" spans="1:7" s="16" customFormat="1" ht="21.75" customHeight="1" outlineLevel="1" x14ac:dyDescent="0.25">
      <c r="A202" s="275">
        <v>3</v>
      </c>
      <c r="B202" s="294" t="s">
        <v>36</v>
      </c>
      <c r="C202" s="328">
        <v>1</v>
      </c>
      <c r="D202" s="424">
        <v>18</v>
      </c>
      <c r="E202" s="295"/>
      <c r="F202" s="333"/>
      <c r="G202" s="333"/>
    </row>
    <row r="203" spans="1:7" s="16" customFormat="1" ht="21.75" customHeight="1" outlineLevel="1" x14ac:dyDescent="0.25">
      <c r="A203" s="275">
        <v>4</v>
      </c>
      <c r="B203" s="294" t="s">
        <v>37</v>
      </c>
      <c r="C203" s="329">
        <v>1</v>
      </c>
      <c r="D203" s="424">
        <v>18</v>
      </c>
      <c r="E203" s="295"/>
      <c r="F203" s="333"/>
      <c r="G203" s="333"/>
    </row>
    <row r="204" spans="1:7" s="16" customFormat="1" ht="21.75" customHeight="1" outlineLevel="1" x14ac:dyDescent="0.25">
      <c r="A204" s="275">
        <v>5</v>
      </c>
      <c r="B204" s="294" t="s">
        <v>38</v>
      </c>
      <c r="C204" s="278">
        <v>100</v>
      </c>
      <c r="D204" s="424">
        <v>63</v>
      </c>
      <c r="E204" s="295"/>
      <c r="F204" s="333"/>
      <c r="G204" s="333"/>
    </row>
    <row r="205" spans="1:7" ht="30" outlineLevel="1" x14ac:dyDescent="0.25">
      <c r="A205" s="275">
        <v>6</v>
      </c>
      <c r="B205" s="294" t="s">
        <v>39</v>
      </c>
      <c r="C205" s="328">
        <v>1</v>
      </c>
      <c r="D205" s="424">
        <v>180</v>
      </c>
      <c r="E205" s="295"/>
      <c r="F205" s="270"/>
      <c r="G205" s="270"/>
    </row>
    <row r="206" spans="1:7" ht="81" customHeight="1" outlineLevel="1" x14ac:dyDescent="0.25">
      <c r="A206" s="285">
        <v>7</v>
      </c>
      <c r="B206" s="463" t="s">
        <v>556</v>
      </c>
      <c r="C206" s="287"/>
      <c r="D206" s="441"/>
      <c r="E206" s="487"/>
      <c r="F206" s="292"/>
      <c r="G206" s="292"/>
    </row>
    <row r="207" spans="1:7" outlineLevel="1" x14ac:dyDescent="0.25">
      <c r="A207" s="280" t="s">
        <v>41</v>
      </c>
      <c r="B207" s="300" t="s">
        <v>42</v>
      </c>
      <c r="C207" s="282">
        <v>100</v>
      </c>
      <c r="D207" s="440">
        <v>27.244800000000001</v>
      </c>
      <c r="E207" s="480"/>
      <c r="F207" s="290"/>
      <c r="G207" s="290"/>
    </row>
    <row r="208" spans="1:7" outlineLevel="1" x14ac:dyDescent="0.25">
      <c r="A208" s="520" t="s">
        <v>83</v>
      </c>
      <c r="B208" s="520"/>
      <c r="C208" s="520"/>
      <c r="D208" s="520"/>
      <c r="E208" s="520"/>
      <c r="F208" s="270"/>
      <c r="G208" s="270"/>
    </row>
    <row r="209" spans="1:7" ht="19.5" outlineLevel="1" x14ac:dyDescent="0.25">
      <c r="A209" s="500" t="s">
        <v>169</v>
      </c>
      <c r="B209" s="500"/>
      <c r="C209" s="500"/>
      <c r="D209" s="500"/>
      <c r="E209" s="500"/>
      <c r="F209" s="394"/>
      <c r="G209" s="394"/>
    </row>
    <row r="210" spans="1:7" ht="75" outlineLevel="1" x14ac:dyDescent="0.25">
      <c r="A210" s="293">
        <v>1</v>
      </c>
      <c r="B210" s="302" t="s">
        <v>10</v>
      </c>
      <c r="C210" s="273">
        <v>1000</v>
      </c>
      <c r="D210" s="424">
        <v>355.5</v>
      </c>
      <c r="E210" s="269"/>
      <c r="F210" s="270"/>
      <c r="G210" s="270"/>
    </row>
    <row r="211" spans="1:7" ht="30" outlineLevel="1" x14ac:dyDescent="0.25">
      <c r="A211" s="293">
        <v>2</v>
      </c>
      <c r="B211" s="302" t="s">
        <v>86</v>
      </c>
      <c r="C211" s="273">
        <v>100</v>
      </c>
      <c r="D211" s="424">
        <v>355.5</v>
      </c>
      <c r="E211" s="295"/>
      <c r="F211" s="270"/>
      <c r="G211" s="270"/>
    </row>
    <row r="212" spans="1:7" ht="20.25" customHeight="1" outlineLevel="1" x14ac:dyDescent="0.25">
      <c r="A212" s="275">
        <v>3</v>
      </c>
      <c r="B212" s="317" t="s">
        <v>87</v>
      </c>
      <c r="C212" s="278">
        <v>100</v>
      </c>
      <c r="D212" s="424">
        <v>681.66000000000008</v>
      </c>
      <c r="E212" s="295"/>
      <c r="F212" s="270"/>
      <c r="G212" s="270"/>
    </row>
    <row r="213" spans="1:7" ht="20.25" customHeight="1" outlineLevel="1" x14ac:dyDescent="0.25">
      <c r="A213" s="275">
        <v>4</v>
      </c>
      <c r="B213" s="317" t="s">
        <v>88</v>
      </c>
      <c r="C213" s="278">
        <v>100</v>
      </c>
      <c r="D213" s="424">
        <v>126</v>
      </c>
      <c r="E213" s="295"/>
      <c r="F213" s="270"/>
      <c r="G213" s="270"/>
    </row>
    <row r="214" spans="1:7" ht="20.25" customHeight="1" outlineLevel="1" x14ac:dyDescent="0.25">
      <c r="A214" s="293">
        <v>5</v>
      </c>
      <c r="B214" s="302" t="s">
        <v>89</v>
      </c>
      <c r="C214" s="273">
        <v>100</v>
      </c>
      <c r="D214" s="424">
        <v>224.94</v>
      </c>
      <c r="E214" s="295"/>
      <c r="F214" s="270"/>
      <c r="G214" s="270"/>
    </row>
    <row r="215" spans="1:7" ht="20.25" customHeight="1" outlineLevel="1" x14ac:dyDescent="0.25">
      <c r="A215" s="293">
        <v>6</v>
      </c>
      <c r="B215" s="302" t="s">
        <v>90</v>
      </c>
      <c r="C215" s="273">
        <v>100</v>
      </c>
      <c r="D215" s="424">
        <v>224.94</v>
      </c>
      <c r="E215" s="295"/>
      <c r="F215" s="270"/>
      <c r="G215" s="270"/>
    </row>
    <row r="216" spans="1:7" ht="20.25" customHeight="1" outlineLevel="1" x14ac:dyDescent="0.25">
      <c r="A216" s="293">
        <v>7</v>
      </c>
      <c r="B216" s="302" t="s">
        <v>91</v>
      </c>
      <c r="C216" s="273">
        <v>100</v>
      </c>
      <c r="D216" s="424">
        <v>41.58</v>
      </c>
      <c r="E216" s="295"/>
      <c r="F216" s="270"/>
      <c r="G216" s="270"/>
    </row>
    <row r="217" spans="1:7" ht="20.25" customHeight="1" outlineLevel="1" x14ac:dyDescent="0.25">
      <c r="A217" s="293">
        <v>8</v>
      </c>
      <c r="B217" s="302" t="s">
        <v>92</v>
      </c>
      <c r="C217" s="273">
        <v>100</v>
      </c>
      <c r="D217" s="424">
        <v>41.58</v>
      </c>
      <c r="E217" s="295"/>
      <c r="F217" s="270"/>
      <c r="G217" s="270"/>
    </row>
    <row r="218" spans="1:7" ht="20.25" customHeight="1" outlineLevel="1" x14ac:dyDescent="0.25">
      <c r="A218" s="293">
        <v>9</v>
      </c>
      <c r="B218" s="302" t="s">
        <v>93</v>
      </c>
      <c r="C218" s="273">
        <v>100</v>
      </c>
      <c r="D218" s="424">
        <v>681.66000000000008</v>
      </c>
      <c r="E218" s="295"/>
      <c r="F218" s="270"/>
      <c r="G218" s="270"/>
    </row>
    <row r="219" spans="1:7" ht="20.25" customHeight="1" outlineLevel="1" x14ac:dyDescent="0.25">
      <c r="A219" s="293">
        <v>10</v>
      </c>
      <c r="B219" s="302" t="s">
        <v>94</v>
      </c>
      <c r="C219" s="273">
        <v>100</v>
      </c>
      <c r="D219" s="424">
        <v>126</v>
      </c>
      <c r="E219" s="295"/>
      <c r="F219" s="270"/>
      <c r="G219" s="270"/>
    </row>
    <row r="220" spans="1:7" ht="60" outlineLevel="1" x14ac:dyDescent="0.25">
      <c r="A220" s="293">
        <v>11</v>
      </c>
      <c r="B220" s="302" t="s">
        <v>95</v>
      </c>
      <c r="C220" s="273">
        <v>100</v>
      </c>
      <c r="D220" s="424">
        <v>1449.117</v>
      </c>
      <c r="E220" s="295"/>
      <c r="F220" s="270"/>
      <c r="G220" s="270"/>
    </row>
    <row r="221" spans="1:7" outlineLevel="1" x14ac:dyDescent="0.25">
      <c r="A221" s="520" t="s">
        <v>83</v>
      </c>
      <c r="B221" s="520"/>
      <c r="C221" s="520"/>
      <c r="D221" s="520"/>
      <c r="E221" s="520"/>
      <c r="F221" s="270"/>
      <c r="G221" s="270"/>
    </row>
    <row r="222" spans="1:7" ht="19.5" outlineLevel="1" x14ac:dyDescent="0.25">
      <c r="A222" s="500" t="s">
        <v>170</v>
      </c>
      <c r="B222" s="500"/>
      <c r="C222" s="500"/>
      <c r="D222" s="500"/>
      <c r="E222" s="500"/>
      <c r="F222" s="394"/>
      <c r="G222" s="394"/>
    </row>
    <row r="223" spans="1:7" ht="50.25" customHeight="1" outlineLevel="1" x14ac:dyDescent="0.25">
      <c r="A223" s="319">
        <v>1</v>
      </c>
      <c r="B223" s="320" t="s">
        <v>203</v>
      </c>
      <c r="C223" s="273">
        <v>100</v>
      </c>
      <c r="D223" s="422">
        <v>136.8125</v>
      </c>
      <c r="E223" s="269"/>
      <c r="F223" s="270"/>
      <c r="G223" s="270"/>
    </row>
    <row r="224" spans="1:7" ht="32.25" customHeight="1" outlineLevel="1" x14ac:dyDescent="0.25">
      <c r="A224" s="319">
        <v>2</v>
      </c>
      <c r="B224" s="302" t="s">
        <v>103</v>
      </c>
      <c r="C224" s="273">
        <v>100</v>
      </c>
      <c r="D224" s="422">
        <v>848</v>
      </c>
      <c r="E224" s="295"/>
      <c r="F224" s="270"/>
      <c r="G224" s="270"/>
    </row>
    <row r="225" spans="1:7" outlineLevel="1" x14ac:dyDescent="0.25">
      <c r="A225" s="520" t="s">
        <v>83</v>
      </c>
      <c r="B225" s="520"/>
      <c r="C225" s="520"/>
      <c r="D225" s="520"/>
      <c r="E225" s="520"/>
      <c r="F225" s="270"/>
      <c r="G225" s="270"/>
    </row>
    <row r="226" spans="1:7" ht="19.5" outlineLevel="1" x14ac:dyDescent="0.25">
      <c r="A226" s="500" t="s">
        <v>171</v>
      </c>
      <c r="B226" s="500"/>
      <c r="C226" s="500"/>
      <c r="D226" s="500"/>
      <c r="E226" s="500"/>
      <c r="F226" s="394"/>
      <c r="G226" s="394"/>
    </row>
    <row r="227" spans="1:7" ht="75" outlineLevel="1" x14ac:dyDescent="0.25">
      <c r="A227" s="293">
        <v>1</v>
      </c>
      <c r="B227" s="299" t="s">
        <v>108</v>
      </c>
      <c r="C227" s="273">
        <v>1000</v>
      </c>
      <c r="D227" s="424">
        <v>1089.7838166396</v>
      </c>
      <c r="E227" s="269"/>
      <c r="F227" s="270"/>
      <c r="G227" s="270"/>
    </row>
    <row r="228" spans="1:7" ht="95.25" customHeight="1" outlineLevel="1" x14ac:dyDescent="0.25">
      <c r="A228" s="293">
        <v>2</v>
      </c>
      <c r="B228" s="318" t="s">
        <v>109</v>
      </c>
      <c r="C228" s="278">
        <v>1</v>
      </c>
      <c r="D228" s="424">
        <v>1017</v>
      </c>
      <c r="E228" s="295"/>
      <c r="F228" s="270"/>
      <c r="G228" s="270"/>
    </row>
    <row r="229" spans="1:7" ht="50.25" customHeight="1" outlineLevel="1" x14ac:dyDescent="0.25">
      <c r="A229" s="285">
        <v>3</v>
      </c>
      <c r="B229" s="311" t="s">
        <v>557</v>
      </c>
      <c r="C229" s="287"/>
      <c r="D229" s="441"/>
      <c r="E229" s="316"/>
      <c r="F229" s="292"/>
      <c r="G229" s="292"/>
    </row>
    <row r="230" spans="1:7" outlineLevel="1" x14ac:dyDescent="0.25">
      <c r="A230" s="280"/>
      <c r="B230" s="300" t="s">
        <v>24</v>
      </c>
      <c r="C230" s="282">
        <v>100</v>
      </c>
      <c r="D230" s="440">
        <v>211.22488864960002</v>
      </c>
      <c r="E230" s="310"/>
      <c r="F230" s="290"/>
      <c r="G230" s="290"/>
    </row>
    <row r="231" spans="1:7" ht="30" outlineLevel="1" x14ac:dyDescent="0.25">
      <c r="A231" s="275">
        <v>4</v>
      </c>
      <c r="B231" s="302" t="s">
        <v>25</v>
      </c>
      <c r="C231" s="273">
        <v>100</v>
      </c>
      <c r="D231" s="424">
        <v>630.08000000000004</v>
      </c>
      <c r="E231" s="269"/>
      <c r="F231" s="270"/>
      <c r="G231" s="270"/>
    </row>
    <row r="232" spans="1:7" ht="68.25" customHeight="1" outlineLevel="1" x14ac:dyDescent="0.25">
      <c r="A232" s="275">
        <v>5</v>
      </c>
      <c r="B232" s="302" t="s">
        <v>110</v>
      </c>
      <c r="C232" s="278">
        <v>100</v>
      </c>
      <c r="D232" s="424">
        <v>129</v>
      </c>
      <c r="E232" s="269"/>
      <c r="F232" s="270"/>
      <c r="G232" s="270"/>
    </row>
    <row r="233" spans="1:7" ht="66.75" customHeight="1" outlineLevel="1" x14ac:dyDescent="0.25">
      <c r="A233" s="275">
        <v>6</v>
      </c>
      <c r="B233" s="299" t="s">
        <v>172</v>
      </c>
      <c r="C233" s="278">
        <v>100</v>
      </c>
      <c r="D233" s="424">
        <v>240</v>
      </c>
      <c r="E233" s="269"/>
      <c r="F233" s="270"/>
      <c r="G233" s="270"/>
    </row>
    <row r="234" spans="1:7" ht="34.5" customHeight="1" outlineLevel="1" x14ac:dyDescent="0.25">
      <c r="A234" s="275">
        <v>7</v>
      </c>
      <c r="B234" s="302" t="s">
        <v>112</v>
      </c>
      <c r="C234" s="273">
        <v>1000</v>
      </c>
      <c r="D234" s="424">
        <v>300</v>
      </c>
      <c r="E234" s="269"/>
      <c r="F234" s="270"/>
      <c r="G234" s="270"/>
    </row>
    <row r="235" spans="1:7" ht="34.5" customHeight="1" outlineLevel="1" x14ac:dyDescent="0.25">
      <c r="A235" s="275">
        <v>8</v>
      </c>
      <c r="B235" s="299" t="s">
        <v>173</v>
      </c>
      <c r="C235" s="273">
        <v>100</v>
      </c>
      <c r="D235" s="424">
        <v>581.79999999999995</v>
      </c>
      <c r="E235" s="269"/>
      <c r="F235" s="270"/>
      <c r="G235" s="270"/>
    </row>
    <row r="236" spans="1:7" ht="120.75" outlineLevel="1" x14ac:dyDescent="0.25">
      <c r="A236" s="505">
        <v>9</v>
      </c>
      <c r="B236" s="302" t="s">
        <v>47</v>
      </c>
      <c r="C236" s="271"/>
      <c r="D236" s="424"/>
      <c r="E236" s="269"/>
      <c r="F236" s="270"/>
      <c r="G236" s="270"/>
    </row>
    <row r="237" spans="1:7" ht="75" outlineLevel="1" x14ac:dyDescent="0.25">
      <c r="A237" s="505"/>
      <c r="B237" s="302" t="s">
        <v>174</v>
      </c>
      <c r="C237" s="273">
        <v>1</v>
      </c>
      <c r="D237" s="424">
        <v>308.33159999999998</v>
      </c>
      <c r="E237" s="269"/>
      <c r="F237" s="270"/>
      <c r="G237" s="270"/>
    </row>
    <row r="238" spans="1:7" ht="75" outlineLevel="1" x14ac:dyDescent="0.25">
      <c r="A238" s="334">
        <v>10</v>
      </c>
      <c r="B238" s="299" t="s">
        <v>175</v>
      </c>
      <c r="C238" s="273">
        <v>1</v>
      </c>
      <c r="D238" s="424">
        <v>36.815624999999997</v>
      </c>
      <c r="E238" s="269"/>
      <c r="F238" s="270"/>
      <c r="G238" s="270"/>
    </row>
    <row r="239" spans="1:7" ht="90" outlineLevel="1" x14ac:dyDescent="0.25">
      <c r="A239" s="326">
        <v>11</v>
      </c>
      <c r="B239" s="302" t="s">
        <v>116</v>
      </c>
      <c r="C239" s="303">
        <v>100</v>
      </c>
      <c r="D239" s="424">
        <v>2070.8833500000001</v>
      </c>
      <c r="E239" s="269"/>
      <c r="F239" s="270"/>
      <c r="G239" s="270"/>
    </row>
    <row r="240" spans="1:7" ht="180" outlineLevel="1" x14ac:dyDescent="0.25">
      <c r="A240" s="275">
        <v>12</v>
      </c>
      <c r="B240" s="302" t="s">
        <v>117</v>
      </c>
      <c r="C240" s="278">
        <v>1</v>
      </c>
      <c r="D240" s="424">
        <v>64</v>
      </c>
      <c r="E240" s="269"/>
      <c r="F240" s="270"/>
      <c r="G240" s="270"/>
    </row>
    <row r="241" spans="1:7" ht="60" outlineLevel="1" x14ac:dyDescent="0.25">
      <c r="A241" s="275">
        <v>13</v>
      </c>
      <c r="B241" s="302" t="s">
        <v>118</v>
      </c>
      <c r="C241" s="278">
        <v>1</v>
      </c>
      <c r="D241" s="424">
        <v>80</v>
      </c>
      <c r="E241" s="269"/>
      <c r="F241" s="270"/>
      <c r="G241" s="270"/>
    </row>
    <row r="242" spans="1:7" ht="45" outlineLevel="1" x14ac:dyDescent="0.25">
      <c r="A242" s="275">
        <v>14</v>
      </c>
      <c r="B242" s="302" t="s">
        <v>119</v>
      </c>
      <c r="C242" s="278">
        <v>1</v>
      </c>
      <c r="D242" s="424">
        <v>98</v>
      </c>
      <c r="E242" s="269"/>
      <c r="F242" s="270"/>
      <c r="G242" s="270"/>
    </row>
    <row r="243" spans="1:7" ht="75" outlineLevel="1" x14ac:dyDescent="0.25">
      <c r="A243" s="293">
        <v>15</v>
      </c>
      <c r="B243" s="302" t="s">
        <v>120</v>
      </c>
      <c r="C243" s="278">
        <v>100</v>
      </c>
      <c r="D243" s="424">
        <v>191.125</v>
      </c>
      <c r="E243" s="269"/>
      <c r="F243" s="270"/>
      <c r="G243" s="270"/>
    </row>
    <row r="244" spans="1:7" ht="30" outlineLevel="1" x14ac:dyDescent="0.25">
      <c r="A244" s="293">
        <v>16</v>
      </c>
      <c r="B244" s="302" t="s">
        <v>121</v>
      </c>
      <c r="C244" s="278">
        <v>1</v>
      </c>
      <c r="D244" s="424">
        <v>199.125</v>
      </c>
      <c r="E244" s="269"/>
      <c r="F244" s="270"/>
      <c r="G244" s="270"/>
    </row>
    <row r="245" spans="1:7" ht="24" customHeight="1" outlineLevel="1" x14ac:dyDescent="0.25">
      <c r="A245" s="275">
        <v>17</v>
      </c>
      <c r="B245" s="302" t="s">
        <v>122</v>
      </c>
      <c r="C245" s="273">
        <v>100</v>
      </c>
      <c r="D245" s="424">
        <v>81.875</v>
      </c>
      <c r="E245" s="295"/>
      <c r="F245" s="270"/>
      <c r="G245" s="270"/>
    </row>
    <row r="246" spans="1:7" ht="45" outlineLevel="1" x14ac:dyDescent="0.25">
      <c r="A246" s="293">
        <v>18</v>
      </c>
      <c r="B246" s="302" t="s">
        <v>123</v>
      </c>
      <c r="C246" s="273">
        <v>100</v>
      </c>
      <c r="D246" s="424">
        <v>97.875</v>
      </c>
      <c r="E246" s="295"/>
      <c r="F246" s="270"/>
      <c r="G246" s="270"/>
    </row>
    <row r="247" spans="1:7" ht="45" outlineLevel="1" x14ac:dyDescent="0.25">
      <c r="A247" s="505">
        <v>19</v>
      </c>
      <c r="B247" s="447" t="s">
        <v>124</v>
      </c>
      <c r="C247" s="291"/>
      <c r="D247" s="441"/>
      <c r="E247" s="288"/>
      <c r="F247" s="292"/>
      <c r="G247" s="292"/>
    </row>
    <row r="248" spans="1:7" outlineLevel="1" x14ac:dyDescent="0.25">
      <c r="A248" s="505"/>
      <c r="B248" s="446" t="s">
        <v>125</v>
      </c>
      <c r="C248" s="282">
        <v>100</v>
      </c>
      <c r="D248" s="440">
        <v>91.72</v>
      </c>
      <c r="E248" s="310"/>
      <c r="F248" s="290"/>
      <c r="G248" s="290"/>
    </row>
    <row r="249" spans="1:7" ht="30" outlineLevel="1" x14ac:dyDescent="0.25">
      <c r="A249" s="275">
        <v>20</v>
      </c>
      <c r="B249" s="302" t="s">
        <v>126</v>
      </c>
      <c r="C249" s="278">
        <v>100</v>
      </c>
      <c r="D249" s="424">
        <v>1136.6100000000001</v>
      </c>
      <c r="E249" s="295"/>
      <c r="F249" s="270"/>
      <c r="G249" s="270"/>
    </row>
    <row r="250" spans="1:7" ht="45" outlineLevel="1" x14ac:dyDescent="0.25">
      <c r="A250" s="275">
        <v>21</v>
      </c>
      <c r="B250" s="302" t="s">
        <v>127</v>
      </c>
      <c r="C250" s="278">
        <v>100</v>
      </c>
      <c r="D250" s="424">
        <v>229.04</v>
      </c>
      <c r="E250" s="295"/>
      <c r="F250" s="270"/>
      <c r="G250" s="270"/>
    </row>
    <row r="251" spans="1:7" ht="60" outlineLevel="1" x14ac:dyDescent="0.25">
      <c r="A251" s="275">
        <v>22</v>
      </c>
      <c r="B251" s="302" t="s">
        <v>128</v>
      </c>
      <c r="C251" s="278">
        <v>100</v>
      </c>
      <c r="D251" s="424">
        <v>979.75</v>
      </c>
      <c r="E251" s="295"/>
      <c r="F251" s="270"/>
      <c r="G251" s="270"/>
    </row>
    <row r="252" spans="1:7" ht="45" outlineLevel="1" x14ac:dyDescent="0.25">
      <c r="A252" s="275">
        <v>23</v>
      </c>
      <c r="B252" s="302" t="s">
        <v>129</v>
      </c>
      <c r="C252" s="323">
        <v>1</v>
      </c>
      <c r="D252" s="424">
        <v>26</v>
      </c>
      <c r="E252" s="295"/>
      <c r="F252" s="270"/>
      <c r="G252" s="270"/>
    </row>
    <row r="253" spans="1:7" ht="30" outlineLevel="1" x14ac:dyDescent="0.25">
      <c r="A253" s="275">
        <v>24</v>
      </c>
      <c r="B253" s="302" t="s">
        <v>130</v>
      </c>
      <c r="C253" s="328">
        <v>1</v>
      </c>
      <c r="D253" s="424">
        <v>4</v>
      </c>
      <c r="E253" s="295"/>
      <c r="F253" s="270"/>
      <c r="G253" s="270"/>
    </row>
    <row r="254" spans="1:7" s="16" customFormat="1" ht="24" customHeight="1" outlineLevel="1" x14ac:dyDescent="0.25">
      <c r="A254" s="275">
        <v>25</v>
      </c>
      <c r="B254" s="302" t="s">
        <v>131</v>
      </c>
      <c r="C254" s="328">
        <v>1</v>
      </c>
      <c r="D254" s="424">
        <v>2</v>
      </c>
      <c r="E254" s="295"/>
      <c r="F254" s="333"/>
      <c r="G254" s="333"/>
    </row>
    <row r="255" spans="1:7" s="16" customFormat="1" ht="24" customHeight="1" outlineLevel="1" x14ac:dyDescent="0.25">
      <c r="A255" s="275">
        <v>26</v>
      </c>
      <c r="B255" s="302" t="s">
        <v>132</v>
      </c>
      <c r="C255" s="278">
        <v>100</v>
      </c>
      <c r="D255" s="424">
        <v>1020.54</v>
      </c>
      <c r="E255" s="295"/>
      <c r="F255" s="333"/>
      <c r="G255" s="333"/>
    </row>
    <row r="256" spans="1:7" ht="51" customHeight="1" outlineLevel="1" x14ac:dyDescent="0.25">
      <c r="A256" s="275">
        <v>27</v>
      </c>
      <c r="B256" s="302" t="s">
        <v>133</v>
      </c>
      <c r="C256" s="278">
        <v>100</v>
      </c>
      <c r="D256" s="424">
        <v>345.11</v>
      </c>
      <c r="E256" s="295"/>
      <c r="F256" s="270"/>
      <c r="G256" s="270"/>
    </row>
    <row r="257" spans="1:7" ht="35.25" customHeight="1" outlineLevel="1" x14ac:dyDescent="0.25">
      <c r="A257" s="275">
        <v>28</v>
      </c>
      <c r="B257" s="302" t="s">
        <v>134</v>
      </c>
      <c r="C257" s="278">
        <v>100</v>
      </c>
      <c r="D257" s="424">
        <v>178</v>
      </c>
      <c r="E257" s="295"/>
      <c r="F257" s="270"/>
      <c r="G257" s="270"/>
    </row>
    <row r="258" spans="1:7" ht="66.75" customHeight="1" outlineLevel="1" x14ac:dyDescent="0.25">
      <c r="A258" s="275">
        <v>29</v>
      </c>
      <c r="B258" s="327" t="s">
        <v>135</v>
      </c>
      <c r="C258" s="303">
        <v>100</v>
      </c>
      <c r="D258" s="424">
        <v>669.9174453415585</v>
      </c>
      <c r="E258" s="269"/>
      <c r="F258" s="270"/>
      <c r="G258" s="270"/>
    </row>
    <row r="259" spans="1:7" ht="54" customHeight="1" outlineLevel="1" x14ac:dyDescent="0.25">
      <c r="A259" s="505">
        <v>30</v>
      </c>
      <c r="B259" s="302" t="s">
        <v>136</v>
      </c>
      <c r="C259" s="271"/>
      <c r="D259" s="424"/>
      <c r="E259" s="295"/>
      <c r="F259" s="270"/>
      <c r="G259" s="270"/>
    </row>
    <row r="260" spans="1:7" outlineLevel="1" x14ac:dyDescent="0.25">
      <c r="A260" s="505"/>
      <c r="B260" s="302" t="s">
        <v>176</v>
      </c>
      <c r="C260" s="323">
        <v>1</v>
      </c>
      <c r="D260" s="424">
        <v>120</v>
      </c>
      <c r="E260" s="295"/>
      <c r="F260" s="270"/>
      <c r="G260" s="270"/>
    </row>
    <row r="261" spans="1:7" outlineLevel="1" x14ac:dyDescent="0.25">
      <c r="A261" s="505"/>
      <c r="B261" s="302" t="s">
        <v>177</v>
      </c>
      <c r="C261" s="323">
        <v>1</v>
      </c>
      <c r="D261" s="424">
        <v>60</v>
      </c>
      <c r="E261" s="295"/>
      <c r="F261" s="270"/>
      <c r="G261" s="270"/>
    </row>
    <row r="262" spans="1:7" outlineLevel="1" x14ac:dyDescent="0.25">
      <c r="A262" s="275"/>
      <c r="B262" s="302" t="s">
        <v>178</v>
      </c>
      <c r="C262" s="323">
        <v>1</v>
      </c>
      <c r="D262" s="424">
        <v>30</v>
      </c>
      <c r="E262" s="295"/>
      <c r="F262" s="270"/>
      <c r="G262" s="270"/>
    </row>
    <row r="263" spans="1:7" ht="75" outlineLevel="1" x14ac:dyDescent="0.25">
      <c r="A263" s="505">
        <v>31</v>
      </c>
      <c r="B263" s="302" t="s">
        <v>179</v>
      </c>
      <c r="C263" s="271"/>
      <c r="D263" s="424"/>
      <c r="E263" s="295"/>
      <c r="F263" s="270"/>
      <c r="G263" s="270"/>
    </row>
    <row r="264" spans="1:7" outlineLevel="1" x14ac:dyDescent="0.25">
      <c r="A264" s="505"/>
      <c r="B264" s="302" t="s">
        <v>180</v>
      </c>
      <c r="C264" s="323">
        <v>1</v>
      </c>
      <c r="D264" s="424">
        <v>360</v>
      </c>
      <c r="E264" s="295"/>
      <c r="F264" s="270"/>
      <c r="G264" s="270"/>
    </row>
    <row r="265" spans="1:7" outlineLevel="1" x14ac:dyDescent="0.25">
      <c r="A265" s="334"/>
      <c r="B265" s="302" t="s">
        <v>181</v>
      </c>
      <c r="C265" s="323">
        <v>1</v>
      </c>
      <c r="D265" s="424">
        <v>120</v>
      </c>
      <c r="E265" s="295"/>
      <c r="F265" s="270"/>
      <c r="G265" s="270"/>
    </row>
    <row r="266" spans="1:7" ht="60" outlineLevel="1" x14ac:dyDescent="0.25">
      <c r="A266" s="275">
        <v>32</v>
      </c>
      <c r="B266" s="302" t="s">
        <v>182</v>
      </c>
      <c r="C266" s="323">
        <v>1</v>
      </c>
      <c r="D266" s="424">
        <v>80</v>
      </c>
      <c r="E266" s="295"/>
      <c r="F266" s="270"/>
      <c r="G266" s="270"/>
    </row>
    <row r="267" spans="1:7" ht="60" outlineLevel="1" x14ac:dyDescent="0.25">
      <c r="A267" s="505">
        <v>33</v>
      </c>
      <c r="B267" s="302" t="s">
        <v>145</v>
      </c>
      <c r="C267" s="271"/>
      <c r="D267" s="424"/>
      <c r="E267" s="295"/>
      <c r="F267" s="270"/>
      <c r="G267" s="270"/>
    </row>
    <row r="268" spans="1:7" ht="19.5" customHeight="1" outlineLevel="1" x14ac:dyDescent="0.25">
      <c r="A268" s="505"/>
      <c r="B268" s="302" t="s">
        <v>183</v>
      </c>
      <c r="C268" s="329">
        <v>1</v>
      </c>
      <c r="D268" s="424">
        <v>2</v>
      </c>
      <c r="E268" s="295"/>
      <c r="F268" s="270"/>
      <c r="G268" s="270"/>
    </row>
    <row r="269" spans="1:7" ht="19.5" customHeight="1" outlineLevel="1" x14ac:dyDescent="0.25">
      <c r="A269" s="505"/>
      <c r="B269" s="302" t="s">
        <v>184</v>
      </c>
      <c r="C269" s="329">
        <v>1</v>
      </c>
      <c r="D269" s="424">
        <v>2</v>
      </c>
      <c r="E269" s="295"/>
      <c r="F269" s="270"/>
      <c r="G269" s="270"/>
    </row>
    <row r="270" spans="1:7" ht="19.5" customHeight="1" outlineLevel="1" x14ac:dyDescent="0.25">
      <c r="A270" s="505"/>
      <c r="B270" s="302" t="s">
        <v>185</v>
      </c>
      <c r="C270" s="329">
        <v>1</v>
      </c>
      <c r="D270" s="424">
        <v>2</v>
      </c>
      <c r="E270" s="295"/>
      <c r="F270" s="270"/>
      <c r="G270" s="270"/>
    </row>
    <row r="271" spans="1:7" ht="39" customHeight="1" outlineLevel="1" x14ac:dyDescent="0.25">
      <c r="A271" s="275">
        <v>34</v>
      </c>
      <c r="B271" s="302" t="s">
        <v>149</v>
      </c>
      <c r="C271" s="329">
        <v>1</v>
      </c>
      <c r="D271" s="424">
        <v>40</v>
      </c>
      <c r="E271" s="295"/>
      <c r="F271" s="270"/>
      <c r="G271" s="270"/>
    </row>
    <row r="272" spans="1:7" ht="24.75" customHeight="1" outlineLevel="1" x14ac:dyDescent="0.25">
      <c r="A272" s="275">
        <v>35</v>
      </c>
      <c r="B272" s="302" t="s">
        <v>150</v>
      </c>
      <c r="C272" s="329">
        <v>1</v>
      </c>
      <c r="D272" s="424">
        <v>8</v>
      </c>
      <c r="E272" s="295"/>
      <c r="F272" s="270"/>
      <c r="G272" s="270"/>
    </row>
    <row r="273" spans="1:7" ht="24.75" customHeight="1" outlineLevel="1" x14ac:dyDescent="0.25">
      <c r="A273" s="275">
        <v>36</v>
      </c>
      <c r="B273" s="302" t="s">
        <v>151</v>
      </c>
      <c r="C273" s="329">
        <v>1</v>
      </c>
      <c r="D273" s="424">
        <v>4</v>
      </c>
      <c r="E273" s="295"/>
      <c r="F273" s="270"/>
      <c r="G273" s="270"/>
    </row>
    <row r="274" spans="1:7" ht="30" outlineLevel="1" x14ac:dyDescent="0.25">
      <c r="A274" s="275">
        <v>37</v>
      </c>
      <c r="B274" s="302" t="s">
        <v>186</v>
      </c>
      <c r="C274" s="329">
        <v>1</v>
      </c>
      <c r="D274" s="424">
        <v>2</v>
      </c>
      <c r="E274" s="295"/>
      <c r="F274" s="270"/>
      <c r="G274" s="270"/>
    </row>
    <row r="275" spans="1:7" ht="150" outlineLevel="1" x14ac:dyDescent="0.25">
      <c r="A275" s="275">
        <v>38</v>
      </c>
      <c r="B275" s="299" t="s">
        <v>153</v>
      </c>
      <c r="C275" s="328">
        <v>1</v>
      </c>
      <c r="D275" s="424">
        <v>2</v>
      </c>
      <c r="E275" s="295"/>
      <c r="F275" s="270"/>
      <c r="G275" s="270"/>
    </row>
    <row r="276" spans="1:7" ht="90" outlineLevel="1" x14ac:dyDescent="0.25">
      <c r="A276" s="275">
        <v>39</v>
      </c>
      <c r="B276" s="302" t="s">
        <v>154</v>
      </c>
      <c r="C276" s="328">
        <v>1</v>
      </c>
      <c r="D276" s="424">
        <v>12</v>
      </c>
      <c r="E276" s="295"/>
      <c r="F276" s="270"/>
      <c r="G276" s="270"/>
    </row>
    <row r="277" spans="1:7" ht="135" outlineLevel="1" x14ac:dyDescent="0.25">
      <c r="A277" s="275">
        <v>40</v>
      </c>
      <c r="B277" s="299" t="s">
        <v>155</v>
      </c>
      <c r="C277" s="328">
        <v>1</v>
      </c>
      <c r="D277" s="424">
        <v>4</v>
      </c>
      <c r="E277" s="295"/>
      <c r="F277" s="270"/>
      <c r="G277" s="270"/>
    </row>
    <row r="278" spans="1:7" ht="150" outlineLevel="1" x14ac:dyDescent="0.25">
      <c r="A278" s="275">
        <v>41</v>
      </c>
      <c r="B278" s="299" t="s">
        <v>156</v>
      </c>
      <c r="C278" s="328">
        <v>1</v>
      </c>
      <c r="D278" s="424">
        <v>2</v>
      </c>
      <c r="E278" s="295"/>
      <c r="F278" s="270"/>
      <c r="G278" s="270"/>
    </row>
    <row r="279" spans="1:7" ht="60" outlineLevel="1" x14ac:dyDescent="0.25">
      <c r="A279" s="275">
        <v>42</v>
      </c>
      <c r="B279" s="302" t="s">
        <v>157</v>
      </c>
      <c r="C279" s="328">
        <v>1</v>
      </c>
      <c r="D279" s="424">
        <v>6</v>
      </c>
      <c r="E279" s="295"/>
      <c r="F279" s="270"/>
      <c r="G279" s="270"/>
    </row>
    <row r="280" spans="1:7" ht="30" outlineLevel="1" x14ac:dyDescent="0.25">
      <c r="A280" s="275">
        <v>43</v>
      </c>
      <c r="B280" s="302" t="s">
        <v>158</v>
      </c>
      <c r="C280" s="328">
        <v>1</v>
      </c>
      <c r="D280" s="424">
        <v>6</v>
      </c>
      <c r="E280" s="295"/>
      <c r="F280" s="270"/>
      <c r="G280" s="270"/>
    </row>
    <row r="281" spans="1:7" ht="75.75" outlineLevel="1" x14ac:dyDescent="0.25">
      <c r="A281" s="275">
        <v>44</v>
      </c>
      <c r="B281" s="299" t="s">
        <v>40</v>
      </c>
      <c r="C281" s="276"/>
      <c r="D281" s="424"/>
      <c r="E281" s="298"/>
      <c r="F281" s="270"/>
      <c r="G281" s="270"/>
    </row>
    <row r="282" spans="1:7" outlineLevel="1" x14ac:dyDescent="0.25">
      <c r="A282" s="275" t="s">
        <v>67</v>
      </c>
      <c r="B282" s="299" t="s">
        <v>68</v>
      </c>
      <c r="C282" s="273">
        <v>100</v>
      </c>
      <c r="D282" s="424">
        <v>202.775893103616</v>
      </c>
      <c r="E282" s="298"/>
      <c r="F282" s="270"/>
      <c r="G282" s="270"/>
    </row>
    <row r="283" spans="1:7" outlineLevel="1" x14ac:dyDescent="0.25">
      <c r="A283" s="275" t="s">
        <v>41</v>
      </c>
      <c r="B283" s="299" t="s">
        <v>42</v>
      </c>
      <c r="C283" s="273">
        <v>100</v>
      </c>
      <c r="D283" s="424">
        <v>80.7136</v>
      </c>
      <c r="E283" s="298"/>
      <c r="F283" s="270"/>
      <c r="G283" s="270"/>
    </row>
    <row r="284" spans="1:7" outlineLevel="1" x14ac:dyDescent="0.25">
      <c r="A284" s="275" t="s">
        <v>70</v>
      </c>
      <c r="B284" s="299" t="s">
        <v>159</v>
      </c>
      <c r="C284" s="273">
        <v>100</v>
      </c>
      <c r="D284" s="424">
        <v>303.729558</v>
      </c>
      <c r="E284" s="298"/>
      <c r="F284" s="270"/>
      <c r="G284" s="270"/>
    </row>
    <row r="285" spans="1:7" outlineLevel="1" x14ac:dyDescent="0.25">
      <c r="A285" s="275" t="s">
        <v>160</v>
      </c>
      <c r="B285" s="299" t="s">
        <v>161</v>
      </c>
      <c r="C285" s="273">
        <v>100</v>
      </c>
      <c r="D285" s="424">
        <v>14.19</v>
      </c>
      <c r="E285" s="298"/>
      <c r="F285" s="270"/>
      <c r="G285" s="270"/>
    </row>
    <row r="286" spans="1:7" outlineLevel="1" x14ac:dyDescent="0.25">
      <c r="A286" s="520" t="s">
        <v>83</v>
      </c>
      <c r="B286" s="520"/>
      <c r="C286" s="520"/>
      <c r="D286" s="520"/>
      <c r="E286" s="520"/>
      <c r="F286" s="270"/>
      <c r="G286" s="270"/>
    </row>
    <row r="287" spans="1:7" ht="25.5" customHeight="1" x14ac:dyDescent="0.25">
      <c r="A287" s="499" t="s">
        <v>188</v>
      </c>
      <c r="B287" s="499"/>
      <c r="C287" s="499"/>
      <c r="D287" s="499"/>
      <c r="E287" s="499"/>
      <c r="F287" s="362"/>
      <c r="G287" s="362"/>
    </row>
    <row r="288" spans="1:7" ht="19.5" outlineLevel="1" x14ac:dyDescent="0.25">
      <c r="A288" s="500" t="s">
        <v>9</v>
      </c>
      <c r="B288" s="500"/>
      <c r="C288" s="500"/>
      <c r="D288" s="500"/>
      <c r="E288" s="500"/>
      <c r="F288" s="394"/>
      <c r="G288" s="394"/>
    </row>
    <row r="289" spans="1:7" ht="75" outlineLevel="1" x14ac:dyDescent="0.25">
      <c r="A289" s="330">
        <v>1</v>
      </c>
      <c r="B289" s="335" t="s">
        <v>10</v>
      </c>
      <c r="C289" s="273">
        <v>1000</v>
      </c>
      <c r="D289" s="422">
        <v>203524.5</v>
      </c>
      <c r="E289" s="269"/>
      <c r="F289" s="270"/>
      <c r="G289" s="270"/>
    </row>
    <row r="290" spans="1:7" ht="34.5" customHeight="1" outlineLevel="1" x14ac:dyDescent="0.25">
      <c r="A290" s="330">
        <v>2</v>
      </c>
      <c r="B290" s="335" t="s">
        <v>11</v>
      </c>
      <c r="C290" s="273">
        <v>1000</v>
      </c>
      <c r="D290" s="422">
        <v>262075.5</v>
      </c>
      <c r="E290" s="269"/>
      <c r="F290" s="270"/>
      <c r="G290" s="270"/>
    </row>
    <row r="291" spans="1:7" ht="45" outlineLevel="1" x14ac:dyDescent="0.25">
      <c r="A291" s="507">
        <v>3</v>
      </c>
      <c r="B291" s="335" t="s">
        <v>12</v>
      </c>
      <c r="C291" s="330"/>
      <c r="D291" s="422"/>
      <c r="E291" s="269"/>
      <c r="F291" s="270"/>
      <c r="G291" s="270"/>
    </row>
    <row r="292" spans="1:7" outlineLevel="1" x14ac:dyDescent="0.25">
      <c r="A292" s="507"/>
      <c r="B292" s="335" t="s">
        <v>13</v>
      </c>
      <c r="C292" s="273">
        <v>1000</v>
      </c>
      <c r="D292" s="422">
        <v>3727.5</v>
      </c>
      <c r="E292" s="269"/>
      <c r="F292" s="270"/>
      <c r="G292" s="270"/>
    </row>
    <row r="293" spans="1:7" outlineLevel="1" x14ac:dyDescent="0.25">
      <c r="A293" s="507"/>
      <c r="B293" s="335" t="s">
        <v>164</v>
      </c>
      <c r="C293" s="273">
        <v>1000</v>
      </c>
      <c r="D293" s="422">
        <v>5270</v>
      </c>
      <c r="E293" s="269"/>
      <c r="F293" s="270"/>
      <c r="G293" s="270"/>
    </row>
    <row r="294" spans="1:7" outlineLevel="1" x14ac:dyDescent="0.25">
      <c r="A294" s="507"/>
      <c r="B294" s="335" t="s">
        <v>189</v>
      </c>
      <c r="C294" s="273">
        <v>1000</v>
      </c>
      <c r="D294" s="422">
        <v>109947.5</v>
      </c>
      <c r="E294" s="269"/>
      <c r="F294" s="270"/>
      <c r="G294" s="270"/>
    </row>
    <row r="295" spans="1:7" outlineLevel="1" x14ac:dyDescent="0.25">
      <c r="A295" s="507"/>
      <c r="B295" s="335" t="s">
        <v>190</v>
      </c>
      <c r="C295" s="273">
        <v>1000</v>
      </c>
      <c r="D295" s="422">
        <v>70367.5</v>
      </c>
      <c r="E295" s="269"/>
      <c r="F295" s="270"/>
      <c r="G295" s="270"/>
    </row>
    <row r="296" spans="1:7" ht="30" outlineLevel="1" x14ac:dyDescent="0.25">
      <c r="A296" s="507">
        <v>4</v>
      </c>
      <c r="B296" s="492" t="s">
        <v>191</v>
      </c>
      <c r="C296" s="472"/>
      <c r="D296" s="475"/>
      <c r="E296" s="288"/>
      <c r="F296" s="292"/>
      <c r="G296" s="292"/>
    </row>
    <row r="297" spans="1:7" outlineLevel="1" x14ac:dyDescent="0.25">
      <c r="A297" s="507"/>
      <c r="B297" s="491" t="s">
        <v>13</v>
      </c>
      <c r="C297" s="282">
        <v>1000</v>
      </c>
      <c r="D297" s="479">
        <v>60633</v>
      </c>
      <c r="E297" s="310"/>
      <c r="F297" s="290"/>
      <c r="G297" s="290"/>
    </row>
    <row r="298" spans="1:7" ht="45" outlineLevel="1" x14ac:dyDescent="0.25">
      <c r="A298" s="330">
        <v>5</v>
      </c>
      <c r="B298" s="335" t="s">
        <v>19</v>
      </c>
      <c r="C298" s="331">
        <v>1</v>
      </c>
      <c r="D298" s="422">
        <v>215</v>
      </c>
      <c r="E298" s="269"/>
      <c r="F298" s="270"/>
      <c r="G298" s="270"/>
    </row>
    <row r="299" spans="1:7" ht="21.75" customHeight="1" outlineLevel="1" x14ac:dyDescent="0.25">
      <c r="A299" s="330">
        <v>6</v>
      </c>
      <c r="B299" s="336" t="s">
        <v>20</v>
      </c>
      <c r="C299" s="278">
        <v>1000</v>
      </c>
      <c r="D299" s="422">
        <v>177000</v>
      </c>
      <c r="E299" s="332"/>
      <c r="F299" s="270"/>
      <c r="G299" s="270"/>
    </row>
    <row r="300" spans="1:7" ht="23.25" customHeight="1" outlineLevel="1" x14ac:dyDescent="0.25">
      <c r="A300" s="500" t="s">
        <v>192</v>
      </c>
      <c r="B300" s="500"/>
      <c r="C300" s="500"/>
      <c r="D300" s="500"/>
      <c r="E300" s="500"/>
      <c r="F300" s="394"/>
      <c r="G300" s="394"/>
    </row>
    <row r="301" spans="1:7" ht="66.75" customHeight="1" outlineLevel="1" x14ac:dyDescent="0.25">
      <c r="A301" s="271">
        <v>1</v>
      </c>
      <c r="B301" s="272" t="s">
        <v>22</v>
      </c>
      <c r="C301" s="273">
        <v>1000</v>
      </c>
      <c r="D301" s="423">
        <v>98</v>
      </c>
      <c r="E301" s="274"/>
      <c r="F301" s="270"/>
      <c r="G301" s="270"/>
    </row>
    <row r="302" spans="1:7" s="15" customFormat="1" ht="52.5" customHeight="1" outlineLevel="1" x14ac:dyDescent="0.2">
      <c r="A302" s="275">
        <v>2</v>
      </c>
      <c r="B302" s="272" t="s">
        <v>23</v>
      </c>
      <c r="C302" s="276"/>
      <c r="D302" s="424"/>
      <c r="E302" s="295"/>
      <c r="F302" s="277"/>
      <c r="G302" s="277"/>
    </row>
    <row r="303" spans="1:7" s="15" customFormat="1" ht="22.5" customHeight="1" outlineLevel="1" x14ac:dyDescent="0.2">
      <c r="A303" s="275"/>
      <c r="B303" s="272" t="s">
        <v>24</v>
      </c>
      <c r="C303" s="273">
        <v>100</v>
      </c>
      <c r="D303" s="423">
        <v>24.5</v>
      </c>
      <c r="E303" s="269"/>
      <c r="F303" s="277"/>
      <c r="G303" s="277"/>
    </row>
    <row r="304" spans="1:7" s="15" customFormat="1" ht="36.75" customHeight="1" outlineLevel="1" x14ac:dyDescent="0.2">
      <c r="A304" s="275">
        <v>3</v>
      </c>
      <c r="B304" s="272" t="s">
        <v>25</v>
      </c>
      <c r="C304" s="273">
        <v>100</v>
      </c>
      <c r="D304" s="423">
        <v>97.5</v>
      </c>
      <c r="E304" s="274"/>
      <c r="F304" s="277"/>
      <c r="G304" s="277"/>
    </row>
    <row r="305" spans="1:7" s="15" customFormat="1" ht="54.75" customHeight="1" outlineLevel="1" x14ac:dyDescent="0.2">
      <c r="A305" s="275">
        <v>4</v>
      </c>
      <c r="B305" s="272" t="s">
        <v>26</v>
      </c>
      <c r="C305" s="278">
        <v>100</v>
      </c>
      <c r="D305" s="423">
        <v>39</v>
      </c>
      <c r="E305" s="274"/>
      <c r="F305" s="277"/>
      <c r="G305" s="277"/>
    </row>
    <row r="306" spans="1:7" ht="36.75" customHeight="1" outlineLevel="1" x14ac:dyDescent="0.25">
      <c r="A306" s="271">
        <v>5</v>
      </c>
      <c r="B306" s="272" t="s">
        <v>27</v>
      </c>
      <c r="C306" s="273">
        <v>100</v>
      </c>
      <c r="D306" s="423">
        <v>81.703125</v>
      </c>
      <c r="E306" s="274"/>
      <c r="F306" s="270"/>
      <c r="G306" s="270"/>
    </row>
    <row r="307" spans="1:7" s="16" customFormat="1" ht="29.25" customHeight="1" outlineLevel="1" x14ac:dyDescent="0.25">
      <c r="A307" s="271">
        <v>6</v>
      </c>
      <c r="B307" s="272" t="s">
        <v>28</v>
      </c>
      <c r="C307" s="278">
        <v>100</v>
      </c>
      <c r="D307" s="423">
        <v>230.64999999999998</v>
      </c>
      <c r="E307" s="274"/>
      <c r="F307" s="333"/>
      <c r="G307" s="333"/>
    </row>
    <row r="308" spans="1:7" ht="63" customHeight="1" outlineLevel="1" x14ac:dyDescent="0.25">
      <c r="A308" s="271">
        <v>7</v>
      </c>
      <c r="B308" s="272" t="s">
        <v>29</v>
      </c>
      <c r="C308" s="278">
        <v>100</v>
      </c>
      <c r="D308" s="423">
        <v>230.64999999999998</v>
      </c>
      <c r="E308" s="274"/>
      <c r="F308" s="270"/>
      <c r="G308" s="270"/>
    </row>
    <row r="309" spans="1:7" s="16" customFormat="1" ht="29.25" customHeight="1" outlineLevel="1" x14ac:dyDescent="0.25">
      <c r="A309" s="271">
        <v>8</v>
      </c>
      <c r="B309" s="272" t="s">
        <v>30</v>
      </c>
      <c r="C309" s="328">
        <v>1</v>
      </c>
      <c r="D309" s="423">
        <v>500</v>
      </c>
      <c r="E309" s="274"/>
      <c r="F309" s="333"/>
      <c r="G309" s="333"/>
    </row>
    <row r="310" spans="1:7" ht="81.75" customHeight="1" outlineLevel="1" x14ac:dyDescent="0.25">
      <c r="A310" s="291">
        <v>9</v>
      </c>
      <c r="B310" s="286" t="s">
        <v>31</v>
      </c>
      <c r="C310" s="287"/>
      <c r="D310" s="489"/>
      <c r="E310" s="490"/>
      <c r="F310" s="292"/>
      <c r="G310" s="292"/>
    </row>
    <row r="311" spans="1:7" outlineLevel="1" x14ac:dyDescent="0.25">
      <c r="A311" s="488"/>
      <c r="B311" s="281" t="s">
        <v>32</v>
      </c>
      <c r="C311" s="282">
        <v>100</v>
      </c>
      <c r="D311" s="445">
        <v>4.29</v>
      </c>
      <c r="E311" s="283"/>
      <c r="F311" s="290"/>
      <c r="G311" s="290"/>
    </row>
    <row r="312" spans="1:7" ht="23.25" customHeight="1" outlineLevel="1" x14ac:dyDescent="0.25">
      <c r="A312" s="500" t="s">
        <v>168</v>
      </c>
      <c r="B312" s="500"/>
      <c r="C312" s="500"/>
      <c r="D312" s="500"/>
      <c r="E312" s="500"/>
      <c r="F312" s="394"/>
      <c r="G312" s="394"/>
    </row>
    <row r="313" spans="1:7" ht="24" customHeight="1" outlineLevel="1" x14ac:dyDescent="0.25">
      <c r="A313" s="293">
        <v>1</v>
      </c>
      <c r="B313" s="294" t="s">
        <v>34</v>
      </c>
      <c r="C313" s="273">
        <v>1</v>
      </c>
      <c r="D313" s="424">
        <v>30.96</v>
      </c>
      <c r="E313" s="295"/>
      <c r="F313" s="270"/>
      <c r="G313" s="270"/>
    </row>
    <row r="314" spans="1:7" ht="45" outlineLevel="1" x14ac:dyDescent="0.25">
      <c r="A314" s="293">
        <v>2</v>
      </c>
      <c r="B314" s="294" t="s">
        <v>35</v>
      </c>
      <c r="C314" s="303">
        <v>100</v>
      </c>
      <c r="D314" s="424">
        <v>70.740000000000009</v>
      </c>
      <c r="E314" s="295"/>
      <c r="F314" s="270"/>
      <c r="G314" s="270"/>
    </row>
    <row r="315" spans="1:7" ht="21" customHeight="1" outlineLevel="1" x14ac:dyDescent="0.25">
      <c r="A315" s="275">
        <v>3</v>
      </c>
      <c r="B315" s="294" t="s">
        <v>36</v>
      </c>
      <c r="C315" s="328">
        <v>1</v>
      </c>
      <c r="D315" s="424">
        <v>18</v>
      </c>
      <c r="E315" s="295"/>
      <c r="F315" s="270"/>
      <c r="G315" s="270"/>
    </row>
    <row r="316" spans="1:7" ht="21.75" customHeight="1" outlineLevel="1" x14ac:dyDescent="0.25">
      <c r="A316" s="275">
        <v>4</v>
      </c>
      <c r="B316" s="294" t="s">
        <v>37</v>
      </c>
      <c r="C316" s="329">
        <v>1</v>
      </c>
      <c r="D316" s="424">
        <v>18</v>
      </c>
      <c r="E316" s="295"/>
      <c r="F316" s="270"/>
      <c r="G316" s="270"/>
    </row>
    <row r="317" spans="1:7" ht="21.75" customHeight="1" outlineLevel="1" x14ac:dyDescent="0.25">
      <c r="A317" s="275">
        <v>5</v>
      </c>
      <c r="B317" s="294" t="s">
        <v>38</v>
      </c>
      <c r="C317" s="278">
        <v>100</v>
      </c>
      <c r="D317" s="424">
        <v>63</v>
      </c>
      <c r="E317" s="295"/>
      <c r="F317" s="270"/>
      <c r="G317" s="270"/>
    </row>
    <row r="318" spans="1:7" ht="34.5" customHeight="1" outlineLevel="1" x14ac:dyDescent="0.25">
      <c r="A318" s="275">
        <v>6</v>
      </c>
      <c r="B318" s="294" t="s">
        <v>39</v>
      </c>
      <c r="C318" s="328">
        <v>1</v>
      </c>
      <c r="D318" s="424">
        <v>180</v>
      </c>
      <c r="E318" s="295"/>
      <c r="F318" s="270"/>
      <c r="G318" s="270"/>
    </row>
    <row r="319" spans="1:7" ht="75" outlineLevel="1" x14ac:dyDescent="0.25">
      <c r="A319" s="285">
        <v>7</v>
      </c>
      <c r="B319" s="463" t="s">
        <v>31</v>
      </c>
      <c r="C319" s="287"/>
      <c r="D319" s="441"/>
      <c r="E319" s="487"/>
      <c r="F319" s="292"/>
      <c r="G319" s="292"/>
    </row>
    <row r="320" spans="1:7" ht="21" customHeight="1" outlineLevel="1" x14ac:dyDescent="0.25">
      <c r="A320" s="280" t="s">
        <v>41</v>
      </c>
      <c r="B320" s="300" t="s">
        <v>42</v>
      </c>
      <c r="C320" s="282">
        <v>100</v>
      </c>
      <c r="D320" s="440">
        <v>27.244800000000001</v>
      </c>
      <c r="E320" s="480"/>
      <c r="F320" s="290"/>
      <c r="G320" s="290"/>
    </row>
    <row r="321" spans="1:7" outlineLevel="1" x14ac:dyDescent="0.25">
      <c r="A321" s="508" t="s">
        <v>83</v>
      </c>
      <c r="B321" s="508"/>
      <c r="C321" s="508"/>
      <c r="D321" s="508"/>
      <c r="E321" s="508"/>
      <c r="F321" s="270"/>
      <c r="G321" s="270"/>
    </row>
    <row r="322" spans="1:7" ht="19.5" outlineLevel="1" x14ac:dyDescent="0.25">
      <c r="A322" s="500" t="s">
        <v>169</v>
      </c>
      <c r="B322" s="500"/>
      <c r="C322" s="500"/>
      <c r="D322" s="500"/>
      <c r="E322" s="500"/>
      <c r="F322" s="394"/>
      <c r="G322" s="394"/>
    </row>
    <row r="323" spans="1:7" ht="81.75" customHeight="1" outlineLevel="1" x14ac:dyDescent="0.25">
      <c r="A323" s="293">
        <v>1</v>
      </c>
      <c r="B323" s="302" t="s">
        <v>10</v>
      </c>
      <c r="C323" s="273">
        <v>1000</v>
      </c>
      <c r="D323" s="424">
        <v>312.56</v>
      </c>
      <c r="E323" s="269"/>
      <c r="F323" s="270"/>
      <c r="G323" s="270"/>
    </row>
    <row r="324" spans="1:7" ht="50.25" customHeight="1" outlineLevel="1" x14ac:dyDescent="0.25">
      <c r="A324" s="293">
        <v>2</v>
      </c>
      <c r="B324" s="302" t="s">
        <v>86</v>
      </c>
      <c r="C324" s="273">
        <v>100</v>
      </c>
      <c r="D324" s="424">
        <v>312.56</v>
      </c>
      <c r="E324" s="295"/>
      <c r="F324" s="270"/>
      <c r="G324" s="270"/>
    </row>
    <row r="325" spans="1:7" ht="19.5" customHeight="1" outlineLevel="1" x14ac:dyDescent="0.25">
      <c r="A325" s="275">
        <v>3</v>
      </c>
      <c r="B325" s="317" t="s">
        <v>87</v>
      </c>
      <c r="C325" s="278">
        <v>100</v>
      </c>
      <c r="D325" s="424">
        <v>525.12249999999995</v>
      </c>
      <c r="E325" s="295"/>
      <c r="F325" s="270"/>
      <c r="G325" s="270"/>
    </row>
    <row r="326" spans="1:7" ht="19.5" customHeight="1" outlineLevel="1" x14ac:dyDescent="0.25">
      <c r="A326" s="275">
        <v>4</v>
      </c>
      <c r="B326" s="317" t="s">
        <v>88</v>
      </c>
      <c r="C326" s="278">
        <v>100</v>
      </c>
      <c r="D326" s="424">
        <v>129.5</v>
      </c>
      <c r="E326" s="295"/>
      <c r="F326" s="270"/>
      <c r="G326" s="270"/>
    </row>
    <row r="327" spans="1:7" ht="19.5" customHeight="1" outlineLevel="1" x14ac:dyDescent="0.25">
      <c r="A327" s="293">
        <v>5</v>
      </c>
      <c r="B327" s="302" t="s">
        <v>89</v>
      </c>
      <c r="C327" s="273">
        <v>100</v>
      </c>
      <c r="D327" s="424">
        <v>173.29</v>
      </c>
      <c r="E327" s="295"/>
      <c r="F327" s="270"/>
      <c r="G327" s="270"/>
    </row>
    <row r="328" spans="1:7" ht="19.5" customHeight="1" outlineLevel="1" x14ac:dyDescent="0.25">
      <c r="A328" s="293">
        <v>6</v>
      </c>
      <c r="B328" s="302" t="s">
        <v>90</v>
      </c>
      <c r="C328" s="273">
        <v>100</v>
      </c>
      <c r="D328" s="424">
        <v>173.29</v>
      </c>
      <c r="E328" s="295"/>
      <c r="F328" s="270"/>
      <c r="G328" s="270"/>
    </row>
    <row r="329" spans="1:7" ht="19.5" customHeight="1" outlineLevel="1" x14ac:dyDescent="0.25">
      <c r="A329" s="293">
        <v>7</v>
      </c>
      <c r="B329" s="302" t="s">
        <v>91</v>
      </c>
      <c r="C329" s="273">
        <v>100</v>
      </c>
      <c r="D329" s="424">
        <v>42.739999999999995</v>
      </c>
      <c r="E329" s="295"/>
      <c r="F329" s="270"/>
      <c r="G329" s="270"/>
    </row>
    <row r="330" spans="1:7" ht="19.5" customHeight="1" outlineLevel="1" x14ac:dyDescent="0.25">
      <c r="A330" s="293">
        <v>8</v>
      </c>
      <c r="B330" s="302" t="s">
        <v>92</v>
      </c>
      <c r="C330" s="273">
        <v>100</v>
      </c>
      <c r="D330" s="424">
        <v>42.739999999999995</v>
      </c>
      <c r="E330" s="295"/>
      <c r="F330" s="270"/>
      <c r="G330" s="270"/>
    </row>
    <row r="331" spans="1:7" ht="19.5" customHeight="1" outlineLevel="1" x14ac:dyDescent="0.25">
      <c r="A331" s="293">
        <v>9</v>
      </c>
      <c r="B331" s="302" t="s">
        <v>93</v>
      </c>
      <c r="C331" s="273">
        <v>100</v>
      </c>
      <c r="D331" s="424">
        <v>525.12</v>
      </c>
      <c r="E331" s="295"/>
      <c r="F331" s="270"/>
      <c r="G331" s="270"/>
    </row>
    <row r="332" spans="1:7" ht="19.5" customHeight="1" outlineLevel="1" x14ac:dyDescent="0.25">
      <c r="A332" s="293">
        <v>10</v>
      </c>
      <c r="B332" s="302" t="s">
        <v>94</v>
      </c>
      <c r="C332" s="273">
        <v>100</v>
      </c>
      <c r="D332" s="424">
        <v>129.5</v>
      </c>
      <c r="E332" s="295"/>
      <c r="F332" s="270"/>
      <c r="G332" s="270"/>
    </row>
    <row r="333" spans="1:7" ht="60" outlineLevel="1" x14ac:dyDescent="0.25">
      <c r="A333" s="293">
        <v>11</v>
      </c>
      <c r="B333" s="302" t="s">
        <v>95</v>
      </c>
      <c r="C333" s="273">
        <v>100</v>
      </c>
      <c r="D333" s="424">
        <v>1207.5</v>
      </c>
      <c r="E333" s="295"/>
      <c r="F333" s="270"/>
      <c r="G333" s="270"/>
    </row>
    <row r="334" spans="1:7" ht="18" customHeight="1" outlineLevel="1" x14ac:dyDescent="0.25">
      <c r="A334" s="506" t="s">
        <v>43</v>
      </c>
      <c r="B334" s="506"/>
      <c r="C334" s="506"/>
      <c r="D334" s="506"/>
      <c r="E334" s="506"/>
      <c r="F334" s="270"/>
      <c r="G334" s="270"/>
    </row>
    <row r="335" spans="1:7" ht="25.5" customHeight="1" x14ac:dyDescent="0.25">
      <c r="A335" s="499" t="s">
        <v>194</v>
      </c>
      <c r="B335" s="499"/>
      <c r="C335" s="499"/>
      <c r="D335" s="499"/>
      <c r="E335" s="499"/>
      <c r="F335" s="362"/>
      <c r="G335" s="362"/>
    </row>
    <row r="336" spans="1:7" ht="19.5" outlineLevel="1" x14ac:dyDescent="0.25">
      <c r="A336" s="500" t="s">
        <v>9</v>
      </c>
      <c r="B336" s="500"/>
      <c r="C336" s="500"/>
      <c r="D336" s="500"/>
      <c r="E336" s="500"/>
      <c r="F336" s="394"/>
      <c r="G336" s="394"/>
    </row>
    <row r="337" spans="1:7" ht="75" outlineLevel="1" x14ac:dyDescent="0.25">
      <c r="A337" s="330">
        <v>1</v>
      </c>
      <c r="B337" s="327" t="s">
        <v>10</v>
      </c>
      <c r="C337" s="273">
        <v>1000</v>
      </c>
      <c r="D337" s="422">
        <v>2110200</v>
      </c>
      <c r="E337" s="269"/>
      <c r="F337" s="270"/>
      <c r="G337" s="270"/>
    </row>
    <row r="338" spans="1:7" ht="33.75" customHeight="1" outlineLevel="1" x14ac:dyDescent="0.25">
      <c r="A338" s="330">
        <v>2</v>
      </c>
      <c r="B338" s="327" t="s">
        <v>11</v>
      </c>
      <c r="C338" s="273">
        <v>1000</v>
      </c>
      <c r="D338" s="422">
        <v>680530</v>
      </c>
      <c r="E338" s="337"/>
      <c r="F338" s="270"/>
      <c r="G338" s="270"/>
    </row>
    <row r="339" spans="1:7" ht="45" outlineLevel="1" x14ac:dyDescent="0.25">
      <c r="A339" s="507">
        <v>3</v>
      </c>
      <c r="B339" s="327" t="s">
        <v>12</v>
      </c>
      <c r="C339" s="330"/>
      <c r="D339" s="422"/>
      <c r="E339" s="337"/>
      <c r="F339" s="270"/>
      <c r="G339" s="270"/>
    </row>
    <row r="340" spans="1:7" outlineLevel="1" x14ac:dyDescent="0.25">
      <c r="A340" s="507"/>
      <c r="B340" s="327" t="s">
        <v>195</v>
      </c>
      <c r="C340" s="273">
        <v>1000</v>
      </c>
      <c r="D340" s="422">
        <v>8217.5000000000036</v>
      </c>
      <c r="E340" s="337"/>
      <c r="F340" s="270"/>
      <c r="G340" s="270"/>
    </row>
    <row r="341" spans="1:7" outlineLevel="1" x14ac:dyDescent="0.25">
      <c r="A341" s="507"/>
      <c r="B341" s="327" t="s">
        <v>196</v>
      </c>
      <c r="C341" s="273">
        <v>1000</v>
      </c>
      <c r="D341" s="422">
        <v>58687.5</v>
      </c>
      <c r="E341" s="337"/>
      <c r="F341" s="270"/>
      <c r="G341" s="270"/>
    </row>
    <row r="342" spans="1:7" outlineLevel="1" x14ac:dyDescent="0.25">
      <c r="A342" s="507"/>
      <c r="B342" s="327" t="s">
        <v>197</v>
      </c>
      <c r="C342" s="273">
        <v>1000</v>
      </c>
      <c r="D342" s="422">
        <v>75040</v>
      </c>
      <c r="E342" s="337"/>
      <c r="F342" s="270"/>
      <c r="G342" s="270"/>
    </row>
    <row r="343" spans="1:7" ht="45" outlineLevel="1" x14ac:dyDescent="0.25">
      <c r="A343" s="330">
        <v>4</v>
      </c>
      <c r="B343" s="327" t="s">
        <v>198</v>
      </c>
      <c r="C343" s="331">
        <v>1</v>
      </c>
      <c r="D343" s="422">
        <v>95</v>
      </c>
      <c r="E343" s="337"/>
      <c r="F343" s="270"/>
      <c r="G343" s="270"/>
    </row>
    <row r="344" spans="1:7" ht="26.25" customHeight="1" outlineLevel="1" x14ac:dyDescent="0.25">
      <c r="A344" s="330">
        <v>6</v>
      </c>
      <c r="B344" s="317" t="s">
        <v>20</v>
      </c>
      <c r="C344" s="278">
        <v>1000</v>
      </c>
      <c r="D344" s="422">
        <v>460000</v>
      </c>
      <c r="E344" s="332"/>
      <c r="F344" s="270"/>
      <c r="G344" s="270"/>
    </row>
    <row r="345" spans="1:7" ht="19.5" outlineLevel="1" x14ac:dyDescent="0.25">
      <c r="A345" s="500" t="s">
        <v>21</v>
      </c>
      <c r="B345" s="500"/>
      <c r="C345" s="500"/>
      <c r="D345" s="500"/>
      <c r="E345" s="500"/>
      <c r="F345" s="500"/>
      <c r="G345" s="500"/>
    </row>
    <row r="346" spans="1:7" ht="66" customHeight="1" outlineLevel="1" x14ac:dyDescent="0.25">
      <c r="A346" s="271">
        <v>1</v>
      </c>
      <c r="B346" s="272" t="s">
        <v>22</v>
      </c>
      <c r="C346" s="273">
        <v>1000</v>
      </c>
      <c r="D346" s="423">
        <v>98</v>
      </c>
      <c r="E346" s="274"/>
      <c r="F346" s="270"/>
      <c r="G346" s="270"/>
    </row>
    <row r="347" spans="1:7" s="15" customFormat="1" ht="49.5" customHeight="1" outlineLevel="1" x14ac:dyDescent="0.2">
      <c r="A347" s="275">
        <v>2</v>
      </c>
      <c r="B347" s="272" t="s">
        <v>23</v>
      </c>
      <c r="C347" s="276"/>
      <c r="D347" s="424"/>
      <c r="E347" s="295"/>
      <c r="F347" s="277"/>
      <c r="G347" s="277"/>
    </row>
    <row r="348" spans="1:7" s="15" customFormat="1" ht="22.5" customHeight="1" outlineLevel="1" x14ac:dyDescent="0.2">
      <c r="A348" s="275"/>
      <c r="B348" s="272" t="s">
        <v>24</v>
      </c>
      <c r="C348" s="273">
        <v>100</v>
      </c>
      <c r="D348" s="423">
        <v>24.5</v>
      </c>
      <c r="E348" s="269"/>
      <c r="F348" s="277"/>
      <c r="G348" s="277"/>
    </row>
    <row r="349" spans="1:7" s="15" customFormat="1" ht="36" customHeight="1" outlineLevel="1" x14ac:dyDescent="0.2">
      <c r="A349" s="275">
        <v>3</v>
      </c>
      <c r="B349" s="272" t="s">
        <v>25</v>
      </c>
      <c r="C349" s="273">
        <v>100</v>
      </c>
      <c r="D349" s="423">
        <v>97.5</v>
      </c>
      <c r="E349" s="274"/>
      <c r="F349" s="277"/>
      <c r="G349" s="277"/>
    </row>
    <row r="350" spans="1:7" s="15" customFormat="1" ht="48" customHeight="1" outlineLevel="1" x14ac:dyDescent="0.2">
      <c r="A350" s="275">
        <v>4</v>
      </c>
      <c r="B350" s="272" t="s">
        <v>26</v>
      </c>
      <c r="C350" s="278">
        <v>100</v>
      </c>
      <c r="D350" s="423">
        <v>39</v>
      </c>
      <c r="E350" s="274"/>
      <c r="F350" s="277"/>
      <c r="G350" s="277"/>
    </row>
    <row r="351" spans="1:7" ht="35.25" customHeight="1" outlineLevel="1" x14ac:dyDescent="0.25">
      <c r="A351" s="271">
        <v>5</v>
      </c>
      <c r="B351" s="272" t="s">
        <v>27</v>
      </c>
      <c r="C351" s="273">
        <v>100</v>
      </c>
      <c r="D351" s="423">
        <v>81.703125</v>
      </c>
      <c r="E351" s="274"/>
      <c r="F351" s="270"/>
      <c r="G351" s="270"/>
    </row>
    <row r="352" spans="1:7" ht="27.75" customHeight="1" outlineLevel="1" x14ac:dyDescent="0.25">
      <c r="A352" s="271">
        <v>6</v>
      </c>
      <c r="B352" s="272" t="s">
        <v>28</v>
      </c>
      <c r="C352" s="278">
        <v>100</v>
      </c>
      <c r="D352" s="423">
        <v>230.64999999999998</v>
      </c>
      <c r="E352" s="274"/>
      <c r="F352" s="270"/>
      <c r="G352" s="270"/>
    </row>
    <row r="353" spans="1:7" ht="63" customHeight="1" outlineLevel="1" x14ac:dyDescent="0.25">
      <c r="A353" s="271">
        <v>7</v>
      </c>
      <c r="B353" s="272" t="s">
        <v>29</v>
      </c>
      <c r="C353" s="278">
        <v>100</v>
      </c>
      <c r="D353" s="423">
        <v>230.64999999999998</v>
      </c>
      <c r="E353" s="274"/>
      <c r="F353" s="270"/>
      <c r="G353" s="270"/>
    </row>
    <row r="354" spans="1:7" ht="28.5" customHeight="1" outlineLevel="1" x14ac:dyDescent="0.25">
      <c r="A354" s="271">
        <v>8</v>
      </c>
      <c r="B354" s="272" t="s">
        <v>30</v>
      </c>
      <c r="C354" s="328">
        <v>1</v>
      </c>
      <c r="D354" s="423">
        <v>500</v>
      </c>
      <c r="E354" s="274"/>
      <c r="F354" s="270"/>
      <c r="G354" s="270"/>
    </row>
    <row r="355" spans="1:7" ht="81" customHeight="1" outlineLevel="1" x14ac:dyDescent="0.25">
      <c r="A355" s="291">
        <v>9</v>
      </c>
      <c r="B355" s="286" t="s">
        <v>31</v>
      </c>
      <c r="C355" s="287"/>
      <c r="D355" s="489"/>
      <c r="E355" s="490"/>
      <c r="F355" s="292"/>
      <c r="G355" s="292"/>
    </row>
    <row r="356" spans="1:7" outlineLevel="1" x14ac:dyDescent="0.25">
      <c r="A356" s="488"/>
      <c r="B356" s="281" t="s">
        <v>32</v>
      </c>
      <c r="C356" s="282">
        <v>100</v>
      </c>
      <c r="D356" s="445">
        <v>4.29</v>
      </c>
      <c r="E356" s="283"/>
      <c r="F356" s="290"/>
      <c r="G356" s="290"/>
    </row>
    <row r="357" spans="1:7" ht="19.5" outlineLevel="1" x14ac:dyDescent="0.25">
      <c r="A357" s="500" t="s">
        <v>33</v>
      </c>
      <c r="B357" s="500"/>
      <c r="C357" s="500"/>
      <c r="D357" s="500"/>
      <c r="E357" s="500"/>
      <c r="F357" s="500"/>
      <c r="G357" s="500"/>
    </row>
    <row r="358" spans="1:7" ht="24" customHeight="1" outlineLevel="1" x14ac:dyDescent="0.25">
      <c r="A358" s="293">
        <v>1</v>
      </c>
      <c r="B358" s="294" t="s">
        <v>34</v>
      </c>
      <c r="C358" s="273">
        <v>1</v>
      </c>
      <c r="D358" s="424">
        <v>39.56</v>
      </c>
      <c r="E358" s="295"/>
      <c r="F358" s="270"/>
      <c r="G358" s="270"/>
    </row>
    <row r="359" spans="1:7" ht="45" outlineLevel="1" x14ac:dyDescent="0.25">
      <c r="A359" s="293">
        <v>2</v>
      </c>
      <c r="B359" s="294" t="s">
        <v>35</v>
      </c>
      <c r="C359" s="303">
        <v>100</v>
      </c>
      <c r="D359" s="424">
        <v>90.39</v>
      </c>
      <c r="E359" s="295"/>
      <c r="F359" s="270"/>
      <c r="G359" s="270"/>
    </row>
    <row r="360" spans="1:7" s="16" customFormat="1" ht="22.5" customHeight="1" outlineLevel="1" x14ac:dyDescent="0.25">
      <c r="A360" s="275">
        <v>3</v>
      </c>
      <c r="B360" s="294" t="s">
        <v>36</v>
      </c>
      <c r="C360" s="328">
        <v>1</v>
      </c>
      <c r="D360" s="424">
        <v>23</v>
      </c>
      <c r="E360" s="295"/>
      <c r="F360" s="333"/>
      <c r="G360" s="333"/>
    </row>
    <row r="361" spans="1:7" s="16" customFormat="1" ht="22.5" customHeight="1" outlineLevel="1" x14ac:dyDescent="0.25">
      <c r="A361" s="275">
        <v>4</v>
      </c>
      <c r="B361" s="294" t="s">
        <v>37</v>
      </c>
      <c r="C361" s="329">
        <v>1</v>
      </c>
      <c r="D361" s="424">
        <v>23</v>
      </c>
      <c r="E361" s="295"/>
      <c r="F361" s="333"/>
      <c r="G361" s="333"/>
    </row>
    <row r="362" spans="1:7" s="16" customFormat="1" ht="22.5" customHeight="1" outlineLevel="1" x14ac:dyDescent="0.25">
      <c r="A362" s="275">
        <v>5</v>
      </c>
      <c r="B362" s="294" t="s">
        <v>38</v>
      </c>
      <c r="C362" s="278">
        <v>100</v>
      </c>
      <c r="D362" s="424">
        <v>80.5</v>
      </c>
      <c r="E362" s="295"/>
      <c r="F362" s="333"/>
      <c r="G362" s="333"/>
    </row>
    <row r="363" spans="1:7" ht="31.5" customHeight="1" outlineLevel="1" x14ac:dyDescent="0.25">
      <c r="A363" s="275">
        <v>6</v>
      </c>
      <c r="B363" s="294" t="s">
        <v>39</v>
      </c>
      <c r="C363" s="328">
        <v>1</v>
      </c>
      <c r="D363" s="424">
        <v>230</v>
      </c>
      <c r="E363" s="295"/>
      <c r="F363" s="270"/>
      <c r="G363" s="270"/>
    </row>
    <row r="364" spans="1:7" ht="75" outlineLevel="1" x14ac:dyDescent="0.25">
      <c r="A364" s="275">
        <v>7</v>
      </c>
      <c r="B364" s="299" t="s">
        <v>31</v>
      </c>
      <c r="C364" s="276"/>
      <c r="D364" s="424"/>
      <c r="E364" s="298"/>
      <c r="F364" s="270"/>
      <c r="G364" s="270"/>
    </row>
    <row r="365" spans="1:7" outlineLevel="1" x14ac:dyDescent="0.25">
      <c r="A365" s="275" t="s">
        <v>41</v>
      </c>
      <c r="B365" s="299" t="s">
        <v>42</v>
      </c>
      <c r="C365" s="273">
        <v>100</v>
      </c>
      <c r="D365" s="424">
        <v>34.812800000000003</v>
      </c>
      <c r="E365" s="298"/>
      <c r="F365" s="270"/>
      <c r="G365" s="270"/>
    </row>
    <row r="366" spans="1:7" outlineLevel="1" x14ac:dyDescent="0.25">
      <c r="A366" s="518" t="s">
        <v>43</v>
      </c>
      <c r="B366" s="518"/>
      <c r="C366" s="518"/>
      <c r="D366" s="518"/>
      <c r="E366" s="518"/>
      <c r="F366" s="270"/>
      <c r="G366" s="270"/>
    </row>
    <row r="367" spans="1:7" ht="19.5" outlineLevel="1" x14ac:dyDescent="0.25">
      <c r="A367" s="500" t="s">
        <v>169</v>
      </c>
      <c r="B367" s="500"/>
      <c r="C367" s="500"/>
      <c r="D367" s="500"/>
      <c r="E367" s="500"/>
      <c r="F367" s="500"/>
      <c r="G367" s="500"/>
    </row>
    <row r="368" spans="1:7" ht="30" outlineLevel="1" x14ac:dyDescent="0.25">
      <c r="A368" s="338">
        <v>1</v>
      </c>
      <c r="B368" s="302" t="s">
        <v>199</v>
      </c>
      <c r="C368" s="273">
        <v>100</v>
      </c>
      <c r="D368" s="424">
        <v>93240</v>
      </c>
      <c r="E368" s="295"/>
      <c r="F368" s="270"/>
      <c r="G368" s="270"/>
    </row>
    <row r="369" spans="1:7" ht="75" outlineLevel="1" x14ac:dyDescent="0.25">
      <c r="A369" s="293">
        <v>2</v>
      </c>
      <c r="B369" s="302" t="s">
        <v>10</v>
      </c>
      <c r="C369" s="273">
        <v>1000</v>
      </c>
      <c r="D369" s="424">
        <v>129745.5</v>
      </c>
      <c r="E369" s="269"/>
      <c r="F369" s="270"/>
      <c r="G369" s="270"/>
    </row>
    <row r="370" spans="1:7" ht="36" customHeight="1" outlineLevel="1" x14ac:dyDescent="0.25">
      <c r="A370" s="293">
        <v>3</v>
      </c>
      <c r="B370" s="302" t="s">
        <v>200</v>
      </c>
      <c r="C370" s="273">
        <v>100</v>
      </c>
      <c r="D370" s="424">
        <v>126000</v>
      </c>
      <c r="E370" s="295"/>
      <c r="F370" s="270"/>
      <c r="G370" s="270"/>
    </row>
    <row r="371" spans="1:7" ht="34.5" customHeight="1" outlineLevel="1" x14ac:dyDescent="0.25">
      <c r="A371" s="293">
        <v>4</v>
      </c>
      <c r="B371" s="302" t="s">
        <v>86</v>
      </c>
      <c r="C371" s="273">
        <v>100</v>
      </c>
      <c r="D371" s="424">
        <v>3745.5</v>
      </c>
      <c r="E371" s="295"/>
      <c r="F371" s="270"/>
      <c r="G371" s="270"/>
    </row>
    <row r="372" spans="1:7" s="16" customFormat="1" ht="21.75" customHeight="1" outlineLevel="1" x14ac:dyDescent="0.25">
      <c r="A372" s="275">
        <v>3</v>
      </c>
      <c r="B372" s="317" t="s">
        <v>87</v>
      </c>
      <c r="C372" s="278">
        <v>100</v>
      </c>
      <c r="D372" s="424">
        <v>72754.37000000001</v>
      </c>
      <c r="E372" s="295"/>
      <c r="F372" s="333"/>
      <c r="G372" s="333"/>
    </row>
    <row r="373" spans="1:7" s="16" customFormat="1" ht="21.75" customHeight="1" outlineLevel="1" x14ac:dyDescent="0.25">
      <c r="A373" s="275">
        <v>4</v>
      </c>
      <c r="B373" s="317" t="s">
        <v>88</v>
      </c>
      <c r="C373" s="278">
        <v>100</v>
      </c>
      <c r="D373" s="424">
        <v>12167</v>
      </c>
      <c r="E373" s="295"/>
      <c r="F373" s="333"/>
      <c r="G373" s="333"/>
    </row>
    <row r="374" spans="1:7" s="16" customFormat="1" ht="21.75" customHeight="1" outlineLevel="1" x14ac:dyDescent="0.25">
      <c r="A374" s="293">
        <v>4</v>
      </c>
      <c r="B374" s="302" t="s">
        <v>89</v>
      </c>
      <c r="C374" s="273">
        <v>100</v>
      </c>
      <c r="D374" s="424">
        <v>24008.94</v>
      </c>
      <c r="E374" s="295"/>
      <c r="F374" s="333"/>
      <c r="G374" s="333"/>
    </row>
    <row r="375" spans="1:7" s="16" customFormat="1" ht="21.75" customHeight="1" outlineLevel="1" x14ac:dyDescent="0.25">
      <c r="A375" s="293">
        <v>5</v>
      </c>
      <c r="B375" s="302" t="s">
        <v>90</v>
      </c>
      <c r="C375" s="273">
        <v>100</v>
      </c>
      <c r="D375" s="424">
        <v>24008.94</v>
      </c>
      <c r="E375" s="295"/>
      <c r="F375" s="333"/>
      <c r="G375" s="333"/>
    </row>
    <row r="376" spans="1:7" s="16" customFormat="1" ht="21.75" customHeight="1" outlineLevel="1" x14ac:dyDescent="0.25">
      <c r="A376" s="293">
        <v>6</v>
      </c>
      <c r="B376" s="302" t="s">
        <v>91</v>
      </c>
      <c r="C376" s="273">
        <v>100</v>
      </c>
      <c r="D376" s="424">
        <v>4015.11</v>
      </c>
      <c r="E376" s="295"/>
      <c r="F376" s="333"/>
      <c r="G376" s="333"/>
    </row>
    <row r="377" spans="1:7" s="16" customFormat="1" ht="21.75" customHeight="1" outlineLevel="1" x14ac:dyDescent="0.25">
      <c r="A377" s="293">
        <v>7</v>
      </c>
      <c r="B377" s="302" t="s">
        <v>92</v>
      </c>
      <c r="C377" s="273">
        <v>100</v>
      </c>
      <c r="D377" s="424">
        <v>4015.11</v>
      </c>
      <c r="E377" s="295"/>
      <c r="F377" s="333"/>
      <c r="G377" s="333"/>
    </row>
    <row r="378" spans="1:7" s="16" customFormat="1" ht="21.75" customHeight="1" outlineLevel="1" x14ac:dyDescent="0.25">
      <c r="A378" s="293">
        <v>8</v>
      </c>
      <c r="B378" s="302" t="s">
        <v>93</v>
      </c>
      <c r="C378" s="273">
        <v>100</v>
      </c>
      <c r="D378" s="424">
        <v>72754.37000000001</v>
      </c>
      <c r="E378" s="295"/>
      <c r="F378" s="333"/>
      <c r="G378" s="333"/>
    </row>
    <row r="379" spans="1:7" s="16" customFormat="1" ht="21.75" customHeight="1" outlineLevel="1" x14ac:dyDescent="0.25">
      <c r="A379" s="293">
        <v>9</v>
      </c>
      <c r="B379" s="302" t="s">
        <v>94</v>
      </c>
      <c r="C379" s="273">
        <v>100</v>
      </c>
      <c r="D379" s="424">
        <v>12167</v>
      </c>
      <c r="E379" s="295"/>
      <c r="F379" s="333"/>
      <c r="G379" s="333"/>
    </row>
    <row r="380" spans="1:7" ht="60" outlineLevel="1" x14ac:dyDescent="0.25">
      <c r="A380" s="293">
        <v>10</v>
      </c>
      <c r="B380" s="302" t="s">
        <v>95</v>
      </c>
      <c r="C380" s="273">
        <v>100</v>
      </c>
      <c r="D380" s="424">
        <v>152322.06900000002</v>
      </c>
      <c r="E380" s="295"/>
      <c r="F380" s="270"/>
      <c r="G380" s="270"/>
    </row>
    <row r="381" spans="1:7" outlineLevel="1" x14ac:dyDescent="0.25">
      <c r="A381" s="506" t="s">
        <v>43</v>
      </c>
      <c r="B381" s="506"/>
      <c r="C381" s="506"/>
      <c r="D381" s="506"/>
      <c r="E381" s="506"/>
      <c r="F381" s="270"/>
      <c r="G381" s="270"/>
    </row>
    <row r="382" spans="1:7" ht="19.5" outlineLevel="1" x14ac:dyDescent="0.25">
      <c r="A382" s="500" t="s">
        <v>74</v>
      </c>
      <c r="B382" s="500"/>
      <c r="C382" s="500"/>
      <c r="D382" s="500"/>
      <c r="E382" s="500"/>
      <c r="F382" s="500"/>
      <c r="G382" s="500"/>
    </row>
    <row r="383" spans="1:7" ht="75" outlineLevel="1" x14ac:dyDescent="0.25">
      <c r="A383" s="293">
        <v>1</v>
      </c>
      <c r="B383" s="299" t="s">
        <v>45</v>
      </c>
      <c r="C383" s="273">
        <v>1000</v>
      </c>
      <c r="D383" s="424">
        <v>1417.9529000000011</v>
      </c>
      <c r="E383" s="269"/>
      <c r="F383" s="270"/>
      <c r="G383" s="270"/>
    </row>
    <row r="384" spans="1:7" ht="28.5" customHeight="1" outlineLevel="1" x14ac:dyDescent="0.25">
      <c r="A384" s="293">
        <v>2</v>
      </c>
      <c r="B384" s="299" t="s">
        <v>75</v>
      </c>
      <c r="C384" s="273">
        <v>1000</v>
      </c>
      <c r="D384" s="424">
        <v>1417.9529000000011</v>
      </c>
      <c r="E384" s="269"/>
      <c r="F384" s="270"/>
      <c r="G384" s="270"/>
    </row>
    <row r="385" spans="1:7" ht="45" outlineLevel="1" x14ac:dyDescent="0.25">
      <c r="A385" s="275">
        <v>3</v>
      </c>
      <c r="B385" s="302" t="s">
        <v>23</v>
      </c>
      <c r="C385" s="276"/>
      <c r="D385" s="424"/>
      <c r="E385" s="295"/>
      <c r="F385" s="270"/>
      <c r="G385" s="270"/>
    </row>
    <row r="386" spans="1:7" outlineLevel="1" x14ac:dyDescent="0.25">
      <c r="A386" s="275"/>
      <c r="B386" s="299" t="s">
        <v>24</v>
      </c>
      <c r="C386" s="273">
        <v>100</v>
      </c>
      <c r="D386" s="424">
        <v>140.10249999999999</v>
      </c>
      <c r="E386" s="269"/>
      <c r="F386" s="270"/>
      <c r="G386" s="270"/>
    </row>
    <row r="387" spans="1:7" outlineLevel="1" x14ac:dyDescent="0.25">
      <c r="A387" s="275"/>
      <c r="B387" s="299" t="s">
        <v>125</v>
      </c>
      <c r="C387" s="273">
        <v>100</v>
      </c>
      <c r="D387" s="424">
        <v>17</v>
      </c>
      <c r="E387" s="269"/>
      <c r="F387" s="270"/>
      <c r="G387" s="270"/>
    </row>
    <row r="388" spans="1:7" ht="90" outlineLevel="1" x14ac:dyDescent="0.25">
      <c r="A388" s="275">
        <v>4</v>
      </c>
      <c r="B388" s="299" t="s">
        <v>46</v>
      </c>
      <c r="C388" s="303">
        <v>100</v>
      </c>
      <c r="D388" s="424">
        <v>4515.8106000000043</v>
      </c>
      <c r="E388" s="304"/>
      <c r="F388" s="270"/>
      <c r="G388" s="270"/>
    </row>
    <row r="389" spans="1:7" ht="120.75" outlineLevel="1" x14ac:dyDescent="0.25">
      <c r="A389" s="275">
        <v>5</v>
      </c>
      <c r="B389" s="302" t="s">
        <v>78</v>
      </c>
      <c r="C389" s="276"/>
      <c r="D389" s="424"/>
      <c r="E389" s="295"/>
      <c r="F389" s="270"/>
      <c r="G389" s="270"/>
    </row>
    <row r="390" spans="1:7" ht="75" outlineLevel="1" x14ac:dyDescent="0.25">
      <c r="A390" s="275"/>
      <c r="B390" s="302" t="s">
        <v>100</v>
      </c>
      <c r="C390" s="273">
        <v>1</v>
      </c>
      <c r="D390" s="424">
        <v>1063.0377000000012</v>
      </c>
      <c r="E390" s="269"/>
      <c r="F390" s="270"/>
      <c r="G390" s="270"/>
    </row>
    <row r="391" spans="1:7" ht="75" outlineLevel="1" x14ac:dyDescent="0.25">
      <c r="A391" s="275"/>
      <c r="B391" s="302" t="s">
        <v>201</v>
      </c>
      <c r="C391" s="273">
        <v>1</v>
      </c>
      <c r="D391" s="424">
        <v>442.23249999999996</v>
      </c>
      <c r="E391" s="269"/>
      <c r="F391" s="270"/>
      <c r="G391" s="270"/>
    </row>
    <row r="392" spans="1:7" ht="30" outlineLevel="1" x14ac:dyDescent="0.25">
      <c r="A392" s="275">
        <v>6</v>
      </c>
      <c r="B392" s="299" t="s">
        <v>52</v>
      </c>
      <c r="C392" s="278">
        <v>100</v>
      </c>
      <c r="D392" s="424">
        <v>551.0106000000003</v>
      </c>
      <c r="E392" s="295"/>
      <c r="F392" s="270"/>
      <c r="G392" s="270"/>
    </row>
    <row r="393" spans="1:7" ht="30" outlineLevel="1" x14ac:dyDescent="0.25">
      <c r="A393" s="275">
        <v>7</v>
      </c>
      <c r="B393" s="302" t="s">
        <v>79</v>
      </c>
      <c r="C393" s="273">
        <v>100</v>
      </c>
      <c r="D393" s="424">
        <v>40</v>
      </c>
      <c r="E393" s="295"/>
      <c r="F393" s="270"/>
      <c r="G393" s="270"/>
    </row>
    <row r="394" spans="1:7" ht="45" outlineLevel="1" x14ac:dyDescent="0.25">
      <c r="A394" s="275">
        <v>8</v>
      </c>
      <c r="B394" s="313" t="s">
        <v>80</v>
      </c>
      <c r="C394" s="323">
        <v>1</v>
      </c>
      <c r="D394" s="424">
        <v>180.20000000000016</v>
      </c>
      <c r="E394" s="270"/>
      <c r="F394" s="270"/>
      <c r="G394" s="270"/>
    </row>
    <row r="395" spans="1:7" ht="30" outlineLevel="1" x14ac:dyDescent="0.25">
      <c r="A395" s="275">
        <v>9</v>
      </c>
      <c r="B395" s="315" t="s">
        <v>81</v>
      </c>
      <c r="C395" s="323">
        <v>1</v>
      </c>
      <c r="D395" s="424">
        <v>50</v>
      </c>
      <c r="E395" s="270"/>
      <c r="F395" s="270"/>
      <c r="G395" s="270"/>
    </row>
    <row r="396" spans="1:7" ht="20.25" customHeight="1" outlineLevel="1" x14ac:dyDescent="0.25">
      <c r="A396" s="275">
        <v>10</v>
      </c>
      <c r="B396" s="299" t="s">
        <v>66</v>
      </c>
      <c r="C396" s="273">
        <v>1000</v>
      </c>
      <c r="D396" s="424">
        <v>2000</v>
      </c>
      <c r="E396" s="298"/>
      <c r="F396" s="270"/>
      <c r="G396" s="270"/>
    </row>
    <row r="397" spans="1:7" ht="75.75" outlineLevel="1" x14ac:dyDescent="0.25">
      <c r="A397" s="275">
        <v>11</v>
      </c>
      <c r="B397" s="299" t="s">
        <v>40</v>
      </c>
      <c r="C397" s="276"/>
      <c r="D397" s="424"/>
      <c r="E397" s="298"/>
      <c r="F397" s="270"/>
      <c r="G397" s="270"/>
    </row>
    <row r="398" spans="1:7" outlineLevel="1" x14ac:dyDescent="0.25">
      <c r="A398" s="275" t="s">
        <v>67</v>
      </c>
      <c r="B398" s="299" t="s">
        <v>68</v>
      </c>
      <c r="C398" s="273">
        <v>100</v>
      </c>
      <c r="D398" s="424">
        <v>134.49839999999998</v>
      </c>
      <c r="E398" s="298"/>
      <c r="F398" s="270"/>
      <c r="G398" s="270"/>
    </row>
    <row r="399" spans="1:7" outlineLevel="1" x14ac:dyDescent="0.25">
      <c r="A399" s="275" t="s">
        <v>41</v>
      </c>
      <c r="B399" s="299" t="s">
        <v>42</v>
      </c>
      <c r="C399" s="273">
        <v>100</v>
      </c>
      <c r="D399" s="424">
        <v>14.96</v>
      </c>
      <c r="E399" s="298"/>
      <c r="F399" s="270"/>
      <c r="G399" s="270"/>
    </row>
    <row r="400" spans="1:7" outlineLevel="1" x14ac:dyDescent="0.25">
      <c r="A400" s="275" t="s">
        <v>70</v>
      </c>
      <c r="B400" s="299" t="s">
        <v>82</v>
      </c>
      <c r="C400" s="273">
        <v>100</v>
      </c>
      <c r="D400" s="424">
        <v>1264.4269680000011</v>
      </c>
      <c r="E400" s="298"/>
      <c r="F400" s="270"/>
      <c r="G400" s="270"/>
    </row>
    <row r="401" spans="1:7" outlineLevel="1" x14ac:dyDescent="0.25">
      <c r="A401" s="506" t="s">
        <v>83</v>
      </c>
      <c r="B401" s="506"/>
      <c r="C401" s="506"/>
      <c r="D401" s="506"/>
      <c r="E401" s="506"/>
      <c r="F401" s="270"/>
      <c r="G401" s="270"/>
    </row>
    <row r="402" spans="1:7" ht="19.5" outlineLevel="1" x14ac:dyDescent="0.25">
      <c r="A402" s="500" t="s">
        <v>202</v>
      </c>
      <c r="B402" s="500"/>
      <c r="C402" s="500"/>
      <c r="D402" s="500"/>
      <c r="E402" s="500"/>
      <c r="F402" s="500"/>
      <c r="G402" s="500"/>
    </row>
    <row r="403" spans="1:7" ht="50.25" customHeight="1" outlineLevel="1" x14ac:dyDescent="0.25">
      <c r="A403" s="319">
        <v>1</v>
      </c>
      <c r="B403" s="320" t="s">
        <v>203</v>
      </c>
      <c r="C403" s="273">
        <v>100</v>
      </c>
      <c r="D403" s="422">
        <v>966.72</v>
      </c>
      <c r="E403" s="269"/>
      <c r="F403" s="270"/>
      <c r="G403" s="270"/>
    </row>
    <row r="404" spans="1:7" ht="75" outlineLevel="1" x14ac:dyDescent="0.25">
      <c r="A404" s="319">
        <v>2</v>
      </c>
      <c r="B404" s="320" t="s">
        <v>204</v>
      </c>
      <c r="C404" s="303">
        <v>100</v>
      </c>
      <c r="D404" s="422">
        <v>2080</v>
      </c>
      <c r="E404" s="304"/>
      <c r="F404" s="270"/>
      <c r="G404" s="270"/>
    </row>
    <row r="405" spans="1:7" ht="120" outlineLevel="1" x14ac:dyDescent="0.25">
      <c r="A405" s="319">
        <v>3</v>
      </c>
      <c r="B405" s="320" t="s">
        <v>99</v>
      </c>
      <c r="C405" s="322"/>
      <c r="D405" s="422"/>
      <c r="E405" s="321"/>
      <c r="F405" s="270"/>
      <c r="G405" s="270"/>
    </row>
    <row r="406" spans="1:7" ht="60" outlineLevel="1" x14ac:dyDescent="0.25">
      <c r="A406" s="319" t="s">
        <v>58</v>
      </c>
      <c r="B406" s="320" t="s">
        <v>205</v>
      </c>
      <c r="C406" s="273">
        <v>1</v>
      </c>
      <c r="D406" s="422">
        <v>520</v>
      </c>
      <c r="E406" s="269"/>
      <c r="F406" s="270"/>
      <c r="G406" s="270"/>
    </row>
    <row r="407" spans="1:7" ht="25.5" customHeight="1" outlineLevel="1" x14ac:dyDescent="0.25">
      <c r="A407" s="319">
        <v>4</v>
      </c>
      <c r="B407" s="320" t="s">
        <v>101</v>
      </c>
      <c r="C407" s="323">
        <v>1</v>
      </c>
      <c r="D407" s="422">
        <v>6</v>
      </c>
      <c r="E407" s="321"/>
      <c r="F407" s="270"/>
      <c r="G407" s="270"/>
    </row>
    <row r="408" spans="1:7" ht="30" outlineLevel="1" x14ac:dyDescent="0.25">
      <c r="A408" s="319">
        <v>5</v>
      </c>
      <c r="B408" s="320" t="s">
        <v>102</v>
      </c>
      <c r="C408" s="273">
        <v>1000</v>
      </c>
      <c r="D408" s="422">
        <v>8490</v>
      </c>
      <c r="E408" s="321"/>
      <c r="F408" s="270"/>
      <c r="G408" s="270"/>
    </row>
    <row r="409" spans="1:7" ht="30" outlineLevel="1" x14ac:dyDescent="0.25">
      <c r="A409" s="319">
        <v>6</v>
      </c>
      <c r="B409" s="302" t="s">
        <v>103</v>
      </c>
      <c r="C409" s="273">
        <v>100</v>
      </c>
      <c r="D409" s="422">
        <v>3936</v>
      </c>
      <c r="E409" s="295"/>
      <c r="F409" s="270"/>
      <c r="G409" s="270"/>
    </row>
    <row r="410" spans="1:7" ht="105" outlineLevel="1" x14ac:dyDescent="0.25">
      <c r="A410" s="319">
        <v>7</v>
      </c>
      <c r="B410" s="302" t="s">
        <v>104</v>
      </c>
      <c r="C410" s="323">
        <v>1</v>
      </c>
      <c r="D410" s="422">
        <v>48</v>
      </c>
      <c r="E410" s="295"/>
      <c r="F410" s="270"/>
      <c r="G410" s="270"/>
    </row>
    <row r="411" spans="1:7" ht="45" outlineLevel="1" x14ac:dyDescent="0.25">
      <c r="A411" s="319">
        <v>8</v>
      </c>
      <c r="B411" s="324" t="s">
        <v>105</v>
      </c>
      <c r="C411" s="273">
        <v>100</v>
      </c>
      <c r="D411" s="422">
        <v>384</v>
      </c>
      <c r="E411" s="325"/>
      <c r="F411" s="270"/>
      <c r="G411" s="270"/>
    </row>
    <row r="412" spans="1:7" ht="21.75" customHeight="1" outlineLevel="1" x14ac:dyDescent="0.25">
      <c r="A412" s="319">
        <v>9</v>
      </c>
      <c r="B412" s="324" t="s">
        <v>106</v>
      </c>
      <c r="C412" s="303">
        <v>1</v>
      </c>
      <c r="D412" s="424">
        <v>768</v>
      </c>
      <c r="E412" s="304"/>
      <c r="F412" s="270"/>
      <c r="G412" s="270"/>
    </row>
    <row r="413" spans="1:7" ht="21.75" customHeight="1" outlineLevel="1" x14ac:dyDescent="0.25">
      <c r="A413" s="519" t="s">
        <v>83</v>
      </c>
      <c r="B413" s="519"/>
      <c r="C413" s="519"/>
      <c r="D413" s="519"/>
      <c r="E413" s="519"/>
      <c r="F413" s="270"/>
      <c r="G413" s="270"/>
    </row>
    <row r="414" spans="1:7" ht="19.5" outlineLevel="1" x14ac:dyDescent="0.25">
      <c r="A414" s="500" t="s">
        <v>206</v>
      </c>
      <c r="B414" s="500"/>
      <c r="C414" s="500"/>
      <c r="D414" s="500"/>
      <c r="E414" s="500"/>
      <c r="F414" s="500"/>
      <c r="G414" s="500"/>
    </row>
    <row r="415" spans="1:7" ht="75" outlineLevel="1" x14ac:dyDescent="0.25">
      <c r="A415" s="293">
        <v>1</v>
      </c>
      <c r="B415" s="299" t="s">
        <v>108</v>
      </c>
      <c r="C415" s="273">
        <v>1000</v>
      </c>
      <c r="D415" s="424">
        <v>3814.2433582386002</v>
      </c>
      <c r="E415" s="269"/>
      <c r="F415" s="270"/>
      <c r="G415" s="270"/>
    </row>
    <row r="416" spans="1:7" ht="105" outlineLevel="1" x14ac:dyDescent="0.25">
      <c r="A416" s="293">
        <v>2</v>
      </c>
      <c r="B416" s="318" t="s">
        <v>109</v>
      </c>
      <c r="C416" s="278">
        <v>1</v>
      </c>
      <c r="D416" s="424">
        <v>3559.5</v>
      </c>
      <c r="E416" s="295"/>
      <c r="F416" s="270"/>
      <c r="G416" s="270"/>
    </row>
    <row r="417" spans="1:7" ht="45" outlineLevel="1" x14ac:dyDescent="0.25">
      <c r="A417" s="275">
        <v>3</v>
      </c>
      <c r="B417" s="302" t="s">
        <v>23</v>
      </c>
      <c r="C417" s="276"/>
      <c r="D417" s="424">
        <v>0</v>
      </c>
      <c r="E417" s="295"/>
      <c r="F417" s="270"/>
      <c r="G417" s="270"/>
    </row>
    <row r="418" spans="1:7" outlineLevel="1" x14ac:dyDescent="0.25">
      <c r="A418" s="275"/>
      <c r="B418" s="299" t="s">
        <v>24</v>
      </c>
      <c r="C418" s="273">
        <v>100</v>
      </c>
      <c r="D418" s="424">
        <v>739.28711027360009</v>
      </c>
      <c r="E418" s="269"/>
      <c r="F418" s="270"/>
      <c r="G418" s="270"/>
    </row>
    <row r="419" spans="1:7" ht="34.5" customHeight="1" outlineLevel="1" x14ac:dyDescent="0.25">
      <c r="A419" s="275">
        <v>4</v>
      </c>
      <c r="B419" s="302" t="s">
        <v>25</v>
      </c>
      <c r="C419" s="273">
        <v>100</v>
      </c>
      <c r="D419" s="424">
        <v>2205.2800000000002</v>
      </c>
      <c r="E419" s="269"/>
      <c r="F419" s="270"/>
      <c r="G419" s="270"/>
    </row>
    <row r="420" spans="1:7" ht="60" outlineLevel="1" x14ac:dyDescent="0.25">
      <c r="A420" s="275">
        <v>5</v>
      </c>
      <c r="B420" s="302" t="s">
        <v>110</v>
      </c>
      <c r="C420" s="278">
        <v>100</v>
      </c>
      <c r="D420" s="424">
        <v>451.5</v>
      </c>
      <c r="E420" s="269"/>
      <c r="F420" s="270"/>
      <c r="G420" s="270"/>
    </row>
    <row r="421" spans="1:7" ht="60" outlineLevel="1" x14ac:dyDescent="0.25">
      <c r="A421" s="275">
        <v>6</v>
      </c>
      <c r="B421" s="299" t="s">
        <v>111</v>
      </c>
      <c r="C421" s="278">
        <v>100</v>
      </c>
      <c r="D421" s="424">
        <v>840</v>
      </c>
      <c r="E421" s="269"/>
      <c r="F421" s="270"/>
      <c r="G421" s="270"/>
    </row>
    <row r="422" spans="1:7" ht="30" outlineLevel="1" x14ac:dyDescent="0.25">
      <c r="A422" s="275">
        <v>7</v>
      </c>
      <c r="B422" s="302" t="s">
        <v>112</v>
      </c>
      <c r="C422" s="273">
        <v>1000</v>
      </c>
      <c r="D422" s="424">
        <v>1050</v>
      </c>
      <c r="E422" s="269"/>
      <c r="F422" s="270"/>
      <c r="G422" s="270"/>
    </row>
    <row r="423" spans="1:7" ht="33.75" customHeight="1" outlineLevel="1" x14ac:dyDescent="0.25">
      <c r="A423" s="275">
        <v>8</v>
      </c>
      <c r="B423" s="299" t="s">
        <v>173</v>
      </c>
      <c r="C423" s="273">
        <v>100</v>
      </c>
      <c r="D423" s="424">
        <v>2036.2999999999997</v>
      </c>
      <c r="E423" s="269"/>
      <c r="F423" s="270"/>
      <c r="G423" s="270"/>
    </row>
    <row r="424" spans="1:7" ht="120.75" outlineLevel="1" x14ac:dyDescent="0.25">
      <c r="A424" s="505">
        <v>9</v>
      </c>
      <c r="B424" s="302" t="s">
        <v>47</v>
      </c>
      <c r="C424" s="271"/>
      <c r="D424" s="424"/>
      <c r="E424" s="269"/>
      <c r="F424" s="270"/>
      <c r="G424" s="270"/>
    </row>
    <row r="425" spans="1:7" ht="75" outlineLevel="1" x14ac:dyDescent="0.25">
      <c r="A425" s="505"/>
      <c r="B425" s="302" t="s">
        <v>174</v>
      </c>
      <c r="C425" s="273">
        <v>1</v>
      </c>
      <c r="D425" s="424">
        <v>1079.1605999999999</v>
      </c>
      <c r="E425" s="269"/>
      <c r="F425" s="270"/>
      <c r="G425" s="270"/>
    </row>
    <row r="426" spans="1:7" ht="75" outlineLevel="1" x14ac:dyDescent="0.25">
      <c r="A426" s="334">
        <v>10</v>
      </c>
      <c r="B426" s="299" t="s">
        <v>175</v>
      </c>
      <c r="C426" s="273">
        <v>1</v>
      </c>
      <c r="D426" s="424">
        <v>128.85468749999998</v>
      </c>
      <c r="E426" s="269"/>
      <c r="F426" s="270"/>
      <c r="G426" s="270"/>
    </row>
    <row r="427" spans="1:7" ht="90" outlineLevel="1" x14ac:dyDescent="0.25">
      <c r="A427" s="326">
        <v>11</v>
      </c>
      <c r="B427" s="302" t="s">
        <v>116</v>
      </c>
      <c r="C427" s="303">
        <v>100</v>
      </c>
      <c r="D427" s="424">
        <v>7248.0917250000002</v>
      </c>
      <c r="E427" s="269"/>
      <c r="F427" s="270"/>
      <c r="G427" s="270"/>
    </row>
    <row r="428" spans="1:7" ht="180" outlineLevel="1" x14ac:dyDescent="0.25">
      <c r="A428" s="275">
        <v>12</v>
      </c>
      <c r="B428" s="302" t="s">
        <v>117</v>
      </c>
      <c r="C428" s="278">
        <v>1</v>
      </c>
      <c r="D428" s="424">
        <v>224</v>
      </c>
      <c r="E428" s="269"/>
      <c r="F428" s="270"/>
      <c r="G428" s="270"/>
    </row>
    <row r="429" spans="1:7" ht="60" outlineLevel="1" x14ac:dyDescent="0.25">
      <c r="A429" s="275">
        <v>13</v>
      </c>
      <c r="B429" s="302" t="s">
        <v>118</v>
      </c>
      <c r="C429" s="278">
        <v>1</v>
      </c>
      <c r="D429" s="424">
        <v>280</v>
      </c>
      <c r="E429" s="269"/>
      <c r="F429" s="270"/>
      <c r="G429" s="270"/>
    </row>
    <row r="430" spans="1:7" ht="45" outlineLevel="1" x14ac:dyDescent="0.25">
      <c r="A430" s="275">
        <v>14</v>
      </c>
      <c r="B430" s="302" t="s">
        <v>119</v>
      </c>
      <c r="C430" s="278">
        <v>1</v>
      </c>
      <c r="D430" s="424">
        <v>343</v>
      </c>
      <c r="E430" s="269"/>
      <c r="F430" s="270"/>
      <c r="G430" s="270"/>
    </row>
    <row r="431" spans="1:7" ht="75" outlineLevel="1" x14ac:dyDescent="0.25">
      <c r="A431" s="293">
        <v>15</v>
      </c>
      <c r="B431" s="302" t="s">
        <v>120</v>
      </c>
      <c r="C431" s="278">
        <v>100</v>
      </c>
      <c r="D431" s="424">
        <v>668.9375</v>
      </c>
      <c r="E431" s="269"/>
      <c r="F431" s="270"/>
      <c r="G431" s="270"/>
    </row>
    <row r="432" spans="1:7" ht="30" outlineLevel="1" x14ac:dyDescent="0.25">
      <c r="A432" s="293">
        <v>16</v>
      </c>
      <c r="B432" s="302" t="s">
        <v>121</v>
      </c>
      <c r="C432" s="278">
        <v>1</v>
      </c>
      <c r="D432" s="424">
        <v>696.9375</v>
      </c>
      <c r="E432" s="269"/>
      <c r="F432" s="270"/>
      <c r="G432" s="270"/>
    </row>
    <row r="433" spans="1:7" ht="21.75" customHeight="1" outlineLevel="1" x14ac:dyDescent="0.25">
      <c r="A433" s="275">
        <v>17</v>
      </c>
      <c r="B433" s="302" t="s">
        <v>122</v>
      </c>
      <c r="C433" s="273">
        <v>100</v>
      </c>
      <c r="D433" s="424">
        <v>286.5625</v>
      </c>
      <c r="E433" s="295"/>
      <c r="F433" s="270"/>
      <c r="G433" s="270"/>
    </row>
    <row r="434" spans="1:7" ht="45" outlineLevel="1" x14ac:dyDescent="0.25">
      <c r="A434" s="293">
        <v>18</v>
      </c>
      <c r="B434" s="302" t="s">
        <v>123</v>
      </c>
      <c r="C434" s="273">
        <v>100</v>
      </c>
      <c r="D434" s="424">
        <v>342.5625</v>
      </c>
      <c r="E434" s="295"/>
      <c r="F434" s="270"/>
      <c r="G434" s="270"/>
    </row>
    <row r="435" spans="1:7" ht="45" outlineLevel="1" x14ac:dyDescent="0.25">
      <c r="A435" s="505">
        <v>19</v>
      </c>
      <c r="B435" s="447" t="s">
        <v>23</v>
      </c>
      <c r="C435" s="291"/>
      <c r="D435" s="441"/>
      <c r="E435" s="288"/>
      <c r="F435" s="292"/>
      <c r="G435" s="292"/>
    </row>
    <row r="436" spans="1:7" ht="19.5" customHeight="1" outlineLevel="1" x14ac:dyDescent="0.25">
      <c r="A436" s="505"/>
      <c r="B436" s="446" t="s">
        <v>125</v>
      </c>
      <c r="C436" s="282">
        <v>100</v>
      </c>
      <c r="D436" s="440">
        <v>321.02</v>
      </c>
      <c r="E436" s="310"/>
      <c r="F436" s="290"/>
      <c r="G436" s="290"/>
    </row>
    <row r="437" spans="1:7" ht="30" outlineLevel="1" x14ac:dyDescent="0.25">
      <c r="A437" s="275">
        <v>20</v>
      </c>
      <c r="B437" s="302" t="s">
        <v>126</v>
      </c>
      <c r="C437" s="278">
        <v>100</v>
      </c>
      <c r="D437" s="424">
        <v>3978.1350000000002</v>
      </c>
      <c r="E437" s="295"/>
      <c r="F437" s="270"/>
      <c r="G437" s="270"/>
    </row>
    <row r="438" spans="1:7" ht="30" outlineLevel="1" x14ac:dyDescent="0.25">
      <c r="A438" s="275">
        <v>21</v>
      </c>
      <c r="B438" s="302" t="s">
        <v>207</v>
      </c>
      <c r="C438" s="278">
        <v>100</v>
      </c>
      <c r="D438" s="424">
        <v>801.64</v>
      </c>
      <c r="E438" s="295"/>
      <c r="F438" s="270"/>
      <c r="G438" s="270"/>
    </row>
    <row r="439" spans="1:7" ht="60" outlineLevel="1" x14ac:dyDescent="0.25">
      <c r="A439" s="275">
        <v>22</v>
      </c>
      <c r="B439" s="302" t="s">
        <v>128</v>
      </c>
      <c r="C439" s="278">
        <v>100</v>
      </c>
      <c r="D439" s="424">
        <v>3429.125</v>
      </c>
      <c r="E439" s="295"/>
      <c r="F439" s="270"/>
      <c r="G439" s="270"/>
    </row>
    <row r="440" spans="1:7" ht="45" outlineLevel="1" x14ac:dyDescent="0.25">
      <c r="A440" s="275">
        <v>23</v>
      </c>
      <c r="B440" s="302" t="s">
        <v>129</v>
      </c>
      <c r="C440" s="323">
        <v>1</v>
      </c>
      <c r="D440" s="424">
        <v>91</v>
      </c>
      <c r="E440" s="295"/>
      <c r="F440" s="270"/>
      <c r="G440" s="270"/>
    </row>
    <row r="441" spans="1:7" ht="30" outlineLevel="1" x14ac:dyDescent="0.25">
      <c r="A441" s="275">
        <v>24</v>
      </c>
      <c r="B441" s="302" t="s">
        <v>130</v>
      </c>
      <c r="C441" s="328">
        <v>1</v>
      </c>
      <c r="D441" s="424">
        <v>14</v>
      </c>
      <c r="E441" s="295"/>
      <c r="F441" s="270"/>
      <c r="G441" s="270"/>
    </row>
    <row r="442" spans="1:7" ht="21" customHeight="1" outlineLevel="1" x14ac:dyDescent="0.25">
      <c r="A442" s="275">
        <v>25</v>
      </c>
      <c r="B442" s="302" t="s">
        <v>131</v>
      </c>
      <c r="C442" s="328">
        <v>1</v>
      </c>
      <c r="D442" s="424">
        <v>7</v>
      </c>
      <c r="E442" s="295"/>
      <c r="F442" s="270"/>
      <c r="G442" s="270"/>
    </row>
    <row r="443" spans="1:7" ht="21" customHeight="1" outlineLevel="1" x14ac:dyDescent="0.25">
      <c r="A443" s="275">
        <v>26</v>
      </c>
      <c r="B443" s="302" t="s">
        <v>132</v>
      </c>
      <c r="C443" s="278">
        <v>100</v>
      </c>
      <c r="D443" s="424">
        <v>3571.89</v>
      </c>
      <c r="E443" s="295"/>
      <c r="F443" s="270"/>
      <c r="G443" s="270"/>
    </row>
    <row r="444" spans="1:7" ht="45" outlineLevel="1" x14ac:dyDescent="0.25">
      <c r="A444" s="275">
        <v>27</v>
      </c>
      <c r="B444" s="302" t="s">
        <v>133</v>
      </c>
      <c r="C444" s="278">
        <v>100</v>
      </c>
      <c r="D444" s="424">
        <v>1207.885</v>
      </c>
      <c r="E444" s="295"/>
      <c r="F444" s="270"/>
      <c r="G444" s="270"/>
    </row>
    <row r="445" spans="1:7" ht="30" outlineLevel="1" x14ac:dyDescent="0.25">
      <c r="A445" s="275">
        <v>28</v>
      </c>
      <c r="B445" s="302" t="s">
        <v>134</v>
      </c>
      <c r="C445" s="278">
        <v>100</v>
      </c>
      <c r="D445" s="424">
        <v>623</v>
      </c>
      <c r="E445" s="295"/>
      <c r="F445" s="270"/>
      <c r="G445" s="270"/>
    </row>
    <row r="446" spans="1:7" ht="60" outlineLevel="1" x14ac:dyDescent="0.25">
      <c r="A446" s="275">
        <v>29</v>
      </c>
      <c r="B446" s="327" t="s">
        <v>135</v>
      </c>
      <c r="C446" s="303">
        <v>100</v>
      </c>
      <c r="D446" s="424">
        <v>2344.711058695455</v>
      </c>
      <c r="E446" s="269"/>
      <c r="F446" s="270"/>
      <c r="G446" s="270"/>
    </row>
    <row r="447" spans="1:7" ht="45" outlineLevel="1" x14ac:dyDescent="0.25">
      <c r="A447" s="505">
        <v>30</v>
      </c>
      <c r="B447" s="302" t="s">
        <v>136</v>
      </c>
      <c r="C447" s="271"/>
      <c r="D447" s="424"/>
      <c r="E447" s="295"/>
      <c r="F447" s="270"/>
      <c r="G447" s="270"/>
    </row>
    <row r="448" spans="1:7" outlineLevel="1" x14ac:dyDescent="0.25">
      <c r="A448" s="505"/>
      <c r="B448" s="302" t="s">
        <v>176</v>
      </c>
      <c r="C448" s="323">
        <v>1</v>
      </c>
      <c r="D448" s="424">
        <v>420</v>
      </c>
      <c r="E448" s="295"/>
      <c r="F448" s="270"/>
      <c r="G448" s="270"/>
    </row>
    <row r="449" spans="1:7" outlineLevel="1" x14ac:dyDescent="0.25">
      <c r="A449" s="505"/>
      <c r="B449" s="302" t="s">
        <v>177</v>
      </c>
      <c r="C449" s="323">
        <v>1</v>
      </c>
      <c r="D449" s="424">
        <v>210</v>
      </c>
      <c r="E449" s="295"/>
      <c r="F449" s="270"/>
      <c r="G449" s="270"/>
    </row>
    <row r="450" spans="1:7" outlineLevel="1" x14ac:dyDescent="0.25">
      <c r="A450" s="275"/>
      <c r="B450" s="302" t="s">
        <v>178</v>
      </c>
      <c r="C450" s="323">
        <v>1</v>
      </c>
      <c r="D450" s="424">
        <v>105</v>
      </c>
      <c r="E450" s="295"/>
      <c r="F450" s="270"/>
      <c r="G450" s="270"/>
    </row>
    <row r="451" spans="1:7" ht="75" outlineLevel="1" x14ac:dyDescent="0.25">
      <c r="A451" s="505">
        <v>31</v>
      </c>
      <c r="B451" s="302" t="s">
        <v>141</v>
      </c>
      <c r="C451" s="271"/>
      <c r="D451" s="424"/>
      <c r="E451" s="295"/>
      <c r="F451" s="270"/>
      <c r="G451" s="270"/>
    </row>
    <row r="452" spans="1:7" outlineLevel="1" x14ac:dyDescent="0.25">
      <c r="A452" s="505"/>
      <c r="B452" s="302" t="s">
        <v>180</v>
      </c>
      <c r="C452" s="323">
        <v>1</v>
      </c>
      <c r="D452" s="424">
        <v>1260</v>
      </c>
      <c r="E452" s="295"/>
      <c r="F452" s="270"/>
      <c r="G452" s="270"/>
    </row>
    <row r="453" spans="1:7" outlineLevel="1" x14ac:dyDescent="0.25">
      <c r="A453" s="334"/>
      <c r="B453" s="302" t="s">
        <v>181</v>
      </c>
      <c r="C453" s="323">
        <v>1</v>
      </c>
      <c r="D453" s="424">
        <v>420</v>
      </c>
      <c r="E453" s="295"/>
      <c r="F453" s="270"/>
      <c r="G453" s="270"/>
    </row>
    <row r="454" spans="1:7" ht="75" outlineLevel="1" x14ac:dyDescent="0.25">
      <c r="A454" s="275">
        <v>32</v>
      </c>
      <c r="B454" s="302" t="s">
        <v>144</v>
      </c>
      <c r="C454" s="323">
        <v>1</v>
      </c>
      <c r="D454" s="424">
        <v>280</v>
      </c>
      <c r="E454" s="295"/>
      <c r="F454" s="270"/>
      <c r="G454" s="270"/>
    </row>
    <row r="455" spans="1:7" ht="60" outlineLevel="1" x14ac:dyDescent="0.25">
      <c r="A455" s="505">
        <v>33</v>
      </c>
      <c r="B455" s="302" t="s">
        <v>145</v>
      </c>
      <c r="C455" s="271"/>
      <c r="D455" s="424"/>
      <c r="E455" s="295"/>
      <c r="F455" s="270"/>
      <c r="G455" s="270"/>
    </row>
    <row r="456" spans="1:7" outlineLevel="1" x14ac:dyDescent="0.25">
      <c r="A456" s="505"/>
      <c r="B456" s="302" t="s">
        <v>183</v>
      </c>
      <c r="C456" s="329">
        <v>1</v>
      </c>
      <c r="D456" s="424">
        <v>7</v>
      </c>
      <c r="E456" s="295"/>
      <c r="F456" s="270"/>
      <c r="G456" s="270"/>
    </row>
    <row r="457" spans="1:7" outlineLevel="1" x14ac:dyDescent="0.25">
      <c r="A457" s="505"/>
      <c r="B457" s="302" t="s">
        <v>184</v>
      </c>
      <c r="C457" s="329">
        <v>1</v>
      </c>
      <c r="D457" s="424">
        <v>7</v>
      </c>
      <c r="E457" s="295"/>
      <c r="F457" s="270"/>
      <c r="G457" s="270"/>
    </row>
    <row r="458" spans="1:7" outlineLevel="1" x14ac:dyDescent="0.25">
      <c r="A458" s="505"/>
      <c r="B458" s="302" t="s">
        <v>185</v>
      </c>
      <c r="C458" s="329">
        <v>1</v>
      </c>
      <c r="D458" s="424">
        <v>7</v>
      </c>
      <c r="E458" s="295"/>
      <c r="F458" s="270"/>
      <c r="G458" s="270"/>
    </row>
    <row r="459" spans="1:7" ht="30" outlineLevel="1" x14ac:dyDescent="0.25">
      <c r="A459" s="275">
        <v>34</v>
      </c>
      <c r="B459" s="302" t="s">
        <v>149</v>
      </c>
      <c r="C459" s="329">
        <v>1</v>
      </c>
      <c r="D459" s="424">
        <v>140</v>
      </c>
      <c r="E459" s="295"/>
      <c r="F459" s="270"/>
      <c r="G459" s="270"/>
    </row>
    <row r="460" spans="1:7" ht="20.25" customHeight="1" outlineLevel="1" x14ac:dyDescent="0.25">
      <c r="A460" s="275">
        <v>35</v>
      </c>
      <c r="B460" s="302" t="s">
        <v>150</v>
      </c>
      <c r="C460" s="329">
        <v>1</v>
      </c>
      <c r="D460" s="424">
        <v>28</v>
      </c>
      <c r="E460" s="295"/>
      <c r="F460" s="270"/>
      <c r="G460" s="270"/>
    </row>
    <row r="461" spans="1:7" ht="20.25" customHeight="1" outlineLevel="1" x14ac:dyDescent="0.25">
      <c r="A461" s="275">
        <v>36</v>
      </c>
      <c r="B461" s="302" t="s">
        <v>151</v>
      </c>
      <c r="C461" s="329">
        <v>1</v>
      </c>
      <c r="D461" s="424">
        <v>14</v>
      </c>
      <c r="E461" s="295"/>
      <c r="F461" s="270"/>
      <c r="G461" s="270"/>
    </row>
    <row r="462" spans="1:7" ht="33.75" customHeight="1" outlineLevel="1" x14ac:dyDescent="0.25">
      <c r="A462" s="275">
        <v>37</v>
      </c>
      <c r="B462" s="302" t="s">
        <v>186</v>
      </c>
      <c r="C462" s="329">
        <v>1</v>
      </c>
      <c r="D462" s="424">
        <v>7</v>
      </c>
      <c r="E462" s="295"/>
      <c r="F462" s="270"/>
      <c r="G462" s="270"/>
    </row>
    <row r="463" spans="1:7" ht="135" outlineLevel="1" x14ac:dyDescent="0.25">
      <c r="A463" s="275">
        <v>38</v>
      </c>
      <c r="B463" s="299" t="s">
        <v>208</v>
      </c>
      <c r="C463" s="328">
        <v>1</v>
      </c>
      <c r="D463" s="424">
        <v>7</v>
      </c>
      <c r="E463" s="295"/>
      <c r="F463" s="270"/>
      <c r="G463" s="270"/>
    </row>
    <row r="464" spans="1:7" ht="90" outlineLevel="1" x14ac:dyDescent="0.25">
      <c r="A464" s="275">
        <v>39</v>
      </c>
      <c r="B464" s="302" t="s">
        <v>154</v>
      </c>
      <c r="C464" s="328">
        <v>1</v>
      </c>
      <c r="D464" s="424">
        <v>42</v>
      </c>
      <c r="E464" s="295"/>
      <c r="F464" s="270"/>
      <c r="G464" s="270"/>
    </row>
    <row r="465" spans="1:7" ht="135" outlineLevel="1" x14ac:dyDescent="0.25">
      <c r="A465" s="275">
        <v>40</v>
      </c>
      <c r="B465" s="299" t="s">
        <v>155</v>
      </c>
      <c r="C465" s="328">
        <v>1</v>
      </c>
      <c r="D465" s="424">
        <v>14</v>
      </c>
      <c r="E465" s="295"/>
      <c r="F465" s="270"/>
      <c r="G465" s="270"/>
    </row>
    <row r="466" spans="1:7" ht="150" outlineLevel="1" x14ac:dyDescent="0.25">
      <c r="A466" s="275">
        <v>41</v>
      </c>
      <c r="B466" s="299" t="s">
        <v>156</v>
      </c>
      <c r="C466" s="328">
        <v>1</v>
      </c>
      <c r="D466" s="424">
        <v>7</v>
      </c>
      <c r="E466" s="295"/>
      <c r="F466" s="270"/>
      <c r="G466" s="270"/>
    </row>
    <row r="467" spans="1:7" ht="60" outlineLevel="1" x14ac:dyDescent="0.25">
      <c r="A467" s="275">
        <v>42</v>
      </c>
      <c r="B467" s="302" t="s">
        <v>157</v>
      </c>
      <c r="C467" s="328">
        <v>1</v>
      </c>
      <c r="D467" s="424">
        <v>21</v>
      </c>
      <c r="E467" s="295"/>
      <c r="F467" s="270"/>
      <c r="G467" s="270"/>
    </row>
    <row r="468" spans="1:7" ht="30" outlineLevel="1" x14ac:dyDescent="0.25">
      <c r="A468" s="275">
        <v>43</v>
      </c>
      <c r="B468" s="302" t="s">
        <v>158</v>
      </c>
      <c r="C468" s="328">
        <v>1</v>
      </c>
      <c r="D468" s="424">
        <v>21</v>
      </c>
      <c r="E468" s="295"/>
      <c r="F468" s="270"/>
      <c r="G468" s="270"/>
    </row>
    <row r="469" spans="1:7" ht="75.75" outlineLevel="1" x14ac:dyDescent="0.25">
      <c r="A469" s="275">
        <v>44</v>
      </c>
      <c r="B469" s="299" t="s">
        <v>40</v>
      </c>
      <c r="C469" s="276"/>
      <c r="D469" s="424"/>
      <c r="E469" s="298"/>
      <c r="F469" s="270"/>
      <c r="G469" s="270"/>
    </row>
    <row r="470" spans="1:7" outlineLevel="1" x14ac:dyDescent="0.25">
      <c r="A470" s="275" t="s">
        <v>67</v>
      </c>
      <c r="B470" s="299" t="s">
        <v>68</v>
      </c>
      <c r="C470" s="273">
        <v>100</v>
      </c>
      <c r="D470" s="424">
        <v>709.715625862656</v>
      </c>
      <c r="E470" s="298"/>
      <c r="F470" s="270"/>
      <c r="G470" s="270"/>
    </row>
    <row r="471" spans="1:7" outlineLevel="1" x14ac:dyDescent="0.25">
      <c r="A471" s="275" t="s">
        <v>41</v>
      </c>
      <c r="B471" s="299" t="s">
        <v>42</v>
      </c>
      <c r="C471" s="273">
        <v>100</v>
      </c>
      <c r="D471" s="424">
        <v>282.49759999999998</v>
      </c>
      <c r="E471" s="298"/>
      <c r="F471" s="270"/>
      <c r="G471" s="270"/>
    </row>
    <row r="472" spans="1:7" outlineLevel="1" x14ac:dyDescent="0.25">
      <c r="A472" s="275" t="s">
        <v>70</v>
      </c>
      <c r="B472" s="299" t="s">
        <v>159</v>
      </c>
      <c r="C472" s="273">
        <v>100</v>
      </c>
      <c r="D472" s="424">
        <v>1063.053453</v>
      </c>
      <c r="E472" s="298"/>
      <c r="F472" s="270"/>
      <c r="G472" s="270"/>
    </row>
    <row r="473" spans="1:7" outlineLevel="1" x14ac:dyDescent="0.25">
      <c r="A473" s="275" t="s">
        <v>160</v>
      </c>
      <c r="B473" s="299" t="s">
        <v>161</v>
      </c>
      <c r="C473" s="273">
        <v>100</v>
      </c>
      <c r="D473" s="424">
        <v>49.664999999999999</v>
      </c>
      <c r="E473" s="298"/>
      <c r="F473" s="270"/>
      <c r="G473" s="270"/>
    </row>
    <row r="474" spans="1:7" outlineLevel="1" x14ac:dyDescent="0.25">
      <c r="A474" s="506" t="s">
        <v>83</v>
      </c>
      <c r="B474" s="506"/>
      <c r="C474" s="506"/>
      <c r="D474" s="506"/>
      <c r="E474" s="506"/>
      <c r="F474" s="270"/>
      <c r="G474" s="270"/>
    </row>
    <row r="475" spans="1:7" ht="25.5" customHeight="1" x14ac:dyDescent="0.25">
      <c r="A475" s="499" t="s">
        <v>210</v>
      </c>
      <c r="B475" s="499"/>
      <c r="C475" s="499"/>
      <c r="D475" s="499"/>
      <c r="E475" s="499"/>
      <c r="F475" s="362"/>
      <c r="G475" s="362"/>
    </row>
    <row r="476" spans="1:7" ht="19.5" outlineLevel="1" x14ac:dyDescent="0.25">
      <c r="A476" s="500" t="s">
        <v>9</v>
      </c>
      <c r="B476" s="500"/>
      <c r="C476" s="500"/>
      <c r="D476" s="500"/>
      <c r="E476" s="500"/>
      <c r="F476" s="500"/>
      <c r="G476" s="500"/>
    </row>
    <row r="477" spans="1:7" ht="75" outlineLevel="1" x14ac:dyDescent="0.25">
      <c r="A477" s="330">
        <v>1</v>
      </c>
      <c r="B477" s="327" t="s">
        <v>10</v>
      </c>
      <c r="C477" s="273">
        <v>1000</v>
      </c>
      <c r="D477" s="425">
        <v>15023937.5</v>
      </c>
      <c r="E477" s="269"/>
      <c r="F477" s="270"/>
      <c r="G477" s="270"/>
    </row>
    <row r="478" spans="1:7" ht="30" outlineLevel="1" x14ac:dyDescent="0.25">
      <c r="A478" s="330">
        <v>2</v>
      </c>
      <c r="B478" s="339" t="s">
        <v>211</v>
      </c>
      <c r="C478" s="340"/>
      <c r="D478" s="422"/>
      <c r="E478" s="298"/>
      <c r="F478" s="270"/>
      <c r="G478" s="270"/>
    </row>
    <row r="479" spans="1:7" outlineLevel="1" x14ac:dyDescent="0.25">
      <c r="A479" s="330"/>
      <c r="B479" s="327" t="s">
        <v>212</v>
      </c>
      <c r="C479" s="273">
        <v>1000</v>
      </c>
      <c r="D479" s="422">
        <v>12747.499999999998</v>
      </c>
      <c r="E479" s="298"/>
      <c r="F479" s="270"/>
      <c r="G479" s="270"/>
    </row>
    <row r="480" spans="1:7" outlineLevel="1" x14ac:dyDescent="0.25">
      <c r="A480" s="330"/>
      <c r="B480" s="327" t="s">
        <v>213</v>
      </c>
      <c r="C480" s="273">
        <v>1000</v>
      </c>
      <c r="D480" s="422">
        <v>5975.0000000000018</v>
      </c>
      <c r="E480" s="298"/>
      <c r="F480" s="270"/>
      <c r="G480" s="270"/>
    </row>
    <row r="481" spans="1:7" ht="30" outlineLevel="1" x14ac:dyDescent="0.25">
      <c r="A481" s="330">
        <v>3</v>
      </c>
      <c r="B481" s="327" t="s">
        <v>11</v>
      </c>
      <c r="C481" s="273">
        <v>1000</v>
      </c>
      <c r="D481" s="422">
        <v>2113837.5</v>
      </c>
      <c r="E481" s="321"/>
      <c r="F481" s="270"/>
      <c r="G481" s="270"/>
    </row>
    <row r="482" spans="1:7" ht="45" outlineLevel="1" x14ac:dyDescent="0.25">
      <c r="A482" s="330">
        <v>4</v>
      </c>
      <c r="B482" s="327" t="s">
        <v>19</v>
      </c>
      <c r="C482" s="331">
        <v>1</v>
      </c>
      <c r="D482" s="422">
        <v>720</v>
      </c>
      <c r="E482" s="270"/>
      <c r="F482" s="270"/>
      <c r="G482" s="270"/>
    </row>
    <row r="483" spans="1:7" ht="24" customHeight="1" outlineLevel="1" x14ac:dyDescent="0.25">
      <c r="A483" s="330">
        <v>6</v>
      </c>
      <c r="B483" s="317" t="s">
        <v>20</v>
      </c>
      <c r="C483" s="278">
        <v>1000</v>
      </c>
      <c r="D483" s="422">
        <v>2800000</v>
      </c>
      <c r="E483" s="270"/>
      <c r="F483" s="270"/>
      <c r="G483" s="270"/>
    </row>
    <row r="484" spans="1:7" ht="19.5" outlineLevel="1" x14ac:dyDescent="0.25">
      <c r="A484" s="500" t="s">
        <v>21</v>
      </c>
      <c r="B484" s="500"/>
      <c r="C484" s="500"/>
      <c r="D484" s="500"/>
      <c r="E484" s="500"/>
      <c r="F484" s="500"/>
      <c r="G484" s="500"/>
    </row>
    <row r="485" spans="1:7" ht="68.25" customHeight="1" outlineLevel="1" x14ac:dyDescent="0.25">
      <c r="A485" s="271">
        <v>1</v>
      </c>
      <c r="B485" s="272" t="s">
        <v>22</v>
      </c>
      <c r="C485" s="273">
        <v>1000</v>
      </c>
      <c r="D485" s="423">
        <v>98</v>
      </c>
      <c r="E485" s="274"/>
      <c r="F485" s="270"/>
      <c r="G485" s="270"/>
    </row>
    <row r="486" spans="1:7" s="15" customFormat="1" ht="54" customHeight="1" outlineLevel="1" x14ac:dyDescent="0.2">
      <c r="A486" s="285">
        <v>2</v>
      </c>
      <c r="B486" s="286" t="s">
        <v>23</v>
      </c>
      <c r="C486" s="287"/>
      <c r="D486" s="441"/>
      <c r="E486" s="316"/>
      <c r="F486" s="289"/>
      <c r="G486" s="289"/>
    </row>
    <row r="487" spans="1:7" s="15" customFormat="1" ht="22.5" customHeight="1" outlineLevel="1" x14ac:dyDescent="0.2">
      <c r="A487" s="280"/>
      <c r="B487" s="281" t="s">
        <v>24</v>
      </c>
      <c r="C487" s="282">
        <v>100</v>
      </c>
      <c r="D487" s="445">
        <v>24.5</v>
      </c>
      <c r="E487" s="310"/>
      <c r="F487" s="284"/>
      <c r="G487" s="284"/>
    </row>
    <row r="488" spans="1:7" s="15" customFormat="1" ht="36" customHeight="1" outlineLevel="1" x14ac:dyDescent="0.2">
      <c r="A488" s="275">
        <v>3</v>
      </c>
      <c r="B488" s="272" t="s">
        <v>25</v>
      </c>
      <c r="C488" s="273">
        <v>100</v>
      </c>
      <c r="D488" s="423">
        <v>97.5</v>
      </c>
      <c r="E488" s="274"/>
      <c r="F488" s="277"/>
      <c r="G488" s="277"/>
    </row>
    <row r="489" spans="1:7" s="15" customFormat="1" ht="50.25" customHeight="1" outlineLevel="1" x14ac:dyDescent="0.2">
      <c r="A489" s="275">
        <v>4</v>
      </c>
      <c r="B489" s="272" t="s">
        <v>26</v>
      </c>
      <c r="C489" s="278">
        <v>100</v>
      </c>
      <c r="D489" s="423">
        <v>39</v>
      </c>
      <c r="E489" s="274"/>
      <c r="F489" s="277"/>
      <c r="G489" s="277"/>
    </row>
    <row r="490" spans="1:7" ht="36" customHeight="1" outlineLevel="1" x14ac:dyDescent="0.25">
      <c r="A490" s="271">
        <v>5</v>
      </c>
      <c r="B490" s="272" t="s">
        <v>27</v>
      </c>
      <c r="C490" s="273">
        <v>100</v>
      </c>
      <c r="D490" s="423">
        <v>81.703125</v>
      </c>
      <c r="E490" s="274"/>
      <c r="F490" s="270"/>
      <c r="G490" s="270"/>
    </row>
    <row r="491" spans="1:7" ht="27" customHeight="1" outlineLevel="1" x14ac:dyDescent="0.25">
      <c r="A491" s="271">
        <v>6</v>
      </c>
      <c r="B491" s="272" t="s">
        <v>28</v>
      </c>
      <c r="C491" s="278">
        <v>100</v>
      </c>
      <c r="D491" s="423">
        <v>230.64999999999998</v>
      </c>
      <c r="E491" s="274"/>
      <c r="F491" s="270"/>
      <c r="G491" s="270"/>
    </row>
    <row r="492" spans="1:7" ht="45" outlineLevel="1" x14ac:dyDescent="0.25">
      <c r="A492" s="271">
        <v>7</v>
      </c>
      <c r="B492" s="272" t="s">
        <v>29</v>
      </c>
      <c r="C492" s="278">
        <v>100</v>
      </c>
      <c r="D492" s="423">
        <v>230.64999999999998</v>
      </c>
      <c r="E492" s="274"/>
      <c r="F492" s="270"/>
      <c r="G492" s="270"/>
    </row>
    <row r="493" spans="1:7" ht="26.25" customHeight="1" outlineLevel="1" x14ac:dyDescent="0.25">
      <c r="A493" s="271">
        <v>8</v>
      </c>
      <c r="B493" s="272" t="s">
        <v>30</v>
      </c>
      <c r="C493" s="328">
        <v>1</v>
      </c>
      <c r="D493" s="423">
        <v>500</v>
      </c>
      <c r="E493" s="274"/>
      <c r="F493" s="270"/>
      <c r="G493" s="270"/>
    </row>
    <row r="494" spans="1:7" ht="82.5" customHeight="1" outlineLevel="1" x14ac:dyDescent="0.25">
      <c r="A494" s="291">
        <v>9</v>
      </c>
      <c r="B494" s="286" t="s">
        <v>31</v>
      </c>
      <c r="C494" s="287"/>
      <c r="D494" s="489"/>
      <c r="E494" s="490"/>
      <c r="F494" s="292"/>
      <c r="G494" s="292"/>
    </row>
    <row r="495" spans="1:7" outlineLevel="1" x14ac:dyDescent="0.25">
      <c r="A495" s="488"/>
      <c r="B495" s="281" t="s">
        <v>32</v>
      </c>
      <c r="C495" s="282">
        <v>100</v>
      </c>
      <c r="D495" s="445">
        <v>4.29</v>
      </c>
      <c r="E495" s="283"/>
      <c r="F495" s="290"/>
      <c r="G495" s="290"/>
    </row>
    <row r="496" spans="1:7" ht="19.5" outlineLevel="1" x14ac:dyDescent="0.25">
      <c r="A496" s="500" t="s">
        <v>33</v>
      </c>
      <c r="B496" s="500"/>
      <c r="C496" s="500"/>
      <c r="D496" s="500"/>
      <c r="E496" s="500"/>
      <c r="F496" s="500"/>
      <c r="G496" s="500"/>
    </row>
    <row r="497" spans="1:7" ht="24" customHeight="1" outlineLevel="1" x14ac:dyDescent="0.25">
      <c r="A497" s="293">
        <v>1</v>
      </c>
      <c r="B497" s="294" t="s">
        <v>34</v>
      </c>
      <c r="C497" s="273">
        <v>1</v>
      </c>
      <c r="D497" s="424">
        <v>242.52</v>
      </c>
      <c r="E497" s="295"/>
      <c r="F497" s="270"/>
      <c r="G497" s="270"/>
    </row>
    <row r="498" spans="1:7" ht="45" outlineLevel="1" x14ac:dyDescent="0.25">
      <c r="A498" s="293">
        <v>2</v>
      </c>
      <c r="B498" s="294" t="s">
        <v>35</v>
      </c>
      <c r="C498" s="303">
        <v>100</v>
      </c>
      <c r="D498" s="424">
        <v>554.13</v>
      </c>
      <c r="E498" s="295"/>
      <c r="F498" s="270"/>
      <c r="G498" s="270"/>
    </row>
    <row r="499" spans="1:7" ht="20.25" customHeight="1" outlineLevel="1" x14ac:dyDescent="0.25">
      <c r="A499" s="275">
        <v>3</v>
      </c>
      <c r="B499" s="294" t="s">
        <v>36</v>
      </c>
      <c r="C499" s="328">
        <v>1</v>
      </c>
      <c r="D499" s="424">
        <v>141</v>
      </c>
      <c r="E499" s="295"/>
      <c r="F499" s="270"/>
      <c r="G499" s="270"/>
    </row>
    <row r="500" spans="1:7" ht="20.25" customHeight="1" outlineLevel="1" x14ac:dyDescent="0.25">
      <c r="A500" s="275">
        <v>4</v>
      </c>
      <c r="B500" s="294" t="s">
        <v>37</v>
      </c>
      <c r="C500" s="329">
        <v>1</v>
      </c>
      <c r="D500" s="424">
        <v>141</v>
      </c>
      <c r="E500" s="295"/>
      <c r="F500" s="270"/>
      <c r="G500" s="270"/>
    </row>
    <row r="501" spans="1:7" ht="20.25" customHeight="1" outlineLevel="1" x14ac:dyDescent="0.25">
      <c r="A501" s="275">
        <v>5</v>
      </c>
      <c r="B501" s="294" t="s">
        <v>38</v>
      </c>
      <c r="C501" s="278">
        <v>100</v>
      </c>
      <c r="D501" s="424">
        <v>493.5</v>
      </c>
      <c r="E501" s="295"/>
      <c r="F501" s="270"/>
      <c r="G501" s="270"/>
    </row>
    <row r="502" spans="1:7" ht="30" outlineLevel="1" x14ac:dyDescent="0.25">
      <c r="A502" s="275">
        <v>6</v>
      </c>
      <c r="B502" s="294" t="s">
        <v>39</v>
      </c>
      <c r="C502" s="328">
        <v>1</v>
      </c>
      <c r="D502" s="424">
        <v>1410</v>
      </c>
      <c r="E502" s="295"/>
      <c r="F502" s="270"/>
      <c r="G502" s="270"/>
    </row>
    <row r="503" spans="1:7" ht="75" outlineLevel="1" x14ac:dyDescent="0.25">
      <c r="A503" s="285">
        <v>7</v>
      </c>
      <c r="B503" s="463" t="s">
        <v>31</v>
      </c>
      <c r="C503" s="287"/>
      <c r="D503" s="441"/>
      <c r="E503" s="288"/>
      <c r="F503" s="292"/>
      <c r="G503" s="292"/>
    </row>
    <row r="504" spans="1:7" outlineLevel="1" x14ac:dyDescent="0.25">
      <c r="A504" s="280" t="s">
        <v>41</v>
      </c>
      <c r="B504" s="300" t="s">
        <v>42</v>
      </c>
      <c r="C504" s="282">
        <v>100</v>
      </c>
      <c r="D504" s="440">
        <v>213.41760000000002</v>
      </c>
      <c r="E504" s="480"/>
      <c r="F504" s="290"/>
      <c r="G504" s="290"/>
    </row>
    <row r="505" spans="1:7" outlineLevel="1" x14ac:dyDescent="0.25">
      <c r="A505" s="518" t="s">
        <v>43</v>
      </c>
      <c r="B505" s="518"/>
      <c r="C505" s="518"/>
      <c r="D505" s="518"/>
      <c r="E505" s="518"/>
      <c r="F505" s="270"/>
      <c r="G505" s="270"/>
    </row>
    <row r="506" spans="1:7" ht="19.5" outlineLevel="1" x14ac:dyDescent="0.25">
      <c r="A506" s="500" t="s">
        <v>44</v>
      </c>
      <c r="B506" s="500"/>
      <c r="C506" s="500"/>
      <c r="D506" s="500"/>
      <c r="E506" s="500"/>
      <c r="F506" s="500"/>
      <c r="G506" s="500"/>
    </row>
    <row r="507" spans="1:7" ht="75" outlineLevel="1" x14ac:dyDescent="0.25">
      <c r="A507" s="293">
        <v>1</v>
      </c>
      <c r="B507" s="299" t="s">
        <v>45</v>
      </c>
      <c r="C507" s="273">
        <v>1000</v>
      </c>
      <c r="D507" s="424">
        <v>1489.6000000000013</v>
      </c>
      <c r="E507" s="269"/>
      <c r="F507" s="270"/>
      <c r="G507" s="270"/>
    </row>
    <row r="508" spans="1:7" ht="45" outlineLevel="1" x14ac:dyDescent="0.25">
      <c r="A508" s="275">
        <v>2</v>
      </c>
      <c r="B508" s="302" t="s">
        <v>23</v>
      </c>
      <c r="C508" s="271"/>
      <c r="D508" s="424"/>
      <c r="E508" s="269"/>
      <c r="F508" s="270"/>
      <c r="G508" s="270"/>
    </row>
    <row r="509" spans="1:7" outlineLevel="1" x14ac:dyDescent="0.25">
      <c r="A509" s="275"/>
      <c r="B509" s="299" t="s">
        <v>24</v>
      </c>
      <c r="C509" s="273">
        <v>100</v>
      </c>
      <c r="D509" s="424">
        <v>132</v>
      </c>
      <c r="E509" s="269"/>
      <c r="F509" s="270"/>
      <c r="G509" s="270"/>
    </row>
    <row r="510" spans="1:7" ht="90" outlineLevel="1" x14ac:dyDescent="0.25">
      <c r="A510" s="275">
        <v>3</v>
      </c>
      <c r="B510" s="299" t="s">
        <v>46</v>
      </c>
      <c r="C510" s="303">
        <v>100</v>
      </c>
      <c r="D510" s="424">
        <v>4803</v>
      </c>
      <c r="E510" s="304"/>
      <c r="F510" s="270"/>
      <c r="G510" s="270"/>
    </row>
    <row r="511" spans="1:7" ht="120.75" outlineLevel="1" x14ac:dyDescent="0.25">
      <c r="A511" s="275">
        <v>4</v>
      </c>
      <c r="B511" s="302" t="s">
        <v>47</v>
      </c>
      <c r="C511" s="271"/>
      <c r="D511" s="424"/>
      <c r="E511" s="295"/>
      <c r="F511" s="270"/>
      <c r="G511" s="270"/>
    </row>
    <row r="512" spans="1:7" ht="75" outlineLevel="1" x14ac:dyDescent="0.25">
      <c r="A512" s="275"/>
      <c r="B512" s="302" t="s">
        <v>100</v>
      </c>
      <c r="C512" s="273">
        <v>1</v>
      </c>
      <c r="D512" s="424">
        <v>1073</v>
      </c>
      <c r="E512" s="269"/>
      <c r="F512" s="270"/>
      <c r="G512" s="270"/>
    </row>
    <row r="513" spans="1:7" ht="75" outlineLevel="1" x14ac:dyDescent="0.25">
      <c r="A513" s="275"/>
      <c r="B513" s="302" t="s">
        <v>201</v>
      </c>
      <c r="C513" s="273">
        <v>1</v>
      </c>
      <c r="D513" s="424">
        <v>528</v>
      </c>
      <c r="E513" s="269"/>
      <c r="F513" s="270"/>
      <c r="G513" s="270"/>
    </row>
    <row r="514" spans="1:7" ht="30" outlineLevel="1" x14ac:dyDescent="0.25">
      <c r="A514" s="275">
        <v>5</v>
      </c>
      <c r="B514" s="299" t="s">
        <v>52</v>
      </c>
      <c r="C514" s="278">
        <v>100</v>
      </c>
      <c r="D514" s="424">
        <v>944</v>
      </c>
      <c r="E514" s="295"/>
      <c r="F514" s="270"/>
      <c r="G514" s="270"/>
    </row>
    <row r="515" spans="1:7" ht="45" outlineLevel="1" x14ac:dyDescent="0.25">
      <c r="A515" s="275">
        <v>6</v>
      </c>
      <c r="B515" s="299" t="s">
        <v>214</v>
      </c>
      <c r="C515" s="323">
        <v>1</v>
      </c>
      <c r="D515" s="424">
        <v>6</v>
      </c>
      <c r="E515" s="295"/>
      <c r="F515" s="270"/>
      <c r="G515" s="270"/>
    </row>
    <row r="516" spans="1:7" ht="105" outlineLevel="1" x14ac:dyDescent="0.25">
      <c r="A516" s="275">
        <v>7</v>
      </c>
      <c r="B516" s="299" t="s">
        <v>215</v>
      </c>
      <c r="C516" s="323">
        <v>1</v>
      </c>
      <c r="D516" s="424">
        <v>48</v>
      </c>
      <c r="E516" s="298"/>
      <c r="F516" s="270"/>
      <c r="G516" s="270"/>
    </row>
    <row r="517" spans="1:7" ht="30" outlineLevel="1" x14ac:dyDescent="0.25">
      <c r="A517" s="308">
        <v>8</v>
      </c>
      <c r="B517" s="309" t="s">
        <v>65</v>
      </c>
      <c r="C517" s="273">
        <v>1000</v>
      </c>
      <c r="D517" s="424">
        <v>5400</v>
      </c>
      <c r="E517" s="295"/>
      <c r="F517" s="270"/>
      <c r="G517" s="270"/>
    </row>
    <row r="518" spans="1:7" ht="24" customHeight="1" outlineLevel="1" x14ac:dyDescent="0.25">
      <c r="A518" s="275">
        <v>9</v>
      </c>
      <c r="B518" s="299" t="s">
        <v>66</v>
      </c>
      <c r="C518" s="273">
        <v>1000</v>
      </c>
      <c r="D518" s="424">
        <v>5400</v>
      </c>
      <c r="E518" s="298"/>
      <c r="F518" s="270"/>
      <c r="G518" s="270"/>
    </row>
    <row r="519" spans="1:7" ht="75.75" outlineLevel="1" x14ac:dyDescent="0.25">
      <c r="A519" s="275">
        <v>10</v>
      </c>
      <c r="B519" s="299" t="s">
        <v>40</v>
      </c>
      <c r="C519" s="276"/>
      <c r="D519" s="424"/>
      <c r="E519" s="298"/>
      <c r="F519" s="270"/>
      <c r="G519" s="270"/>
    </row>
    <row r="520" spans="1:7" outlineLevel="1" x14ac:dyDescent="0.25">
      <c r="A520" s="275" t="s">
        <v>67</v>
      </c>
      <c r="B520" s="299" t="s">
        <v>68</v>
      </c>
      <c r="C520" s="273">
        <v>100</v>
      </c>
      <c r="D520" s="424">
        <v>126.72</v>
      </c>
      <c r="E520" s="298"/>
      <c r="F520" s="270"/>
      <c r="G520" s="270"/>
    </row>
    <row r="521" spans="1:7" outlineLevel="1" x14ac:dyDescent="0.25">
      <c r="A521" s="275" t="s">
        <v>41</v>
      </c>
      <c r="B521" s="299" t="s">
        <v>69</v>
      </c>
      <c r="C521" s="273">
        <v>100</v>
      </c>
      <c r="D521" s="424">
        <v>1344.84</v>
      </c>
      <c r="E521" s="298"/>
      <c r="F521" s="270"/>
      <c r="G521" s="270"/>
    </row>
    <row r="522" spans="1:7" outlineLevel="1" x14ac:dyDescent="0.25">
      <c r="A522" s="506" t="s">
        <v>73</v>
      </c>
      <c r="B522" s="506"/>
      <c r="C522" s="506"/>
      <c r="D522" s="506"/>
      <c r="E522" s="506"/>
      <c r="F522" s="270"/>
      <c r="G522" s="270"/>
    </row>
    <row r="523" spans="1:7" ht="19.5" outlineLevel="1" x14ac:dyDescent="0.25">
      <c r="A523" s="500" t="s">
        <v>170</v>
      </c>
      <c r="B523" s="500"/>
      <c r="C523" s="500"/>
      <c r="D523" s="500"/>
      <c r="E523" s="500"/>
      <c r="F523" s="500"/>
      <c r="G523" s="500"/>
    </row>
    <row r="524" spans="1:7" ht="75" outlineLevel="1" x14ac:dyDescent="0.25">
      <c r="A524" s="319">
        <v>1</v>
      </c>
      <c r="B524" s="320" t="s">
        <v>216</v>
      </c>
      <c r="C524" s="273">
        <v>1000</v>
      </c>
      <c r="D524" s="422">
        <v>1776</v>
      </c>
      <c r="E524" s="269"/>
      <c r="F524" s="270"/>
      <c r="G524" s="270"/>
    </row>
    <row r="525" spans="1:7" ht="45" outlineLevel="1" x14ac:dyDescent="0.25">
      <c r="A525" s="319">
        <v>2</v>
      </c>
      <c r="B525" s="320" t="s">
        <v>567</v>
      </c>
      <c r="C525" s="273">
        <v>100</v>
      </c>
      <c r="D525" s="422">
        <v>73.5</v>
      </c>
      <c r="E525" s="321"/>
      <c r="F525" s="270"/>
      <c r="G525" s="270"/>
    </row>
    <row r="526" spans="1:7" ht="45" outlineLevel="1" x14ac:dyDescent="0.25">
      <c r="A526" s="319">
        <v>3</v>
      </c>
      <c r="B526" s="320" t="s">
        <v>566</v>
      </c>
      <c r="C526" s="273">
        <v>100</v>
      </c>
      <c r="D526" s="422">
        <v>2414.0700000000002</v>
      </c>
      <c r="E526" s="269"/>
      <c r="F526" s="270"/>
      <c r="G526" s="270"/>
    </row>
    <row r="527" spans="1:7" ht="75" outlineLevel="1" x14ac:dyDescent="0.25">
      <c r="A527" s="319">
        <v>4</v>
      </c>
      <c r="B527" s="320" t="s">
        <v>565</v>
      </c>
      <c r="C527" s="303">
        <v>100</v>
      </c>
      <c r="D527" s="422">
        <v>61090.960000000006</v>
      </c>
      <c r="E527" s="304"/>
      <c r="F527" s="270"/>
      <c r="G527" s="270"/>
    </row>
    <row r="528" spans="1:7" ht="129.75" customHeight="1" outlineLevel="1" x14ac:dyDescent="0.25">
      <c r="A528" s="319">
        <v>5</v>
      </c>
      <c r="B528" s="320" t="s">
        <v>99</v>
      </c>
      <c r="C528" s="322"/>
      <c r="D528" s="422"/>
      <c r="E528" s="321"/>
      <c r="F528" s="270"/>
      <c r="G528" s="270"/>
    </row>
    <row r="529" spans="1:7" ht="60" outlineLevel="1" x14ac:dyDescent="0.25">
      <c r="A529" s="319" t="s">
        <v>48</v>
      </c>
      <c r="B529" s="320" t="s">
        <v>563</v>
      </c>
      <c r="C529" s="273">
        <v>1</v>
      </c>
      <c r="D529" s="422">
        <v>13743.270000000002</v>
      </c>
      <c r="E529" s="269"/>
      <c r="F529" s="270"/>
      <c r="G529" s="270"/>
    </row>
    <row r="530" spans="1:7" ht="75" outlineLevel="1" x14ac:dyDescent="0.25">
      <c r="A530" s="319" t="s">
        <v>50</v>
      </c>
      <c r="B530" s="320" t="s">
        <v>564</v>
      </c>
      <c r="C530" s="273">
        <v>1</v>
      </c>
      <c r="D530" s="422">
        <v>192</v>
      </c>
      <c r="E530" s="269"/>
      <c r="F530" s="270"/>
      <c r="G530" s="270"/>
    </row>
    <row r="531" spans="1:7" ht="26.25" customHeight="1" outlineLevel="1" x14ac:dyDescent="0.25">
      <c r="A531" s="319">
        <v>6</v>
      </c>
      <c r="B531" s="320" t="s">
        <v>101</v>
      </c>
      <c r="C531" s="323">
        <v>1</v>
      </c>
      <c r="D531" s="422">
        <v>30</v>
      </c>
      <c r="E531" s="321"/>
      <c r="F531" s="270"/>
      <c r="G531" s="270"/>
    </row>
    <row r="532" spans="1:7" ht="45" outlineLevel="1" x14ac:dyDescent="0.25">
      <c r="A532" s="319">
        <v>7</v>
      </c>
      <c r="B532" s="320" t="s">
        <v>218</v>
      </c>
      <c r="C532" s="322" t="s">
        <v>219</v>
      </c>
      <c r="D532" s="422">
        <v>304.64</v>
      </c>
      <c r="E532" s="321"/>
      <c r="F532" s="270"/>
      <c r="G532" s="270"/>
    </row>
    <row r="533" spans="1:7" ht="30" outlineLevel="1" x14ac:dyDescent="0.25">
      <c r="A533" s="319">
        <v>8</v>
      </c>
      <c r="B533" s="320" t="s">
        <v>102</v>
      </c>
      <c r="C533" s="273">
        <v>1000</v>
      </c>
      <c r="D533" s="422">
        <v>30345</v>
      </c>
      <c r="E533" s="321"/>
      <c r="F533" s="270"/>
      <c r="G533" s="270"/>
    </row>
    <row r="534" spans="1:7" ht="30" outlineLevel="1" x14ac:dyDescent="0.25">
      <c r="A534" s="319">
        <v>9</v>
      </c>
      <c r="B534" s="302" t="s">
        <v>103</v>
      </c>
      <c r="C534" s="273">
        <v>100</v>
      </c>
      <c r="D534" s="422">
        <v>5976</v>
      </c>
      <c r="E534" s="295"/>
      <c r="F534" s="270"/>
      <c r="G534" s="270"/>
    </row>
    <row r="535" spans="1:7" ht="105" outlineLevel="1" x14ac:dyDescent="0.25">
      <c r="A535" s="319">
        <v>10</v>
      </c>
      <c r="B535" s="302" t="s">
        <v>104</v>
      </c>
      <c r="C535" s="323">
        <v>1</v>
      </c>
      <c r="D535" s="422">
        <v>320</v>
      </c>
      <c r="E535" s="295"/>
      <c r="F535" s="270"/>
      <c r="G535" s="270"/>
    </row>
    <row r="536" spans="1:7" ht="22.5" customHeight="1" outlineLevel="1" x14ac:dyDescent="0.25">
      <c r="A536" s="319">
        <v>11</v>
      </c>
      <c r="B536" s="320" t="s">
        <v>220</v>
      </c>
      <c r="C536" s="273">
        <v>100</v>
      </c>
      <c r="D536" s="422">
        <v>2100</v>
      </c>
      <c r="E536" s="298"/>
      <c r="F536" s="270"/>
      <c r="G536" s="270"/>
    </row>
    <row r="537" spans="1:7" ht="22.5" customHeight="1" outlineLevel="1" x14ac:dyDescent="0.25">
      <c r="A537" s="319">
        <v>12</v>
      </c>
      <c r="B537" s="320" t="s">
        <v>221</v>
      </c>
      <c r="C537" s="273">
        <v>100</v>
      </c>
      <c r="D537" s="422">
        <v>2100</v>
      </c>
      <c r="E537" s="298"/>
      <c r="F537" s="270"/>
      <c r="G537" s="270"/>
    </row>
    <row r="538" spans="1:7" ht="105" outlineLevel="1" x14ac:dyDescent="0.25">
      <c r="A538" s="308">
        <v>13</v>
      </c>
      <c r="B538" s="320" t="s">
        <v>222</v>
      </c>
      <c r="C538" s="278">
        <v>100</v>
      </c>
      <c r="D538" s="422">
        <v>2800</v>
      </c>
      <c r="E538" s="341"/>
      <c r="F538" s="270"/>
      <c r="G538" s="270"/>
    </row>
    <row r="539" spans="1:7" ht="45" outlineLevel="1" x14ac:dyDescent="0.25">
      <c r="A539" s="319">
        <v>14</v>
      </c>
      <c r="B539" s="324" t="s">
        <v>105</v>
      </c>
      <c r="C539" s="273">
        <v>100</v>
      </c>
      <c r="D539" s="422">
        <v>11823.77</v>
      </c>
      <c r="E539" s="325"/>
      <c r="F539" s="270"/>
      <c r="G539" s="270"/>
    </row>
    <row r="540" spans="1:7" ht="21" customHeight="1" outlineLevel="1" x14ac:dyDescent="0.25">
      <c r="A540" s="319">
        <v>15</v>
      </c>
      <c r="B540" s="324" t="s">
        <v>106</v>
      </c>
      <c r="C540" s="303">
        <v>1</v>
      </c>
      <c r="D540" s="424">
        <v>-23647.54</v>
      </c>
      <c r="E540" s="304"/>
      <c r="F540" s="270"/>
      <c r="G540" s="270"/>
    </row>
    <row r="541" spans="1:7" outlineLevel="1" x14ac:dyDescent="0.25">
      <c r="A541" s="519" t="s">
        <v>223</v>
      </c>
      <c r="B541" s="519"/>
      <c r="C541" s="519"/>
      <c r="D541" s="519"/>
      <c r="E541" s="519"/>
      <c r="F541" s="270"/>
      <c r="G541" s="270"/>
    </row>
    <row r="542" spans="1:7" ht="19.5" outlineLevel="1" x14ac:dyDescent="0.25">
      <c r="A542" s="500" t="s">
        <v>224</v>
      </c>
      <c r="B542" s="500"/>
      <c r="C542" s="500"/>
      <c r="D542" s="500"/>
      <c r="E542" s="500"/>
      <c r="F542" s="500"/>
      <c r="G542" s="500"/>
    </row>
    <row r="543" spans="1:7" ht="75" outlineLevel="1" x14ac:dyDescent="0.25">
      <c r="A543" s="293">
        <v>1</v>
      </c>
      <c r="B543" s="299" t="s">
        <v>45</v>
      </c>
      <c r="C543" s="273">
        <v>1000</v>
      </c>
      <c r="D543" s="424">
        <v>60639.351906000011</v>
      </c>
      <c r="E543" s="269"/>
      <c r="F543" s="270"/>
      <c r="G543" s="270"/>
    </row>
    <row r="544" spans="1:7" ht="22.5" customHeight="1" outlineLevel="1" x14ac:dyDescent="0.25">
      <c r="A544" s="293">
        <v>2</v>
      </c>
      <c r="B544" s="299" t="s">
        <v>75</v>
      </c>
      <c r="C544" s="273">
        <v>1000</v>
      </c>
      <c r="D544" s="424">
        <v>60639.351906000011</v>
      </c>
      <c r="E544" s="269"/>
      <c r="F544" s="270"/>
      <c r="G544" s="270"/>
    </row>
    <row r="545" spans="1:7" ht="45" outlineLevel="1" x14ac:dyDescent="0.25">
      <c r="A545" s="275"/>
      <c r="B545" s="302" t="s">
        <v>23</v>
      </c>
      <c r="C545" s="271"/>
      <c r="D545" s="424"/>
      <c r="E545" s="295"/>
      <c r="F545" s="270"/>
      <c r="G545" s="270"/>
    </row>
    <row r="546" spans="1:7" outlineLevel="1" x14ac:dyDescent="0.25">
      <c r="A546" s="275">
        <v>3</v>
      </c>
      <c r="B546" s="299" t="s">
        <v>24</v>
      </c>
      <c r="C546" s="273">
        <v>100</v>
      </c>
      <c r="D546" s="424">
        <v>2087.743125</v>
      </c>
      <c r="E546" s="269"/>
      <c r="F546" s="270"/>
      <c r="G546" s="270"/>
    </row>
    <row r="547" spans="1:7" outlineLevel="1" x14ac:dyDescent="0.25">
      <c r="A547" s="275">
        <v>4</v>
      </c>
      <c r="B547" s="299" t="s">
        <v>125</v>
      </c>
      <c r="C547" s="273">
        <v>100</v>
      </c>
      <c r="D547" s="424">
        <v>1164.376</v>
      </c>
      <c r="E547" s="269"/>
      <c r="F547" s="270"/>
      <c r="G547" s="270"/>
    </row>
    <row r="548" spans="1:7" ht="90" outlineLevel="1" x14ac:dyDescent="0.25">
      <c r="A548" s="275">
        <v>5</v>
      </c>
      <c r="B548" s="299" t="s">
        <v>225</v>
      </c>
      <c r="C548" s="303">
        <v>100</v>
      </c>
      <c r="D548" s="424">
        <v>117054.46856250001</v>
      </c>
      <c r="E548" s="304"/>
      <c r="F548" s="270"/>
      <c r="G548" s="270"/>
    </row>
    <row r="549" spans="1:7" ht="126" customHeight="1" outlineLevel="1" x14ac:dyDescent="0.25">
      <c r="A549" s="275"/>
      <c r="B549" s="342" t="s">
        <v>47</v>
      </c>
      <c r="C549" s="271"/>
      <c r="D549" s="424"/>
      <c r="E549" s="295"/>
      <c r="F549" s="270"/>
      <c r="G549" s="270"/>
    </row>
    <row r="550" spans="1:7" ht="60" outlineLevel="1" x14ac:dyDescent="0.25">
      <c r="A550" s="275">
        <v>6</v>
      </c>
      <c r="B550" s="302" t="s">
        <v>205</v>
      </c>
      <c r="C550" s="273">
        <v>1</v>
      </c>
      <c r="D550" s="424">
        <v>16160.050625000002</v>
      </c>
      <c r="E550" s="269"/>
      <c r="F550" s="270"/>
      <c r="G550" s="270"/>
    </row>
    <row r="551" spans="1:7" ht="62.25" customHeight="1" outlineLevel="1" x14ac:dyDescent="0.25">
      <c r="A551" s="275">
        <v>7</v>
      </c>
      <c r="B551" s="343" t="s">
        <v>205</v>
      </c>
      <c r="C551" s="273">
        <v>1</v>
      </c>
      <c r="D551" s="424">
        <v>9852.0535</v>
      </c>
      <c r="E551" s="269"/>
      <c r="F551" s="270"/>
      <c r="G551" s="270"/>
    </row>
    <row r="552" spans="1:7" ht="37.5" customHeight="1" outlineLevel="1" x14ac:dyDescent="0.25">
      <c r="A552" s="275">
        <v>8</v>
      </c>
      <c r="B552" s="299" t="s">
        <v>52</v>
      </c>
      <c r="C552" s="278">
        <v>100</v>
      </c>
      <c r="D552" s="424">
        <v>6041.9129999999996</v>
      </c>
      <c r="E552" s="295"/>
      <c r="F552" s="270"/>
      <c r="G552" s="270"/>
    </row>
    <row r="553" spans="1:7" ht="75" outlineLevel="1" x14ac:dyDescent="0.25">
      <c r="A553" s="275">
        <v>9</v>
      </c>
      <c r="B553" s="299" t="s">
        <v>226</v>
      </c>
      <c r="C553" s="278">
        <v>100</v>
      </c>
      <c r="D553" s="424">
        <v>1758.1539000000002</v>
      </c>
      <c r="E553" s="269"/>
      <c r="F553" s="270"/>
      <c r="G553" s="270"/>
    </row>
    <row r="554" spans="1:7" ht="30" outlineLevel="1" x14ac:dyDescent="0.25">
      <c r="A554" s="275">
        <v>10</v>
      </c>
      <c r="B554" s="302" t="s">
        <v>121</v>
      </c>
      <c r="C554" s="278">
        <v>1</v>
      </c>
      <c r="D554" s="424">
        <v>1758.1539000000002</v>
      </c>
      <c r="E554" s="269"/>
      <c r="F554" s="270"/>
      <c r="G554" s="270"/>
    </row>
    <row r="555" spans="1:7" ht="45" outlineLevel="1" x14ac:dyDescent="0.25">
      <c r="A555" s="275">
        <v>11</v>
      </c>
      <c r="B555" s="302" t="s">
        <v>129</v>
      </c>
      <c r="C555" s="323">
        <v>1</v>
      </c>
      <c r="D555" s="424">
        <v>144</v>
      </c>
      <c r="E555" s="295"/>
      <c r="F555" s="270"/>
      <c r="G555" s="270"/>
    </row>
    <row r="556" spans="1:7" ht="30" outlineLevel="1" x14ac:dyDescent="0.25">
      <c r="A556" s="275">
        <v>12</v>
      </c>
      <c r="B556" s="302" t="s">
        <v>130</v>
      </c>
      <c r="C556" s="328">
        <v>1</v>
      </c>
      <c r="D556" s="424">
        <v>12</v>
      </c>
      <c r="E556" s="295"/>
      <c r="F556" s="270"/>
      <c r="G556" s="270"/>
    </row>
    <row r="557" spans="1:7" ht="24" customHeight="1" outlineLevel="1" x14ac:dyDescent="0.25">
      <c r="A557" s="275">
        <v>13</v>
      </c>
      <c r="B557" s="302" t="s">
        <v>131</v>
      </c>
      <c r="C557" s="328">
        <v>1</v>
      </c>
      <c r="D557" s="424">
        <v>6</v>
      </c>
      <c r="E557" s="295"/>
      <c r="F557" s="270"/>
      <c r="G557" s="270"/>
    </row>
    <row r="558" spans="1:7" ht="180" outlineLevel="1" x14ac:dyDescent="0.25">
      <c r="A558" s="275">
        <v>14</v>
      </c>
      <c r="B558" s="299" t="s">
        <v>271</v>
      </c>
      <c r="C558" s="278">
        <v>1</v>
      </c>
      <c r="D558" s="424">
        <v>607.91999999999996</v>
      </c>
      <c r="E558" s="269"/>
      <c r="F558" s="270"/>
      <c r="G558" s="270"/>
    </row>
    <row r="559" spans="1:7" ht="45" outlineLevel="1" x14ac:dyDescent="0.25">
      <c r="A559" s="275">
        <v>15</v>
      </c>
      <c r="B559" s="299" t="s">
        <v>228</v>
      </c>
      <c r="C559" s="278">
        <v>1</v>
      </c>
      <c r="D559" s="424">
        <v>196</v>
      </c>
      <c r="E559" s="269"/>
      <c r="F559" s="270"/>
      <c r="G559" s="270"/>
    </row>
    <row r="560" spans="1:7" ht="23.25" customHeight="1" outlineLevel="1" x14ac:dyDescent="0.25">
      <c r="A560" s="275">
        <v>16</v>
      </c>
      <c r="B560" s="302" t="s">
        <v>229</v>
      </c>
      <c r="C560" s="278">
        <v>100</v>
      </c>
      <c r="D560" s="424">
        <v>5921.9459999999999</v>
      </c>
      <c r="E560" s="295"/>
      <c r="F560" s="270"/>
      <c r="G560" s="270"/>
    </row>
    <row r="561" spans="1:7" ht="45" outlineLevel="1" x14ac:dyDescent="0.25">
      <c r="A561" s="275">
        <v>17</v>
      </c>
      <c r="B561" s="302" t="s">
        <v>133</v>
      </c>
      <c r="C561" s="278">
        <v>100</v>
      </c>
      <c r="D561" s="424">
        <v>5354.9950000000008</v>
      </c>
      <c r="E561" s="295"/>
      <c r="F561" s="270"/>
      <c r="G561" s="270"/>
    </row>
    <row r="562" spans="1:7" ht="30" outlineLevel="1" x14ac:dyDescent="0.25">
      <c r="A562" s="275">
        <v>18</v>
      </c>
      <c r="B562" s="302" t="s">
        <v>134</v>
      </c>
      <c r="C562" s="278">
        <v>100</v>
      </c>
      <c r="D562" s="424">
        <v>356</v>
      </c>
      <c r="E562" s="295"/>
      <c r="F562" s="270"/>
      <c r="G562" s="270"/>
    </row>
    <row r="563" spans="1:7" ht="45" outlineLevel="1" x14ac:dyDescent="0.25">
      <c r="A563" s="275">
        <v>19</v>
      </c>
      <c r="B563" s="299" t="s">
        <v>230</v>
      </c>
      <c r="C563" s="328">
        <v>1</v>
      </c>
      <c r="D563" s="424">
        <v>99</v>
      </c>
      <c r="E563" s="295"/>
      <c r="F563" s="270"/>
      <c r="G563" s="270"/>
    </row>
    <row r="564" spans="1:7" ht="25.5" customHeight="1" outlineLevel="1" x14ac:dyDescent="0.25">
      <c r="A564" s="275">
        <v>21</v>
      </c>
      <c r="B564" s="299" t="s">
        <v>231</v>
      </c>
      <c r="C564" s="278">
        <v>1</v>
      </c>
      <c r="D564" s="424">
        <v>1368</v>
      </c>
      <c r="E564" s="295"/>
      <c r="F564" s="270"/>
      <c r="G564" s="270"/>
    </row>
    <row r="565" spans="1:7" ht="75" outlineLevel="1" x14ac:dyDescent="0.25">
      <c r="A565" s="275">
        <v>22</v>
      </c>
      <c r="B565" s="299" t="s">
        <v>232</v>
      </c>
      <c r="C565" s="278">
        <v>1</v>
      </c>
      <c r="D565" s="424">
        <v>2738.75</v>
      </c>
      <c r="E565" s="295"/>
      <c r="F565" s="270"/>
      <c r="G565" s="270"/>
    </row>
    <row r="566" spans="1:7" ht="30" outlineLevel="1" x14ac:dyDescent="0.25">
      <c r="A566" s="275">
        <v>23</v>
      </c>
      <c r="B566" s="343" t="s">
        <v>233</v>
      </c>
      <c r="C566" s="273">
        <v>100</v>
      </c>
      <c r="D566" s="424">
        <v>738.42</v>
      </c>
      <c r="E566" s="295"/>
      <c r="F566" s="270"/>
      <c r="G566" s="270"/>
    </row>
    <row r="567" spans="1:7" ht="82.5" customHeight="1" outlineLevel="1" x14ac:dyDescent="0.25">
      <c r="A567" s="275">
        <v>24</v>
      </c>
      <c r="B567" s="343" t="s">
        <v>568</v>
      </c>
      <c r="C567" s="278">
        <v>100</v>
      </c>
      <c r="D567" s="424">
        <v>1758.1539000000002</v>
      </c>
      <c r="E567" s="295"/>
      <c r="F567" s="270"/>
      <c r="G567" s="270"/>
    </row>
    <row r="568" spans="1:7" ht="75" outlineLevel="1" x14ac:dyDescent="0.25">
      <c r="A568" s="275">
        <v>25</v>
      </c>
      <c r="B568" s="299" t="s">
        <v>235</v>
      </c>
      <c r="C568" s="278">
        <v>100</v>
      </c>
      <c r="D568" s="424">
        <v>112.84</v>
      </c>
      <c r="E568" s="295"/>
      <c r="F568" s="270"/>
      <c r="G568" s="270"/>
    </row>
    <row r="569" spans="1:7" ht="45" outlineLevel="1" x14ac:dyDescent="0.25">
      <c r="A569" s="275">
        <v>26</v>
      </c>
      <c r="B569" s="299" t="s">
        <v>569</v>
      </c>
      <c r="C569" s="323">
        <v>1</v>
      </c>
      <c r="D569" s="424">
        <v>900.26</v>
      </c>
      <c r="E569" s="295"/>
      <c r="F569" s="270"/>
      <c r="G569" s="270"/>
    </row>
    <row r="570" spans="1:7" ht="50.25" customHeight="1" outlineLevel="1" x14ac:dyDescent="0.25">
      <c r="A570" s="275">
        <v>27</v>
      </c>
      <c r="B570" s="313" t="s">
        <v>80</v>
      </c>
      <c r="C570" s="323">
        <v>1</v>
      </c>
      <c r="D570" s="424">
        <v>473.5</v>
      </c>
      <c r="E570" s="270"/>
      <c r="F570" s="270"/>
      <c r="G570" s="270"/>
    </row>
    <row r="571" spans="1:7" ht="45" outlineLevel="1" x14ac:dyDescent="0.25">
      <c r="A571" s="275">
        <v>28</v>
      </c>
      <c r="B571" s="302" t="s">
        <v>136</v>
      </c>
      <c r="C571" s="271"/>
      <c r="D571" s="424"/>
      <c r="E571" s="295"/>
      <c r="F571" s="270"/>
      <c r="G571" s="270"/>
    </row>
    <row r="572" spans="1:7" outlineLevel="1" x14ac:dyDescent="0.25">
      <c r="A572" s="275"/>
      <c r="B572" s="302" t="s">
        <v>176</v>
      </c>
      <c r="C572" s="323">
        <v>1</v>
      </c>
      <c r="D572" s="424">
        <v>500</v>
      </c>
      <c r="E572" s="295"/>
      <c r="F572" s="270"/>
      <c r="G572" s="270"/>
    </row>
    <row r="573" spans="1:7" outlineLevel="1" x14ac:dyDescent="0.25">
      <c r="A573" s="275"/>
      <c r="B573" s="302" t="s">
        <v>177</v>
      </c>
      <c r="C573" s="323">
        <v>1</v>
      </c>
      <c r="D573" s="424">
        <v>300</v>
      </c>
      <c r="E573" s="295"/>
      <c r="F573" s="270"/>
      <c r="G573" s="270"/>
    </row>
    <row r="574" spans="1:7" ht="75" outlineLevel="1" x14ac:dyDescent="0.25">
      <c r="A574" s="275">
        <v>29</v>
      </c>
      <c r="B574" s="302" t="s">
        <v>141</v>
      </c>
      <c r="C574" s="271"/>
      <c r="D574" s="424"/>
      <c r="E574" s="295"/>
      <c r="F574" s="270"/>
      <c r="G574" s="270"/>
    </row>
    <row r="575" spans="1:7" outlineLevel="1" x14ac:dyDescent="0.25">
      <c r="A575" s="275"/>
      <c r="B575" s="302" t="s">
        <v>180</v>
      </c>
      <c r="C575" s="323">
        <v>1</v>
      </c>
      <c r="D575" s="424">
        <v>1000</v>
      </c>
      <c r="E575" s="295"/>
      <c r="F575" s="270"/>
      <c r="G575" s="270"/>
    </row>
    <row r="576" spans="1:7" outlineLevel="1" x14ac:dyDescent="0.25">
      <c r="A576" s="275"/>
      <c r="B576" s="302" t="s">
        <v>181</v>
      </c>
      <c r="C576" s="323">
        <v>1</v>
      </c>
      <c r="D576" s="424">
        <v>500</v>
      </c>
      <c r="E576" s="295"/>
      <c r="F576" s="270"/>
      <c r="G576" s="270"/>
    </row>
    <row r="577" spans="1:7" ht="60" outlineLevel="1" x14ac:dyDescent="0.25">
      <c r="A577" s="275">
        <v>30</v>
      </c>
      <c r="B577" s="302" t="s">
        <v>145</v>
      </c>
      <c r="C577" s="271"/>
      <c r="D577" s="424"/>
      <c r="E577" s="295"/>
      <c r="F577" s="270"/>
      <c r="G577" s="270"/>
    </row>
    <row r="578" spans="1:7" outlineLevel="1" x14ac:dyDescent="0.25">
      <c r="A578" s="275"/>
      <c r="B578" s="302" t="s">
        <v>184</v>
      </c>
      <c r="C578" s="329">
        <v>1</v>
      </c>
      <c r="D578" s="424">
        <v>10</v>
      </c>
      <c r="E578" s="295"/>
      <c r="F578" s="270"/>
      <c r="G578" s="270"/>
    </row>
    <row r="579" spans="1:7" ht="20.25" customHeight="1" outlineLevel="1" x14ac:dyDescent="0.25">
      <c r="A579" s="275">
        <v>31</v>
      </c>
      <c r="B579" s="302" t="s">
        <v>237</v>
      </c>
      <c r="C579" s="329">
        <v>1</v>
      </c>
      <c r="D579" s="424">
        <v>50</v>
      </c>
      <c r="E579" s="295"/>
      <c r="F579" s="270"/>
      <c r="G579" s="270"/>
    </row>
    <row r="580" spans="1:7" ht="30" outlineLevel="1" x14ac:dyDescent="0.25">
      <c r="A580" s="275">
        <v>32</v>
      </c>
      <c r="B580" s="302" t="s">
        <v>238</v>
      </c>
      <c r="C580" s="329">
        <v>1</v>
      </c>
      <c r="D580" s="424">
        <v>15</v>
      </c>
      <c r="E580" s="295"/>
      <c r="F580" s="270"/>
      <c r="G580" s="270"/>
    </row>
    <row r="581" spans="1:7" ht="21.75" customHeight="1" outlineLevel="1" x14ac:dyDescent="0.25">
      <c r="A581" s="275">
        <v>33</v>
      </c>
      <c r="B581" s="302" t="s">
        <v>150</v>
      </c>
      <c r="C581" s="329">
        <v>1</v>
      </c>
      <c r="D581" s="424">
        <v>15</v>
      </c>
      <c r="E581" s="295"/>
      <c r="F581" s="270"/>
      <c r="G581" s="270"/>
    </row>
    <row r="582" spans="1:7" ht="90.75" outlineLevel="1" x14ac:dyDescent="0.25">
      <c r="A582" s="275">
        <v>34</v>
      </c>
      <c r="B582" s="302" t="s">
        <v>239</v>
      </c>
      <c r="C582" s="328">
        <v>1</v>
      </c>
      <c r="D582" s="424">
        <v>1</v>
      </c>
      <c r="E582" s="295"/>
      <c r="F582" s="270"/>
      <c r="G582" s="270"/>
    </row>
    <row r="583" spans="1:7" ht="90.75" outlineLevel="1" x14ac:dyDescent="0.25">
      <c r="A583" s="275">
        <v>35</v>
      </c>
      <c r="B583" s="302" t="s">
        <v>240</v>
      </c>
      <c r="C583" s="328">
        <v>1</v>
      </c>
      <c r="D583" s="424">
        <v>10</v>
      </c>
      <c r="E583" s="295"/>
      <c r="F583" s="270"/>
      <c r="G583" s="270"/>
    </row>
    <row r="584" spans="1:7" ht="60" outlineLevel="1" x14ac:dyDescent="0.25">
      <c r="A584" s="275">
        <v>36</v>
      </c>
      <c r="B584" s="299" t="s">
        <v>241</v>
      </c>
      <c r="C584" s="329">
        <v>1</v>
      </c>
      <c r="D584" s="424">
        <v>10</v>
      </c>
      <c r="E584" s="295"/>
      <c r="F584" s="270"/>
      <c r="G584" s="270"/>
    </row>
    <row r="585" spans="1:7" ht="60" outlineLevel="1" x14ac:dyDescent="0.25">
      <c r="A585" s="275">
        <v>37</v>
      </c>
      <c r="B585" s="302" t="s">
        <v>157</v>
      </c>
      <c r="C585" s="328">
        <v>1</v>
      </c>
      <c r="D585" s="424">
        <v>15</v>
      </c>
      <c r="E585" s="295"/>
      <c r="F585" s="270"/>
      <c r="G585" s="270"/>
    </row>
    <row r="586" spans="1:7" outlineLevel="1" x14ac:dyDescent="0.25">
      <c r="A586" s="275"/>
      <c r="B586" s="344" t="s">
        <v>242</v>
      </c>
      <c r="C586" s="345"/>
      <c r="D586" s="424"/>
      <c r="E586" s="295"/>
      <c r="F586" s="270"/>
      <c r="G586" s="270"/>
    </row>
    <row r="587" spans="1:7" ht="47.25" customHeight="1" outlineLevel="1" x14ac:dyDescent="0.25">
      <c r="A587" s="275">
        <v>38</v>
      </c>
      <c r="B587" s="299" t="s">
        <v>85</v>
      </c>
      <c r="C587" s="273">
        <v>1000</v>
      </c>
      <c r="D587" s="424">
        <v>275894.18</v>
      </c>
      <c r="E587" s="269"/>
      <c r="F587" s="270"/>
      <c r="G587" s="270"/>
    </row>
    <row r="588" spans="1:7" ht="45" outlineLevel="1" x14ac:dyDescent="0.25">
      <c r="A588" s="275">
        <v>39</v>
      </c>
      <c r="B588" s="317" t="s">
        <v>243</v>
      </c>
      <c r="C588" s="273">
        <v>100</v>
      </c>
      <c r="D588" s="424">
        <v>10945.44</v>
      </c>
      <c r="E588" s="295"/>
      <c r="F588" s="270"/>
      <c r="G588" s="270"/>
    </row>
    <row r="589" spans="1:7" ht="21.75" customHeight="1" outlineLevel="1" x14ac:dyDescent="0.25">
      <c r="A589" s="275">
        <v>40</v>
      </c>
      <c r="B589" s="317" t="s">
        <v>87</v>
      </c>
      <c r="C589" s="278">
        <v>100</v>
      </c>
      <c r="D589" s="424">
        <v>6058.7160000000003</v>
      </c>
      <c r="E589" s="295"/>
      <c r="F589" s="270"/>
      <c r="G589" s="270"/>
    </row>
    <row r="590" spans="1:7" ht="21.75" customHeight="1" outlineLevel="1" x14ac:dyDescent="0.25">
      <c r="A590" s="275">
        <v>41</v>
      </c>
      <c r="B590" s="317" t="s">
        <v>88</v>
      </c>
      <c r="C590" s="278">
        <v>100</v>
      </c>
      <c r="D590" s="424">
        <v>594.66</v>
      </c>
      <c r="E590" s="295"/>
      <c r="F590" s="270"/>
      <c r="G590" s="270"/>
    </row>
    <row r="591" spans="1:7" ht="30" outlineLevel="1" x14ac:dyDescent="0.25">
      <c r="A591" s="275">
        <v>42</v>
      </c>
      <c r="B591" s="299" t="s">
        <v>244</v>
      </c>
      <c r="C591" s="273">
        <v>100</v>
      </c>
      <c r="D591" s="424">
        <v>2001.64428</v>
      </c>
      <c r="E591" s="295"/>
      <c r="F591" s="270"/>
      <c r="G591" s="270"/>
    </row>
    <row r="592" spans="1:7" ht="30" outlineLevel="1" x14ac:dyDescent="0.25">
      <c r="A592" s="275">
        <v>43</v>
      </c>
      <c r="B592" s="299" t="s">
        <v>245</v>
      </c>
      <c r="C592" s="273">
        <v>100</v>
      </c>
      <c r="D592" s="424">
        <v>2001.64428</v>
      </c>
      <c r="E592" s="295"/>
      <c r="F592" s="270"/>
      <c r="G592" s="270"/>
    </row>
    <row r="593" spans="1:7" ht="30" outlineLevel="1" x14ac:dyDescent="0.25">
      <c r="A593" s="275">
        <v>44</v>
      </c>
      <c r="B593" s="299" t="s">
        <v>246</v>
      </c>
      <c r="C593" s="273">
        <v>100</v>
      </c>
      <c r="D593" s="424">
        <v>196.4178</v>
      </c>
      <c r="E593" s="295"/>
      <c r="F593" s="270"/>
      <c r="G593" s="270"/>
    </row>
    <row r="594" spans="1:7" ht="30" outlineLevel="1" x14ac:dyDescent="0.25">
      <c r="A594" s="275">
        <v>45</v>
      </c>
      <c r="B594" s="299" t="s">
        <v>233</v>
      </c>
      <c r="C594" s="273">
        <v>100</v>
      </c>
      <c r="D594" s="424">
        <v>196.4178</v>
      </c>
      <c r="E594" s="295"/>
      <c r="F594" s="270"/>
      <c r="G594" s="270"/>
    </row>
    <row r="595" spans="1:7" ht="30" outlineLevel="1" x14ac:dyDescent="0.25">
      <c r="A595" s="275">
        <v>46</v>
      </c>
      <c r="B595" s="299" t="s">
        <v>247</v>
      </c>
      <c r="C595" s="273">
        <v>100</v>
      </c>
      <c r="D595" s="424">
        <v>6058.72</v>
      </c>
      <c r="E595" s="295"/>
      <c r="F595" s="270"/>
      <c r="G595" s="270"/>
    </row>
    <row r="596" spans="1:7" ht="30" outlineLevel="1" x14ac:dyDescent="0.25">
      <c r="A596" s="275">
        <v>47</v>
      </c>
      <c r="B596" s="299" t="s">
        <v>248</v>
      </c>
      <c r="C596" s="273">
        <v>100</v>
      </c>
      <c r="D596" s="424">
        <v>594.66</v>
      </c>
      <c r="E596" s="295"/>
      <c r="F596" s="270"/>
      <c r="G596" s="270"/>
    </row>
    <row r="597" spans="1:7" ht="60" outlineLevel="1" x14ac:dyDescent="0.25">
      <c r="A597" s="275">
        <v>48</v>
      </c>
      <c r="B597" s="317" t="s">
        <v>249</v>
      </c>
      <c r="C597" s="273">
        <v>100</v>
      </c>
      <c r="D597" s="424">
        <v>47639.451745000006</v>
      </c>
      <c r="E597" s="295"/>
      <c r="F597" s="270"/>
      <c r="G597" s="270"/>
    </row>
    <row r="598" spans="1:7" outlineLevel="1" x14ac:dyDescent="0.25">
      <c r="A598" s="506" t="s">
        <v>43</v>
      </c>
      <c r="B598" s="506"/>
      <c r="C598" s="506"/>
      <c r="D598" s="506"/>
      <c r="E598" s="506"/>
      <c r="F598" s="270"/>
      <c r="G598" s="270"/>
    </row>
    <row r="599" spans="1:7" ht="19.5" outlineLevel="1" x14ac:dyDescent="0.25">
      <c r="A599" s="500" t="s">
        <v>206</v>
      </c>
      <c r="B599" s="500"/>
      <c r="C599" s="500"/>
      <c r="D599" s="500"/>
      <c r="E599" s="500"/>
      <c r="F599" s="500"/>
      <c r="G599" s="500"/>
    </row>
    <row r="600" spans="1:7" ht="75" outlineLevel="1" x14ac:dyDescent="0.25">
      <c r="A600" s="293">
        <v>1</v>
      </c>
      <c r="B600" s="299" t="s">
        <v>108</v>
      </c>
      <c r="C600" s="273">
        <v>1000</v>
      </c>
      <c r="D600" s="424">
        <v>2724.4595415989997</v>
      </c>
      <c r="E600" s="269"/>
      <c r="F600" s="270"/>
      <c r="G600" s="270"/>
    </row>
    <row r="601" spans="1:7" ht="105" outlineLevel="1" x14ac:dyDescent="0.25">
      <c r="A601" s="293">
        <v>2</v>
      </c>
      <c r="B601" s="318" t="s">
        <v>109</v>
      </c>
      <c r="C601" s="278">
        <v>1</v>
      </c>
      <c r="D601" s="424">
        <v>2542.5</v>
      </c>
      <c r="E601" s="295"/>
      <c r="F601" s="270"/>
      <c r="G601" s="270"/>
    </row>
    <row r="602" spans="1:7" ht="45" outlineLevel="1" x14ac:dyDescent="0.25">
      <c r="A602" s="275">
        <v>3</v>
      </c>
      <c r="B602" s="302" t="s">
        <v>23</v>
      </c>
      <c r="C602" s="276"/>
      <c r="D602" s="424"/>
      <c r="E602" s="295"/>
      <c r="F602" s="270"/>
      <c r="G602" s="270"/>
    </row>
    <row r="603" spans="1:7" outlineLevel="1" x14ac:dyDescent="0.25">
      <c r="A603" s="275"/>
      <c r="B603" s="299" t="s">
        <v>24</v>
      </c>
      <c r="C603" s="273">
        <v>100</v>
      </c>
      <c r="D603" s="424">
        <v>528.06222162400002</v>
      </c>
      <c r="E603" s="269"/>
      <c r="F603" s="270"/>
      <c r="G603" s="270"/>
    </row>
    <row r="604" spans="1:7" ht="30" outlineLevel="1" x14ac:dyDescent="0.25">
      <c r="A604" s="275">
        <v>4</v>
      </c>
      <c r="B604" s="302" t="s">
        <v>25</v>
      </c>
      <c r="C604" s="273">
        <v>100</v>
      </c>
      <c r="D604" s="424">
        <v>1575.2</v>
      </c>
      <c r="E604" s="269"/>
      <c r="F604" s="270"/>
      <c r="G604" s="270"/>
    </row>
    <row r="605" spans="1:7" ht="60" outlineLevel="1" x14ac:dyDescent="0.25">
      <c r="A605" s="275">
        <v>5</v>
      </c>
      <c r="B605" s="302" t="s">
        <v>110</v>
      </c>
      <c r="C605" s="278">
        <v>100</v>
      </c>
      <c r="D605" s="424">
        <v>322.5</v>
      </c>
      <c r="E605" s="269"/>
      <c r="F605" s="270"/>
      <c r="G605" s="270"/>
    </row>
    <row r="606" spans="1:7" ht="60" outlineLevel="1" x14ac:dyDescent="0.25">
      <c r="A606" s="275">
        <v>6</v>
      </c>
      <c r="B606" s="299" t="s">
        <v>111</v>
      </c>
      <c r="C606" s="278">
        <v>100</v>
      </c>
      <c r="D606" s="424">
        <v>600</v>
      </c>
      <c r="E606" s="269"/>
      <c r="F606" s="270"/>
      <c r="G606" s="270"/>
    </row>
    <row r="607" spans="1:7" ht="30" outlineLevel="1" x14ac:dyDescent="0.25">
      <c r="A607" s="275">
        <v>7</v>
      </c>
      <c r="B607" s="302" t="s">
        <v>112</v>
      </c>
      <c r="C607" s="273">
        <v>1000</v>
      </c>
      <c r="D607" s="424">
        <v>750</v>
      </c>
      <c r="E607" s="269"/>
      <c r="F607" s="270"/>
      <c r="G607" s="270"/>
    </row>
    <row r="608" spans="1:7" ht="30" outlineLevel="1" x14ac:dyDescent="0.25">
      <c r="A608" s="275">
        <v>8</v>
      </c>
      <c r="B608" s="299" t="s">
        <v>173</v>
      </c>
      <c r="C608" s="273">
        <v>100</v>
      </c>
      <c r="D608" s="424">
        <v>1454.5</v>
      </c>
      <c r="E608" s="269"/>
      <c r="F608" s="270"/>
      <c r="G608" s="270"/>
    </row>
    <row r="609" spans="1:7" ht="120.75" outlineLevel="1" x14ac:dyDescent="0.25">
      <c r="A609" s="505">
        <v>9</v>
      </c>
      <c r="B609" s="302" t="s">
        <v>47</v>
      </c>
      <c r="C609" s="271"/>
      <c r="D609" s="424"/>
      <c r="E609" s="269"/>
      <c r="F609" s="270"/>
      <c r="G609" s="270"/>
    </row>
    <row r="610" spans="1:7" ht="60" outlineLevel="1" x14ac:dyDescent="0.25">
      <c r="A610" s="505"/>
      <c r="B610" s="302" t="s">
        <v>250</v>
      </c>
      <c r="C610" s="273">
        <v>1</v>
      </c>
      <c r="D610" s="424">
        <v>770.82899999999995</v>
      </c>
      <c r="E610" s="269"/>
      <c r="F610" s="270"/>
      <c r="G610" s="270"/>
    </row>
    <row r="611" spans="1:7" ht="75" outlineLevel="1" x14ac:dyDescent="0.25">
      <c r="A611" s="334">
        <v>10</v>
      </c>
      <c r="B611" s="299" t="s">
        <v>251</v>
      </c>
      <c r="C611" s="273">
        <v>1</v>
      </c>
      <c r="D611" s="424">
        <v>92.0390625</v>
      </c>
      <c r="E611" s="269"/>
      <c r="F611" s="270"/>
      <c r="G611" s="270"/>
    </row>
    <row r="612" spans="1:7" ht="90" outlineLevel="1" x14ac:dyDescent="0.25">
      <c r="A612" s="326">
        <v>11</v>
      </c>
      <c r="B612" s="302" t="s">
        <v>116</v>
      </c>
      <c r="C612" s="303">
        <v>100</v>
      </c>
      <c r="D612" s="424">
        <v>5177.2083750000002</v>
      </c>
      <c r="E612" s="269"/>
      <c r="F612" s="270"/>
      <c r="G612" s="270"/>
    </row>
    <row r="613" spans="1:7" ht="180" outlineLevel="1" x14ac:dyDescent="0.25">
      <c r="A613" s="275">
        <v>12</v>
      </c>
      <c r="B613" s="302" t="s">
        <v>117</v>
      </c>
      <c r="C613" s="278">
        <v>1</v>
      </c>
      <c r="D613" s="424">
        <v>160</v>
      </c>
      <c r="E613" s="269"/>
      <c r="F613" s="270"/>
      <c r="G613" s="270"/>
    </row>
    <row r="614" spans="1:7" ht="60" outlineLevel="1" x14ac:dyDescent="0.25">
      <c r="A614" s="275">
        <v>13</v>
      </c>
      <c r="B614" s="302" t="s">
        <v>118</v>
      </c>
      <c r="C614" s="278">
        <v>1</v>
      </c>
      <c r="D614" s="424">
        <v>200</v>
      </c>
      <c r="E614" s="269"/>
      <c r="F614" s="270"/>
      <c r="G614" s="270"/>
    </row>
    <row r="615" spans="1:7" ht="45" outlineLevel="1" x14ac:dyDescent="0.25">
      <c r="A615" s="275">
        <v>14</v>
      </c>
      <c r="B615" s="302" t="s">
        <v>119</v>
      </c>
      <c r="C615" s="278">
        <v>1</v>
      </c>
      <c r="D615" s="424">
        <v>245</v>
      </c>
      <c r="E615" s="269"/>
      <c r="F615" s="270"/>
      <c r="G615" s="270"/>
    </row>
    <row r="616" spans="1:7" ht="75" outlineLevel="1" x14ac:dyDescent="0.25">
      <c r="A616" s="293">
        <v>15</v>
      </c>
      <c r="B616" s="302" t="s">
        <v>120</v>
      </c>
      <c r="C616" s="278">
        <v>100</v>
      </c>
      <c r="D616" s="424">
        <v>477.8125</v>
      </c>
      <c r="E616" s="269"/>
      <c r="F616" s="270"/>
      <c r="G616" s="270"/>
    </row>
    <row r="617" spans="1:7" ht="30" outlineLevel="1" x14ac:dyDescent="0.25">
      <c r="A617" s="293">
        <v>16</v>
      </c>
      <c r="B617" s="302" t="s">
        <v>121</v>
      </c>
      <c r="C617" s="278">
        <v>1</v>
      </c>
      <c r="D617" s="424">
        <v>497.8125</v>
      </c>
      <c r="E617" s="269"/>
      <c r="F617" s="270"/>
      <c r="G617" s="270"/>
    </row>
    <row r="618" spans="1:7" ht="23.25" customHeight="1" outlineLevel="1" x14ac:dyDescent="0.25">
      <c r="A618" s="275">
        <v>17</v>
      </c>
      <c r="B618" s="302" t="s">
        <v>122</v>
      </c>
      <c r="C618" s="273">
        <v>100</v>
      </c>
      <c r="D618" s="424">
        <v>204.6875</v>
      </c>
      <c r="E618" s="295"/>
      <c r="F618" s="270"/>
      <c r="G618" s="270"/>
    </row>
    <row r="619" spans="1:7" ht="45" outlineLevel="1" x14ac:dyDescent="0.25">
      <c r="A619" s="293">
        <v>18</v>
      </c>
      <c r="B619" s="302" t="s">
        <v>123</v>
      </c>
      <c r="C619" s="273">
        <v>100</v>
      </c>
      <c r="D619" s="424">
        <v>244.6875</v>
      </c>
      <c r="E619" s="295"/>
      <c r="F619" s="270"/>
      <c r="G619" s="270"/>
    </row>
    <row r="620" spans="1:7" ht="45" outlineLevel="1" x14ac:dyDescent="0.25">
      <c r="A620" s="505">
        <v>19</v>
      </c>
      <c r="B620" s="447" t="s">
        <v>124</v>
      </c>
      <c r="C620" s="481"/>
      <c r="D620" s="441"/>
      <c r="E620" s="288"/>
      <c r="F620" s="292"/>
      <c r="G620" s="292"/>
    </row>
    <row r="621" spans="1:7" outlineLevel="1" x14ac:dyDescent="0.25">
      <c r="A621" s="505"/>
      <c r="B621" s="446" t="s">
        <v>125</v>
      </c>
      <c r="C621" s="282">
        <v>100</v>
      </c>
      <c r="D621" s="440">
        <v>229.3</v>
      </c>
      <c r="E621" s="310"/>
      <c r="F621" s="290"/>
      <c r="G621" s="290"/>
    </row>
    <row r="622" spans="1:7" ht="30" outlineLevel="1" x14ac:dyDescent="0.25">
      <c r="A622" s="275">
        <v>20</v>
      </c>
      <c r="B622" s="302" t="s">
        <v>126</v>
      </c>
      <c r="C622" s="278">
        <v>100</v>
      </c>
      <c r="D622" s="424">
        <v>2841.5250000000005</v>
      </c>
      <c r="E622" s="295"/>
      <c r="F622" s="270"/>
      <c r="G622" s="270"/>
    </row>
    <row r="623" spans="1:7" ht="30" outlineLevel="1" x14ac:dyDescent="0.25">
      <c r="A623" s="275">
        <v>21</v>
      </c>
      <c r="B623" s="302" t="s">
        <v>207</v>
      </c>
      <c r="C623" s="278">
        <v>100</v>
      </c>
      <c r="D623" s="424">
        <v>572.6</v>
      </c>
      <c r="E623" s="295"/>
      <c r="F623" s="270"/>
      <c r="G623" s="270"/>
    </row>
    <row r="624" spans="1:7" ht="60" outlineLevel="1" x14ac:dyDescent="0.25">
      <c r="A624" s="275">
        <v>22</v>
      </c>
      <c r="B624" s="302" t="s">
        <v>128</v>
      </c>
      <c r="C624" s="278">
        <v>100</v>
      </c>
      <c r="D624" s="424">
        <v>2449.375</v>
      </c>
      <c r="E624" s="295"/>
      <c r="F624" s="270"/>
      <c r="G624" s="270"/>
    </row>
    <row r="625" spans="1:7" ht="45" outlineLevel="1" x14ac:dyDescent="0.25">
      <c r="A625" s="275">
        <v>23</v>
      </c>
      <c r="B625" s="302" t="s">
        <v>129</v>
      </c>
      <c r="C625" s="323">
        <v>1</v>
      </c>
      <c r="D625" s="424">
        <v>65</v>
      </c>
      <c r="E625" s="295"/>
      <c r="F625" s="270"/>
      <c r="G625" s="270"/>
    </row>
    <row r="626" spans="1:7" ht="30" outlineLevel="1" x14ac:dyDescent="0.25">
      <c r="A626" s="275">
        <v>24</v>
      </c>
      <c r="B626" s="302" t="s">
        <v>130</v>
      </c>
      <c r="C626" s="328">
        <v>1</v>
      </c>
      <c r="D626" s="424">
        <v>10</v>
      </c>
      <c r="E626" s="295"/>
      <c r="F626" s="270"/>
      <c r="G626" s="270"/>
    </row>
    <row r="627" spans="1:7" ht="21" customHeight="1" outlineLevel="1" x14ac:dyDescent="0.25">
      <c r="A627" s="275">
        <v>25</v>
      </c>
      <c r="B627" s="302" t="s">
        <v>131</v>
      </c>
      <c r="C627" s="328">
        <v>1</v>
      </c>
      <c r="D627" s="424">
        <v>5</v>
      </c>
      <c r="E627" s="295"/>
      <c r="F627" s="270"/>
      <c r="G627" s="270"/>
    </row>
    <row r="628" spans="1:7" ht="21" customHeight="1" outlineLevel="1" x14ac:dyDescent="0.25">
      <c r="A628" s="275">
        <v>26</v>
      </c>
      <c r="B628" s="302" t="s">
        <v>132</v>
      </c>
      <c r="C628" s="278">
        <v>100</v>
      </c>
      <c r="D628" s="424">
        <v>2551.35</v>
      </c>
      <c r="E628" s="295"/>
      <c r="F628" s="270"/>
      <c r="G628" s="270"/>
    </row>
    <row r="629" spans="1:7" ht="48.75" customHeight="1" outlineLevel="1" x14ac:dyDescent="0.25">
      <c r="A629" s="275">
        <v>27</v>
      </c>
      <c r="B629" s="302" t="s">
        <v>133</v>
      </c>
      <c r="C629" s="278">
        <v>100</v>
      </c>
      <c r="D629" s="424">
        <v>862.77500000000009</v>
      </c>
      <c r="E629" s="295"/>
      <c r="F629" s="270"/>
      <c r="G629" s="270"/>
    </row>
    <row r="630" spans="1:7" ht="30" outlineLevel="1" x14ac:dyDescent="0.25">
      <c r="A630" s="275">
        <v>28</v>
      </c>
      <c r="B630" s="302" t="s">
        <v>134</v>
      </c>
      <c r="C630" s="278">
        <v>100</v>
      </c>
      <c r="D630" s="424">
        <v>445</v>
      </c>
      <c r="E630" s="295"/>
      <c r="F630" s="270"/>
      <c r="G630" s="270"/>
    </row>
    <row r="631" spans="1:7" ht="71.25" customHeight="1" outlineLevel="1" x14ac:dyDescent="0.25">
      <c r="A631" s="275">
        <v>29</v>
      </c>
      <c r="B631" s="348" t="s">
        <v>135</v>
      </c>
      <c r="C631" s="303">
        <v>100</v>
      </c>
      <c r="D631" s="424">
        <v>1674.7936133538963</v>
      </c>
      <c r="E631" s="269"/>
      <c r="F631" s="270"/>
      <c r="G631" s="270"/>
    </row>
    <row r="632" spans="1:7" ht="56.25" customHeight="1" outlineLevel="1" x14ac:dyDescent="0.25">
      <c r="A632" s="505">
        <v>30</v>
      </c>
      <c r="B632" s="342" t="s">
        <v>136</v>
      </c>
      <c r="C632" s="271"/>
      <c r="D632" s="424">
        <v>0</v>
      </c>
      <c r="E632" s="295"/>
      <c r="F632" s="270"/>
      <c r="G632" s="270"/>
    </row>
    <row r="633" spans="1:7" outlineLevel="1" x14ac:dyDescent="0.25">
      <c r="A633" s="505"/>
      <c r="B633" s="302" t="s">
        <v>176</v>
      </c>
      <c r="C633" s="323">
        <v>1</v>
      </c>
      <c r="D633" s="424">
        <v>300</v>
      </c>
      <c r="E633" s="295"/>
      <c r="F633" s="270"/>
      <c r="G633" s="270"/>
    </row>
    <row r="634" spans="1:7" outlineLevel="1" x14ac:dyDescent="0.25">
      <c r="A634" s="505"/>
      <c r="B634" s="302" t="s">
        <v>177</v>
      </c>
      <c r="C634" s="323">
        <v>1</v>
      </c>
      <c r="D634" s="424">
        <v>150</v>
      </c>
      <c r="E634" s="295"/>
      <c r="F634" s="270"/>
      <c r="G634" s="270"/>
    </row>
    <row r="635" spans="1:7" outlineLevel="1" x14ac:dyDescent="0.25">
      <c r="A635" s="275"/>
      <c r="B635" s="302" t="s">
        <v>178</v>
      </c>
      <c r="C635" s="323">
        <v>1</v>
      </c>
      <c r="D635" s="424">
        <v>75</v>
      </c>
      <c r="E635" s="295"/>
      <c r="F635" s="270"/>
      <c r="G635" s="270"/>
    </row>
    <row r="636" spans="1:7" ht="75" outlineLevel="1" x14ac:dyDescent="0.25">
      <c r="A636" s="505">
        <v>31</v>
      </c>
      <c r="B636" s="299" t="s">
        <v>141</v>
      </c>
      <c r="C636" s="271"/>
      <c r="D636" s="424"/>
      <c r="E636" s="295"/>
      <c r="F636" s="270"/>
      <c r="G636" s="270"/>
    </row>
    <row r="637" spans="1:7" outlineLevel="1" x14ac:dyDescent="0.25">
      <c r="A637" s="505"/>
      <c r="B637" s="302" t="s">
        <v>180</v>
      </c>
      <c r="C637" s="323">
        <v>1</v>
      </c>
      <c r="D637" s="424">
        <v>900</v>
      </c>
      <c r="E637" s="295"/>
      <c r="F637" s="270"/>
      <c r="G637" s="270"/>
    </row>
    <row r="638" spans="1:7" outlineLevel="1" x14ac:dyDescent="0.25">
      <c r="A638" s="334"/>
      <c r="B638" s="302" t="s">
        <v>181</v>
      </c>
      <c r="C638" s="323">
        <v>1</v>
      </c>
      <c r="D638" s="424">
        <v>300</v>
      </c>
      <c r="E638" s="295"/>
      <c r="F638" s="270"/>
      <c r="G638" s="270"/>
    </row>
    <row r="639" spans="1:7" ht="60" outlineLevel="1" x14ac:dyDescent="0.25">
      <c r="A639" s="275">
        <v>32</v>
      </c>
      <c r="B639" s="302" t="s">
        <v>182</v>
      </c>
      <c r="C639" s="323">
        <v>1</v>
      </c>
      <c r="D639" s="424">
        <v>200</v>
      </c>
      <c r="E639" s="295"/>
      <c r="F639" s="270"/>
      <c r="G639" s="270"/>
    </row>
    <row r="640" spans="1:7" ht="60" outlineLevel="1" x14ac:dyDescent="0.25">
      <c r="A640" s="505">
        <v>33</v>
      </c>
      <c r="B640" s="302" t="s">
        <v>145</v>
      </c>
      <c r="C640" s="271"/>
      <c r="D640" s="424"/>
      <c r="E640" s="295"/>
      <c r="F640" s="270"/>
      <c r="G640" s="270"/>
    </row>
    <row r="641" spans="1:7" outlineLevel="1" x14ac:dyDescent="0.25">
      <c r="A641" s="505"/>
      <c r="B641" s="302" t="s">
        <v>183</v>
      </c>
      <c r="C641" s="329">
        <v>1</v>
      </c>
      <c r="D641" s="424">
        <v>5</v>
      </c>
      <c r="E641" s="295"/>
      <c r="F641" s="270"/>
      <c r="G641" s="270"/>
    </row>
    <row r="642" spans="1:7" outlineLevel="1" x14ac:dyDescent="0.25">
      <c r="A642" s="505"/>
      <c r="B642" s="302" t="s">
        <v>184</v>
      </c>
      <c r="C642" s="329">
        <v>1</v>
      </c>
      <c r="D642" s="424">
        <v>5</v>
      </c>
      <c r="E642" s="295"/>
      <c r="F642" s="270"/>
      <c r="G642" s="270"/>
    </row>
    <row r="643" spans="1:7" outlineLevel="1" x14ac:dyDescent="0.25">
      <c r="A643" s="505"/>
      <c r="B643" s="302" t="s">
        <v>185</v>
      </c>
      <c r="C643" s="329">
        <v>1</v>
      </c>
      <c r="D643" s="424">
        <v>5</v>
      </c>
      <c r="E643" s="295"/>
      <c r="F643" s="270"/>
      <c r="G643" s="270"/>
    </row>
    <row r="644" spans="1:7" ht="21" customHeight="1" outlineLevel="1" x14ac:dyDescent="0.25">
      <c r="A644" s="275">
        <v>34</v>
      </c>
      <c r="B644" s="302" t="s">
        <v>237</v>
      </c>
      <c r="C644" s="329">
        <v>1</v>
      </c>
      <c r="D644" s="424">
        <v>100</v>
      </c>
      <c r="E644" s="295"/>
      <c r="F644" s="270"/>
      <c r="G644" s="270"/>
    </row>
    <row r="645" spans="1:7" ht="21" customHeight="1" outlineLevel="1" x14ac:dyDescent="0.25">
      <c r="A645" s="275">
        <v>35</v>
      </c>
      <c r="B645" s="302" t="s">
        <v>150</v>
      </c>
      <c r="C645" s="329">
        <v>1</v>
      </c>
      <c r="D645" s="424">
        <v>20</v>
      </c>
      <c r="E645" s="295"/>
      <c r="F645" s="270"/>
      <c r="G645" s="270"/>
    </row>
    <row r="646" spans="1:7" ht="21" customHeight="1" outlineLevel="1" x14ac:dyDescent="0.25">
      <c r="A646" s="275">
        <v>36</v>
      </c>
      <c r="B646" s="302" t="s">
        <v>151</v>
      </c>
      <c r="C646" s="329">
        <v>1</v>
      </c>
      <c r="D646" s="424">
        <v>10</v>
      </c>
      <c r="E646" s="295"/>
      <c r="F646" s="270"/>
      <c r="G646" s="270"/>
    </row>
    <row r="647" spans="1:7" ht="30" outlineLevel="1" x14ac:dyDescent="0.25">
      <c r="A647" s="275">
        <v>37</v>
      </c>
      <c r="B647" s="302" t="s">
        <v>186</v>
      </c>
      <c r="C647" s="329">
        <v>1</v>
      </c>
      <c r="D647" s="424">
        <v>5</v>
      </c>
      <c r="E647" s="295"/>
      <c r="F647" s="270"/>
      <c r="G647" s="270"/>
    </row>
    <row r="648" spans="1:7" ht="135" outlineLevel="1" x14ac:dyDescent="0.25">
      <c r="A648" s="275">
        <v>38</v>
      </c>
      <c r="B648" s="299" t="s">
        <v>208</v>
      </c>
      <c r="C648" s="328">
        <v>1</v>
      </c>
      <c r="D648" s="424">
        <v>5</v>
      </c>
      <c r="E648" s="295"/>
      <c r="F648" s="270"/>
      <c r="G648" s="270"/>
    </row>
    <row r="649" spans="1:7" ht="90" outlineLevel="1" x14ac:dyDescent="0.25">
      <c r="A649" s="275">
        <v>39</v>
      </c>
      <c r="B649" s="302" t="s">
        <v>154</v>
      </c>
      <c r="C649" s="328">
        <v>1</v>
      </c>
      <c r="D649" s="424">
        <v>30</v>
      </c>
      <c r="E649" s="295"/>
      <c r="F649" s="270"/>
      <c r="G649" s="270"/>
    </row>
    <row r="650" spans="1:7" ht="135" outlineLevel="1" x14ac:dyDescent="0.25">
      <c r="A650" s="275">
        <v>40</v>
      </c>
      <c r="B650" s="299" t="s">
        <v>155</v>
      </c>
      <c r="C650" s="328">
        <v>1</v>
      </c>
      <c r="D650" s="424">
        <v>10</v>
      </c>
      <c r="E650" s="295"/>
      <c r="F650" s="270"/>
      <c r="G650" s="270"/>
    </row>
    <row r="651" spans="1:7" ht="150" outlineLevel="1" x14ac:dyDescent="0.25">
      <c r="A651" s="275">
        <v>41</v>
      </c>
      <c r="B651" s="299" t="s">
        <v>156</v>
      </c>
      <c r="C651" s="328">
        <v>1</v>
      </c>
      <c r="D651" s="424">
        <v>5</v>
      </c>
      <c r="E651" s="295"/>
      <c r="F651" s="270"/>
      <c r="G651" s="270"/>
    </row>
    <row r="652" spans="1:7" ht="60" outlineLevel="1" x14ac:dyDescent="0.25">
      <c r="A652" s="275">
        <v>42</v>
      </c>
      <c r="B652" s="302" t="s">
        <v>157</v>
      </c>
      <c r="C652" s="328">
        <v>1</v>
      </c>
      <c r="D652" s="424">
        <v>15</v>
      </c>
      <c r="E652" s="295"/>
      <c r="F652" s="270"/>
      <c r="G652" s="270"/>
    </row>
    <row r="653" spans="1:7" ht="30" outlineLevel="1" x14ac:dyDescent="0.25">
      <c r="A653" s="275">
        <v>43</v>
      </c>
      <c r="B653" s="302" t="s">
        <v>158</v>
      </c>
      <c r="C653" s="328">
        <v>1</v>
      </c>
      <c r="D653" s="424">
        <v>15</v>
      </c>
      <c r="E653" s="295"/>
      <c r="F653" s="270"/>
      <c r="G653" s="270"/>
    </row>
    <row r="654" spans="1:7" ht="75.75" outlineLevel="1" x14ac:dyDescent="0.25">
      <c r="A654" s="275">
        <v>44</v>
      </c>
      <c r="B654" s="299" t="s">
        <v>40</v>
      </c>
      <c r="C654" s="276"/>
      <c r="D654" s="424"/>
      <c r="E654" s="298"/>
      <c r="F654" s="270"/>
      <c r="G654" s="270"/>
    </row>
    <row r="655" spans="1:7" outlineLevel="1" x14ac:dyDescent="0.25">
      <c r="A655" s="275" t="s">
        <v>67</v>
      </c>
      <c r="B655" s="299" t="s">
        <v>68</v>
      </c>
      <c r="C655" s="273">
        <v>100</v>
      </c>
      <c r="D655" s="424">
        <v>506.93973275904</v>
      </c>
      <c r="E655" s="298"/>
      <c r="F655" s="270"/>
      <c r="G655" s="270"/>
    </row>
    <row r="656" spans="1:7" outlineLevel="1" x14ac:dyDescent="0.25">
      <c r="A656" s="275" t="s">
        <v>41</v>
      </c>
      <c r="B656" s="299" t="s">
        <v>42</v>
      </c>
      <c r="C656" s="273">
        <v>100</v>
      </c>
      <c r="D656" s="424">
        <v>201.78399999999999</v>
      </c>
      <c r="E656" s="298"/>
      <c r="F656" s="270"/>
      <c r="G656" s="270"/>
    </row>
    <row r="657" spans="1:7" outlineLevel="1" x14ac:dyDescent="0.25">
      <c r="A657" s="275" t="s">
        <v>70</v>
      </c>
      <c r="B657" s="299" t="s">
        <v>159</v>
      </c>
      <c r="C657" s="273">
        <v>100</v>
      </c>
      <c r="D657" s="424">
        <v>759.32389499999999</v>
      </c>
      <c r="E657" s="298"/>
      <c r="F657" s="270"/>
      <c r="G657" s="270"/>
    </row>
    <row r="658" spans="1:7" outlineLevel="1" x14ac:dyDescent="0.25">
      <c r="A658" s="275" t="s">
        <v>160</v>
      </c>
      <c r="B658" s="299" t="s">
        <v>161</v>
      </c>
      <c r="C658" s="273">
        <v>100</v>
      </c>
      <c r="D658" s="424">
        <v>35.475000000000001</v>
      </c>
      <c r="E658" s="298"/>
      <c r="F658" s="270"/>
      <c r="G658" s="270"/>
    </row>
    <row r="659" spans="1:7" outlineLevel="1" x14ac:dyDescent="0.25">
      <c r="A659" s="506" t="s">
        <v>83</v>
      </c>
      <c r="B659" s="506"/>
      <c r="C659" s="506"/>
      <c r="D659" s="506"/>
      <c r="E659" s="506"/>
      <c r="F659" s="270"/>
      <c r="G659" s="270"/>
    </row>
    <row r="660" spans="1:7" ht="25.5" customHeight="1" x14ac:dyDescent="0.25">
      <c r="A660" s="499" t="s">
        <v>253</v>
      </c>
      <c r="B660" s="499"/>
      <c r="C660" s="499"/>
      <c r="D660" s="499"/>
      <c r="E660" s="499"/>
      <c r="F660" s="362"/>
      <c r="G660" s="362"/>
    </row>
    <row r="661" spans="1:7" ht="19.5" outlineLevel="1" x14ac:dyDescent="0.25">
      <c r="A661" s="500" t="s">
        <v>9</v>
      </c>
      <c r="B661" s="500"/>
      <c r="C661" s="500"/>
      <c r="D661" s="500"/>
      <c r="E661" s="500"/>
      <c r="F661" s="500"/>
      <c r="G661" s="500"/>
    </row>
    <row r="662" spans="1:7" ht="75" outlineLevel="1" x14ac:dyDescent="0.25">
      <c r="A662" s="330">
        <v>1</v>
      </c>
      <c r="B662" s="327" t="s">
        <v>10</v>
      </c>
      <c r="C662" s="273">
        <v>1000</v>
      </c>
      <c r="D662" s="422">
        <v>10154747.5</v>
      </c>
      <c r="E662" s="295"/>
      <c r="F662" s="270"/>
      <c r="G662" s="270"/>
    </row>
    <row r="663" spans="1:7" ht="32.25" customHeight="1" outlineLevel="1" x14ac:dyDescent="0.25">
      <c r="A663" s="330">
        <v>2</v>
      </c>
      <c r="B663" s="327" t="s">
        <v>11</v>
      </c>
      <c r="C663" s="273">
        <v>1000</v>
      </c>
      <c r="D663" s="422">
        <v>4167935</v>
      </c>
      <c r="E663" s="321"/>
      <c r="F663" s="270"/>
      <c r="G663" s="270"/>
    </row>
    <row r="664" spans="1:7" ht="45" outlineLevel="1" x14ac:dyDescent="0.25">
      <c r="A664" s="507">
        <v>3</v>
      </c>
      <c r="B664" s="327" t="s">
        <v>12</v>
      </c>
      <c r="C664" s="330"/>
      <c r="D664" s="422"/>
      <c r="E664" s="321"/>
      <c r="F664" s="270"/>
      <c r="G664" s="270"/>
    </row>
    <row r="665" spans="1:7" outlineLevel="1" x14ac:dyDescent="0.25">
      <c r="A665" s="507"/>
      <c r="B665" s="327" t="s">
        <v>13</v>
      </c>
      <c r="C665" s="273">
        <v>1000</v>
      </c>
      <c r="D665" s="422">
        <v>100405</v>
      </c>
      <c r="E665" s="321"/>
      <c r="F665" s="270"/>
      <c r="G665" s="270"/>
    </row>
    <row r="666" spans="1:7" outlineLevel="1" x14ac:dyDescent="0.25">
      <c r="A666" s="507"/>
      <c r="B666" s="327" t="s">
        <v>164</v>
      </c>
      <c r="C666" s="273">
        <v>1000</v>
      </c>
      <c r="D666" s="422">
        <v>9912.5</v>
      </c>
      <c r="E666" s="321"/>
      <c r="F666" s="270"/>
      <c r="G666" s="270"/>
    </row>
    <row r="667" spans="1:7" outlineLevel="1" x14ac:dyDescent="0.25">
      <c r="A667" s="507"/>
      <c r="B667" s="327" t="s">
        <v>254</v>
      </c>
      <c r="C667" s="273">
        <v>1000</v>
      </c>
      <c r="D667" s="422">
        <v>24562.5</v>
      </c>
      <c r="E667" s="321"/>
      <c r="F667" s="270"/>
      <c r="G667" s="270"/>
    </row>
    <row r="668" spans="1:7" outlineLevel="1" x14ac:dyDescent="0.25">
      <c r="A668" s="507"/>
      <c r="B668" s="327" t="s">
        <v>255</v>
      </c>
      <c r="C668" s="273">
        <v>1000</v>
      </c>
      <c r="D668" s="422">
        <v>33180.000000000007</v>
      </c>
      <c r="E668" s="321"/>
      <c r="F668" s="270"/>
      <c r="G668" s="270"/>
    </row>
    <row r="669" spans="1:7" outlineLevel="1" x14ac:dyDescent="0.25">
      <c r="A669" s="507"/>
      <c r="B669" s="327" t="s">
        <v>256</v>
      </c>
      <c r="C669" s="273">
        <v>1000</v>
      </c>
      <c r="D669" s="422">
        <v>79555</v>
      </c>
      <c r="E669" s="321"/>
      <c r="F669" s="270"/>
      <c r="G669" s="270"/>
    </row>
    <row r="670" spans="1:7" outlineLevel="1" x14ac:dyDescent="0.25">
      <c r="A670" s="507"/>
      <c r="B670" s="327" t="s">
        <v>257</v>
      </c>
      <c r="C670" s="273">
        <v>1000</v>
      </c>
      <c r="D670" s="422">
        <v>53390</v>
      </c>
      <c r="E670" s="321"/>
      <c r="F670" s="270"/>
      <c r="G670" s="270"/>
    </row>
    <row r="671" spans="1:7" outlineLevel="1" x14ac:dyDescent="0.25">
      <c r="A671" s="507"/>
      <c r="B671" s="327" t="s">
        <v>258</v>
      </c>
      <c r="C671" s="273">
        <v>1000</v>
      </c>
      <c r="D671" s="422">
        <v>187560</v>
      </c>
      <c r="E671" s="321"/>
      <c r="F671" s="270"/>
      <c r="G671" s="270"/>
    </row>
    <row r="672" spans="1:7" ht="45" outlineLevel="1" x14ac:dyDescent="0.25">
      <c r="A672" s="330">
        <v>4</v>
      </c>
      <c r="B672" s="327" t="s">
        <v>19</v>
      </c>
      <c r="C672" s="331">
        <v>1</v>
      </c>
      <c r="D672" s="422">
        <v>45</v>
      </c>
      <c r="E672" s="270"/>
      <c r="F672" s="270"/>
      <c r="G672" s="270"/>
    </row>
    <row r="673" spans="1:7" ht="21" customHeight="1" outlineLevel="1" x14ac:dyDescent="0.25">
      <c r="A673" s="330">
        <v>5</v>
      </c>
      <c r="B673" s="317" t="s">
        <v>20</v>
      </c>
      <c r="C673" s="278">
        <v>1000</v>
      </c>
      <c r="D673" s="422">
        <v>1680000</v>
      </c>
      <c r="E673" s="270"/>
      <c r="F673" s="270"/>
      <c r="G673" s="270"/>
    </row>
    <row r="674" spans="1:7" ht="19.5" outlineLevel="1" x14ac:dyDescent="0.25">
      <c r="A674" s="500" t="s">
        <v>192</v>
      </c>
      <c r="B674" s="500"/>
      <c r="C674" s="500"/>
      <c r="D674" s="500"/>
      <c r="E674" s="500"/>
      <c r="F674" s="500"/>
      <c r="G674" s="500"/>
    </row>
    <row r="675" spans="1:7" ht="62.25" customHeight="1" outlineLevel="1" x14ac:dyDescent="0.25">
      <c r="A675" s="271">
        <v>1</v>
      </c>
      <c r="B675" s="272" t="s">
        <v>22</v>
      </c>
      <c r="C675" s="273">
        <v>1000</v>
      </c>
      <c r="D675" s="423">
        <v>98</v>
      </c>
      <c r="E675" s="274"/>
      <c r="F675" s="270"/>
      <c r="G675" s="270"/>
    </row>
    <row r="676" spans="1:7" s="15" customFormat="1" ht="51" customHeight="1" outlineLevel="1" x14ac:dyDescent="0.2">
      <c r="A676" s="275">
        <v>2</v>
      </c>
      <c r="B676" s="272" t="s">
        <v>23</v>
      </c>
      <c r="C676" s="276"/>
      <c r="D676" s="424"/>
      <c r="E676" s="295"/>
      <c r="F676" s="277"/>
      <c r="G676" s="277"/>
    </row>
    <row r="677" spans="1:7" s="15" customFormat="1" ht="22.5" customHeight="1" outlineLevel="1" x14ac:dyDescent="0.2">
      <c r="A677" s="275"/>
      <c r="B677" s="272" t="s">
        <v>24</v>
      </c>
      <c r="C677" s="273">
        <v>100</v>
      </c>
      <c r="D677" s="423">
        <v>24.5</v>
      </c>
      <c r="E677" s="269"/>
      <c r="F677" s="277"/>
      <c r="G677" s="277"/>
    </row>
    <row r="678" spans="1:7" s="15" customFormat="1" ht="34.5" customHeight="1" outlineLevel="1" x14ac:dyDescent="0.2">
      <c r="A678" s="275">
        <v>3</v>
      </c>
      <c r="B678" s="272" t="s">
        <v>25</v>
      </c>
      <c r="C678" s="273">
        <v>100</v>
      </c>
      <c r="D678" s="423">
        <v>97.5</v>
      </c>
      <c r="E678" s="274"/>
      <c r="F678" s="277"/>
      <c r="G678" s="277"/>
    </row>
    <row r="679" spans="1:7" s="15" customFormat="1" ht="51" customHeight="1" outlineLevel="1" x14ac:dyDescent="0.2">
      <c r="A679" s="275">
        <v>4</v>
      </c>
      <c r="B679" s="272" t="s">
        <v>26</v>
      </c>
      <c r="C679" s="278">
        <v>100</v>
      </c>
      <c r="D679" s="423">
        <v>39</v>
      </c>
      <c r="E679" s="274"/>
      <c r="F679" s="277"/>
      <c r="G679" s="277"/>
    </row>
    <row r="680" spans="1:7" ht="36" customHeight="1" outlineLevel="1" x14ac:dyDescent="0.25">
      <c r="A680" s="271">
        <v>5</v>
      </c>
      <c r="B680" s="272" t="s">
        <v>27</v>
      </c>
      <c r="C680" s="273">
        <v>100</v>
      </c>
      <c r="D680" s="423">
        <v>81.703125</v>
      </c>
      <c r="E680" s="274"/>
      <c r="F680" s="270"/>
      <c r="G680" s="270"/>
    </row>
    <row r="681" spans="1:7" ht="23.25" customHeight="1" outlineLevel="1" x14ac:dyDescent="0.25">
      <c r="A681" s="271">
        <v>6</v>
      </c>
      <c r="B681" s="272" t="s">
        <v>28</v>
      </c>
      <c r="C681" s="278">
        <v>100</v>
      </c>
      <c r="D681" s="423">
        <v>230.64999999999998</v>
      </c>
      <c r="E681" s="274"/>
      <c r="F681" s="270"/>
      <c r="G681" s="270"/>
    </row>
    <row r="682" spans="1:7" ht="45" outlineLevel="1" x14ac:dyDescent="0.25">
      <c r="A682" s="271">
        <v>7</v>
      </c>
      <c r="B682" s="272" t="s">
        <v>29</v>
      </c>
      <c r="C682" s="278">
        <v>100</v>
      </c>
      <c r="D682" s="423">
        <v>230.64999999999998</v>
      </c>
      <c r="E682" s="274"/>
      <c r="F682" s="270"/>
      <c r="G682" s="270"/>
    </row>
    <row r="683" spans="1:7" ht="22.5" customHeight="1" outlineLevel="1" x14ac:dyDescent="0.25">
      <c r="A683" s="271">
        <v>8</v>
      </c>
      <c r="B683" s="272" t="s">
        <v>30</v>
      </c>
      <c r="C683" s="328">
        <v>1</v>
      </c>
      <c r="D683" s="423">
        <v>500</v>
      </c>
      <c r="E683" s="274"/>
      <c r="F683" s="270"/>
      <c r="G683" s="270"/>
    </row>
    <row r="684" spans="1:7" ht="75" outlineLevel="1" x14ac:dyDescent="0.25">
      <c r="A684" s="291">
        <v>9</v>
      </c>
      <c r="B684" s="286" t="s">
        <v>31</v>
      </c>
      <c r="C684" s="287"/>
      <c r="D684" s="489"/>
      <c r="E684" s="490"/>
      <c r="F684" s="292"/>
      <c r="G684" s="292"/>
    </row>
    <row r="685" spans="1:7" ht="18" customHeight="1" outlineLevel="1" x14ac:dyDescent="0.25">
      <c r="A685" s="488"/>
      <c r="B685" s="281" t="s">
        <v>32</v>
      </c>
      <c r="C685" s="282">
        <v>100</v>
      </c>
      <c r="D685" s="445">
        <v>4.29</v>
      </c>
      <c r="E685" s="283"/>
      <c r="F685" s="290"/>
      <c r="G685" s="290"/>
    </row>
    <row r="686" spans="1:7" ht="19.5" outlineLevel="1" x14ac:dyDescent="0.25">
      <c r="A686" s="500" t="s">
        <v>168</v>
      </c>
      <c r="B686" s="500"/>
      <c r="C686" s="500"/>
      <c r="D686" s="500"/>
      <c r="E686" s="500"/>
      <c r="F686" s="500"/>
      <c r="G686" s="500"/>
    </row>
    <row r="687" spans="1:7" ht="19.5" customHeight="1" outlineLevel="1" x14ac:dyDescent="0.25">
      <c r="A687" s="293">
        <v>1</v>
      </c>
      <c r="B687" s="294" t="s">
        <v>34</v>
      </c>
      <c r="C687" s="273">
        <v>1</v>
      </c>
      <c r="D687" s="424">
        <v>146.19999999999999</v>
      </c>
      <c r="E687" s="295"/>
      <c r="F687" s="270"/>
      <c r="G687" s="270"/>
    </row>
    <row r="688" spans="1:7" ht="45" outlineLevel="1" x14ac:dyDescent="0.25">
      <c r="A688" s="293">
        <v>2</v>
      </c>
      <c r="B688" s="294" t="s">
        <v>35</v>
      </c>
      <c r="C688" s="303">
        <v>100</v>
      </c>
      <c r="D688" s="424">
        <v>334.05</v>
      </c>
      <c r="E688" s="295"/>
      <c r="F688" s="270"/>
      <c r="G688" s="270"/>
    </row>
    <row r="689" spans="1:7" ht="19.5" customHeight="1" outlineLevel="1" x14ac:dyDescent="0.25">
      <c r="A689" s="275">
        <v>3</v>
      </c>
      <c r="B689" s="294" t="s">
        <v>36</v>
      </c>
      <c r="C689" s="328">
        <v>1</v>
      </c>
      <c r="D689" s="424">
        <v>85</v>
      </c>
      <c r="E689" s="295"/>
      <c r="F689" s="270"/>
      <c r="G689" s="270"/>
    </row>
    <row r="690" spans="1:7" ht="19.5" customHeight="1" outlineLevel="1" x14ac:dyDescent="0.25">
      <c r="A690" s="275">
        <v>4</v>
      </c>
      <c r="B690" s="294" t="s">
        <v>37</v>
      </c>
      <c r="C690" s="329">
        <v>1</v>
      </c>
      <c r="D690" s="424">
        <v>85</v>
      </c>
      <c r="E690" s="295"/>
      <c r="F690" s="270"/>
      <c r="G690" s="270"/>
    </row>
    <row r="691" spans="1:7" ht="19.5" customHeight="1" outlineLevel="1" x14ac:dyDescent="0.25">
      <c r="A691" s="275">
        <v>5</v>
      </c>
      <c r="B691" s="294" t="s">
        <v>38</v>
      </c>
      <c r="C691" s="278">
        <v>100</v>
      </c>
      <c r="D691" s="424">
        <v>297.5</v>
      </c>
      <c r="E691" s="295"/>
      <c r="F691" s="270"/>
      <c r="G691" s="270"/>
    </row>
    <row r="692" spans="1:7" ht="30" outlineLevel="1" x14ac:dyDescent="0.25">
      <c r="A692" s="275">
        <v>6</v>
      </c>
      <c r="B692" s="294" t="s">
        <v>39</v>
      </c>
      <c r="C692" s="328">
        <v>1</v>
      </c>
      <c r="D692" s="424">
        <v>850</v>
      </c>
      <c r="E692" s="295"/>
      <c r="F692" s="270"/>
      <c r="G692" s="270"/>
    </row>
    <row r="693" spans="1:7" ht="75" outlineLevel="1" x14ac:dyDescent="0.25">
      <c r="A693" s="285">
        <v>7</v>
      </c>
      <c r="B693" s="463" t="s">
        <v>31</v>
      </c>
      <c r="C693" s="287"/>
      <c r="D693" s="441"/>
      <c r="E693" s="487"/>
      <c r="F693" s="292"/>
      <c r="G693" s="292"/>
    </row>
    <row r="694" spans="1:7" outlineLevel="1" x14ac:dyDescent="0.25">
      <c r="A694" s="280" t="s">
        <v>41</v>
      </c>
      <c r="B694" s="300" t="s">
        <v>42</v>
      </c>
      <c r="C694" s="282">
        <v>100</v>
      </c>
      <c r="D694" s="440">
        <v>128.65600000000001</v>
      </c>
      <c r="E694" s="480"/>
      <c r="F694" s="290"/>
      <c r="G694" s="290"/>
    </row>
    <row r="695" spans="1:7" outlineLevel="1" x14ac:dyDescent="0.25">
      <c r="A695" s="518" t="s">
        <v>259</v>
      </c>
      <c r="B695" s="518"/>
      <c r="C695" s="518"/>
      <c r="D695" s="518"/>
      <c r="E695" s="518"/>
      <c r="F695" s="270"/>
      <c r="G695" s="270"/>
    </row>
    <row r="696" spans="1:7" ht="19.5" outlineLevel="1" x14ac:dyDescent="0.25">
      <c r="A696" s="500" t="s">
        <v>260</v>
      </c>
      <c r="B696" s="500"/>
      <c r="C696" s="500"/>
      <c r="D696" s="500"/>
      <c r="E696" s="500"/>
      <c r="F696" s="500"/>
      <c r="G696" s="500"/>
    </row>
    <row r="697" spans="1:7" ht="45" outlineLevel="1" x14ac:dyDescent="0.25">
      <c r="A697" s="319">
        <v>1</v>
      </c>
      <c r="B697" s="320" t="s">
        <v>203</v>
      </c>
      <c r="C697" s="273">
        <v>100</v>
      </c>
      <c r="D697" s="422">
        <v>976.25</v>
      </c>
      <c r="E697" s="269"/>
      <c r="F697" s="270"/>
      <c r="G697" s="270"/>
    </row>
    <row r="698" spans="1:7" ht="32.25" customHeight="1" outlineLevel="1" x14ac:dyDescent="0.25">
      <c r="A698" s="319">
        <v>2</v>
      </c>
      <c r="B698" s="302" t="s">
        <v>103</v>
      </c>
      <c r="C698" s="273">
        <v>100</v>
      </c>
      <c r="D698" s="422">
        <v>4140</v>
      </c>
      <c r="E698" s="295"/>
      <c r="F698" s="270"/>
      <c r="G698" s="270"/>
    </row>
    <row r="699" spans="1:7" outlineLevel="1" x14ac:dyDescent="0.25">
      <c r="A699" s="518" t="s">
        <v>259</v>
      </c>
      <c r="B699" s="518"/>
      <c r="C699" s="518"/>
      <c r="D699" s="518"/>
      <c r="E699" s="518"/>
      <c r="F699" s="270"/>
      <c r="G699" s="270"/>
    </row>
    <row r="700" spans="1:7" ht="25.5" customHeight="1" x14ac:dyDescent="0.4">
      <c r="A700" s="499" t="s">
        <v>262</v>
      </c>
      <c r="B700" s="499"/>
      <c r="C700" s="499"/>
      <c r="D700" s="499"/>
      <c r="E700" s="499"/>
      <c r="F700" s="470"/>
      <c r="G700" s="470"/>
    </row>
    <row r="701" spans="1:7" ht="19.5" outlineLevel="1" x14ac:dyDescent="0.25">
      <c r="A701" s="500" t="s">
        <v>9</v>
      </c>
      <c r="B701" s="500"/>
      <c r="C701" s="500"/>
      <c r="D701" s="500"/>
      <c r="E701" s="500"/>
      <c r="F701" s="500"/>
      <c r="G701" s="500"/>
    </row>
    <row r="702" spans="1:7" ht="75" outlineLevel="1" x14ac:dyDescent="0.25">
      <c r="A702" s="330">
        <v>1</v>
      </c>
      <c r="B702" s="327" t="s">
        <v>10</v>
      </c>
      <c r="C702" s="273">
        <v>1000</v>
      </c>
      <c r="D702" s="422">
        <v>19380715.75</v>
      </c>
      <c r="E702" s="269"/>
      <c r="F702" s="270"/>
      <c r="G702" s="270"/>
    </row>
    <row r="703" spans="1:7" ht="30" outlineLevel="1" x14ac:dyDescent="0.25">
      <c r="A703" s="507">
        <v>2</v>
      </c>
      <c r="B703" s="327" t="s">
        <v>211</v>
      </c>
      <c r="C703" s="330"/>
      <c r="D703" s="422"/>
      <c r="E703" s="298"/>
      <c r="F703" s="270"/>
      <c r="G703" s="270"/>
    </row>
    <row r="704" spans="1:7" outlineLevel="1" x14ac:dyDescent="0.25">
      <c r="A704" s="507"/>
      <c r="B704" s="327" t="s">
        <v>263</v>
      </c>
      <c r="C704" s="273">
        <v>1000</v>
      </c>
      <c r="D704" s="422">
        <v>10945.75</v>
      </c>
      <c r="E704" s="298"/>
      <c r="F704" s="270"/>
      <c r="G704" s="270"/>
    </row>
    <row r="705" spans="1:7" ht="35.25" customHeight="1" outlineLevel="1" x14ac:dyDescent="0.25">
      <c r="A705" s="330">
        <v>3</v>
      </c>
      <c r="B705" s="327" t="s">
        <v>11</v>
      </c>
      <c r="C705" s="273">
        <v>1000</v>
      </c>
      <c r="D705" s="422">
        <v>5396103.75</v>
      </c>
      <c r="E705" s="298"/>
      <c r="F705" s="270"/>
      <c r="G705" s="270"/>
    </row>
    <row r="706" spans="1:7" ht="45" outlineLevel="1" x14ac:dyDescent="0.25">
      <c r="A706" s="330">
        <v>4</v>
      </c>
      <c r="B706" s="327" t="s">
        <v>264</v>
      </c>
      <c r="C706" s="328">
        <v>1</v>
      </c>
      <c r="D706" s="422">
        <v>390</v>
      </c>
      <c r="E706" s="337"/>
      <c r="F706" s="270"/>
      <c r="G706" s="270"/>
    </row>
    <row r="707" spans="1:7" ht="19.5" outlineLevel="1" x14ac:dyDescent="0.25">
      <c r="A707" s="500" t="s">
        <v>21</v>
      </c>
      <c r="B707" s="500"/>
      <c r="C707" s="500"/>
      <c r="D707" s="500"/>
      <c r="E707" s="500"/>
      <c r="F707" s="500"/>
      <c r="G707" s="500"/>
    </row>
    <row r="708" spans="1:7" ht="63.75" customHeight="1" outlineLevel="1" x14ac:dyDescent="0.25">
      <c r="A708" s="271">
        <v>1</v>
      </c>
      <c r="B708" s="272" t="s">
        <v>22</v>
      </c>
      <c r="C708" s="273">
        <v>1000</v>
      </c>
      <c r="D708" s="423">
        <v>98</v>
      </c>
      <c r="E708" s="274"/>
      <c r="F708" s="270"/>
      <c r="G708" s="270"/>
    </row>
    <row r="709" spans="1:7" s="15" customFormat="1" ht="51.75" customHeight="1" outlineLevel="1" x14ac:dyDescent="0.2">
      <c r="A709" s="275">
        <v>2</v>
      </c>
      <c r="B709" s="272" t="s">
        <v>23</v>
      </c>
      <c r="C709" s="276"/>
      <c r="D709" s="424"/>
      <c r="E709" s="295"/>
      <c r="F709" s="277"/>
      <c r="G709" s="277"/>
    </row>
    <row r="710" spans="1:7" s="15" customFormat="1" ht="22.5" customHeight="1" outlineLevel="1" x14ac:dyDescent="0.2">
      <c r="A710" s="275"/>
      <c r="B710" s="272" t="s">
        <v>24</v>
      </c>
      <c r="C710" s="273">
        <v>100</v>
      </c>
      <c r="D710" s="423">
        <v>24.5</v>
      </c>
      <c r="E710" s="269"/>
      <c r="F710" s="277"/>
      <c r="G710" s="277"/>
    </row>
    <row r="711" spans="1:7" s="15" customFormat="1" ht="35.25" customHeight="1" outlineLevel="1" x14ac:dyDescent="0.2">
      <c r="A711" s="275">
        <v>3</v>
      </c>
      <c r="B711" s="272" t="s">
        <v>25</v>
      </c>
      <c r="C711" s="273">
        <v>100</v>
      </c>
      <c r="D711" s="423">
        <v>97.5</v>
      </c>
      <c r="E711" s="274"/>
      <c r="F711" s="277"/>
      <c r="G711" s="277"/>
    </row>
    <row r="712" spans="1:7" s="15" customFormat="1" ht="51.75" customHeight="1" outlineLevel="1" x14ac:dyDescent="0.2">
      <c r="A712" s="275">
        <v>4</v>
      </c>
      <c r="B712" s="272" t="s">
        <v>26</v>
      </c>
      <c r="C712" s="278">
        <v>100</v>
      </c>
      <c r="D712" s="423">
        <v>39</v>
      </c>
      <c r="E712" s="274"/>
      <c r="F712" s="277"/>
      <c r="G712" s="277"/>
    </row>
    <row r="713" spans="1:7" ht="36.75" customHeight="1" outlineLevel="1" x14ac:dyDescent="0.25">
      <c r="A713" s="271">
        <v>5</v>
      </c>
      <c r="B713" s="272" t="s">
        <v>27</v>
      </c>
      <c r="C713" s="273">
        <v>100</v>
      </c>
      <c r="D713" s="423">
        <v>81.703125</v>
      </c>
      <c r="E713" s="274"/>
      <c r="F713" s="270"/>
      <c r="G713" s="270"/>
    </row>
    <row r="714" spans="1:7" ht="22.5" customHeight="1" outlineLevel="1" x14ac:dyDescent="0.25">
      <c r="A714" s="271">
        <v>6</v>
      </c>
      <c r="B714" s="272" t="s">
        <v>28</v>
      </c>
      <c r="C714" s="278">
        <v>100</v>
      </c>
      <c r="D714" s="423">
        <v>230.64999999999998</v>
      </c>
      <c r="E714" s="274"/>
      <c r="F714" s="270"/>
      <c r="G714" s="270"/>
    </row>
    <row r="715" spans="1:7" ht="45" outlineLevel="1" x14ac:dyDescent="0.25">
      <c r="A715" s="271">
        <v>7</v>
      </c>
      <c r="B715" s="272" t="s">
        <v>29</v>
      </c>
      <c r="C715" s="278">
        <v>100</v>
      </c>
      <c r="D715" s="423">
        <v>230.64999999999998</v>
      </c>
      <c r="E715" s="274"/>
      <c r="F715" s="270"/>
      <c r="G715" s="270"/>
    </row>
    <row r="716" spans="1:7" ht="22.5" customHeight="1" outlineLevel="1" x14ac:dyDescent="0.25">
      <c r="A716" s="271">
        <v>8</v>
      </c>
      <c r="B716" s="272" t="s">
        <v>30</v>
      </c>
      <c r="C716" s="328">
        <v>1</v>
      </c>
      <c r="D716" s="423">
        <v>500</v>
      </c>
      <c r="E716" s="274"/>
      <c r="F716" s="270"/>
      <c r="G716" s="270"/>
    </row>
    <row r="717" spans="1:7" ht="80.25" customHeight="1" outlineLevel="1" x14ac:dyDescent="0.25">
      <c r="A717" s="291">
        <v>9</v>
      </c>
      <c r="B717" s="286" t="s">
        <v>31</v>
      </c>
      <c r="C717" s="287"/>
      <c r="D717" s="489"/>
      <c r="E717" s="490"/>
      <c r="F717" s="292"/>
      <c r="G717" s="292"/>
    </row>
    <row r="718" spans="1:7" outlineLevel="1" x14ac:dyDescent="0.25">
      <c r="A718" s="488"/>
      <c r="B718" s="281" t="s">
        <v>32</v>
      </c>
      <c r="C718" s="282">
        <v>100</v>
      </c>
      <c r="D718" s="445">
        <v>4.29</v>
      </c>
      <c r="E718" s="283"/>
      <c r="F718" s="290"/>
      <c r="G718" s="290"/>
    </row>
    <row r="719" spans="1:7" ht="19.5" outlineLevel="1" x14ac:dyDescent="0.25">
      <c r="A719" s="500" t="s">
        <v>168</v>
      </c>
      <c r="B719" s="500"/>
      <c r="C719" s="500"/>
      <c r="D719" s="500"/>
      <c r="E719" s="500"/>
      <c r="F719" s="500"/>
      <c r="G719" s="500"/>
    </row>
    <row r="720" spans="1:7" ht="21.75" customHeight="1" outlineLevel="1" x14ac:dyDescent="0.25">
      <c r="A720" s="293">
        <v>1</v>
      </c>
      <c r="B720" s="294" t="s">
        <v>34</v>
      </c>
      <c r="C720" s="273">
        <v>1</v>
      </c>
      <c r="D720" s="424">
        <v>67.08</v>
      </c>
      <c r="E720" s="295"/>
      <c r="F720" s="270"/>
      <c r="G720" s="270"/>
    </row>
    <row r="721" spans="1:7" ht="45" outlineLevel="1" x14ac:dyDescent="0.25">
      <c r="A721" s="293">
        <v>2</v>
      </c>
      <c r="B721" s="294" t="s">
        <v>35</v>
      </c>
      <c r="C721" s="303">
        <v>100</v>
      </c>
      <c r="D721" s="424">
        <v>153.27000000000001</v>
      </c>
      <c r="E721" s="295"/>
      <c r="F721" s="270"/>
      <c r="G721" s="270"/>
    </row>
    <row r="722" spans="1:7" ht="21" customHeight="1" outlineLevel="1" x14ac:dyDescent="0.25">
      <c r="A722" s="275">
        <v>3</v>
      </c>
      <c r="B722" s="294" t="s">
        <v>36</v>
      </c>
      <c r="C722" s="328">
        <v>1</v>
      </c>
      <c r="D722" s="424">
        <v>39</v>
      </c>
      <c r="E722" s="295"/>
      <c r="F722" s="270"/>
      <c r="G722" s="270"/>
    </row>
    <row r="723" spans="1:7" ht="21" customHeight="1" outlineLevel="1" x14ac:dyDescent="0.25">
      <c r="A723" s="275">
        <v>4</v>
      </c>
      <c r="B723" s="294" t="s">
        <v>37</v>
      </c>
      <c r="C723" s="329">
        <v>1</v>
      </c>
      <c r="D723" s="424">
        <v>39</v>
      </c>
      <c r="E723" s="295"/>
      <c r="F723" s="270"/>
      <c r="G723" s="270"/>
    </row>
    <row r="724" spans="1:7" ht="21" customHeight="1" outlineLevel="1" x14ac:dyDescent="0.25">
      <c r="A724" s="275">
        <v>5</v>
      </c>
      <c r="B724" s="294" t="s">
        <v>38</v>
      </c>
      <c r="C724" s="278">
        <v>100</v>
      </c>
      <c r="D724" s="424">
        <v>136.5</v>
      </c>
      <c r="E724" s="295"/>
      <c r="F724" s="270"/>
      <c r="G724" s="270"/>
    </row>
    <row r="725" spans="1:7" ht="30" outlineLevel="1" x14ac:dyDescent="0.25">
      <c r="A725" s="275">
        <v>6</v>
      </c>
      <c r="B725" s="294" t="s">
        <v>39</v>
      </c>
      <c r="C725" s="328">
        <v>1</v>
      </c>
      <c r="D725" s="424">
        <v>390</v>
      </c>
      <c r="E725" s="295"/>
      <c r="F725" s="270"/>
      <c r="G725" s="270"/>
    </row>
    <row r="726" spans="1:7" ht="75" outlineLevel="1" x14ac:dyDescent="0.25">
      <c r="A726" s="285">
        <v>7</v>
      </c>
      <c r="B726" s="463" t="s">
        <v>31</v>
      </c>
      <c r="C726" s="287"/>
      <c r="D726" s="441"/>
      <c r="E726" s="487"/>
      <c r="F726" s="292"/>
      <c r="G726" s="292"/>
    </row>
    <row r="727" spans="1:7" outlineLevel="1" x14ac:dyDescent="0.25">
      <c r="A727" s="280" t="s">
        <v>41</v>
      </c>
      <c r="B727" s="300" t="s">
        <v>42</v>
      </c>
      <c r="C727" s="282">
        <v>100</v>
      </c>
      <c r="D727" s="440">
        <v>59.0304</v>
      </c>
      <c r="E727" s="480"/>
      <c r="F727" s="290"/>
      <c r="G727" s="290"/>
    </row>
    <row r="728" spans="1:7" ht="18" customHeight="1" outlineLevel="1" x14ac:dyDescent="0.25">
      <c r="A728" s="508" t="s">
        <v>259</v>
      </c>
      <c r="B728" s="508"/>
      <c r="C728" s="508"/>
      <c r="D728" s="508"/>
      <c r="E728" s="508"/>
      <c r="F728" s="270"/>
      <c r="G728" s="270"/>
    </row>
    <row r="729" spans="1:7" ht="19.5" outlineLevel="1" x14ac:dyDescent="0.25">
      <c r="A729" s="500" t="s">
        <v>265</v>
      </c>
      <c r="B729" s="500"/>
      <c r="C729" s="500"/>
      <c r="D729" s="500"/>
      <c r="E729" s="500"/>
      <c r="F729" s="500"/>
      <c r="G729" s="500"/>
    </row>
    <row r="730" spans="1:7" ht="75" outlineLevel="1" x14ac:dyDescent="0.25">
      <c r="A730" s="293">
        <v>1</v>
      </c>
      <c r="B730" s="299" t="s">
        <v>45</v>
      </c>
      <c r="C730" s="273">
        <v>1000</v>
      </c>
      <c r="D730" s="424">
        <v>17227.970499999996</v>
      </c>
      <c r="E730" s="269"/>
      <c r="F730" s="270"/>
      <c r="G730" s="270"/>
    </row>
    <row r="731" spans="1:7" ht="24" customHeight="1" outlineLevel="1" x14ac:dyDescent="0.25">
      <c r="A731" s="293">
        <v>2</v>
      </c>
      <c r="B731" s="299" t="s">
        <v>75</v>
      </c>
      <c r="C731" s="273">
        <v>1000</v>
      </c>
      <c r="D731" s="424">
        <v>17227.970499999996</v>
      </c>
      <c r="E731" s="269"/>
      <c r="F731" s="270"/>
      <c r="G731" s="270"/>
    </row>
    <row r="732" spans="1:7" ht="45" outlineLevel="1" x14ac:dyDescent="0.25">
      <c r="A732" s="275">
        <v>3</v>
      </c>
      <c r="B732" s="302" t="s">
        <v>23</v>
      </c>
      <c r="C732" s="276"/>
      <c r="D732" s="424"/>
      <c r="E732" s="295"/>
      <c r="F732" s="270"/>
      <c r="G732" s="270"/>
    </row>
    <row r="733" spans="1:7" outlineLevel="1" x14ac:dyDescent="0.25">
      <c r="A733" s="275"/>
      <c r="B733" s="299" t="s">
        <v>24</v>
      </c>
      <c r="C733" s="273">
        <v>100</v>
      </c>
      <c r="D733" s="424">
        <v>1464.4274999999998</v>
      </c>
      <c r="E733" s="269"/>
      <c r="F733" s="270"/>
      <c r="G733" s="270"/>
    </row>
    <row r="734" spans="1:7" outlineLevel="1" x14ac:dyDescent="0.25">
      <c r="A734" s="275"/>
      <c r="B734" s="299" t="s">
        <v>125</v>
      </c>
      <c r="C734" s="273">
        <v>100</v>
      </c>
      <c r="D734" s="424">
        <v>187</v>
      </c>
      <c r="E734" s="269"/>
      <c r="F734" s="270"/>
      <c r="G734" s="270"/>
    </row>
    <row r="735" spans="1:7" ht="90" outlineLevel="1" x14ac:dyDescent="0.25">
      <c r="A735" s="275">
        <v>4</v>
      </c>
      <c r="B735" s="299" t="s">
        <v>46</v>
      </c>
      <c r="C735" s="303">
        <v>100</v>
      </c>
      <c r="D735" s="424">
        <v>44509.403099999989</v>
      </c>
      <c r="E735" s="304"/>
      <c r="F735" s="270"/>
      <c r="G735" s="270"/>
    </row>
    <row r="736" spans="1:7" ht="120.75" outlineLevel="1" x14ac:dyDescent="0.25">
      <c r="A736" s="275">
        <v>5</v>
      </c>
      <c r="B736" s="302" t="s">
        <v>78</v>
      </c>
      <c r="C736" s="276"/>
      <c r="D736" s="424"/>
      <c r="E736" s="295"/>
      <c r="F736" s="270"/>
      <c r="G736" s="270"/>
    </row>
    <row r="737" spans="1:7" ht="75" outlineLevel="1" x14ac:dyDescent="0.25">
      <c r="A737" s="275"/>
      <c r="B737" s="302" t="s">
        <v>100</v>
      </c>
      <c r="C737" s="273">
        <v>1</v>
      </c>
      <c r="D737" s="424">
        <v>10355.410199999998</v>
      </c>
      <c r="E737" s="269"/>
      <c r="F737" s="270"/>
      <c r="G737" s="270"/>
    </row>
    <row r="738" spans="1:7" ht="75" outlineLevel="1" x14ac:dyDescent="0.25">
      <c r="A738" s="275"/>
      <c r="B738" s="302" t="s">
        <v>201</v>
      </c>
      <c r="C738" s="273">
        <v>1</v>
      </c>
      <c r="D738" s="424">
        <v>4481.0575000000008</v>
      </c>
      <c r="E738" s="269"/>
      <c r="F738" s="270"/>
      <c r="G738" s="270"/>
    </row>
    <row r="739" spans="1:7" ht="30" outlineLevel="1" x14ac:dyDescent="0.25">
      <c r="A739" s="275">
        <v>6</v>
      </c>
      <c r="B739" s="299" t="s">
        <v>52</v>
      </c>
      <c r="C739" s="278">
        <v>100</v>
      </c>
      <c r="D739" s="424">
        <v>6197.8769999999977</v>
      </c>
      <c r="E739" s="295"/>
      <c r="F739" s="270"/>
      <c r="G739" s="270"/>
    </row>
    <row r="740" spans="1:7" ht="30" outlineLevel="1" x14ac:dyDescent="0.25">
      <c r="A740" s="275">
        <v>7</v>
      </c>
      <c r="B740" s="302" t="s">
        <v>79</v>
      </c>
      <c r="C740" s="273">
        <v>100</v>
      </c>
      <c r="D740" s="424">
        <v>440</v>
      </c>
      <c r="E740" s="295"/>
      <c r="F740" s="270"/>
      <c r="G740" s="270"/>
    </row>
    <row r="741" spans="1:7" ht="45" outlineLevel="1" x14ac:dyDescent="0.25">
      <c r="A741" s="275">
        <v>8</v>
      </c>
      <c r="B741" s="313" t="s">
        <v>80</v>
      </c>
      <c r="C741" s="323">
        <v>1</v>
      </c>
      <c r="D741" s="424">
        <v>1425.3799999999997</v>
      </c>
      <c r="E741" s="270"/>
      <c r="F741" s="270"/>
      <c r="G741" s="270"/>
    </row>
    <row r="742" spans="1:7" ht="30" outlineLevel="1" x14ac:dyDescent="0.25">
      <c r="A742" s="275">
        <v>9</v>
      </c>
      <c r="B742" s="315" t="s">
        <v>81</v>
      </c>
      <c r="C742" s="323">
        <v>1</v>
      </c>
      <c r="D742" s="424">
        <v>450</v>
      </c>
      <c r="E742" s="270"/>
      <c r="F742" s="270"/>
      <c r="G742" s="270"/>
    </row>
    <row r="743" spans="1:7" ht="25.5" customHeight="1" outlineLevel="1" x14ac:dyDescent="0.25">
      <c r="A743" s="275">
        <v>10</v>
      </c>
      <c r="B743" s="299" t="s">
        <v>66</v>
      </c>
      <c r="C743" s="273">
        <v>1000</v>
      </c>
      <c r="D743" s="424">
        <v>22000</v>
      </c>
      <c r="E743" s="298"/>
      <c r="F743" s="270"/>
      <c r="G743" s="270"/>
    </row>
    <row r="744" spans="1:7" ht="75.75" outlineLevel="1" x14ac:dyDescent="0.25">
      <c r="A744" s="275">
        <v>11</v>
      </c>
      <c r="B744" s="299" t="s">
        <v>40</v>
      </c>
      <c r="C744" s="276"/>
      <c r="D744" s="424"/>
      <c r="E744" s="298"/>
      <c r="F744" s="270"/>
      <c r="G744" s="270"/>
    </row>
    <row r="745" spans="1:7" outlineLevel="1" x14ac:dyDescent="0.25">
      <c r="A745" s="275" t="s">
        <v>67</v>
      </c>
      <c r="B745" s="299" t="s">
        <v>68</v>
      </c>
      <c r="C745" s="273">
        <v>100</v>
      </c>
      <c r="D745" s="424">
        <v>1405.8503999999998</v>
      </c>
      <c r="E745" s="298"/>
      <c r="F745" s="270"/>
      <c r="G745" s="270"/>
    </row>
    <row r="746" spans="1:7" outlineLevel="1" x14ac:dyDescent="0.25">
      <c r="A746" s="275" t="s">
        <v>41</v>
      </c>
      <c r="B746" s="299" t="s">
        <v>42</v>
      </c>
      <c r="C746" s="273">
        <v>100</v>
      </c>
      <c r="D746" s="424">
        <v>164.56</v>
      </c>
      <c r="E746" s="298"/>
      <c r="F746" s="270"/>
      <c r="G746" s="270"/>
    </row>
    <row r="747" spans="1:7" outlineLevel="1" x14ac:dyDescent="0.25">
      <c r="A747" s="275" t="s">
        <v>70</v>
      </c>
      <c r="B747" s="299" t="s">
        <v>82</v>
      </c>
      <c r="C747" s="273">
        <v>100</v>
      </c>
      <c r="D747" s="424">
        <v>12462.632867999999</v>
      </c>
      <c r="E747" s="298"/>
      <c r="F747" s="270"/>
      <c r="G747" s="270"/>
    </row>
    <row r="748" spans="1:7" outlineLevel="1" x14ac:dyDescent="0.25">
      <c r="A748" s="506" t="s">
        <v>83</v>
      </c>
      <c r="B748" s="506"/>
      <c r="C748" s="506"/>
      <c r="D748" s="506"/>
      <c r="E748" s="506"/>
      <c r="F748" s="270"/>
      <c r="G748" s="270"/>
    </row>
    <row r="749" spans="1:7" ht="19.5" outlineLevel="1" x14ac:dyDescent="0.25">
      <c r="A749" s="500" t="s">
        <v>266</v>
      </c>
      <c r="B749" s="500"/>
      <c r="C749" s="500"/>
      <c r="D749" s="500"/>
      <c r="E749" s="500"/>
      <c r="F749" s="500"/>
      <c r="G749" s="500"/>
    </row>
    <row r="750" spans="1:7" ht="75" outlineLevel="1" x14ac:dyDescent="0.25">
      <c r="A750" s="293">
        <v>1</v>
      </c>
      <c r="B750" s="299" t="s">
        <v>45</v>
      </c>
      <c r="C750" s="273">
        <v>1000</v>
      </c>
      <c r="D750" s="424">
        <v>91276.01999999996</v>
      </c>
      <c r="E750" s="269"/>
      <c r="F750" s="270"/>
      <c r="G750" s="270"/>
    </row>
    <row r="751" spans="1:7" ht="45" outlineLevel="1" x14ac:dyDescent="0.25">
      <c r="A751" s="285">
        <v>2</v>
      </c>
      <c r="B751" s="311" t="s">
        <v>23</v>
      </c>
      <c r="C751" s="291"/>
      <c r="D751" s="441"/>
      <c r="E751" s="288"/>
      <c r="F751" s="292"/>
      <c r="G751" s="292"/>
    </row>
    <row r="752" spans="1:7" outlineLevel="1" x14ac:dyDescent="0.25">
      <c r="A752" s="280"/>
      <c r="B752" s="300" t="s">
        <v>24</v>
      </c>
      <c r="C752" s="282">
        <v>100</v>
      </c>
      <c r="D752" s="440">
        <v>1441.5</v>
      </c>
      <c r="E752" s="310"/>
      <c r="F752" s="290"/>
      <c r="G752" s="290"/>
    </row>
    <row r="753" spans="1:7" ht="90" outlineLevel="1" x14ac:dyDescent="0.25">
      <c r="A753" s="275">
        <v>3</v>
      </c>
      <c r="B753" s="299" t="s">
        <v>46</v>
      </c>
      <c r="C753" s="303">
        <v>100</v>
      </c>
      <c r="D753" s="424">
        <v>71071.979999999967</v>
      </c>
      <c r="E753" s="304"/>
      <c r="F753" s="270"/>
      <c r="G753" s="270"/>
    </row>
    <row r="754" spans="1:7" ht="120.75" outlineLevel="1" x14ac:dyDescent="0.25">
      <c r="A754" s="275">
        <v>4</v>
      </c>
      <c r="B754" s="302" t="s">
        <v>47</v>
      </c>
      <c r="C754" s="271"/>
      <c r="D754" s="424"/>
      <c r="E754" s="295"/>
      <c r="F754" s="270"/>
      <c r="G754" s="270"/>
    </row>
    <row r="755" spans="1:7" ht="75" outlineLevel="1" x14ac:dyDescent="0.25">
      <c r="A755" s="275" t="s">
        <v>48</v>
      </c>
      <c r="B755" s="302" t="s">
        <v>100</v>
      </c>
      <c r="C755" s="273">
        <v>1</v>
      </c>
      <c r="D755" s="424">
        <v>17924.659999999996</v>
      </c>
      <c r="E755" s="269"/>
      <c r="F755" s="270"/>
      <c r="G755" s="270"/>
    </row>
    <row r="756" spans="1:7" ht="75" outlineLevel="1" x14ac:dyDescent="0.25">
      <c r="A756" s="275" t="s">
        <v>50</v>
      </c>
      <c r="B756" s="302" t="s">
        <v>201</v>
      </c>
      <c r="C756" s="273">
        <v>1</v>
      </c>
      <c r="D756" s="424">
        <v>5766</v>
      </c>
      <c r="E756" s="269"/>
      <c r="F756" s="270"/>
      <c r="G756" s="270"/>
    </row>
    <row r="757" spans="1:7" ht="30" outlineLevel="1" x14ac:dyDescent="0.25">
      <c r="A757" s="275">
        <v>5</v>
      </c>
      <c r="B757" s="299" t="s">
        <v>52</v>
      </c>
      <c r="C757" s="278">
        <v>100</v>
      </c>
      <c r="D757" s="424">
        <v>16855.639999999992</v>
      </c>
      <c r="E757" s="295"/>
      <c r="F757" s="270"/>
      <c r="G757" s="270"/>
    </row>
    <row r="758" spans="1:7" ht="45" outlineLevel="1" x14ac:dyDescent="0.25">
      <c r="A758" s="275">
        <v>6</v>
      </c>
      <c r="B758" s="299" t="s">
        <v>214</v>
      </c>
      <c r="C758" s="323">
        <v>1</v>
      </c>
      <c r="D758" s="424">
        <v>60</v>
      </c>
      <c r="E758" s="295"/>
      <c r="F758" s="270"/>
      <c r="G758" s="270"/>
    </row>
    <row r="759" spans="1:7" ht="105" outlineLevel="1" x14ac:dyDescent="0.25">
      <c r="A759" s="275">
        <v>7</v>
      </c>
      <c r="B759" s="306" t="s">
        <v>54</v>
      </c>
      <c r="C759" s="273">
        <v>100</v>
      </c>
      <c r="D759" s="424">
        <v>480</v>
      </c>
      <c r="E759" s="270"/>
      <c r="F759" s="270"/>
      <c r="G759" s="270"/>
    </row>
    <row r="760" spans="1:7" ht="120" outlineLevel="1" x14ac:dyDescent="0.25">
      <c r="A760" s="275">
        <v>8</v>
      </c>
      <c r="B760" s="306" t="s">
        <v>267</v>
      </c>
      <c r="C760" s="273">
        <v>100</v>
      </c>
      <c r="D760" s="424">
        <v>480</v>
      </c>
      <c r="E760" s="270"/>
      <c r="F760" s="270"/>
      <c r="G760" s="270"/>
    </row>
    <row r="761" spans="1:7" ht="32.25" customHeight="1" outlineLevel="1" x14ac:dyDescent="0.25">
      <c r="A761" s="275">
        <v>9</v>
      </c>
      <c r="B761" s="306" t="s">
        <v>268</v>
      </c>
      <c r="C761" s="323">
        <v>1</v>
      </c>
      <c r="D761" s="424">
        <v>160</v>
      </c>
      <c r="E761" s="270"/>
      <c r="F761" s="270"/>
      <c r="G761" s="270"/>
    </row>
    <row r="762" spans="1:7" ht="105" outlineLevel="1" x14ac:dyDescent="0.25">
      <c r="A762" s="275">
        <v>10</v>
      </c>
      <c r="B762" s="306" t="s">
        <v>269</v>
      </c>
      <c r="C762" s="307"/>
      <c r="D762" s="424"/>
      <c r="E762" s="295"/>
      <c r="F762" s="270"/>
      <c r="G762" s="270"/>
    </row>
    <row r="763" spans="1:7" ht="45" outlineLevel="1" x14ac:dyDescent="0.25">
      <c r="A763" s="275" t="s">
        <v>58</v>
      </c>
      <c r="B763" s="306" t="s">
        <v>59</v>
      </c>
      <c r="C763" s="278">
        <v>100</v>
      </c>
      <c r="D763" s="424">
        <v>960</v>
      </c>
      <c r="E763" s="295"/>
      <c r="F763" s="270"/>
      <c r="G763" s="270"/>
    </row>
    <row r="764" spans="1:7" ht="45" outlineLevel="1" x14ac:dyDescent="0.25">
      <c r="A764" s="275" t="s">
        <v>60</v>
      </c>
      <c r="B764" s="306" t="s">
        <v>61</v>
      </c>
      <c r="C764" s="278">
        <v>100</v>
      </c>
      <c r="D764" s="424">
        <v>960</v>
      </c>
      <c r="E764" s="295"/>
      <c r="F764" s="270"/>
      <c r="G764" s="270"/>
    </row>
    <row r="765" spans="1:7" ht="45" outlineLevel="1" x14ac:dyDescent="0.25">
      <c r="A765" s="275" t="s">
        <v>62</v>
      </c>
      <c r="B765" s="306" t="s">
        <v>63</v>
      </c>
      <c r="C765" s="278">
        <v>100</v>
      </c>
      <c r="D765" s="424">
        <v>960</v>
      </c>
      <c r="E765" s="295"/>
      <c r="F765" s="270"/>
      <c r="G765" s="270"/>
    </row>
    <row r="766" spans="1:7" ht="45" outlineLevel="1" x14ac:dyDescent="0.25">
      <c r="A766" s="275">
        <v>11</v>
      </c>
      <c r="B766" s="306" t="s">
        <v>64</v>
      </c>
      <c r="C766" s="273">
        <v>100</v>
      </c>
      <c r="D766" s="424">
        <v>960</v>
      </c>
      <c r="E766" s="295"/>
      <c r="F766" s="270"/>
      <c r="G766" s="270"/>
    </row>
    <row r="767" spans="1:7" ht="30" outlineLevel="1" x14ac:dyDescent="0.25">
      <c r="A767" s="308">
        <v>12</v>
      </c>
      <c r="B767" s="309" t="s">
        <v>65</v>
      </c>
      <c r="C767" s="273">
        <v>1000</v>
      </c>
      <c r="D767" s="424">
        <v>9600</v>
      </c>
      <c r="E767" s="295"/>
      <c r="F767" s="270"/>
      <c r="G767" s="270"/>
    </row>
    <row r="768" spans="1:7" ht="30.75" customHeight="1" outlineLevel="1" x14ac:dyDescent="0.25">
      <c r="A768" s="275">
        <v>13</v>
      </c>
      <c r="B768" s="299" t="s">
        <v>66</v>
      </c>
      <c r="C768" s="273">
        <v>1000</v>
      </c>
      <c r="D768" s="424">
        <v>54239.999999999964</v>
      </c>
      <c r="E768" s="298"/>
      <c r="F768" s="270"/>
      <c r="G768" s="270"/>
    </row>
    <row r="769" spans="1:7" ht="75.75" outlineLevel="1" x14ac:dyDescent="0.25">
      <c r="A769" s="275">
        <v>14</v>
      </c>
      <c r="B769" s="299" t="s">
        <v>40</v>
      </c>
      <c r="C769" s="276"/>
      <c r="D769" s="424"/>
      <c r="E769" s="298"/>
      <c r="F769" s="270"/>
      <c r="G769" s="270"/>
    </row>
    <row r="770" spans="1:7" outlineLevel="1" x14ac:dyDescent="0.25">
      <c r="A770" s="275" t="s">
        <v>67</v>
      </c>
      <c r="B770" s="299" t="s">
        <v>68</v>
      </c>
      <c r="C770" s="273">
        <v>100</v>
      </c>
      <c r="D770" s="424">
        <v>1383.84</v>
      </c>
      <c r="E770" s="298"/>
      <c r="F770" s="270"/>
      <c r="G770" s="270"/>
    </row>
    <row r="771" spans="1:7" outlineLevel="1" x14ac:dyDescent="0.25">
      <c r="A771" s="275" t="s">
        <v>41</v>
      </c>
      <c r="B771" s="299" t="s">
        <v>69</v>
      </c>
      <c r="C771" s="273">
        <v>100</v>
      </c>
      <c r="D771" s="424">
        <v>19900.154399999996</v>
      </c>
      <c r="E771" s="298"/>
      <c r="F771" s="270"/>
      <c r="G771" s="270"/>
    </row>
    <row r="772" spans="1:7" outlineLevel="1" x14ac:dyDescent="0.25">
      <c r="A772" s="275" t="s">
        <v>70</v>
      </c>
      <c r="B772" s="299" t="s">
        <v>71</v>
      </c>
      <c r="C772" s="273">
        <v>100</v>
      </c>
      <c r="D772" s="424">
        <v>585.6</v>
      </c>
      <c r="E772" s="298"/>
      <c r="F772" s="270"/>
      <c r="G772" s="270"/>
    </row>
    <row r="773" spans="1:7" outlineLevel="1" x14ac:dyDescent="0.25">
      <c r="A773" s="275" t="s">
        <v>70</v>
      </c>
      <c r="B773" s="299" t="s">
        <v>72</v>
      </c>
      <c r="C773" s="273">
        <v>100</v>
      </c>
      <c r="D773" s="424">
        <v>72</v>
      </c>
      <c r="E773" s="298"/>
      <c r="F773" s="270"/>
      <c r="G773" s="270"/>
    </row>
    <row r="774" spans="1:7" outlineLevel="1" x14ac:dyDescent="0.25">
      <c r="A774" s="506" t="s">
        <v>73</v>
      </c>
      <c r="B774" s="506"/>
      <c r="C774" s="506"/>
      <c r="D774" s="506"/>
      <c r="E774" s="506"/>
      <c r="F774" s="270"/>
      <c r="G774" s="270"/>
    </row>
    <row r="775" spans="1:7" ht="19.5" outlineLevel="1" x14ac:dyDescent="0.25">
      <c r="A775" s="500" t="s">
        <v>270</v>
      </c>
      <c r="B775" s="500"/>
      <c r="C775" s="500"/>
      <c r="D775" s="500"/>
      <c r="E775" s="500"/>
      <c r="F775" s="500"/>
      <c r="G775" s="500"/>
    </row>
    <row r="776" spans="1:7" ht="75" outlineLevel="1" x14ac:dyDescent="0.25">
      <c r="A776" s="293">
        <v>1</v>
      </c>
      <c r="B776" s="299" t="s">
        <v>45</v>
      </c>
      <c r="C776" s="273">
        <v>1000</v>
      </c>
      <c r="D776" s="424">
        <v>44596.765778000001</v>
      </c>
      <c r="E776" s="269"/>
      <c r="F776" s="270"/>
      <c r="G776" s="270"/>
    </row>
    <row r="777" spans="1:7" ht="25.5" customHeight="1" outlineLevel="1" x14ac:dyDescent="0.25">
      <c r="A777" s="293">
        <v>2</v>
      </c>
      <c r="B777" s="299" t="s">
        <v>75</v>
      </c>
      <c r="C777" s="273">
        <v>1000</v>
      </c>
      <c r="D777" s="424">
        <v>44596.765778000001</v>
      </c>
      <c r="E777" s="269"/>
      <c r="F777" s="270"/>
      <c r="G777" s="270"/>
    </row>
    <row r="778" spans="1:7" ht="45" outlineLevel="1" x14ac:dyDescent="0.25">
      <c r="A778" s="275"/>
      <c r="B778" s="302" t="s">
        <v>23</v>
      </c>
      <c r="C778" s="271"/>
      <c r="D778" s="424"/>
      <c r="E778" s="295"/>
      <c r="F778" s="270"/>
      <c r="G778" s="270"/>
    </row>
    <row r="779" spans="1:7" outlineLevel="1" x14ac:dyDescent="0.25">
      <c r="A779" s="275">
        <v>3</v>
      </c>
      <c r="B779" s="299" t="s">
        <v>24</v>
      </c>
      <c r="C779" s="273">
        <v>100</v>
      </c>
      <c r="D779" s="424">
        <v>971.790975</v>
      </c>
      <c r="E779" s="269"/>
      <c r="F779" s="270"/>
      <c r="G779" s="270"/>
    </row>
    <row r="780" spans="1:7" outlineLevel="1" x14ac:dyDescent="0.25">
      <c r="A780" s="275">
        <v>4</v>
      </c>
      <c r="B780" s="299" t="s">
        <v>125</v>
      </c>
      <c r="C780" s="273">
        <v>100</v>
      </c>
      <c r="D780" s="424">
        <v>501.67600000000004</v>
      </c>
      <c r="E780" s="269"/>
      <c r="F780" s="270"/>
      <c r="G780" s="270"/>
    </row>
    <row r="781" spans="1:7" ht="90" outlineLevel="1" x14ac:dyDescent="0.25">
      <c r="A781" s="275">
        <v>5</v>
      </c>
      <c r="B781" s="299" t="s">
        <v>225</v>
      </c>
      <c r="C781" s="303">
        <v>100</v>
      </c>
      <c r="D781" s="424">
        <v>63787.433850000016</v>
      </c>
      <c r="E781" s="304"/>
      <c r="F781" s="270"/>
      <c r="G781" s="270"/>
    </row>
    <row r="782" spans="1:7" ht="120.75" outlineLevel="1" x14ac:dyDescent="0.25">
      <c r="A782" s="275"/>
      <c r="B782" s="302" t="s">
        <v>47</v>
      </c>
      <c r="C782" s="271"/>
      <c r="D782" s="424"/>
      <c r="E782" s="295"/>
      <c r="F782" s="270"/>
      <c r="G782" s="270"/>
    </row>
    <row r="783" spans="1:7" ht="60" outlineLevel="1" x14ac:dyDescent="0.25">
      <c r="A783" s="275">
        <v>6</v>
      </c>
      <c r="B783" s="302" t="s">
        <v>205</v>
      </c>
      <c r="C783" s="273">
        <v>1</v>
      </c>
      <c r="D783" s="424">
        <v>9101.6800000000039</v>
      </c>
      <c r="E783" s="269"/>
      <c r="F783" s="270"/>
      <c r="G783" s="270"/>
    </row>
    <row r="784" spans="1:7" ht="75" outlineLevel="1" x14ac:dyDescent="0.25">
      <c r="A784" s="275">
        <v>7</v>
      </c>
      <c r="B784" s="299" t="s">
        <v>570</v>
      </c>
      <c r="C784" s="273">
        <v>1</v>
      </c>
      <c r="D784" s="424">
        <v>5073.3052999999991</v>
      </c>
      <c r="E784" s="269"/>
      <c r="F784" s="270"/>
      <c r="G784" s="270"/>
    </row>
    <row r="785" spans="1:7" ht="39.75" customHeight="1" outlineLevel="1" x14ac:dyDescent="0.25">
      <c r="A785" s="275">
        <v>8</v>
      </c>
      <c r="B785" s="299" t="s">
        <v>52</v>
      </c>
      <c r="C785" s="278">
        <v>100</v>
      </c>
      <c r="D785" s="424">
        <v>5294.2214000000004</v>
      </c>
      <c r="E785" s="295"/>
      <c r="F785" s="270"/>
      <c r="G785" s="270"/>
    </row>
    <row r="786" spans="1:7" ht="75" outlineLevel="1" x14ac:dyDescent="0.25">
      <c r="A786" s="275">
        <v>9</v>
      </c>
      <c r="B786" s="299" t="s">
        <v>226</v>
      </c>
      <c r="C786" s="278">
        <v>100</v>
      </c>
      <c r="D786" s="424">
        <v>997.5381000000001</v>
      </c>
      <c r="E786" s="269"/>
      <c r="F786" s="270"/>
      <c r="G786" s="270"/>
    </row>
    <row r="787" spans="1:7" ht="30" outlineLevel="1" x14ac:dyDescent="0.25">
      <c r="A787" s="275">
        <v>10</v>
      </c>
      <c r="B787" s="302" t="s">
        <v>121</v>
      </c>
      <c r="C787" s="278">
        <v>1</v>
      </c>
      <c r="D787" s="424">
        <v>997.5381000000001</v>
      </c>
      <c r="E787" s="269"/>
      <c r="F787" s="270"/>
      <c r="G787" s="270"/>
    </row>
    <row r="788" spans="1:7" ht="45" outlineLevel="1" x14ac:dyDescent="0.25">
      <c r="A788" s="275">
        <v>11</v>
      </c>
      <c r="B788" s="302" t="s">
        <v>129</v>
      </c>
      <c r="C788" s="323">
        <v>1</v>
      </c>
      <c r="D788" s="424">
        <v>111</v>
      </c>
      <c r="E788" s="295"/>
      <c r="F788" s="270"/>
      <c r="G788" s="270"/>
    </row>
    <row r="789" spans="1:7" ht="30" outlineLevel="1" x14ac:dyDescent="0.25">
      <c r="A789" s="275">
        <v>12</v>
      </c>
      <c r="B789" s="302" t="s">
        <v>130</v>
      </c>
      <c r="C789" s="328">
        <v>1</v>
      </c>
      <c r="D789" s="424">
        <v>6</v>
      </c>
      <c r="E789" s="295"/>
      <c r="F789" s="270"/>
      <c r="G789" s="270"/>
    </row>
    <row r="790" spans="1:7" ht="28.5" customHeight="1" outlineLevel="1" x14ac:dyDescent="0.25">
      <c r="A790" s="275">
        <v>13</v>
      </c>
      <c r="B790" s="302" t="s">
        <v>131</v>
      </c>
      <c r="C790" s="328">
        <v>1</v>
      </c>
      <c r="D790" s="424">
        <v>6</v>
      </c>
      <c r="E790" s="295"/>
      <c r="F790" s="270"/>
      <c r="G790" s="270"/>
    </row>
    <row r="791" spans="1:7" ht="180" outlineLevel="1" x14ac:dyDescent="0.25">
      <c r="A791" s="275">
        <v>14</v>
      </c>
      <c r="B791" s="299" t="s">
        <v>271</v>
      </c>
      <c r="C791" s="278">
        <v>1</v>
      </c>
      <c r="D791" s="424">
        <v>367.92</v>
      </c>
      <c r="E791" s="269"/>
      <c r="F791" s="270"/>
      <c r="G791" s="270"/>
    </row>
    <row r="792" spans="1:7" ht="52.5" customHeight="1" outlineLevel="1" x14ac:dyDescent="0.25">
      <c r="A792" s="275">
        <v>15</v>
      </c>
      <c r="B792" s="299" t="s">
        <v>228</v>
      </c>
      <c r="C792" s="278">
        <v>1</v>
      </c>
      <c r="D792" s="424">
        <v>176</v>
      </c>
      <c r="E792" s="269"/>
      <c r="F792" s="270"/>
      <c r="G792" s="270"/>
    </row>
    <row r="793" spans="1:7" ht="24" customHeight="1" outlineLevel="1" x14ac:dyDescent="0.25">
      <c r="A793" s="275">
        <v>16</v>
      </c>
      <c r="B793" s="302" t="s">
        <v>229</v>
      </c>
      <c r="C793" s="278">
        <v>100</v>
      </c>
      <c r="D793" s="424">
        <v>3581.6040000000003</v>
      </c>
      <c r="E793" s="295"/>
      <c r="F793" s="270"/>
      <c r="G793" s="270"/>
    </row>
    <row r="794" spans="1:7" ht="45" outlineLevel="1" x14ac:dyDescent="0.25">
      <c r="A794" s="275">
        <v>17</v>
      </c>
      <c r="B794" s="302" t="s">
        <v>133</v>
      </c>
      <c r="C794" s="278">
        <v>100</v>
      </c>
      <c r="D794" s="424">
        <v>3896.5079999999998</v>
      </c>
      <c r="E794" s="295"/>
      <c r="F794" s="270"/>
      <c r="G794" s="270"/>
    </row>
    <row r="795" spans="1:7" ht="30" outlineLevel="1" x14ac:dyDescent="0.25">
      <c r="A795" s="275">
        <v>18</v>
      </c>
      <c r="B795" s="302" t="s">
        <v>134</v>
      </c>
      <c r="C795" s="278">
        <v>100</v>
      </c>
      <c r="D795" s="424">
        <v>336</v>
      </c>
      <c r="E795" s="295"/>
      <c r="F795" s="270"/>
      <c r="G795" s="270"/>
    </row>
    <row r="796" spans="1:7" ht="45" outlineLevel="1" x14ac:dyDescent="0.25">
      <c r="A796" s="275">
        <v>19</v>
      </c>
      <c r="B796" s="299" t="s">
        <v>230</v>
      </c>
      <c r="C796" s="328">
        <v>1</v>
      </c>
      <c r="D796" s="424">
        <v>64</v>
      </c>
      <c r="E796" s="295"/>
      <c r="F796" s="270"/>
      <c r="G796" s="270"/>
    </row>
    <row r="797" spans="1:7" ht="75" outlineLevel="1" x14ac:dyDescent="0.25">
      <c r="A797" s="275">
        <v>20</v>
      </c>
      <c r="B797" s="299" t="s">
        <v>272</v>
      </c>
      <c r="C797" s="323">
        <v>1</v>
      </c>
      <c r="D797" s="424">
        <v>71.86</v>
      </c>
      <c r="E797" s="295"/>
      <c r="F797" s="270"/>
      <c r="G797" s="270"/>
    </row>
    <row r="798" spans="1:7" ht="22.5" customHeight="1" outlineLevel="1" x14ac:dyDescent="0.25">
      <c r="A798" s="275">
        <v>21</v>
      </c>
      <c r="B798" s="299" t="s">
        <v>231</v>
      </c>
      <c r="C798" s="278">
        <v>1</v>
      </c>
      <c r="D798" s="424">
        <v>368</v>
      </c>
      <c r="E798" s="295"/>
      <c r="F798" s="270"/>
      <c r="G798" s="270"/>
    </row>
    <row r="799" spans="1:7" ht="75" outlineLevel="1" x14ac:dyDescent="0.25">
      <c r="A799" s="275">
        <v>22</v>
      </c>
      <c r="B799" s="299" t="s">
        <v>232</v>
      </c>
      <c r="C799" s="278">
        <v>1</v>
      </c>
      <c r="D799" s="424">
        <v>1682.7508000000003</v>
      </c>
      <c r="E799" s="295"/>
      <c r="F799" s="270"/>
      <c r="G799" s="270"/>
    </row>
    <row r="800" spans="1:7" ht="30" outlineLevel="1" x14ac:dyDescent="0.25">
      <c r="A800" s="275">
        <v>23</v>
      </c>
      <c r="B800" s="299" t="s">
        <v>233</v>
      </c>
      <c r="C800" s="273">
        <v>100</v>
      </c>
      <c r="D800" s="424">
        <v>418.97</v>
      </c>
      <c r="E800" s="295"/>
      <c r="F800" s="270"/>
      <c r="G800" s="270"/>
    </row>
    <row r="801" spans="1:7" ht="90" outlineLevel="1" x14ac:dyDescent="0.25">
      <c r="A801" s="275">
        <v>24</v>
      </c>
      <c r="B801" s="299" t="s">
        <v>234</v>
      </c>
      <c r="C801" s="278">
        <v>100</v>
      </c>
      <c r="D801" s="424">
        <v>997.5381000000001</v>
      </c>
      <c r="E801" s="295"/>
      <c r="F801" s="270"/>
      <c r="G801" s="270"/>
    </row>
    <row r="802" spans="1:7" ht="75" outlineLevel="1" x14ac:dyDescent="0.25">
      <c r="A802" s="275">
        <v>25</v>
      </c>
      <c r="B802" s="299" t="s">
        <v>235</v>
      </c>
      <c r="C802" s="278">
        <v>100</v>
      </c>
      <c r="D802" s="424">
        <v>72.099999999999994</v>
      </c>
      <c r="E802" s="295"/>
      <c r="F802" s="270"/>
      <c r="G802" s="270"/>
    </row>
    <row r="803" spans="1:7" ht="45" outlineLevel="1" x14ac:dyDescent="0.25">
      <c r="A803" s="275">
        <v>26</v>
      </c>
      <c r="B803" s="299" t="s">
        <v>236</v>
      </c>
      <c r="C803" s="323">
        <v>1</v>
      </c>
      <c r="D803" s="424">
        <v>519.15</v>
      </c>
      <c r="E803" s="295"/>
      <c r="F803" s="270"/>
      <c r="G803" s="270"/>
    </row>
    <row r="804" spans="1:7" ht="45" outlineLevel="1" x14ac:dyDescent="0.25">
      <c r="A804" s="275">
        <v>27</v>
      </c>
      <c r="B804" s="313" t="s">
        <v>80</v>
      </c>
      <c r="C804" s="323">
        <v>1</v>
      </c>
      <c r="D804" s="424">
        <v>236.66</v>
      </c>
      <c r="E804" s="270"/>
      <c r="F804" s="270"/>
      <c r="G804" s="270"/>
    </row>
    <row r="805" spans="1:7" ht="45" outlineLevel="1" x14ac:dyDescent="0.25">
      <c r="A805" s="275">
        <v>28</v>
      </c>
      <c r="B805" s="302" t="s">
        <v>136</v>
      </c>
      <c r="C805" s="271"/>
      <c r="D805" s="424"/>
      <c r="E805" s="295"/>
      <c r="F805" s="270"/>
      <c r="G805" s="270"/>
    </row>
    <row r="806" spans="1:7" outlineLevel="1" x14ac:dyDescent="0.25">
      <c r="A806" s="275"/>
      <c r="B806" s="302" t="s">
        <v>176</v>
      </c>
      <c r="C806" s="323">
        <v>1</v>
      </c>
      <c r="D806" s="424">
        <v>150</v>
      </c>
      <c r="E806" s="295"/>
      <c r="F806" s="270"/>
      <c r="G806" s="270"/>
    </row>
    <row r="807" spans="1:7" outlineLevel="1" x14ac:dyDescent="0.25">
      <c r="A807" s="275"/>
      <c r="B807" s="302" t="s">
        <v>177</v>
      </c>
      <c r="C807" s="323">
        <v>1</v>
      </c>
      <c r="D807" s="424">
        <v>150</v>
      </c>
      <c r="E807" s="295"/>
      <c r="F807" s="270"/>
      <c r="G807" s="270"/>
    </row>
    <row r="808" spans="1:7" ht="75" outlineLevel="1" x14ac:dyDescent="0.25">
      <c r="A808" s="275">
        <v>29</v>
      </c>
      <c r="B808" s="302" t="s">
        <v>141</v>
      </c>
      <c r="C808" s="271"/>
      <c r="D808" s="424"/>
      <c r="E808" s="295"/>
      <c r="F808" s="270"/>
      <c r="G808" s="270"/>
    </row>
    <row r="809" spans="1:7" outlineLevel="1" x14ac:dyDescent="0.25">
      <c r="A809" s="275"/>
      <c r="B809" s="302" t="s">
        <v>180</v>
      </c>
      <c r="C809" s="323">
        <v>1</v>
      </c>
      <c r="D809" s="424">
        <v>500</v>
      </c>
      <c r="E809" s="295"/>
      <c r="F809" s="270"/>
      <c r="G809" s="270"/>
    </row>
    <row r="810" spans="1:7" outlineLevel="1" x14ac:dyDescent="0.25">
      <c r="A810" s="275"/>
      <c r="B810" s="302" t="s">
        <v>181</v>
      </c>
      <c r="C810" s="323">
        <v>1</v>
      </c>
      <c r="D810" s="424">
        <v>300</v>
      </c>
      <c r="E810" s="295"/>
      <c r="F810" s="270"/>
      <c r="G810" s="270"/>
    </row>
    <row r="811" spans="1:7" ht="60" outlineLevel="1" x14ac:dyDescent="0.25">
      <c r="A811" s="275">
        <v>30</v>
      </c>
      <c r="B811" s="302" t="s">
        <v>145</v>
      </c>
      <c r="C811" s="271"/>
      <c r="D811" s="424"/>
      <c r="E811" s="295"/>
      <c r="F811" s="270"/>
      <c r="G811" s="270"/>
    </row>
    <row r="812" spans="1:7" outlineLevel="1" x14ac:dyDescent="0.25">
      <c r="A812" s="275"/>
      <c r="B812" s="302" t="s">
        <v>184</v>
      </c>
      <c r="C812" s="329">
        <v>1</v>
      </c>
      <c r="D812" s="424">
        <v>5</v>
      </c>
      <c r="E812" s="295"/>
      <c r="F812" s="270"/>
      <c r="G812" s="270"/>
    </row>
    <row r="813" spans="1:7" ht="21.75" customHeight="1" outlineLevel="1" x14ac:dyDescent="0.25">
      <c r="A813" s="275">
        <v>31</v>
      </c>
      <c r="B813" s="302" t="s">
        <v>237</v>
      </c>
      <c r="C813" s="329">
        <v>1</v>
      </c>
      <c r="D813" s="424">
        <v>35</v>
      </c>
      <c r="E813" s="295"/>
      <c r="F813" s="270"/>
      <c r="G813" s="270"/>
    </row>
    <row r="814" spans="1:7" ht="30" outlineLevel="1" x14ac:dyDescent="0.25">
      <c r="A814" s="275">
        <v>32</v>
      </c>
      <c r="B814" s="302" t="s">
        <v>238</v>
      </c>
      <c r="C814" s="329">
        <v>1</v>
      </c>
      <c r="D814" s="424">
        <v>10</v>
      </c>
      <c r="E814" s="295"/>
      <c r="F814" s="270"/>
      <c r="G814" s="270"/>
    </row>
    <row r="815" spans="1:7" ht="26.25" customHeight="1" outlineLevel="1" x14ac:dyDescent="0.25">
      <c r="A815" s="275">
        <v>33</v>
      </c>
      <c r="B815" s="302" t="s">
        <v>150</v>
      </c>
      <c r="C815" s="329">
        <v>1</v>
      </c>
      <c r="D815" s="424">
        <v>10</v>
      </c>
      <c r="E815" s="295"/>
      <c r="F815" s="270"/>
      <c r="G815" s="270"/>
    </row>
    <row r="816" spans="1:7" ht="90.75" outlineLevel="1" x14ac:dyDescent="0.25">
      <c r="A816" s="275">
        <v>34</v>
      </c>
      <c r="B816" s="302" t="s">
        <v>239</v>
      </c>
      <c r="C816" s="328">
        <v>1</v>
      </c>
      <c r="D816" s="424">
        <v>1</v>
      </c>
      <c r="E816" s="295"/>
      <c r="F816" s="270"/>
      <c r="G816" s="270"/>
    </row>
    <row r="817" spans="1:7" ht="90.75" outlineLevel="1" x14ac:dyDescent="0.25">
      <c r="A817" s="275">
        <v>35</v>
      </c>
      <c r="B817" s="302" t="s">
        <v>240</v>
      </c>
      <c r="C817" s="328">
        <v>1</v>
      </c>
      <c r="D817" s="424">
        <v>5</v>
      </c>
      <c r="E817" s="295"/>
      <c r="F817" s="270"/>
      <c r="G817" s="270"/>
    </row>
    <row r="818" spans="1:7" ht="60" outlineLevel="1" x14ac:dyDescent="0.25">
      <c r="A818" s="275">
        <v>36</v>
      </c>
      <c r="B818" s="299" t="s">
        <v>241</v>
      </c>
      <c r="C818" s="329">
        <v>1</v>
      </c>
      <c r="D818" s="424">
        <v>6</v>
      </c>
      <c r="E818" s="295"/>
      <c r="F818" s="270"/>
      <c r="G818" s="270"/>
    </row>
    <row r="819" spans="1:7" ht="60" outlineLevel="1" x14ac:dyDescent="0.25">
      <c r="A819" s="275">
        <v>37</v>
      </c>
      <c r="B819" s="302" t="s">
        <v>157</v>
      </c>
      <c r="C819" s="328">
        <v>1</v>
      </c>
      <c r="D819" s="424">
        <v>10</v>
      </c>
      <c r="E819" s="295"/>
      <c r="F819" s="270"/>
      <c r="G819" s="270"/>
    </row>
    <row r="820" spans="1:7" outlineLevel="1" x14ac:dyDescent="0.25">
      <c r="A820" s="275"/>
      <c r="B820" s="344" t="s">
        <v>273</v>
      </c>
      <c r="C820" s="349"/>
      <c r="D820" s="424"/>
      <c r="E820" s="295"/>
      <c r="F820" s="270"/>
      <c r="G820" s="270"/>
    </row>
    <row r="821" spans="1:7" ht="30" outlineLevel="1" x14ac:dyDescent="0.25">
      <c r="A821" s="308">
        <v>38</v>
      </c>
      <c r="B821" s="309" t="s">
        <v>65</v>
      </c>
      <c r="C821" s="273">
        <v>1000</v>
      </c>
      <c r="D821" s="424">
        <v>34138.375</v>
      </c>
      <c r="E821" s="295"/>
      <c r="F821" s="270"/>
      <c r="G821" s="270"/>
    </row>
    <row r="822" spans="1:7" ht="60" outlineLevel="1" x14ac:dyDescent="0.25">
      <c r="A822" s="308">
        <v>39</v>
      </c>
      <c r="B822" s="309" t="s">
        <v>274</v>
      </c>
      <c r="C822" s="273">
        <v>1000</v>
      </c>
      <c r="D822" s="424">
        <v>34138.375</v>
      </c>
      <c r="E822" s="295"/>
      <c r="F822" s="270"/>
      <c r="G822" s="270"/>
    </row>
    <row r="823" spans="1:7" ht="60" outlineLevel="1" x14ac:dyDescent="0.25">
      <c r="A823" s="308">
        <v>40</v>
      </c>
      <c r="B823" s="309" t="s">
        <v>275</v>
      </c>
      <c r="C823" s="273">
        <v>1000</v>
      </c>
      <c r="D823" s="424">
        <v>5910.3</v>
      </c>
      <c r="E823" s="295"/>
      <c r="F823" s="270"/>
      <c r="G823" s="270"/>
    </row>
    <row r="824" spans="1:7" outlineLevel="1" x14ac:dyDescent="0.25">
      <c r="A824" s="308"/>
      <c r="B824" s="309" t="s">
        <v>276</v>
      </c>
      <c r="C824" s="350"/>
      <c r="D824" s="424"/>
      <c r="E824" s="269"/>
      <c r="F824" s="270"/>
      <c r="G824" s="270"/>
    </row>
    <row r="825" spans="1:7" outlineLevel="1" x14ac:dyDescent="0.25">
      <c r="A825" s="308">
        <v>41</v>
      </c>
      <c r="B825" s="309" t="s">
        <v>277</v>
      </c>
      <c r="C825" s="278">
        <v>100</v>
      </c>
      <c r="D825" s="422">
        <v>1100</v>
      </c>
      <c r="E825" s="269"/>
      <c r="F825" s="270"/>
      <c r="G825" s="270"/>
    </row>
    <row r="826" spans="1:7" outlineLevel="1" x14ac:dyDescent="0.25">
      <c r="A826" s="308">
        <v>42</v>
      </c>
      <c r="B826" s="309" t="s">
        <v>278</v>
      </c>
      <c r="C826" s="278">
        <v>100</v>
      </c>
      <c r="D826" s="422">
        <v>1540</v>
      </c>
      <c r="E826" s="269"/>
      <c r="F826" s="270"/>
      <c r="G826" s="270"/>
    </row>
    <row r="827" spans="1:7" ht="30" outlineLevel="1" x14ac:dyDescent="0.25">
      <c r="A827" s="308"/>
      <c r="B827" s="309" t="s">
        <v>279</v>
      </c>
      <c r="C827" s="350"/>
      <c r="D827" s="424"/>
      <c r="E827" s="298"/>
      <c r="F827" s="270"/>
      <c r="G827" s="270"/>
    </row>
    <row r="828" spans="1:7" outlineLevel="1" x14ac:dyDescent="0.25">
      <c r="A828" s="308">
        <v>43</v>
      </c>
      <c r="B828" s="309" t="s">
        <v>280</v>
      </c>
      <c r="C828" s="273">
        <v>100</v>
      </c>
      <c r="D828" s="424">
        <v>376.75</v>
      </c>
      <c r="E828" s="298"/>
      <c r="F828" s="270"/>
      <c r="G828" s="270"/>
    </row>
    <row r="829" spans="1:7" outlineLevel="1" x14ac:dyDescent="0.25">
      <c r="A829" s="308">
        <v>44</v>
      </c>
      <c r="B829" s="309" t="s">
        <v>281</v>
      </c>
      <c r="C829" s="273">
        <v>100</v>
      </c>
      <c r="D829" s="424">
        <v>527.45000000000005</v>
      </c>
      <c r="E829" s="298"/>
      <c r="F829" s="270"/>
      <c r="G829" s="270"/>
    </row>
    <row r="830" spans="1:7" ht="30" outlineLevel="1" x14ac:dyDescent="0.25">
      <c r="A830" s="308">
        <v>45</v>
      </c>
      <c r="B830" s="309" t="s">
        <v>282</v>
      </c>
      <c r="C830" s="323">
        <v>1</v>
      </c>
      <c r="D830" s="424">
        <v>264</v>
      </c>
      <c r="E830" s="269"/>
      <c r="F830" s="270"/>
      <c r="G830" s="270"/>
    </row>
    <row r="831" spans="1:7" ht="30" outlineLevel="1" x14ac:dyDescent="0.25">
      <c r="A831" s="308">
        <v>46</v>
      </c>
      <c r="B831" s="309" t="s">
        <v>283</v>
      </c>
      <c r="C831" s="278">
        <v>100</v>
      </c>
      <c r="D831" s="424">
        <v>132</v>
      </c>
      <c r="E831" s="295"/>
      <c r="F831" s="270"/>
      <c r="G831" s="270"/>
    </row>
    <row r="832" spans="1:7" ht="19.5" customHeight="1" outlineLevel="1" x14ac:dyDescent="0.25">
      <c r="A832" s="275"/>
      <c r="B832" s="344" t="s">
        <v>242</v>
      </c>
      <c r="C832" s="345"/>
      <c r="D832" s="424"/>
      <c r="E832" s="295"/>
      <c r="F832" s="270"/>
      <c r="G832" s="270"/>
    </row>
    <row r="833" spans="1:7" ht="30" outlineLevel="1" x14ac:dyDescent="0.25">
      <c r="A833" s="275">
        <v>47</v>
      </c>
      <c r="B833" s="299" t="s">
        <v>85</v>
      </c>
      <c r="C833" s="273">
        <v>1000</v>
      </c>
      <c r="D833" s="424">
        <v>10137.189999999999</v>
      </c>
      <c r="E833" s="269"/>
      <c r="F833" s="270"/>
      <c r="G833" s="270"/>
    </row>
    <row r="834" spans="1:7" ht="45" outlineLevel="1" x14ac:dyDescent="0.25">
      <c r="A834" s="275">
        <v>48</v>
      </c>
      <c r="B834" s="317" t="s">
        <v>243</v>
      </c>
      <c r="C834" s="273">
        <v>100</v>
      </c>
      <c r="D834" s="424">
        <v>10137.189999999999</v>
      </c>
      <c r="E834" s="295"/>
      <c r="F834" s="270"/>
      <c r="G834" s="270"/>
    </row>
    <row r="835" spans="1:7" ht="20.25" customHeight="1" outlineLevel="1" x14ac:dyDescent="0.25">
      <c r="A835" s="275">
        <v>49</v>
      </c>
      <c r="B835" s="317" t="s">
        <v>87</v>
      </c>
      <c r="C835" s="278">
        <v>100</v>
      </c>
      <c r="D835" s="424">
        <v>3737.0541800000001</v>
      </c>
      <c r="E835" s="295"/>
      <c r="F835" s="270"/>
      <c r="G835" s="270"/>
    </row>
    <row r="836" spans="1:7" ht="20.25" customHeight="1" outlineLevel="1" x14ac:dyDescent="0.25">
      <c r="A836" s="275">
        <v>50</v>
      </c>
      <c r="B836" s="317" t="s">
        <v>88</v>
      </c>
      <c r="C836" s="278">
        <v>100</v>
      </c>
      <c r="D836" s="424">
        <v>631.16</v>
      </c>
      <c r="E836" s="295"/>
      <c r="F836" s="270"/>
      <c r="G836" s="270"/>
    </row>
    <row r="837" spans="1:7" ht="30" outlineLevel="1" x14ac:dyDescent="0.25">
      <c r="A837" s="275">
        <v>51</v>
      </c>
      <c r="B837" s="299" t="s">
        <v>244</v>
      </c>
      <c r="C837" s="273">
        <v>100</v>
      </c>
      <c r="D837" s="424">
        <v>1233.5999999999999</v>
      </c>
      <c r="E837" s="295"/>
      <c r="F837" s="270"/>
      <c r="G837" s="270"/>
    </row>
    <row r="838" spans="1:7" ht="30" outlineLevel="1" x14ac:dyDescent="0.25">
      <c r="A838" s="275">
        <v>52</v>
      </c>
      <c r="B838" s="299" t="s">
        <v>245</v>
      </c>
      <c r="C838" s="273">
        <v>100</v>
      </c>
      <c r="D838" s="424">
        <v>1233.5999999999999</v>
      </c>
      <c r="E838" s="295"/>
      <c r="F838" s="270"/>
      <c r="G838" s="270"/>
    </row>
    <row r="839" spans="1:7" ht="30" outlineLevel="1" x14ac:dyDescent="0.25">
      <c r="A839" s="275">
        <v>53</v>
      </c>
      <c r="B839" s="299" t="s">
        <v>246</v>
      </c>
      <c r="C839" s="273">
        <v>100</v>
      </c>
      <c r="D839" s="424">
        <v>208.28</v>
      </c>
      <c r="E839" s="295"/>
      <c r="F839" s="270"/>
      <c r="G839" s="270"/>
    </row>
    <row r="840" spans="1:7" ht="30" outlineLevel="1" x14ac:dyDescent="0.25">
      <c r="A840" s="275">
        <v>54</v>
      </c>
      <c r="B840" s="299" t="s">
        <v>233</v>
      </c>
      <c r="C840" s="273">
        <v>100</v>
      </c>
      <c r="D840" s="424">
        <v>208.28</v>
      </c>
      <c r="E840" s="295"/>
      <c r="F840" s="270"/>
      <c r="G840" s="270"/>
    </row>
    <row r="841" spans="1:7" ht="30" outlineLevel="1" x14ac:dyDescent="0.25">
      <c r="A841" s="275">
        <v>55</v>
      </c>
      <c r="B841" s="299" t="s">
        <v>247</v>
      </c>
      <c r="C841" s="273">
        <v>100</v>
      </c>
      <c r="D841" s="424">
        <v>3738.19</v>
      </c>
      <c r="E841" s="295"/>
      <c r="F841" s="270"/>
      <c r="G841" s="270"/>
    </row>
    <row r="842" spans="1:7" ht="30" outlineLevel="1" x14ac:dyDescent="0.25">
      <c r="A842" s="275">
        <v>56</v>
      </c>
      <c r="B842" s="299" t="s">
        <v>248</v>
      </c>
      <c r="C842" s="273">
        <v>100</v>
      </c>
      <c r="D842" s="424">
        <v>631.16</v>
      </c>
      <c r="E842" s="295"/>
      <c r="F842" s="270"/>
      <c r="G842" s="270"/>
    </row>
    <row r="843" spans="1:7" ht="60" outlineLevel="1" x14ac:dyDescent="0.25">
      <c r="A843" s="275">
        <v>57</v>
      </c>
      <c r="B843" s="317" t="s">
        <v>249</v>
      </c>
      <c r="C843" s="273">
        <v>100</v>
      </c>
      <c r="D843" s="424">
        <v>33005.504368000002</v>
      </c>
      <c r="E843" s="295"/>
      <c r="F843" s="270"/>
      <c r="G843" s="270"/>
    </row>
    <row r="844" spans="1:7" outlineLevel="1" x14ac:dyDescent="0.25">
      <c r="A844" s="506" t="s">
        <v>43</v>
      </c>
      <c r="B844" s="506"/>
      <c r="C844" s="506"/>
      <c r="D844" s="506"/>
      <c r="E844" s="506"/>
      <c r="F844" s="270"/>
      <c r="G844" s="270"/>
    </row>
    <row r="845" spans="1:7" ht="19.5" outlineLevel="1" x14ac:dyDescent="0.25">
      <c r="A845" s="500" t="s">
        <v>284</v>
      </c>
      <c r="B845" s="500"/>
      <c r="C845" s="500"/>
      <c r="D845" s="500"/>
      <c r="E845" s="500"/>
      <c r="F845" s="500"/>
      <c r="G845" s="500"/>
    </row>
    <row r="846" spans="1:7" ht="75.75" outlineLevel="1" x14ac:dyDescent="0.25">
      <c r="A846" s="293">
        <v>1</v>
      </c>
      <c r="B846" s="302" t="s">
        <v>285</v>
      </c>
      <c r="C846" s="273">
        <v>1000</v>
      </c>
      <c r="D846" s="424">
        <v>14140.759900000003</v>
      </c>
      <c r="E846" s="269"/>
      <c r="F846" s="270"/>
      <c r="G846" s="270"/>
    </row>
    <row r="847" spans="1:7" ht="45" outlineLevel="1" x14ac:dyDescent="0.25">
      <c r="A847" s="505">
        <v>2</v>
      </c>
      <c r="B847" s="327" t="s">
        <v>124</v>
      </c>
      <c r="C847" s="330"/>
      <c r="D847" s="424"/>
      <c r="E847" s="269"/>
      <c r="F847" s="270"/>
      <c r="G847" s="270"/>
    </row>
    <row r="848" spans="1:7" outlineLevel="1" x14ac:dyDescent="0.25">
      <c r="A848" s="505"/>
      <c r="B848" s="327" t="s">
        <v>24</v>
      </c>
      <c r="C848" s="273">
        <v>100</v>
      </c>
      <c r="D848" s="424">
        <v>1744.5219</v>
      </c>
      <c r="E848" s="269"/>
      <c r="F848" s="270"/>
      <c r="G848" s="270"/>
    </row>
    <row r="849" spans="1:7" outlineLevel="1" x14ac:dyDescent="0.25">
      <c r="A849" s="505"/>
      <c r="B849" s="327" t="s">
        <v>125</v>
      </c>
      <c r="C849" s="273">
        <v>100</v>
      </c>
      <c r="D849" s="424">
        <v>180.36562499999994</v>
      </c>
      <c r="E849" s="269"/>
      <c r="F849" s="270"/>
      <c r="G849" s="270"/>
    </row>
    <row r="850" spans="1:7" ht="30.75" customHeight="1" outlineLevel="1" x14ac:dyDescent="0.25">
      <c r="A850" s="275">
        <v>3</v>
      </c>
      <c r="B850" s="302" t="s">
        <v>79</v>
      </c>
      <c r="C850" s="273">
        <v>100</v>
      </c>
      <c r="D850" s="424">
        <v>2798.8875000000007</v>
      </c>
      <c r="E850" s="269"/>
      <c r="F850" s="270"/>
      <c r="G850" s="270"/>
    </row>
    <row r="851" spans="1:7" ht="120" outlineLevel="1" x14ac:dyDescent="0.25">
      <c r="A851" s="275">
        <v>4</v>
      </c>
      <c r="B851" s="302" t="s">
        <v>99</v>
      </c>
      <c r="C851" s="271"/>
      <c r="D851" s="424"/>
      <c r="E851" s="269"/>
      <c r="F851" s="270"/>
      <c r="G851" s="270"/>
    </row>
    <row r="852" spans="1:7" ht="75" outlineLevel="1" x14ac:dyDescent="0.25">
      <c r="A852" s="326"/>
      <c r="B852" s="302" t="s">
        <v>100</v>
      </c>
      <c r="C852" s="273">
        <v>1</v>
      </c>
      <c r="D852" s="424">
        <v>2377.125</v>
      </c>
      <c r="E852" s="269"/>
      <c r="F852" s="270"/>
      <c r="G852" s="270"/>
    </row>
    <row r="853" spans="1:7" ht="75" outlineLevel="1" x14ac:dyDescent="0.25">
      <c r="A853" s="326"/>
      <c r="B853" s="302" t="s">
        <v>201</v>
      </c>
      <c r="C853" s="273">
        <v>1</v>
      </c>
      <c r="D853" s="424">
        <v>823.5</v>
      </c>
      <c r="E853" s="269"/>
      <c r="F853" s="270"/>
      <c r="G853" s="270"/>
    </row>
    <row r="854" spans="1:7" ht="90" outlineLevel="1" x14ac:dyDescent="0.25">
      <c r="A854" s="326">
        <v>5</v>
      </c>
      <c r="B854" s="302" t="s">
        <v>286</v>
      </c>
      <c r="C854" s="303">
        <v>100</v>
      </c>
      <c r="D854" s="424">
        <v>9601.875</v>
      </c>
      <c r="E854" s="304"/>
      <c r="F854" s="270"/>
      <c r="G854" s="270"/>
    </row>
    <row r="855" spans="1:7" ht="30" outlineLevel="1" x14ac:dyDescent="0.25">
      <c r="A855" s="275">
        <v>6</v>
      </c>
      <c r="B855" s="317" t="s">
        <v>287</v>
      </c>
      <c r="C855" s="273">
        <v>100</v>
      </c>
      <c r="D855" s="424">
        <v>4464.8392000000003</v>
      </c>
      <c r="E855" s="295"/>
      <c r="F855" s="270"/>
      <c r="G855" s="270"/>
    </row>
    <row r="856" spans="1:7" ht="26.25" customHeight="1" outlineLevel="1" x14ac:dyDescent="0.25">
      <c r="A856" s="275">
        <v>7</v>
      </c>
      <c r="B856" s="299" t="s">
        <v>66</v>
      </c>
      <c r="C856" s="273">
        <v>1000</v>
      </c>
      <c r="D856" s="424">
        <v>4880</v>
      </c>
      <c r="E856" s="298"/>
      <c r="F856" s="270"/>
      <c r="G856" s="270"/>
    </row>
    <row r="857" spans="1:7" ht="75.75" outlineLevel="1" x14ac:dyDescent="0.25">
      <c r="A857" s="275">
        <v>8</v>
      </c>
      <c r="B857" s="299" t="s">
        <v>40</v>
      </c>
      <c r="C857" s="276"/>
      <c r="D857" s="424"/>
      <c r="E857" s="298"/>
      <c r="F857" s="270"/>
      <c r="G857" s="270"/>
    </row>
    <row r="858" spans="1:7" outlineLevel="1" x14ac:dyDescent="0.25">
      <c r="A858" s="275" t="s">
        <v>67</v>
      </c>
      <c r="B858" s="299" t="s">
        <v>68</v>
      </c>
      <c r="C858" s="273">
        <v>100</v>
      </c>
      <c r="D858" s="424">
        <v>1674.7410239999999</v>
      </c>
      <c r="E858" s="298"/>
      <c r="F858" s="270"/>
      <c r="G858" s="270"/>
    </row>
    <row r="859" spans="1:7" outlineLevel="1" x14ac:dyDescent="0.25">
      <c r="A859" s="275" t="s">
        <v>67</v>
      </c>
      <c r="B859" s="299" t="s">
        <v>42</v>
      </c>
      <c r="C859" s="273">
        <v>100</v>
      </c>
      <c r="D859" s="424">
        <v>158.72174999999996</v>
      </c>
      <c r="E859" s="298"/>
      <c r="F859" s="270"/>
      <c r="G859" s="270"/>
    </row>
    <row r="860" spans="1:7" outlineLevel="1" x14ac:dyDescent="0.25">
      <c r="A860" s="275" t="s">
        <v>41</v>
      </c>
      <c r="B860" s="299" t="s">
        <v>69</v>
      </c>
      <c r="C860" s="273">
        <v>100</v>
      </c>
      <c r="D860" s="424">
        <v>2688.5250000000001</v>
      </c>
      <c r="E860" s="298"/>
      <c r="F860" s="270"/>
      <c r="G860" s="270"/>
    </row>
    <row r="861" spans="1:7" outlineLevel="1" x14ac:dyDescent="0.25">
      <c r="A861" s="275" t="s">
        <v>70</v>
      </c>
      <c r="B861" s="299" t="s">
        <v>288</v>
      </c>
      <c r="C861" s="273">
        <v>100</v>
      </c>
      <c r="D861" s="424">
        <v>6027.5329200000006</v>
      </c>
      <c r="E861" s="298"/>
      <c r="F861" s="270"/>
      <c r="G861" s="270"/>
    </row>
    <row r="862" spans="1:7" outlineLevel="1" x14ac:dyDescent="0.25">
      <c r="A862" s="506" t="s">
        <v>289</v>
      </c>
      <c r="B862" s="506"/>
      <c r="C862" s="506"/>
      <c r="D862" s="506"/>
      <c r="E862" s="506"/>
      <c r="F862" s="270"/>
      <c r="G862" s="270"/>
    </row>
    <row r="863" spans="1:7" ht="19.5" outlineLevel="1" x14ac:dyDescent="0.25">
      <c r="A863" s="500" t="s">
        <v>290</v>
      </c>
      <c r="B863" s="500"/>
      <c r="C863" s="500"/>
      <c r="D863" s="500"/>
      <c r="E863" s="500"/>
      <c r="F863" s="500"/>
      <c r="G863" s="500"/>
    </row>
    <row r="864" spans="1:7" ht="75" outlineLevel="1" x14ac:dyDescent="0.25">
      <c r="A864" s="293">
        <v>1</v>
      </c>
      <c r="B864" s="299" t="s">
        <v>108</v>
      </c>
      <c r="C864" s="273">
        <v>1000</v>
      </c>
      <c r="D864" s="424">
        <v>6538.7028998375999</v>
      </c>
      <c r="E864" s="269"/>
      <c r="F864" s="270"/>
      <c r="G864" s="270"/>
    </row>
    <row r="865" spans="1:7" ht="105" outlineLevel="1" x14ac:dyDescent="0.25">
      <c r="A865" s="293">
        <v>2</v>
      </c>
      <c r="B865" s="318" t="s">
        <v>109</v>
      </c>
      <c r="C865" s="278">
        <v>1</v>
      </c>
      <c r="D865" s="424">
        <v>6102</v>
      </c>
      <c r="E865" s="295"/>
      <c r="F865" s="270"/>
      <c r="G865" s="270"/>
    </row>
    <row r="866" spans="1:7" ht="45" outlineLevel="1" x14ac:dyDescent="0.25">
      <c r="A866" s="285">
        <v>3</v>
      </c>
      <c r="B866" s="311" t="s">
        <v>23</v>
      </c>
      <c r="C866" s="287"/>
      <c r="D866" s="441">
        <v>0</v>
      </c>
      <c r="E866" s="316"/>
      <c r="F866" s="292"/>
      <c r="G866" s="292"/>
    </row>
    <row r="867" spans="1:7" outlineLevel="1" x14ac:dyDescent="0.25">
      <c r="A867" s="280"/>
      <c r="B867" s="300" t="s">
        <v>24</v>
      </c>
      <c r="C867" s="282">
        <v>100</v>
      </c>
      <c r="D867" s="440">
        <v>1267.3493318976002</v>
      </c>
      <c r="E867" s="310"/>
      <c r="F867" s="290"/>
      <c r="G867" s="290"/>
    </row>
    <row r="868" spans="1:7" ht="30" outlineLevel="1" x14ac:dyDescent="0.25">
      <c r="A868" s="275">
        <v>4</v>
      </c>
      <c r="B868" s="302" t="s">
        <v>25</v>
      </c>
      <c r="C868" s="273">
        <v>100</v>
      </c>
      <c r="D868" s="424">
        <v>3780.4800000000005</v>
      </c>
      <c r="E868" s="269"/>
      <c r="F868" s="270"/>
      <c r="G868" s="270"/>
    </row>
    <row r="869" spans="1:7" ht="60" outlineLevel="1" x14ac:dyDescent="0.25">
      <c r="A869" s="275">
        <v>5</v>
      </c>
      <c r="B869" s="302" t="s">
        <v>110</v>
      </c>
      <c r="C869" s="278">
        <v>100</v>
      </c>
      <c r="D869" s="424">
        <v>774</v>
      </c>
      <c r="E869" s="269"/>
      <c r="F869" s="270"/>
      <c r="G869" s="270"/>
    </row>
    <row r="870" spans="1:7" ht="60" outlineLevel="1" x14ac:dyDescent="0.25">
      <c r="A870" s="275">
        <v>6</v>
      </c>
      <c r="B870" s="299" t="s">
        <v>111</v>
      </c>
      <c r="C870" s="278">
        <v>100</v>
      </c>
      <c r="D870" s="424">
        <v>1440</v>
      </c>
      <c r="E870" s="269"/>
      <c r="F870" s="270"/>
      <c r="G870" s="270"/>
    </row>
    <row r="871" spans="1:7" ht="30" outlineLevel="1" x14ac:dyDescent="0.25">
      <c r="A871" s="275">
        <v>7</v>
      </c>
      <c r="B871" s="302" t="s">
        <v>112</v>
      </c>
      <c r="C871" s="273">
        <v>1000</v>
      </c>
      <c r="D871" s="424">
        <v>1800</v>
      </c>
      <c r="E871" s="269"/>
      <c r="F871" s="270"/>
      <c r="G871" s="270"/>
    </row>
    <row r="872" spans="1:7" ht="30" outlineLevel="1" x14ac:dyDescent="0.25">
      <c r="A872" s="275">
        <v>8</v>
      </c>
      <c r="B872" s="299" t="s">
        <v>113</v>
      </c>
      <c r="C872" s="273">
        <v>100</v>
      </c>
      <c r="D872" s="424">
        <v>3490.7999999999997</v>
      </c>
      <c r="E872" s="269"/>
      <c r="F872" s="270"/>
      <c r="G872" s="270"/>
    </row>
    <row r="873" spans="1:7" ht="120.75" outlineLevel="1" x14ac:dyDescent="0.25">
      <c r="A873" s="351">
        <v>9</v>
      </c>
      <c r="B873" s="302" t="s">
        <v>47</v>
      </c>
      <c r="C873" s="271"/>
      <c r="D873" s="424"/>
      <c r="E873" s="269"/>
      <c r="F873" s="270"/>
      <c r="G873" s="270"/>
    </row>
    <row r="874" spans="1:7" ht="75" outlineLevel="1" x14ac:dyDescent="0.25">
      <c r="A874" s="351" t="s">
        <v>48</v>
      </c>
      <c r="B874" s="302" t="s">
        <v>174</v>
      </c>
      <c r="C874" s="273">
        <v>1</v>
      </c>
      <c r="D874" s="424">
        <v>1849.9895999999999</v>
      </c>
      <c r="E874" s="269"/>
      <c r="F874" s="270"/>
      <c r="G874" s="270"/>
    </row>
    <row r="875" spans="1:7" ht="75" outlineLevel="1" x14ac:dyDescent="0.25">
      <c r="A875" s="351" t="s">
        <v>50</v>
      </c>
      <c r="B875" s="299" t="s">
        <v>175</v>
      </c>
      <c r="C875" s="273">
        <v>1</v>
      </c>
      <c r="D875" s="424">
        <v>220.89374999999998</v>
      </c>
      <c r="E875" s="269"/>
      <c r="F875" s="270"/>
      <c r="G875" s="270"/>
    </row>
    <row r="876" spans="1:7" ht="90" outlineLevel="1" x14ac:dyDescent="0.25">
      <c r="A876" s="326">
        <v>10</v>
      </c>
      <c r="B876" s="302" t="s">
        <v>116</v>
      </c>
      <c r="C876" s="303">
        <v>100</v>
      </c>
      <c r="D876" s="424">
        <v>12425.3001</v>
      </c>
      <c r="E876" s="269"/>
      <c r="F876" s="270"/>
      <c r="G876" s="270"/>
    </row>
    <row r="877" spans="1:7" ht="180" outlineLevel="1" x14ac:dyDescent="0.25">
      <c r="A877" s="275">
        <v>11</v>
      </c>
      <c r="B877" s="302" t="s">
        <v>117</v>
      </c>
      <c r="C877" s="278">
        <v>1</v>
      </c>
      <c r="D877" s="424">
        <v>384</v>
      </c>
      <c r="E877" s="269"/>
      <c r="F877" s="270"/>
      <c r="G877" s="270"/>
    </row>
    <row r="878" spans="1:7" ht="60" outlineLevel="1" x14ac:dyDescent="0.25">
      <c r="A878" s="275">
        <v>12</v>
      </c>
      <c r="B878" s="302" t="s">
        <v>118</v>
      </c>
      <c r="C878" s="278">
        <v>1</v>
      </c>
      <c r="D878" s="424">
        <v>480</v>
      </c>
      <c r="E878" s="269"/>
      <c r="F878" s="270"/>
      <c r="G878" s="270"/>
    </row>
    <row r="879" spans="1:7" ht="45" outlineLevel="1" x14ac:dyDescent="0.25">
      <c r="A879" s="275">
        <v>13</v>
      </c>
      <c r="B879" s="302" t="s">
        <v>119</v>
      </c>
      <c r="C879" s="278">
        <v>1</v>
      </c>
      <c r="D879" s="424">
        <v>588</v>
      </c>
      <c r="E879" s="269"/>
      <c r="F879" s="270"/>
      <c r="G879" s="270"/>
    </row>
    <row r="880" spans="1:7" ht="75" outlineLevel="1" x14ac:dyDescent="0.25">
      <c r="A880" s="293">
        <v>14</v>
      </c>
      <c r="B880" s="302" t="s">
        <v>120</v>
      </c>
      <c r="C880" s="278">
        <v>100</v>
      </c>
      <c r="D880" s="424">
        <v>1146.75</v>
      </c>
      <c r="E880" s="269"/>
      <c r="F880" s="270"/>
      <c r="G880" s="270"/>
    </row>
    <row r="881" spans="1:7" ht="30" outlineLevel="1" x14ac:dyDescent="0.25">
      <c r="A881" s="293">
        <v>15</v>
      </c>
      <c r="B881" s="302" t="s">
        <v>121</v>
      </c>
      <c r="C881" s="278">
        <v>1</v>
      </c>
      <c r="D881" s="424">
        <v>1194.75</v>
      </c>
      <c r="E881" s="269"/>
      <c r="F881" s="270"/>
      <c r="G881" s="270"/>
    </row>
    <row r="882" spans="1:7" ht="27" customHeight="1" outlineLevel="1" x14ac:dyDescent="0.25">
      <c r="A882" s="275">
        <v>16</v>
      </c>
      <c r="B882" s="302" t="s">
        <v>122</v>
      </c>
      <c r="C882" s="273">
        <v>100</v>
      </c>
      <c r="D882" s="424">
        <v>491.25</v>
      </c>
      <c r="E882" s="295"/>
      <c r="F882" s="270"/>
      <c r="G882" s="270"/>
    </row>
    <row r="883" spans="1:7" ht="45" outlineLevel="1" x14ac:dyDescent="0.25">
      <c r="A883" s="293">
        <v>17</v>
      </c>
      <c r="B883" s="302" t="s">
        <v>123</v>
      </c>
      <c r="C883" s="273">
        <v>100</v>
      </c>
      <c r="D883" s="424">
        <v>587.25</v>
      </c>
      <c r="E883" s="295"/>
      <c r="F883" s="270"/>
      <c r="G883" s="270"/>
    </row>
    <row r="884" spans="1:7" ht="45" outlineLevel="1" x14ac:dyDescent="0.25">
      <c r="A884" s="505">
        <v>18</v>
      </c>
      <c r="B884" s="447" t="s">
        <v>124</v>
      </c>
      <c r="C884" s="291"/>
      <c r="D884" s="441"/>
      <c r="E884" s="288"/>
      <c r="F884" s="292"/>
      <c r="G884" s="292"/>
    </row>
    <row r="885" spans="1:7" outlineLevel="1" x14ac:dyDescent="0.25">
      <c r="A885" s="505"/>
      <c r="B885" s="446" t="s">
        <v>125</v>
      </c>
      <c r="C885" s="282">
        <v>100</v>
      </c>
      <c r="D885" s="440">
        <v>550.31999999999994</v>
      </c>
      <c r="E885" s="310"/>
      <c r="F885" s="290"/>
      <c r="G885" s="290"/>
    </row>
    <row r="886" spans="1:7" ht="30" outlineLevel="1" x14ac:dyDescent="0.25">
      <c r="A886" s="275">
        <v>19</v>
      </c>
      <c r="B886" s="302" t="s">
        <v>126</v>
      </c>
      <c r="C886" s="278">
        <v>100</v>
      </c>
      <c r="D886" s="424">
        <v>6819.6600000000008</v>
      </c>
      <c r="E886" s="295"/>
      <c r="F886" s="270"/>
      <c r="G886" s="270"/>
    </row>
    <row r="887" spans="1:7" ht="45" outlineLevel="1" x14ac:dyDescent="0.25">
      <c r="A887" s="275">
        <v>20</v>
      </c>
      <c r="B887" s="302" t="s">
        <v>127</v>
      </c>
      <c r="C887" s="278">
        <v>100</v>
      </c>
      <c r="D887" s="424">
        <v>1374.24</v>
      </c>
      <c r="E887" s="295"/>
      <c r="F887" s="270"/>
      <c r="G887" s="270"/>
    </row>
    <row r="888" spans="1:7" ht="60" outlineLevel="1" x14ac:dyDescent="0.25">
      <c r="A888" s="275">
        <v>21</v>
      </c>
      <c r="B888" s="302" t="s">
        <v>128</v>
      </c>
      <c r="C888" s="278">
        <v>100</v>
      </c>
      <c r="D888" s="424">
        <v>5878.5</v>
      </c>
      <c r="E888" s="295"/>
      <c r="F888" s="270"/>
      <c r="G888" s="270"/>
    </row>
    <row r="889" spans="1:7" ht="45" outlineLevel="1" x14ac:dyDescent="0.25">
      <c r="A889" s="275">
        <v>22</v>
      </c>
      <c r="B889" s="302" t="s">
        <v>129</v>
      </c>
      <c r="C889" s="323">
        <v>1</v>
      </c>
      <c r="D889" s="424">
        <v>156</v>
      </c>
      <c r="E889" s="295"/>
      <c r="F889" s="270"/>
      <c r="G889" s="270"/>
    </row>
    <row r="890" spans="1:7" ht="30" outlineLevel="1" x14ac:dyDescent="0.25">
      <c r="A890" s="275">
        <v>23</v>
      </c>
      <c r="B890" s="302" t="s">
        <v>130</v>
      </c>
      <c r="C890" s="328">
        <v>1</v>
      </c>
      <c r="D890" s="424">
        <v>24</v>
      </c>
      <c r="E890" s="295"/>
      <c r="F890" s="270"/>
      <c r="G890" s="270"/>
    </row>
    <row r="891" spans="1:7" ht="22.5" customHeight="1" outlineLevel="1" x14ac:dyDescent="0.25">
      <c r="A891" s="275">
        <v>24</v>
      </c>
      <c r="B891" s="302" t="s">
        <v>131</v>
      </c>
      <c r="C891" s="328">
        <v>1</v>
      </c>
      <c r="D891" s="424">
        <v>12</v>
      </c>
      <c r="E891" s="295"/>
      <c r="F891" s="270"/>
      <c r="G891" s="270"/>
    </row>
    <row r="892" spans="1:7" ht="22.5" customHeight="1" outlineLevel="1" x14ac:dyDescent="0.25">
      <c r="A892" s="275">
        <v>25</v>
      </c>
      <c r="B892" s="302" t="s">
        <v>132</v>
      </c>
      <c r="C892" s="278">
        <v>100</v>
      </c>
      <c r="D892" s="424">
        <v>6123.24</v>
      </c>
      <c r="E892" s="295"/>
      <c r="F892" s="270"/>
      <c r="G892" s="270"/>
    </row>
    <row r="893" spans="1:7" ht="45" outlineLevel="1" x14ac:dyDescent="0.25">
      <c r="A893" s="275">
        <v>26</v>
      </c>
      <c r="B893" s="302" t="s">
        <v>133</v>
      </c>
      <c r="C893" s="278">
        <v>100</v>
      </c>
      <c r="D893" s="424">
        <v>2070.66</v>
      </c>
      <c r="E893" s="295"/>
      <c r="F893" s="270"/>
      <c r="G893" s="270"/>
    </row>
    <row r="894" spans="1:7" ht="30" outlineLevel="1" x14ac:dyDescent="0.25">
      <c r="A894" s="275">
        <v>27</v>
      </c>
      <c r="B894" s="302" t="s">
        <v>134</v>
      </c>
      <c r="C894" s="278">
        <v>100</v>
      </c>
      <c r="D894" s="424">
        <v>1068</v>
      </c>
      <c r="E894" s="295"/>
      <c r="F894" s="270"/>
      <c r="G894" s="270"/>
    </row>
    <row r="895" spans="1:7" ht="60" outlineLevel="1" x14ac:dyDescent="0.25">
      <c r="A895" s="275">
        <v>28</v>
      </c>
      <c r="B895" s="327" t="s">
        <v>135</v>
      </c>
      <c r="C895" s="303">
        <v>100</v>
      </c>
      <c r="D895" s="424">
        <v>4019.504672049351</v>
      </c>
      <c r="E895" s="269"/>
      <c r="F895" s="270"/>
      <c r="G895" s="270"/>
    </row>
    <row r="896" spans="1:7" ht="45" outlineLevel="1" x14ac:dyDescent="0.25">
      <c r="A896" s="505">
        <v>29</v>
      </c>
      <c r="B896" s="302" t="s">
        <v>136</v>
      </c>
      <c r="C896" s="271"/>
      <c r="D896" s="424"/>
      <c r="E896" s="295"/>
      <c r="F896" s="270"/>
      <c r="G896" s="270"/>
    </row>
    <row r="897" spans="1:7" outlineLevel="1" x14ac:dyDescent="0.25">
      <c r="A897" s="505"/>
      <c r="B897" s="302" t="s">
        <v>176</v>
      </c>
      <c r="C897" s="323">
        <v>1</v>
      </c>
      <c r="D897" s="424">
        <v>720</v>
      </c>
      <c r="E897" s="295"/>
      <c r="F897" s="270"/>
      <c r="G897" s="270"/>
    </row>
    <row r="898" spans="1:7" outlineLevel="1" x14ac:dyDescent="0.25">
      <c r="A898" s="505"/>
      <c r="B898" s="302" t="s">
        <v>177</v>
      </c>
      <c r="C898" s="323">
        <v>1</v>
      </c>
      <c r="D898" s="424">
        <v>360</v>
      </c>
      <c r="E898" s="295"/>
      <c r="F898" s="270"/>
      <c r="G898" s="270"/>
    </row>
    <row r="899" spans="1:7" outlineLevel="1" x14ac:dyDescent="0.25">
      <c r="A899" s="275"/>
      <c r="B899" s="302" t="s">
        <v>178</v>
      </c>
      <c r="C899" s="323">
        <v>1</v>
      </c>
      <c r="D899" s="424">
        <v>180</v>
      </c>
      <c r="E899" s="295"/>
      <c r="F899" s="270"/>
      <c r="G899" s="270"/>
    </row>
    <row r="900" spans="1:7" ht="75" outlineLevel="1" x14ac:dyDescent="0.25">
      <c r="A900" s="505">
        <v>30</v>
      </c>
      <c r="B900" s="302" t="s">
        <v>141</v>
      </c>
      <c r="C900" s="271"/>
      <c r="D900" s="424"/>
      <c r="E900" s="295"/>
      <c r="F900" s="270"/>
      <c r="G900" s="270"/>
    </row>
    <row r="901" spans="1:7" outlineLevel="1" x14ac:dyDescent="0.25">
      <c r="A901" s="505"/>
      <c r="B901" s="302" t="s">
        <v>180</v>
      </c>
      <c r="C901" s="323">
        <v>1</v>
      </c>
      <c r="D901" s="424">
        <v>2160</v>
      </c>
      <c r="E901" s="295"/>
      <c r="F901" s="270"/>
      <c r="G901" s="270"/>
    </row>
    <row r="902" spans="1:7" outlineLevel="1" x14ac:dyDescent="0.25">
      <c r="A902" s="334"/>
      <c r="B902" s="302" t="s">
        <v>181</v>
      </c>
      <c r="C902" s="323">
        <v>1</v>
      </c>
      <c r="D902" s="424">
        <v>720</v>
      </c>
      <c r="E902" s="295"/>
      <c r="F902" s="270"/>
      <c r="G902" s="270"/>
    </row>
    <row r="903" spans="1:7" ht="75" outlineLevel="1" x14ac:dyDescent="0.25">
      <c r="A903" s="275">
        <v>31</v>
      </c>
      <c r="B903" s="302" t="s">
        <v>144</v>
      </c>
      <c r="C903" s="323">
        <v>1</v>
      </c>
      <c r="D903" s="424">
        <v>480</v>
      </c>
      <c r="E903" s="295"/>
      <c r="F903" s="270"/>
      <c r="G903" s="270"/>
    </row>
    <row r="904" spans="1:7" ht="60" outlineLevel="1" x14ac:dyDescent="0.25">
      <c r="A904" s="505">
        <v>32</v>
      </c>
      <c r="B904" s="302" t="s">
        <v>145</v>
      </c>
      <c r="C904" s="271"/>
      <c r="D904" s="424"/>
      <c r="E904" s="295"/>
      <c r="F904" s="270"/>
      <c r="G904" s="270"/>
    </row>
    <row r="905" spans="1:7" outlineLevel="1" x14ac:dyDescent="0.25">
      <c r="A905" s="505"/>
      <c r="B905" s="302" t="s">
        <v>183</v>
      </c>
      <c r="C905" s="329">
        <v>1</v>
      </c>
      <c r="D905" s="424">
        <v>12</v>
      </c>
      <c r="E905" s="295"/>
      <c r="F905" s="270"/>
      <c r="G905" s="270"/>
    </row>
    <row r="906" spans="1:7" outlineLevel="1" x14ac:dyDescent="0.25">
      <c r="A906" s="505"/>
      <c r="B906" s="302" t="s">
        <v>184</v>
      </c>
      <c r="C906" s="329">
        <v>1</v>
      </c>
      <c r="D906" s="424">
        <v>12</v>
      </c>
      <c r="E906" s="295"/>
      <c r="F906" s="270"/>
      <c r="G906" s="270"/>
    </row>
    <row r="907" spans="1:7" outlineLevel="1" x14ac:dyDescent="0.25">
      <c r="A907" s="505"/>
      <c r="B907" s="302" t="s">
        <v>185</v>
      </c>
      <c r="C907" s="329">
        <v>1</v>
      </c>
      <c r="D907" s="424">
        <v>12</v>
      </c>
      <c r="E907" s="295"/>
      <c r="F907" s="270"/>
      <c r="G907" s="270"/>
    </row>
    <row r="908" spans="1:7" ht="30" outlineLevel="1" x14ac:dyDescent="0.25">
      <c r="A908" s="275">
        <v>33</v>
      </c>
      <c r="B908" s="302" t="s">
        <v>149</v>
      </c>
      <c r="C908" s="329">
        <v>1</v>
      </c>
      <c r="D908" s="424">
        <v>240</v>
      </c>
      <c r="E908" s="295"/>
      <c r="F908" s="270"/>
      <c r="G908" s="270"/>
    </row>
    <row r="909" spans="1:7" ht="22.5" customHeight="1" outlineLevel="1" x14ac:dyDescent="0.25">
      <c r="A909" s="275">
        <v>34</v>
      </c>
      <c r="B909" s="302" t="s">
        <v>150</v>
      </c>
      <c r="C909" s="329">
        <v>1</v>
      </c>
      <c r="D909" s="424">
        <v>48</v>
      </c>
      <c r="E909" s="295"/>
      <c r="F909" s="270"/>
      <c r="G909" s="270"/>
    </row>
    <row r="910" spans="1:7" ht="22.5" customHeight="1" outlineLevel="1" x14ac:dyDescent="0.25">
      <c r="A910" s="275">
        <v>35</v>
      </c>
      <c r="B910" s="302" t="s">
        <v>151</v>
      </c>
      <c r="C910" s="329">
        <v>1</v>
      </c>
      <c r="D910" s="424">
        <v>24</v>
      </c>
      <c r="E910" s="295"/>
      <c r="F910" s="270"/>
      <c r="G910" s="270"/>
    </row>
    <row r="911" spans="1:7" ht="34.5" customHeight="1" outlineLevel="1" x14ac:dyDescent="0.25">
      <c r="A911" s="275">
        <v>36</v>
      </c>
      <c r="B911" s="302" t="s">
        <v>186</v>
      </c>
      <c r="C911" s="329">
        <v>1</v>
      </c>
      <c r="D911" s="424">
        <v>12</v>
      </c>
      <c r="E911" s="295"/>
      <c r="F911" s="270"/>
      <c r="G911" s="270"/>
    </row>
    <row r="912" spans="1:7" ht="135" outlineLevel="1" x14ac:dyDescent="0.25">
      <c r="A912" s="275">
        <v>37</v>
      </c>
      <c r="B912" s="299" t="s">
        <v>208</v>
      </c>
      <c r="C912" s="328">
        <v>1</v>
      </c>
      <c r="D912" s="424">
        <v>12</v>
      </c>
      <c r="E912" s="295"/>
      <c r="F912" s="270"/>
      <c r="G912" s="270"/>
    </row>
    <row r="913" spans="1:7" ht="90" outlineLevel="1" x14ac:dyDescent="0.25">
      <c r="A913" s="275">
        <v>38</v>
      </c>
      <c r="B913" s="302" t="s">
        <v>154</v>
      </c>
      <c r="C913" s="328">
        <v>1</v>
      </c>
      <c r="D913" s="424">
        <v>72</v>
      </c>
      <c r="E913" s="295"/>
      <c r="F913" s="270"/>
      <c r="G913" s="270"/>
    </row>
    <row r="914" spans="1:7" ht="135" outlineLevel="1" x14ac:dyDescent="0.25">
      <c r="A914" s="275">
        <v>39</v>
      </c>
      <c r="B914" s="299" t="s">
        <v>155</v>
      </c>
      <c r="C914" s="328">
        <v>1</v>
      </c>
      <c r="D914" s="424">
        <v>24</v>
      </c>
      <c r="E914" s="295"/>
      <c r="F914" s="270"/>
      <c r="G914" s="270"/>
    </row>
    <row r="915" spans="1:7" ht="150" outlineLevel="1" x14ac:dyDescent="0.25">
      <c r="A915" s="275">
        <v>40</v>
      </c>
      <c r="B915" s="299" t="s">
        <v>156</v>
      </c>
      <c r="C915" s="328">
        <v>1</v>
      </c>
      <c r="D915" s="424">
        <v>12</v>
      </c>
      <c r="E915" s="295"/>
      <c r="F915" s="270"/>
      <c r="G915" s="270"/>
    </row>
    <row r="916" spans="1:7" ht="60" outlineLevel="1" x14ac:dyDescent="0.25">
      <c r="A916" s="275">
        <v>41</v>
      </c>
      <c r="B916" s="302" t="s">
        <v>157</v>
      </c>
      <c r="C916" s="328">
        <v>1</v>
      </c>
      <c r="D916" s="424">
        <v>36</v>
      </c>
      <c r="E916" s="295"/>
      <c r="F916" s="270"/>
      <c r="G916" s="270"/>
    </row>
    <row r="917" spans="1:7" ht="30" outlineLevel="1" x14ac:dyDescent="0.25">
      <c r="A917" s="275">
        <v>42</v>
      </c>
      <c r="B917" s="302" t="s">
        <v>158</v>
      </c>
      <c r="C917" s="328">
        <v>1</v>
      </c>
      <c r="D917" s="424">
        <v>36</v>
      </c>
      <c r="E917" s="295"/>
      <c r="F917" s="270"/>
      <c r="G917" s="270"/>
    </row>
    <row r="918" spans="1:7" ht="75.75" outlineLevel="1" x14ac:dyDescent="0.25">
      <c r="A918" s="275">
        <v>43</v>
      </c>
      <c r="B918" s="299" t="s">
        <v>40</v>
      </c>
      <c r="C918" s="276"/>
      <c r="D918" s="424"/>
      <c r="E918" s="298"/>
      <c r="F918" s="270"/>
      <c r="G918" s="270"/>
    </row>
    <row r="919" spans="1:7" outlineLevel="1" x14ac:dyDescent="0.25">
      <c r="A919" s="275" t="s">
        <v>67</v>
      </c>
      <c r="B919" s="299" t="s">
        <v>68</v>
      </c>
      <c r="C919" s="273">
        <v>100</v>
      </c>
      <c r="D919" s="424">
        <v>1216.655358621696</v>
      </c>
      <c r="E919" s="298"/>
      <c r="F919" s="270"/>
      <c r="G919" s="270"/>
    </row>
    <row r="920" spans="1:7" outlineLevel="1" x14ac:dyDescent="0.25">
      <c r="A920" s="275" t="s">
        <v>41</v>
      </c>
      <c r="B920" s="299" t="s">
        <v>42</v>
      </c>
      <c r="C920" s="273">
        <v>100</v>
      </c>
      <c r="D920" s="424">
        <v>484.28160000000003</v>
      </c>
      <c r="E920" s="298"/>
      <c r="F920" s="270"/>
      <c r="G920" s="270"/>
    </row>
    <row r="921" spans="1:7" outlineLevel="1" x14ac:dyDescent="0.25">
      <c r="A921" s="275" t="s">
        <v>70</v>
      </c>
      <c r="B921" s="299" t="s">
        <v>159</v>
      </c>
      <c r="C921" s="273">
        <v>100</v>
      </c>
      <c r="D921" s="424">
        <v>1822.377348</v>
      </c>
      <c r="E921" s="298"/>
      <c r="F921" s="270"/>
      <c r="G921" s="270"/>
    </row>
    <row r="922" spans="1:7" ht="15.75" customHeight="1" outlineLevel="1" x14ac:dyDescent="0.25">
      <c r="A922" s="275" t="s">
        <v>160</v>
      </c>
      <c r="B922" s="299" t="s">
        <v>161</v>
      </c>
      <c r="C922" s="273">
        <v>100</v>
      </c>
      <c r="D922" s="424">
        <v>85.14</v>
      </c>
      <c r="E922" s="298"/>
      <c r="F922" s="270"/>
      <c r="G922" s="270"/>
    </row>
    <row r="923" spans="1:7" ht="15.75" customHeight="1" outlineLevel="1" x14ac:dyDescent="0.25">
      <c r="A923" s="506" t="s">
        <v>259</v>
      </c>
      <c r="B923" s="506"/>
      <c r="C923" s="506"/>
      <c r="D923" s="506"/>
      <c r="E923" s="506"/>
      <c r="F923" s="270"/>
      <c r="G923" s="270"/>
    </row>
    <row r="924" spans="1:7" ht="25.5" customHeight="1" x14ac:dyDescent="0.25">
      <c r="A924" s="499" t="s">
        <v>292</v>
      </c>
      <c r="B924" s="499"/>
      <c r="C924" s="499"/>
      <c r="D924" s="499"/>
      <c r="E924" s="499"/>
      <c r="F924" s="362"/>
      <c r="G924" s="362"/>
    </row>
    <row r="925" spans="1:7" ht="19.5" outlineLevel="1" x14ac:dyDescent="0.25">
      <c r="A925" s="517" t="s">
        <v>9</v>
      </c>
      <c r="B925" s="517"/>
      <c r="C925" s="517"/>
      <c r="D925" s="517"/>
      <c r="E925" s="517"/>
      <c r="F925" s="270"/>
      <c r="G925" s="270"/>
    </row>
    <row r="926" spans="1:7" ht="75" outlineLevel="1" x14ac:dyDescent="0.25">
      <c r="A926" s="330">
        <v>1</v>
      </c>
      <c r="B926" s="327" t="s">
        <v>10</v>
      </c>
      <c r="C926" s="273">
        <v>1000</v>
      </c>
      <c r="D926" s="422">
        <v>4710315</v>
      </c>
      <c r="E926" s="269"/>
      <c r="F926" s="270"/>
      <c r="G926" s="270"/>
    </row>
    <row r="927" spans="1:7" ht="30" outlineLevel="1" x14ac:dyDescent="0.25">
      <c r="A927" s="330">
        <v>2</v>
      </c>
      <c r="B927" s="327" t="s">
        <v>11</v>
      </c>
      <c r="C927" s="273">
        <v>1000</v>
      </c>
      <c r="D927" s="422">
        <v>2201861.25</v>
      </c>
      <c r="E927" s="269"/>
      <c r="F927" s="270"/>
      <c r="G927" s="270"/>
    </row>
    <row r="928" spans="1:7" ht="45" outlineLevel="1" x14ac:dyDescent="0.25">
      <c r="A928" s="507">
        <v>3</v>
      </c>
      <c r="B928" s="447" t="s">
        <v>12</v>
      </c>
      <c r="C928" s="472"/>
      <c r="D928" s="475"/>
      <c r="E928" s="487"/>
      <c r="F928" s="292"/>
      <c r="G928" s="292"/>
    </row>
    <row r="929" spans="1:7" outlineLevel="1" x14ac:dyDescent="0.25">
      <c r="A929" s="507"/>
      <c r="B929" s="446" t="s">
        <v>195</v>
      </c>
      <c r="C929" s="282">
        <v>1000</v>
      </c>
      <c r="D929" s="479">
        <v>17267.5</v>
      </c>
      <c r="E929" s="480"/>
      <c r="F929" s="290"/>
      <c r="G929" s="290"/>
    </row>
    <row r="930" spans="1:7" ht="45" outlineLevel="1" x14ac:dyDescent="0.25">
      <c r="A930" s="330">
        <v>4</v>
      </c>
      <c r="B930" s="327" t="s">
        <v>264</v>
      </c>
      <c r="C930" s="328">
        <v>1</v>
      </c>
      <c r="D930" s="422">
        <v>130</v>
      </c>
      <c r="E930" s="298"/>
      <c r="F930" s="270"/>
      <c r="G930" s="270"/>
    </row>
    <row r="931" spans="1:7" ht="19.5" outlineLevel="1" x14ac:dyDescent="0.4">
      <c r="A931" s="500" t="s">
        <v>192</v>
      </c>
      <c r="B931" s="500"/>
      <c r="C931" s="500"/>
      <c r="D931" s="500"/>
      <c r="E931" s="500"/>
      <c r="F931" s="471"/>
      <c r="G931" s="471"/>
    </row>
    <row r="932" spans="1:7" ht="66" customHeight="1" outlineLevel="1" x14ac:dyDescent="0.25">
      <c r="A932" s="271">
        <v>1</v>
      </c>
      <c r="B932" s="272" t="s">
        <v>22</v>
      </c>
      <c r="C932" s="273">
        <v>1000</v>
      </c>
      <c r="D932" s="423">
        <v>98</v>
      </c>
      <c r="E932" s="274"/>
      <c r="F932" s="270"/>
      <c r="G932" s="270"/>
    </row>
    <row r="933" spans="1:7" s="15" customFormat="1" ht="54" customHeight="1" outlineLevel="1" x14ac:dyDescent="0.2">
      <c r="A933" s="285">
        <v>2</v>
      </c>
      <c r="B933" s="286" t="s">
        <v>23</v>
      </c>
      <c r="C933" s="287"/>
      <c r="D933" s="441"/>
      <c r="E933" s="316"/>
      <c r="F933" s="289"/>
      <c r="G933" s="289"/>
    </row>
    <row r="934" spans="1:7" s="15" customFormat="1" ht="22.5" customHeight="1" outlineLevel="1" x14ac:dyDescent="0.2">
      <c r="A934" s="280"/>
      <c r="B934" s="281" t="s">
        <v>24</v>
      </c>
      <c r="C934" s="282">
        <v>100</v>
      </c>
      <c r="D934" s="445">
        <v>24.5</v>
      </c>
      <c r="E934" s="310"/>
      <c r="F934" s="284"/>
      <c r="G934" s="284"/>
    </row>
    <row r="935" spans="1:7" s="15" customFormat="1" ht="33.75" customHeight="1" outlineLevel="1" x14ac:dyDescent="0.2">
      <c r="A935" s="275">
        <v>3</v>
      </c>
      <c r="B935" s="272" t="s">
        <v>25</v>
      </c>
      <c r="C935" s="273">
        <v>100</v>
      </c>
      <c r="D935" s="423">
        <v>97.5</v>
      </c>
      <c r="E935" s="274"/>
      <c r="F935" s="277"/>
      <c r="G935" s="277"/>
    </row>
    <row r="936" spans="1:7" s="15" customFormat="1" ht="48.75" customHeight="1" outlineLevel="1" x14ac:dyDescent="0.2">
      <c r="A936" s="275">
        <v>4</v>
      </c>
      <c r="B936" s="272" t="s">
        <v>26</v>
      </c>
      <c r="C936" s="278">
        <v>100</v>
      </c>
      <c r="D936" s="423">
        <v>39</v>
      </c>
      <c r="E936" s="274"/>
      <c r="F936" s="277"/>
      <c r="G936" s="277"/>
    </row>
    <row r="937" spans="1:7" ht="32.25" customHeight="1" outlineLevel="1" x14ac:dyDescent="0.25">
      <c r="A937" s="271">
        <v>5</v>
      </c>
      <c r="B937" s="272" t="s">
        <v>27</v>
      </c>
      <c r="C937" s="273">
        <v>100</v>
      </c>
      <c r="D937" s="423">
        <v>81.703125</v>
      </c>
      <c r="E937" s="274"/>
      <c r="F937" s="270"/>
      <c r="G937" s="270"/>
    </row>
    <row r="938" spans="1:7" ht="32.25" customHeight="1" outlineLevel="1" x14ac:dyDescent="0.25">
      <c r="A938" s="271">
        <v>6</v>
      </c>
      <c r="B938" s="272" t="s">
        <v>28</v>
      </c>
      <c r="C938" s="278">
        <v>100</v>
      </c>
      <c r="D938" s="423">
        <v>230.64999999999998</v>
      </c>
      <c r="E938" s="274"/>
      <c r="F938" s="270"/>
      <c r="G938" s="270"/>
    </row>
    <row r="939" spans="1:7" ht="45" outlineLevel="1" x14ac:dyDescent="0.25">
      <c r="A939" s="271">
        <v>7</v>
      </c>
      <c r="B939" s="272" t="s">
        <v>29</v>
      </c>
      <c r="C939" s="278">
        <v>100</v>
      </c>
      <c r="D939" s="423">
        <v>230.64999999999998</v>
      </c>
      <c r="E939" s="274"/>
      <c r="F939" s="270"/>
      <c r="G939" s="270"/>
    </row>
    <row r="940" spans="1:7" ht="24" customHeight="1" outlineLevel="1" x14ac:dyDescent="0.25">
      <c r="A940" s="271">
        <v>8</v>
      </c>
      <c r="B940" s="272" t="s">
        <v>30</v>
      </c>
      <c r="C940" s="328">
        <v>1</v>
      </c>
      <c r="D940" s="423">
        <v>500</v>
      </c>
      <c r="E940" s="274"/>
      <c r="F940" s="270"/>
      <c r="G940" s="270"/>
    </row>
    <row r="941" spans="1:7" ht="76.5" customHeight="1" outlineLevel="1" x14ac:dyDescent="0.25">
      <c r="A941" s="291">
        <v>9</v>
      </c>
      <c r="B941" s="286" t="s">
        <v>31</v>
      </c>
      <c r="C941" s="287"/>
      <c r="D941" s="489"/>
      <c r="E941" s="490"/>
      <c r="F941" s="292"/>
      <c r="G941" s="292"/>
    </row>
    <row r="942" spans="1:7" outlineLevel="1" x14ac:dyDescent="0.25">
      <c r="A942" s="488"/>
      <c r="B942" s="281" t="s">
        <v>32</v>
      </c>
      <c r="C942" s="282">
        <v>100</v>
      </c>
      <c r="D942" s="445">
        <v>4.29</v>
      </c>
      <c r="E942" s="283"/>
      <c r="F942" s="290"/>
      <c r="G942" s="290"/>
    </row>
    <row r="943" spans="1:7" ht="19.5" outlineLevel="1" x14ac:dyDescent="0.4">
      <c r="A943" s="500" t="s">
        <v>168</v>
      </c>
      <c r="B943" s="500"/>
      <c r="C943" s="500"/>
      <c r="D943" s="500"/>
      <c r="E943" s="500"/>
      <c r="F943" s="471"/>
      <c r="G943" s="471"/>
    </row>
    <row r="944" spans="1:7" ht="26.25" customHeight="1" outlineLevel="1" x14ac:dyDescent="0.25">
      <c r="A944" s="293">
        <v>1</v>
      </c>
      <c r="B944" s="294" t="s">
        <v>34</v>
      </c>
      <c r="C944" s="273">
        <v>1</v>
      </c>
      <c r="D944" s="424">
        <v>22.36</v>
      </c>
      <c r="E944" s="295"/>
      <c r="F944" s="270"/>
      <c r="G944" s="270"/>
    </row>
    <row r="945" spans="1:7" ht="45" outlineLevel="1" x14ac:dyDescent="0.25">
      <c r="A945" s="293">
        <v>2</v>
      </c>
      <c r="B945" s="294" t="s">
        <v>35</v>
      </c>
      <c r="C945" s="303">
        <v>100</v>
      </c>
      <c r="D945" s="424">
        <v>51.09</v>
      </c>
      <c r="E945" s="295"/>
      <c r="F945" s="270"/>
      <c r="G945" s="270"/>
    </row>
    <row r="946" spans="1:7" ht="26.25" customHeight="1" outlineLevel="1" x14ac:dyDescent="0.25">
      <c r="A946" s="275">
        <v>3</v>
      </c>
      <c r="B946" s="294" t="s">
        <v>36</v>
      </c>
      <c r="C946" s="328">
        <v>1</v>
      </c>
      <c r="D946" s="424">
        <v>13</v>
      </c>
      <c r="E946" s="295"/>
      <c r="F946" s="270"/>
      <c r="G946" s="270"/>
    </row>
    <row r="947" spans="1:7" ht="26.25" customHeight="1" outlineLevel="1" x14ac:dyDescent="0.25">
      <c r="A947" s="275">
        <v>4</v>
      </c>
      <c r="B947" s="294" t="s">
        <v>37</v>
      </c>
      <c r="C947" s="329">
        <v>1</v>
      </c>
      <c r="D947" s="424">
        <v>13</v>
      </c>
      <c r="E947" s="295"/>
      <c r="F947" s="270"/>
      <c r="G947" s="270"/>
    </row>
    <row r="948" spans="1:7" ht="26.25" customHeight="1" outlineLevel="1" x14ac:dyDescent="0.25">
      <c r="A948" s="275">
        <v>5</v>
      </c>
      <c r="B948" s="294" t="s">
        <v>38</v>
      </c>
      <c r="C948" s="278">
        <v>100</v>
      </c>
      <c r="D948" s="424">
        <v>45.5</v>
      </c>
      <c r="E948" s="295"/>
      <c r="F948" s="270"/>
      <c r="G948" s="270"/>
    </row>
    <row r="949" spans="1:7" ht="30" outlineLevel="1" x14ac:dyDescent="0.25">
      <c r="A949" s="275">
        <v>6</v>
      </c>
      <c r="B949" s="294" t="s">
        <v>39</v>
      </c>
      <c r="C949" s="328">
        <v>1</v>
      </c>
      <c r="D949" s="424">
        <v>130</v>
      </c>
      <c r="E949" s="295"/>
      <c r="F949" s="270"/>
      <c r="G949" s="270"/>
    </row>
    <row r="950" spans="1:7" ht="75" outlineLevel="1" x14ac:dyDescent="0.25">
      <c r="A950" s="285">
        <v>7</v>
      </c>
      <c r="B950" s="463" t="s">
        <v>31</v>
      </c>
      <c r="C950" s="287"/>
      <c r="D950" s="441"/>
      <c r="E950" s="487"/>
      <c r="F950" s="292"/>
      <c r="G950" s="292"/>
    </row>
    <row r="951" spans="1:7" outlineLevel="1" x14ac:dyDescent="0.25">
      <c r="A951" s="280" t="s">
        <v>41</v>
      </c>
      <c r="B951" s="300" t="s">
        <v>42</v>
      </c>
      <c r="C951" s="282">
        <v>100</v>
      </c>
      <c r="D951" s="440">
        <v>19.6768</v>
      </c>
      <c r="E951" s="480"/>
      <c r="F951" s="290"/>
      <c r="G951" s="290"/>
    </row>
    <row r="952" spans="1:7" outlineLevel="1" x14ac:dyDescent="0.25">
      <c r="A952" s="518" t="s">
        <v>43</v>
      </c>
      <c r="B952" s="518"/>
      <c r="C952" s="518"/>
      <c r="D952" s="518"/>
      <c r="E952" s="518"/>
      <c r="F952" s="270"/>
      <c r="G952" s="270"/>
    </row>
    <row r="953" spans="1:7" ht="19.5" outlineLevel="1" x14ac:dyDescent="0.4">
      <c r="A953" s="500" t="s">
        <v>265</v>
      </c>
      <c r="B953" s="500"/>
      <c r="C953" s="500"/>
      <c r="D953" s="500"/>
      <c r="E953" s="500"/>
      <c r="F953" s="471"/>
      <c r="G953" s="471"/>
    </row>
    <row r="954" spans="1:7" ht="78.75" outlineLevel="1" x14ac:dyDescent="0.25">
      <c r="A954" s="355">
        <v>1</v>
      </c>
      <c r="B954" s="356" t="s">
        <v>45</v>
      </c>
      <c r="C954" s="273">
        <v>1000</v>
      </c>
      <c r="D954" s="426">
        <v>6436.0504000000037</v>
      </c>
      <c r="E954" s="357"/>
      <c r="F954" s="270"/>
      <c r="G954" s="270"/>
    </row>
    <row r="955" spans="1:7" ht="20.25" customHeight="1" outlineLevel="1" x14ac:dyDescent="0.25">
      <c r="A955" s="355">
        <v>2</v>
      </c>
      <c r="B955" s="356" t="s">
        <v>75</v>
      </c>
      <c r="C955" s="273">
        <v>1000</v>
      </c>
      <c r="D955" s="426">
        <v>6436.0504000000037</v>
      </c>
      <c r="E955" s="357"/>
      <c r="F955" s="270"/>
      <c r="G955" s="270"/>
    </row>
    <row r="956" spans="1:7" ht="47.25" outlineLevel="1" x14ac:dyDescent="0.25">
      <c r="A956" s="355">
        <v>3</v>
      </c>
      <c r="B956" s="356" t="s">
        <v>23</v>
      </c>
      <c r="C956" s="355"/>
      <c r="D956" s="426"/>
      <c r="E956" s="357"/>
      <c r="F956" s="270"/>
      <c r="G956" s="270"/>
    </row>
    <row r="957" spans="1:7" outlineLevel="1" x14ac:dyDescent="0.25">
      <c r="A957" s="355"/>
      <c r="B957" s="356" t="s">
        <v>24</v>
      </c>
      <c r="C957" s="273">
        <v>100</v>
      </c>
      <c r="D957" s="426">
        <v>529.73</v>
      </c>
      <c r="E957" s="357"/>
      <c r="F957" s="270"/>
      <c r="G957" s="270"/>
    </row>
    <row r="958" spans="1:7" outlineLevel="1" x14ac:dyDescent="0.25">
      <c r="A958" s="355"/>
      <c r="B958" s="356" t="s">
        <v>125</v>
      </c>
      <c r="C958" s="273">
        <v>100</v>
      </c>
      <c r="D958" s="426">
        <v>68</v>
      </c>
      <c r="E958" s="357"/>
      <c r="F958" s="270"/>
      <c r="G958" s="270"/>
    </row>
    <row r="959" spans="1:7" ht="94.5" outlineLevel="1" x14ac:dyDescent="0.25">
      <c r="A959" s="355">
        <v>4</v>
      </c>
      <c r="B959" s="356" t="s">
        <v>46</v>
      </c>
      <c r="C959" s="303">
        <v>100</v>
      </c>
      <c r="D959" s="426">
        <v>16212.101400000005</v>
      </c>
      <c r="E959" s="357"/>
      <c r="F959" s="270"/>
      <c r="G959" s="270"/>
    </row>
    <row r="960" spans="1:7" ht="126" outlineLevel="1" x14ac:dyDescent="0.25">
      <c r="A960" s="355">
        <v>5</v>
      </c>
      <c r="B960" s="356" t="s">
        <v>99</v>
      </c>
      <c r="C960" s="355"/>
      <c r="D960" s="426"/>
      <c r="E960" s="357"/>
      <c r="F960" s="270"/>
      <c r="G960" s="270"/>
    </row>
    <row r="961" spans="1:7" ht="78.75" outlineLevel="1" x14ac:dyDescent="0.25">
      <c r="A961" s="355" t="s">
        <v>48</v>
      </c>
      <c r="B961" s="356" t="s">
        <v>100</v>
      </c>
      <c r="C961" s="273">
        <v>1</v>
      </c>
      <c r="D961" s="426">
        <v>3788.5038000000013</v>
      </c>
      <c r="E961" s="357"/>
      <c r="F961" s="270"/>
      <c r="G961" s="270"/>
    </row>
    <row r="962" spans="1:7" ht="78.75" outlineLevel="1" x14ac:dyDescent="0.25">
      <c r="A962" s="355" t="s">
        <v>50</v>
      </c>
      <c r="B962" s="356" t="s">
        <v>201</v>
      </c>
      <c r="C962" s="273">
        <v>1</v>
      </c>
      <c r="D962" s="426">
        <v>1615.53</v>
      </c>
      <c r="E962" s="357"/>
      <c r="F962" s="270"/>
      <c r="G962" s="270"/>
    </row>
    <row r="963" spans="1:7" ht="31.5" outlineLevel="1" x14ac:dyDescent="0.25">
      <c r="A963" s="355">
        <v>6</v>
      </c>
      <c r="B963" s="356" t="s">
        <v>52</v>
      </c>
      <c r="C963" s="278">
        <v>100</v>
      </c>
      <c r="D963" s="426">
        <v>2288.865600000001</v>
      </c>
      <c r="E963" s="357"/>
      <c r="F963" s="270"/>
      <c r="G963" s="270"/>
    </row>
    <row r="964" spans="1:7" ht="31.5" outlineLevel="1" x14ac:dyDescent="0.25">
      <c r="A964" s="355">
        <v>7</v>
      </c>
      <c r="B964" s="356" t="s">
        <v>79</v>
      </c>
      <c r="C964" s="273">
        <v>100</v>
      </c>
      <c r="D964" s="426">
        <v>160</v>
      </c>
      <c r="E964" s="357"/>
      <c r="F964" s="270"/>
      <c r="G964" s="270"/>
    </row>
    <row r="965" spans="1:7" ht="47.25" outlineLevel="1" x14ac:dyDescent="0.25">
      <c r="A965" s="355">
        <v>8</v>
      </c>
      <c r="B965" s="356" t="s">
        <v>80</v>
      </c>
      <c r="C965" s="323">
        <v>1</v>
      </c>
      <c r="D965" s="426">
        <v>518</v>
      </c>
      <c r="E965" s="357"/>
      <c r="F965" s="270"/>
      <c r="G965" s="270"/>
    </row>
    <row r="966" spans="1:7" ht="31.5" outlineLevel="1" x14ac:dyDescent="0.25">
      <c r="A966" s="355">
        <v>9</v>
      </c>
      <c r="B966" s="356" t="s">
        <v>81</v>
      </c>
      <c r="C966" s="323">
        <v>1</v>
      </c>
      <c r="D966" s="426">
        <v>160</v>
      </c>
      <c r="E966" s="357"/>
      <c r="F966" s="270"/>
      <c r="G966" s="270"/>
    </row>
    <row r="967" spans="1:7" ht="23.25" customHeight="1" outlineLevel="1" x14ac:dyDescent="0.25">
      <c r="A967" s="355">
        <v>10</v>
      </c>
      <c r="B967" s="356" t="s">
        <v>66</v>
      </c>
      <c r="C967" s="273">
        <v>1000</v>
      </c>
      <c r="D967" s="426">
        <v>8000</v>
      </c>
      <c r="E967" s="357"/>
      <c r="F967" s="270"/>
      <c r="G967" s="270"/>
    </row>
    <row r="968" spans="1:7" ht="78.75" outlineLevel="1" x14ac:dyDescent="0.25">
      <c r="A968" s="355">
        <v>11</v>
      </c>
      <c r="B968" s="356" t="s">
        <v>31</v>
      </c>
      <c r="C968" s="355"/>
      <c r="D968" s="426"/>
      <c r="E968" s="357"/>
      <c r="F968" s="270"/>
      <c r="G968" s="270"/>
    </row>
    <row r="969" spans="1:7" outlineLevel="1" x14ac:dyDescent="0.25">
      <c r="A969" s="355" t="s">
        <v>67</v>
      </c>
      <c r="B969" s="356" t="s">
        <v>68</v>
      </c>
      <c r="C969" s="273">
        <v>100</v>
      </c>
      <c r="D969" s="426">
        <v>508.54079999999999</v>
      </c>
      <c r="E969" s="357"/>
      <c r="F969" s="270"/>
      <c r="G969" s="270"/>
    </row>
    <row r="970" spans="1:7" outlineLevel="1" x14ac:dyDescent="0.25">
      <c r="A970" s="355" t="s">
        <v>41</v>
      </c>
      <c r="B970" s="356" t="s">
        <v>42</v>
      </c>
      <c r="C970" s="273">
        <v>100</v>
      </c>
      <c r="D970" s="426">
        <v>59.84</v>
      </c>
      <c r="E970" s="357"/>
      <c r="F970" s="270"/>
      <c r="G970" s="270"/>
    </row>
    <row r="971" spans="1:7" outlineLevel="1" x14ac:dyDescent="0.25">
      <c r="A971" s="355" t="s">
        <v>70</v>
      </c>
      <c r="B971" s="356" t="s">
        <v>82</v>
      </c>
      <c r="C971" s="273">
        <v>100</v>
      </c>
      <c r="D971" s="426">
        <v>4539.3883920000007</v>
      </c>
      <c r="E971" s="357"/>
      <c r="F971" s="270"/>
      <c r="G971" s="270"/>
    </row>
    <row r="972" spans="1:7" outlineLevel="1" x14ac:dyDescent="0.25">
      <c r="A972" s="511" t="s">
        <v>83</v>
      </c>
      <c r="B972" s="511"/>
      <c r="C972" s="511"/>
      <c r="D972" s="511"/>
      <c r="E972" s="511"/>
      <c r="F972" s="270"/>
      <c r="G972" s="270"/>
    </row>
    <row r="973" spans="1:7" ht="19.5" outlineLevel="1" x14ac:dyDescent="0.4">
      <c r="A973" s="500" t="s">
        <v>266</v>
      </c>
      <c r="B973" s="500"/>
      <c r="C973" s="500"/>
      <c r="D973" s="500"/>
      <c r="E973" s="500"/>
      <c r="F973" s="471"/>
      <c r="G973" s="471"/>
    </row>
    <row r="974" spans="1:7" ht="75" outlineLevel="1" x14ac:dyDescent="0.25">
      <c r="A974" s="293">
        <v>1</v>
      </c>
      <c r="B974" s="299" t="s">
        <v>45</v>
      </c>
      <c r="C974" s="273">
        <v>1000</v>
      </c>
      <c r="D974" s="424">
        <v>36435.200000000041</v>
      </c>
      <c r="E974" s="269"/>
      <c r="F974" s="270"/>
      <c r="G974" s="270"/>
    </row>
    <row r="975" spans="1:7" ht="45" outlineLevel="1" x14ac:dyDescent="0.25">
      <c r="A975" s="285">
        <v>2</v>
      </c>
      <c r="B975" s="311" t="s">
        <v>23</v>
      </c>
      <c r="C975" s="291"/>
      <c r="D975" s="441"/>
      <c r="E975" s="288"/>
      <c r="F975" s="292"/>
      <c r="G975" s="292"/>
    </row>
    <row r="976" spans="1:7" outlineLevel="1" x14ac:dyDescent="0.25">
      <c r="A976" s="280"/>
      <c r="B976" s="300" t="s">
        <v>24</v>
      </c>
      <c r="C976" s="282">
        <v>100</v>
      </c>
      <c r="D976" s="440">
        <v>510</v>
      </c>
      <c r="E976" s="310"/>
      <c r="F976" s="290"/>
      <c r="G976" s="290"/>
    </row>
    <row r="977" spans="1:7" ht="90" outlineLevel="1" x14ac:dyDescent="0.25">
      <c r="A977" s="275">
        <v>3</v>
      </c>
      <c r="B977" s="299" t="s">
        <v>46</v>
      </c>
      <c r="C977" s="303">
        <v>100</v>
      </c>
      <c r="D977" s="424">
        <v>26990.400000000012</v>
      </c>
      <c r="E977" s="304"/>
      <c r="F977" s="270"/>
      <c r="G977" s="270"/>
    </row>
    <row r="978" spans="1:7" ht="120.75" outlineLevel="1" x14ac:dyDescent="0.25">
      <c r="A978" s="275">
        <v>4</v>
      </c>
      <c r="B978" s="302" t="s">
        <v>47</v>
      </c>
      <c r="C978" s="271"/>
      <c r="D978" s="424"/>
      <c r="E978" s="295"/>
      <c r="F978" s="270"/>
      <c r="G978" s="270"/>
    </row>
    <row r="979" spans="1:7" ht="75" outlineLevel="1" x14ac:dyDescent="0.25">
      <c r="A979" s="275" t="s">
        <v>48</v>
      </c>
      <c r="B979" s="302" t="s">
        <v>100</v>
      </c>
      <c r="C979" s="273">
        <v>1</v>
      </c>
      <c r="D979" s="424">
        <v>6956.8000000000038</v>
      </c>
      <c r="E979" s="269"/>
      <c r="F979" s="270"/>
      <c r="G979" s="270"/>
    </row>
    <row r="980" spans="1:7" ht="75" outlineLevel="1" x14ac:dyDescent="0.25">
      <c r="A980" s="275" t="s">
        <v>50</v>
      </c>
      <c r="B980" s="302" t="s">
        <v>201</v>
      </c>
      <c r="C980" s="273">
        <v>1</v>
      </c>
      <c r="D980" s="424">
        <v>2040</v>
      </c>
      <c r="E980" s="269"/>
      <c r="F980" s="270"/>
      <c r="G980" s="270"/>
    </row>
    <row r="981" spans="1:7" ht="30" outlineLevel="1" x14ac:dyDescent="0.25">
      <c r="A981" s="275">
        <v>5</v>
      </c>
      <c r="B981" s="299" t="s">
        <v>52</v>
      </c>
      <c r="C981" s="278">
        <v>100</v>
      </c>
      <c r="D981" s="424">
        <v>7707.6000000000076</v>
      </c>
      <c r="E981" s="295"/>
      <c r="F981" s="270"/>
      <c r="G981" s="270"/>
    </row>
    <row r="982" spans="1:7" ht="45" outlineLevel="1" x14ac:dyDescent="0.25">
      <c r="A982" s="275">
        <v>6</v>
      </c>
      <c r="B982" s="299" t="s">
        <v>214</v>
      </c>
      <c r="C982" s="323">
        <v>1</v>
      </c>
      <c r="D982" s="424">
        <v>22.5</v>
      </c>
      <c r="E982" s="295"/>
      <c r="F982" s="270"/>
      <c r="G982" s="270"/>
    </row>
    <row r="983" spans="1:7" ht="105" outlineLevel="1" x14ac:dyDescent="0.25">
      <c r="A983" s="275">
        <v>7</v>
      </c>
      <c r="B983" s="306" t="s">
        <v>54</v>
      </c>
      <c r="C983" s="273">
        <v>100</v>
      </c>
      <c r="D983" s="424">
        <v>180</v>
      </c>
      <c r="E983" s="270"/>
      <c r="F983" s="270"/>
      <c r="G983" s="270"/>
    </row>
    <row r="984" spans="1:7" ht="120" outlineLevel="1" x14ac:dyDescent="0.25">
      <c r="A984" s="275">
        <v>8</v>
      </c>
      <c r="B984" s="306" t="s">
        <v>267</v>
      </c>
      <c r="C984" s="273">
        <v>100</v>
      </c>
      <c r="D984" s="424">
        <v>180</v>
      </c>
      <c r="E984" s="270"/>
      <c r="F984" s="270"/>
      <c r="G984" s="270"/>
    </row>
    <row r="985" spans="1:7" ht="24" customHeight="1" outlineLevel="1" x14ac:dyDescent="0.25">
      <c r="A985" s="275">
        <v>9</v>
      </c>
      <c r="B985" s="306" t="s">
        <v>268</v>
      </c>
      <c r="C985" s="323">
        <v>1</v>
      </c>
      <c r="D985" s="424">
        <v>60</v>
      </c>
      <c r="E985" s="270"/>
      <c r="F985" s="270"/>
      <c r="G985" s="270"/>
    </row>
    <row r="986" spans="1:7" ht="105" outlineLevel="1" x14ac:dyDescent="0.25">
      <c r="A986" s="275">
        <v>10</v>
      </c>
      <c r="B986" s="306" t="s">
        <v>269</v>
      </c>
      <c r="C986" s="307"/>
      <c r="D986" s="424"/>
      <c r="E986" s="295"/>
      <c r="F986" s="270"/>
      <c r="G986" s="270"/>
    </row>
    <row r="987" spans="1:7" ht="45" outlineLevel="1" x14ac:dyDescent="0.25">
      <c r="A987" s="275" t="s">
        <v>48</v>
      </c>
      <c r="B987" s="306" t="s">
        <v>59</v>
      </c>
      <c r="C987" s="278">
        <v>100</v>
      </c>
      <c r="D987" s="424">
        <v>360</v>
      </c>
      <c r="E987" s="295"/>
      <c r="F987" s="270"/>
      <c r="G987" s="270"/>
    </row>
    <row r="988" spans="1:7" ht="45" outlineLevel="1" x14ac:dyDescent="0.25">
      <c r="A988" s="275" t="s">
        <v>50</v>
      </c>
      <c r="B988" s="306" t="s">
        <v>61</v>
      </c>
      <c r="C988" s="278">
        <v>100</v>
      </c>
      <c r="D988" s="424">
        <v>360</v>
      </c>
      <c r="E988" s="295"/>
      <c r="F988" s="270"/>
      <c r="G988" s="270"/>
    </row>
    <row r="989" spans="1:7" ht="45" outlineLevel="1" x14ac:dyDescent="0.25">
      <c r="A989" s="275" t="s">
        <v>139</v>
      </c>
      <c r="B989" s="306" t="s">
        <v>63</v>
      </c>
      <c r="C989" s="278">
        <v>100</v>
      </c>
      <c r="D989" s="424">
        <v>360</v>
      </c>
      <c r="E989" s="295"/>
      <c r="F989" s="270"/>
      <c r="G989" s="270"/>
    </row>
    <row r="990" spans="1:7" ht="45" outlineLevel="1" x14ac:dyDescent="0.25">
      <c r="A990" s="275">
        <v>11</v>
      </c>
      <c r="B990" s="306" t="s">
        <v>64</v>
      </c>
      <c r="C990" s="273">
        <v>100</v>
      </c>
      <c r="D990" s="424">
        <v>360</v>
      </c>
      <c r="E990" s="295"/>
      <c r="F990" s="270"/>
      <c r="G990" s="270"/>
    </row>
    <row r="991" spans="1:7" ht="30" outlineLevel="1" x14ac:dyDescent="0.25">
      <c r="A991" s="308">
        <v>12</v>
      </c>
      <c r="B991" s="309" t="s">
        <v>65</v>
      </c>
      <c r="C991" s="273">
        <v>1000</v>
      </c>
      <c r="D991" s="424">
        <v>3200</v>
      </c>
      <c r="E991" s="295"/>
      <c r="F991" s="270"/>
      <c r="G991" s="270"/>
    </row>
    <row r="992" spans="1:7" ht="21.75" customHeight="1" outlineLevel="1" x14ac:dyDescent="0.25">
      <c r="A992" s="275">
        <v>13</v>
      </c>
      <c r="B992" s="299" t="s">
        <v>66</v>
      </c>
      <c r="C992" s="273">
        <v>1000</v>
      </c>
      <c r="D992" s="424">
        <v>20960</v>
      </c>
      <c r="E992" s="298"/>
      <c r="F992" s="270"/>
      <c r="G992" s="270"/>
    </row>
    <row r="993" spans="1:7" ht="75.75" outlineLevel="1" x14ac:dyDescent="0.25">
      <c r="A993" s="275">
        <v>14</v>
      </c>
      <c r="B993" s="299" t="s">
        <v>40</v>
      </c>
      <c r="C993" s="276"/>
      <c r="D993" s="424"/>
      <c r="E993" s="298"/>
      <c r="F993" s="270"/>
      <c r="G993" s="270"/>
    </row>
    <row r="994" spans="1:7" outlineLevel="1" x14ac:dyDescent="0.25">
      <c r="A994" s="275" t="s">
        <v>67</v>
      </c>
      <c r="B994" s="299" t="s">
        <v>68</v>
      </c>
      <c r="C994" s="273">
        <v>100</v>
      </c>
      <c r="D994" s="424">
        <v>489.59999999999997</v>
      </c>
      <c r="E994" s="298"/>
      <c r="F994" s="270"/>
      <c r="G994" s="270"/>
    </row>
    <row r="995" spans="1:7" outlineLevel="1" x14ac:dyDescent="0.25">
      <c r="A995" s="275" t="s">
        <v>41</v>
      </c>
      <c r="B995" s="299" t="s">
        <v>69</v>
      </c>
      <c r="C995" s="273">
        <v>100</v>
      </c>
      <c r="D995" s="424">
        <v>7557.3120000000017</v>
      </c>
      <c r="E995" s="298"/>
      <c r="F995" s="270"/>
      <c r="G995" s="270"/>
    </row>
    <row r="996" spans="1:7" outlineLevel="1" x14ac:dyDescent="0.25">
      <c r="A996" s="275" t="s">
        <v>70</v>
      </c>
      <c r="B996" s="299" t="s">
        <v>71</v>
      </c>
      <c r="C996" s="273">
        <v>100</v>
      </c>
      <c r="D996" s="424">
        <v>219.6</v>
      </c>
      <c r="E996" s="298"/>
      <c r="F996" s="270"/>
      <c r="G996" s="270"/>
    </row>
    <row r="997" spans="1:7" outlineLevel="1" x14ac:dyDescent="0.25">
      <c r="A997" s="275" t="s">
        <v>70</v>
      </c>
      <c r="B997" s="299" t="s">
        <v>72</v>
      </c>
      <c r="C997" s="273">
        <v>100</v>
      </c>
      <c r="D997" s="424">
        <v>27</v>
      </c>
      <c r="E997" s="298"/>
      <c r="F997" s="270"/>
      <c r="G997" s="270"/>
    </row>
    <row r="998" spans="1:7" outlineLevel="1" x14ac:dyDescent="0.25">
      <c r="A998" s="506" t="s">
        <v>73</v>
      </c>
      <c r="B998" s="506"/>
      <c r="C998" s="506"/>
      <c r="D998" s="506"/>
      <c r="E998" s="506"/>
      <c r="F998" s="270"/>
      <c r="G998" s="270"/>
    </row>
    <row r="999" spans="1:7" ht="19.5" outlineLevel="1" x14ac:dyDescent="0.4">
      <c r="A999" s="500" t="s">
        <v>84</v>
      </c>
      <c r="B999" s="500"/>
      <c r="C999" s="500"/>
      <c r="D999" s="500"/>
      <c r="E999" s="500"/>
      <c r="F999" s="471"/>
      <c r="G999" s="471"/>
    </row>
    <row r="1000" spans="1:7" ht="75" outlineLevel="1" x14ac:dyDescent="0.25">
      <c r="A1000" s="293">
        <v>1</v>
      </c>
      <c r="B1000" s="302" t="s">
        <v>10</v>
      </c>
      <c r="C1000" s="273">
        <v>1000</v>
      </c>
      <c r="D1000" s="424">
        <v>269.25</v>
      </c>
      <c r="E1000" s="269"/>
      <c r="F1000" s="270"/>
      <c r="G1000" s="270"/>
    </row>
    <row r="1001" spans="1:7" ht="30" outlineLevel="1" x14ac:dyDescent="0.25">
      <c r="A1001" s="293">
        <v>2</v>
      </c>
      <c r="B1001" s="302" t="s">
        <v>86</v>
      </c>
      <c r="C1001" s="273">
        <v>100</v>
      </c>
      <c r="D1001" s="424">
        <v>269.25</v>
      </c>
      <c r="E1001" s="295"/>
      <c r="F1001" s="270"/>
      <c r="G1001" s="270"/>
    </row>
    <row r="1002" spans="1:7" ht="22.5" customHeight="1" outlineLevel="1" x14ac:dyDescent="0.25">
      <c r="A1002" s="275">
        <v>3</v>
      </c>
      <c r="B1002" s="317" t="s">
        <v>87</v>
      </c>
      <c r="C1002" s="278">
        <v>100</v>
      </c>
      <c r="D1002" s="424">
        <v>480.69</v>
      </c>
      <c r="E1002" s="295"/>
      <c r="F1002" s="270"/>
      <c r="G1002" s="270"/>
    </row>
    <row r="1003" spans="1:7" ht="22.5" customHeight="1" outlineLevel="1" x14ac:dyDescent="0.25">
      <c r="A1003" s="275">
        <v>4</v>
      </c>
      <c r="B1003" s="317" t="s">
        <v>88</v>
      </c>
      <c r="C1003" s="278">
        <v>100</v>
      </c>
      <c r="D1003" s="424">
        <v>126</v>
      </c>
      <c r="E1003" s="295"/>
      <c r="F1003" s="270"/>
      <c r="G1003" s="270"/>
    </row>
    <row r="1004" spans="1:7" ht="22.5" customHeight="1" outlineLevel="1" x14ac:dyDescent="0.25">
      <c r="A1004" s="293">
        <v>5</v>
      </c>
      <c r="B1004" s="302" t="s">
        <v>89</v>
      </c>
      <c r="C1004" s="273">
        <v>100</v>
      </c>
      <c r="D1004" s="424">
        <v>158.63</v>
      </c>
      <c r="E1004" s="295"/>
      <c r="F1004" s="270"/>
      <c r="G1004" s="270"/>
    </row>
    <row r="1005" spans="1:7" ht="22.5" customHeight="1" outlineLevel="1" x14ac:dyDescent="0.25">
      <c r="A1005" s="293">
        <v>6</v>
      </c>
      <c r="B1005" s="302" t="s">
        <v>90</v>
      </c>
      <c r="C1005" s="273">
        <v>100</v>
      </c>
      <c r="D1005" s="424">
        <v>158.63</v>
      </c>
      <c r="E1005" s="295"/>
      <c r="F1005" s="270"/>
      <c r="G1005" s="270"/>
    </row>
    <row r="1006" spans="1:7" ht="22.5" customHeight="1" outlineLevel="1" x14ac:dyDescent="0.25">
      <c r="A1006" s="293">
        <v>7</v>
      </c>
      <c r="B1006" s="302" t="s">
        <v>91</v>
      </c>
      <c r="C1006" s="273">
        <v>100</v>
      </c>
      <c r="D1006" s="424">
        <v>41.58</v>
      </c>
      <c r="E1006" s="295"/>
      <c r="F1006" s="270"/>
      <c r="G1006" s="270"/>
    </row>
    <row r="1007" spans="1:7" ht="22.5" customHeight="1" outlineLevel="1" x14ac:dyDescent="0.25">
      <c r="A1007" s="293">
        <v>8</v>
      </c>
      <c r="B1007" s="302" t="s">
        <v>92</v>
      </c>
      <c r="C1007" s="273">
        <v>100</v>
      </c>
      <c r="D1007" s="424">
        <v>41.58</v>
      </c>
      <c r="E1007" s="295"/>
      <c r="F1007" s="270"/>
      <c r="G1007" s="270"/>
    </row>
    <row r="1008" spans="1:7" ht="22.5" customHeight="1" outlineLevel="1" x14ac:dyDescent="0.25">
      <c r="A1008" s="293">
        <v>9</v>
      </c>
      <c r="B1008" s="302" t="s">
        <v>93</v>
      </c>
      <c r="C1008" s="273">
        <v>100</v>
      </c>
      <c r="D1008" s="424">
        <v>480.69</v>
      </c>
      <c r="E1008" s="295"/>
      <c r="F1008" s="270"/>
      <c r="G1008" s="270"/>
    </row>
    <row r="1009" spans="1:7" ht="22.5" customHeight="1" outlineLevel="1" x14ac:dyDescent="0.25">
      <c r="A1009" s="293">
        <v>10</v>
      </c>
      <c r="B1009" s="302" t="s">
        <v>94</v>
      </c>
      <c r="C1009" s="273">
        <v>100</v>
      </c>
      <c r="D1009" s="424">
        <v>126</v>
      </c>
      <c r="E1009" s="295"/>
      <c r="F1009" s="270"/>
      <c r="G1009" s="270"/>
    </row>
    <row r="1010" spans="1:7" ht="60" outlineLevel="1" x14ac:dyDescent="0.25">
      <c r="A1010" s="293">
        <v>11</v>
      </c>
      <c r="B1010" s="302" t="s">
        <v>95</v>
      </c>
      <c r="C1010" s="273">
        <v>100</v>
      </c>
      <c r="D1010" s="424">
        <v>1091.5155</v>
      </c>
      <c r="E1010" s="295"/>
      <c r="F1010" s="270"/>
      <c r="G1010" s="270"/>
    </row>
    <row r="1011" spans="1:7" outlineLevel="1" x14ac:dyDescent="0.25">
      <c r="A1011" s="506" t="s">
        <v>43</v>
      </c>
      <c r="B1011" s="506"/>
      <c r="C1011" s="506"/>
      <c r="D1011" s="506"/>
      <c r="E1011" s="506"/>
      <c r="F1011" s="270"/>
      <c r="G1011" s="270"/>
    </row>
    <row r="1012" spans="1:7" ht="19.5" outlineLevel="1" x14ac:dyDescent="0.4">
      <c r="A1012" s="500" t="s">
        <v>293</v>
      </c>
      <c r="B1012" s="500"/>
      <c r="C1012" s="500"/>
      <c r="D1012" s="500"/>
      <c r="E1012" s="500"/>
      <c r="F1012" s="471"/>
      <c r="G1012" s="471"/>
    </row>
    <row r="1013" spans="1:7" ht="75.75" outlineLevel="1" x14ac:dyDescent="0.25">
      <c r="A1013" s="293">
        <v>1</v>
      </c>
      <c r="B1013" s="302" t="s">
        <v>285</v>
      </c>
      <c r="C1013" s="273">
        <v>1000</v>
      </c>
      <c r="D1013" s="424">
        <v>3514.6564000000008</v>
      </c>
      <c r="E1013" s="269"/>
      <c r="F1013" s="270"/>
      <c r="G1013" s="270"/>
    </row>
    <row r="1014" spans="1:7" ht="45" outlineLevel="1" x14ac:dyDescent="0.25">
      <c r="A1014" s="505">
        <v>2</v>
      </c>
      <c r="B1014" s="327" t="s">
        <v>124</v>
      </c>
      <c r="C1014" s="330"/>
      <c r="D1014" s="424"/>
      <c r="E1014" s="269"/>
      <c r="F1014" s="270"/>
      <c r="G1014" s="270"/>
    </row>
    <row r="1015" spans="1:7" outlineLevel="1" x14ac:dyDescent="0.25">
      <c r="A1015" s="505"/>
      <c r="B1015" s="327" t="s">
        <v>24</v>
      </c>
      <c r="C1015" s="273">
        <v>100</v>
      </c>
      <c r="D1015" s="424">
        <v>463.38600000000008</v>
      </c>
      <c r="E1015" s="269"/>
      <c r="F1015" s="270"/>
      <c r="G1015" s="270"/>
    </row>
    <row r="1016" spans="1:7" outlineLevel="1" x14ac:dyDescent="0.25">
      <c r="A1016" s="505"/>
      <c r="B1016" s="327" t="s">
        <v>125</v>
      </c>
      <c r="C1016" s="273">
        <v>100</v>
      </c>
      <c r="D1016" s="424">
        <v>48.097499999999997</v>
      </c>
      <c r="E1016" s="269"/>
      <c r="F1016" s="270"/>
      <c r="G1016" s="270"/>
    </row>
    <row r="1017" spans="1:7" ht="30" outlineLevel="1" x14ac:dyDescent="0.25">
      <c r="A1017" s="275">
        <v>3</v>
      </c>
      <c r="B1017" s="302" t="s">
        <v>79</v>
      </c>
      <c r="C1017" s="273">
        <v>100</v>
      </c>
      <c r="D1017" s="424">
        <v>746.37</v>
      </c>
      <c r="E1017" s="269"/>
      <c r="F1017" s="270"/>
      <c r="G1017" s="270"/>
    </row>
    <row r="1018" spans="1:7" ht="120" outlineLevel="1" x14ac:dyDescent="0.25">
      <c r="A1018" s="275">
        <v>4</v>
      </c>
      <c r="B1018" s="302" t="s">
        <v>99</v>
      </c>
      <c r="C1018" s="271"/>
      <c r="D1018" s="424"/>
      <c r="E1018" s="269"/>
      <c r="F1018" s="270"/>
      <c r="G1018" s="270"/>
    </row>
    <row r="1019" spans="1:7" ht="75" outlineLevel="1" x14ac:dyDescent="0.25">
      <c r="A1019" s="326" t="s">
        <v>48</v>
      </c>
      <c r="B1019" s="302" t="s">
        <v>100</v>
      </c>
      <c r="C1019" s="273">
        <v>1</v>
      </c>
      <c r="D1019" s="424">
        <v>625.5</v>
      </c>
      <c r="E1019" s="269"/>
      <c r="F1019" s="270"/>
      <c r="G1019" s="270"/>
    </row>
    <row r="1020" spans="1:7" ht="75" outlineLevel="1" x14ac:dyDescent="0.25">
      <c r="A1020" s="326" t="s">
        <v>50</v>
      </c>
      <c r="B1020" s="302" t="s">
        <v>201</v>
      </c>
      <c r="C1020" s="273">
        <v>1</v>
      </c>
      <c r="D1020" s="424">
        <v>216</v>
      </c>
      <c r="E1020" s="269"/>
      <c r="F1020" s="270"/>
      <c r="G1020" s="270"/>
    </row>
    <row r="1021" spans="1:7" ht="90" outlineLevel="1" x14ac:dyDescent="0.25">
      <c r="A1021" s="326">
        <v>5</v>
      </c>
      <c r="B1021" s="302" t="s">
        <v>286</v>
      </c>
      <c r="C1021" s="303">
        <v>100</v>
      </c>
      <c r="D1021" s="424">
        <v>2524.5</v>
      </c>
      <c r="E1021" s="304"/>
      <c r="F1021" s="270"/>
      <c r="G1021" s="270"/>
    </row>
    <row r="1022" spans="1:7" ht="30" outlineLevel="1" x14ac:dyDescent="0.25">
      <c r="A1022" s="275">
        <v>6</v>
      </c>
      <c r="B1022" s="317" t="s">
        <v>287</v>
      </c>
      <c r="C1022" s="273">
        <v>100</v>
      </c>
      <c r="D1022" s="424">
        <v>949.98720000000037</v>
      </c>
      <c r="E1022" s="295"/>
      <c r="F1022" s="270"/>
      <c r="G1022" s="270"/>
    </row>
    <row r="1023" spans="1:7" ht="23.25" customHeight="1" outlineLevel="1" x14ac:dyDescent="0.25">
      <c r="A1023" s="275">
        <v>7</v>
      </c>
      <c r="B1023" s="299" t="s">
        <v>66</v>
      </c>
      <c r="C1023" s="273">
        <v>1000</v>
      </c>
      <c r="D1023" s="424">
        <v>1280</v>
      </c>
      <c r="E1023" s="298"/>
      <c r="F1023" s="270"/>
      <c r="G1023" s="270"/>
    </row>
    <row r="1024" spans="1:7" ht="75.75" outlineLevel="1" x14ac:dyDescent="0.25">
      <c r="A1024" s="275">
        <v>8</v>
      </c>
      <c r="B1024" s="299" t="s">
        <v>40</v>
      </c>
      <c r="C1024" s="276"/>
      <c r="D1024" s="424"/>
      <c r="E1024" s="298"/>
      <c r="F1024" s="270"/>
      <c r="G1024" s="270"/>
    </row>
    <row r="1025" spans="1:7" outlineLevel="1" x14ac:dyDescent="0.25">
      <c r="A1025" s="275" t="s">
        <v>67</v>
      </c>
      <c r="B1025" s="299" t="s">
        <v>68</v>
      </c>
      <c r="C1025" s="273">
        <v>100</v>
      </c>
      <c r="D1025" s="424">
        <v>444.85056000000009</v>
      </c>
      <c r="E1025" s="298"/>
      <c r="F1025" s="270"/>
      <c r="G1025" s="270"/>
    </row>
    <row r="1026" spans="1:7" outlineLevel="1" x14ac:dyDescent="0.25">
      <c r="A1026" s="275" t="s">
        <v>67</v>
      </c>
      <c r="B1026" s="299" t="s">
        <v>42</v>
      </c>
      <c r="C1026" s="273">
        <v>100</v>
      </c>
      <c r="D1026" s="424">
        <v>42.325799999999994</v>
      </c>
      <c r="E1026" s="298"/>
      <c r="F1026" s="270"/>
      <c r="G1026" s="270"/>
    </row>
    <row r="1027" spans="1:7" outlineLevel="1" x14ac:dyDescent="0.25">
      <c r="A1027" s="275" t="s">
        <v>41</v>
      </c>
      <c r="B1027" s="299" t="s">
        <v>69</v>
      </c>
      <c r="C1027" s="273">
        <v>100</v>
      </c>
      <c r="D1027" s="424">
        <v>706.86</v>
      </c>
      <c r="E1027" s="298"/>
      <c r="F1027" s="270"/>
      <c r="G1027" s="270"/>
    </row>
    <row r="1028" spans="1:7" outlineLevel="1" x14ac:dyDescent="0.25">
      <c r="A1028" s="275" t="s">
        <v>70</v>
      </c>
      <c r="B1028" s="299" t="s">
        <v>288</v>
      </c>
      <c r="C1028" s="273">
        <v>100</v>
      </c>
      <c r="D1028" s="424">
        <v>1282.4827200000007</v>
      </c>
      <c r="E1028" s="298"/>
      <c r="F1028" s="270"/>
      <c r="G1028" s="270"/>
    </row>
    <row r="1029" spans="1:7" outlineLevel="1" x14ac:dyDescent="0.25">
      <c r="A1029" s="506" t="s">
        <v>43</v>
      </c>
      <c r="B1029" s="506"/>
      <c r="C1029" s="506"/>
      <c r="D1029" s="506"/>
      <c r="E1029" s="506"/>
      <c r="F1029" s="270"/>
      <c r="G1029" s="270"/>
    </row>
    <row r="1030" spans="1:7" ht="19.5" outlineLevel="1" x14ac:dyDescent="0.4">
      <c r="A1030" s="500" t="s">
        <v>107</v>
      </c>
      <c r="B1030" s="500"/>
      <c r="C1030" s="500"/>
      <c r="D1030" s="500"/>
      <c r="E1030" s="500"/>
      <c r="F1030" s="471"/>
      <c r="G1030" s="471"/>
    </row>
    <row r="1031" spans="1:7" ht="75" outlineLevel="1" x14ac:dyDescent="0.25">
      <c r="A1031" s="293">
        <v>1</v>
      </c>
      <c r="B1031" s="299" t="s">
        <v>108</v>
      </c>
      <c r="C1031" s="273">
        <v>1000</v>
      </c>
      <c r="D1031" s="424">
        <v>544.8919083198</v>
      </c>
      <c r="E1031" s="269"/>
      <c r="F1031" s="270"/>
      <c r="G1031" s="270"/>
    </row>
    <row r="1032" spans="1:7" ht="105" outlineLevel="1" x14ac:dyDescent="0.25">
      <c r="A1032" s="293">
        <v>2</v>
      </c>
      <c r="B1032" s="318" t="s">
        <v>109</v>
      </c>
      <c r="C1032" s="278">
        <v>1</v>
      </c>
      <c r="D1032" s="424">
        <v>508.5</v>
      </c>
      <c r="E1032" s="295"/>
      <c r="F1032" s="270"/>
      <c r="G1032" s="270"/>
    </row>
    <row r="1033" spans="1:7" ht="45" outlineLevel="1" x14ac:dyDescent="0.25">
      <c r="A1033" s="285">
        <v>3</v>
      </c>
      <c r="B1033" s="311" t="s">
        <v>23</v>
      </c>
      <c r="C1033" s="287"/>
      <c r="D1033" s="441"/>
      <c r="E1033" s="316"/>
      <c r="F1033" s="292"/>
      <c r="G1033" s="292"/>
    </row>
    <row r="1034" spans="1:7" outlineLevel="1" x14ac:dyDescent="0.25">
      <c r="A1034" s="280"/>
      <c r="B1034" s="300" t="s">
        <v>24</v>
      </c>
      <c r="C1034" s="282">
        <v>100</v>
      </c>
      <c r="D1034" s="440">
        <v>105.61244432480001</v>
      </c>
      <c r="E1034" s="310"/>
      <c r="F1034" s="290"/>
      <c r="G1034" s="290"/>
    </row>
    <row r="1035" spans="1:7" ht="30" outlineLevel="1" x14ac:dyDescent="0.25">
      <c r="A1035" s="275">
        <v>4</v>
      </c>
      <c r="B1035" s="302" t="s">
        <v>25</v>
      </c>
      <c r="C1035" s="273">
        <v>100</v>
      </c>
      <c r="D1035" s="424">
        <v>315.04000000000002</v>
      </c>
      <c r="E1035" s="269"/>
      <c r="F1035" s="270"/>
      <c r="G1035" s="270"/>
    </row>
    <row r="1036" spans="1:7" ht="60" outlineLevel="1" x14ac:dyDescent="0.25">
      <c r="A1036" s="275">
        <v>5</v>
      </c>
      <c r="B1036" s="302" t="s">
        <v>110</v>
      </c>
      <c r="C1036" s="278">
        <v>100</v>
      </c>
      <c r="D1036" s="424">
        <v>64.5</v>
      </c>
      <c r="E1036" s="269"/>
      <c r="F1036" s="270"/>
      <c r="G1036" s="270"/>
    </row>
    <row r="1037" spans="1:7" ht="60" outlineLevel="1" x14ac:dyDescent="0.25">
      <c r="A1037" s="275">
        <v>6</v>
      </c>
      <c r="B1037" s="299" t="s">
        <v>111</v>
      </c>
      <c r="C1037" s="278">
        <v>100</v>
      </c>
      <c r="D1037" s="424">
        <v>120</v>
      </c>
      <c r="E1037" s="269"/>
      <c r="F1037" s="270"/>
      <c r="G1037" s="270"/>
    </row>
    <row r="1038" spans="1:7" ht="30" outlineLevel="1" x14ac:dyDescent="0.25">
      <c r="A1038" s="275">
        <v>7</v>
      </c>
      <c r="B1038" s="302" t="s">
        <v>112</v>
      </c>
      <c r="C1038" s="273">
        <v>1000</v>
      </c>
      <c r="D1038" s="424">
        <v>150</v>
      </c>
      <c r="E1038" s="269"/>
      <c r="F1038" s="270"/>
      <c r="G1038" s="270"/>
    </row>
    <row r="1039" spans="1:7" ht="30" outlineLevel="1" x14ac:dyDescent="0.25">
      <c r="A1039" s="275">
        <v>8</v>
      </c>
      <c r="B1039" s="299" t="s">
        <v>173</v>
      </c>
      <c r="C1039" s="273">
        <v>100</v>
      </c>
      <c r="D1039" s="424">
        <v>290.89999999999998</v>
      </c>
      <c r="E1039" s="269"/>
      <c r="F1039" s="270"/>
      <c r="G1039" s="270"/>
    </row>
    <row r="1040" spans="1:7" ht="120.75" outlineLevel="1" x14ac:dyDescent="0.25">
      <c r="A1040" s="275">
        <v>9</v>
      </c>
      <c r="B1040" s="302" t="s">
        <v>47</v>
      </c>
      <c r="C1040" s="271"/>
      <c r="D1040" s="424"/>
      <c r="E1040" s="269"/>
      <c r="F1040" s="270"/>
      <c r="G1040" s="270"/>
    </row>
    <row r="1041" spans="1:7" ht="75" outlineLevel="1" x14ac:dyDescent="0.25">
      <c r="A1041" s="275" t="s">
        <v>48</v>
      </c>
      <c r="B1041" s="302" t="s">
        <v>174</v>
      </c>
      <c r="C1041" s="273">
        <v>1</v>
      </c>
      <c r="D1041" s="424">
        <v>154.16579999999999</v>
      </c>
      <c r="E1041" s="269"/>
      <c r="F1041" s="270"/>
      <c r="G1041" s="270"/>
    </row>
    <row r="1042" spans="1:7" ht="75" outlineLevel="1" x14ac:dyDescent="0.25">
      <c r="A1042" s="275" t="s">
        <v>50</v>
      </c>
      <c r="B1042" s="299" t="s">
        <v>175</v>
      </c>
      <c r="C1042" s="273">
        <v>1</v>
      </c>
      <c r="D1042" s="424">
        <v>18.407812499999999</v>
      </c>
      <c r="E1042" s="269"/>
      <c r="F1042" s="270"/>
      <c r="G1042" s="270"/>
    </row>
    <row r="1043" spans="1:7" ht="90" outlineLevel="1" x14ac:dyDescent="0.25">
      <c r="A1043" s="326">
        <v>11</v>
      </c>
      <c r="B1043" s="302" t="s">
        <v>116</v>
      </c>
      <c r="C1043" s="303">
        <v>100</v>
      </c>
      <c r="D1043" s="424">
        <v>1035.441675</v>
      </c>
      <c r="E1043" s="269"/>
      <c r="F1043" s="270"/>
      <c r="G1043" s="270"/>
    </row>
    <row r="1044" spans="1:7" ht="180" outlineLevel="1" x14ac:dyDescent="0.25">
      <c r="A1044" s="275">
        <v>12</v>
      </c>
      <c r="B1044" s="302" t="s">
        <v>117</v>
      </c>
      <c r="C1044" s="278">
        <v>1</v>
      </c>
      <c r="D1044" s="424">
        <v>32</v>
      </c>
      <c r="E1044" s="269"/>
      <c r="F1044" s="270"/>
      <c r="G1044" s="270"/>
    </row>
    <row r="1045" spans="1:7" ht="60" outlineLevel="1" x14ac:dyDescent="0.25">
      <c r="A1045" s="275">
        <v>13</v>
      </c>
      <c r="B1045" s="302" t="s">
        <v>118</v>
      </c>
      <c r="C1045" s="278">
        <v>1</v>
      </c>
      <c r="D1045" s="424">
        <v>40</v>
      </c>
      <c r="E1045" s="269"/>
      <c r="F1045" s="270"/>
      <c r="G1045" s="270"/>
    </row>
    <row r="1046" spans="1:7" ht="45" outlineLevel="1" x14ac:dyDescent="0.25">
      <c r="A1046" s="275">
        <v>14</v>
      </c>
      <c r="B1046" s="302" t="s">
        <v>119</v>
      </c>
      <c r="C1046" s="278">
        <v>1</v>
      </c>
      <c r="D1046" s="424">
        <v>49</v>
      </c>
      <c r="E1046" s="269"/>
      <c r="F1046" s="270"/>
      <c r="G1046" s="270"/>
    </row>
    <row r="1047" spans="1:7" ht="75" outlineLevel="1" x14ac:dyDescent="0.25">
      <c r="A1047" s="293">
        <v>15</v>
      </c>
      <c r="B1047" s="302" t="s">
        <v>120</v>
      </c>
      <c r="C1047" s="278">
        <v>100</v>
      </c>
      <c r="D1047" s="424">
        <v>95.5625</v>
      </c>
      <c r="E1047" s="269"/>
      <c r="F1047" s="270"/>
      <c r="G1047" s="270"/>
    </row>
    <row r="1048" spans="1:7" ht="30" outlineLevel="1" x14ac:dyDescent="0.25">
      <c r="A1048" s="293">
        <v>16</v>
      </c>
      <c r="B1048" s="302" t="s">
        <v>121</v>
      </c>
      <c r="C1048" s="278">
        <v>1</v>
      </c>
      <c r="D1048" s="424">
        <v>99.5625</v>
      </c>
      <c r="E1048" s="269"/>
      <c r="F1048" s="270"/>
      <c r="G1048" s="270"/>
    </row>
    <row r="1049" spans="1:7" ht="21" customHeight="1" outlineLevel="1" x14ac:dyDescent="0.25">
      <c r="A1049" s="275">
        <v>17</v>
      </c>
      <c r="B1049" s="302" t="s">
        <v>122</v>
      </c>
      <c r="C1049" s="273">
        <v>100</v>
      </c>
      <c r="D1049" s="424">
        <v>40.9375</v>
      </c>
      <c r="E1049" s="295"/>
      <c r="F1049" s="270"/>
      <c r="G1049" s="270"/>
    </row>
    <row r="1050" spans="1:7" ht="45" outlineLevel="1" x14ac:dyDescent="0.25">
      <c r="A1050" s="293">
        <v>18</v>
      </c>
      <c r="B1050" s="302" t="s">
        <v>123</v>
      </c>
      <c r="C1050" s="273">
        <v>100</v>
      </c>
      <c r="D1050" s="424">
        <v>48.9375</v>
      </c>
      <c r="E1050" s="295"/>
      <c r="F1050" s="270"/>
      <c r="G1050" s="270"/>
    </row>
    <row r="1051" spans="1:7" ht="45" outlineLevel="1" x14ac:dyDescent="0.25">
      <c r="A1051" s="505">
        <v>19</v>
      </c>
      <c r="B1051" s="447" t="s">
        <v>124</v>
      </c>
      <c r="C1051" s="291"/>
      <c r="D1051" s="441"/>
      <c r="E1051" s="288"/>
      <c r="F1051" s="292"/>
      <c r="G1051" s="292"/>
    </row>
    <row r="1052" spans="1:7" outlineLevel="1" x14ac:dyDescent="0.25">
      <c r="A1052" s="505"/>
      <c r="B1052" s="446" t="s">
        <v>125</v>
      </c>
      <c r="C1052" s="282">
        <v>100</v>
      </c>
      <c r="D1052" s="440">
        <v>45.86</v>
      </c>
      <c r="E1052" s="310"/>
      <c r="F1052" s="290"/>
      <c r="G1052" s="290"/>
    </row>
    <row r="1053" spans="1:7" ht="30" outlineLevel="1" x14ac:dyDescent="0.25">
      <c r="A1053" s="275">
        <v>20</v>
      </c>
      <c r="B1053" s="302" t="s">
        <v>126</v>
      </c>
      <c r="C1053" s="278">
        <v>100</v>
      </c>
      <c r="D1053" s="424">
        <v>568.30500000000006</v>
      </c>
      <c r="E1053" s="295"/>
      <c r="F1053" s="270"/>
      <c r="G1053" s="270"/>
    </row>
    <row r="1054" spans="1:7" ht="45" outlineLevel="1" x14ac:dyDescent="0.25">
      <c r="A1054" s="275">
        <v>21</v>
      </c>
      <c r="B1054" s="302" t="s">
        <v>127</v>
      </c>
      <c r="C1054" s="278">
        <v>100</v>
      </c>
      <c r="D1054" s="424">
        <v>114.52</v>
      </c>
      <c r="E1054" s="295"/>
      <c r="F1054" s="270"/>
      <c r="G1054" s="270"/>
    </row>
    <row r="1055" spans="1:7" ht="60" outlineLevel="1" x14ac:dyDescent="0.25">
      <c r="A1055" s="275">
        <v>22</v>
      </c>
      <c r="B1055" s="302" t="s">
        <v>128</v>
      </c>
      <c r="C1055" s="278">
        <v>100</v>
      </c>
      <c r="D1055" s="424">
        <v>489.875</v>
      </c>
      <c r="E1055" s="295"/>
      <c r="F1055" s="270"/>
      <c r="G1055" s="270"/>
    </row>
    <row r="1056" spans="1:7" ht="45" outlineLevel="1" x14ac:dyDescent="0.25">
      <c r="A1056" s="275">
        <v>23</v>
      </c>
      <c r="B1056" s="302" t="s">
        <v>129</v>
      </c>
      <c r="C1056" s="323">
        <v>1</v>
      </c>
      <c r="D1056" s="424">
        <v>13</v>
      </c>
      <c r="E1056" s="295"/>
      <c r="F1056" s="270"/>
      <c r="G1056" s="270"/>
    </row>
    <row r="1057" spans="1:7" ht="30" outlineLevel="1" x14ac:dyDescent="0.25">
      <c r="A1057" s="275">
        <v>24</v>
      </c>
      <c r="B1057" s="302" t="s">
        <v>130</v>
      </c>
      <c r="C1057" s="328">
        <v>1</v>
      </c>
      <c r="D1057" s="424">
        <v>2</v>
      </c>
      <c r="E1057" s="295"/>
      <c r="F1057" s="270"/>
      <c r="G1057" s="270"/>
    </row>
    <row r="1058" spans="1:7" ht="21.75" customHeight="1" outlineLevel="1" x14ac:dyDescent="0.25">
      <c r="A1058" s="275">
        <v>25</v>
      </c>
      <c r="B1058" s="302" t="s">
        <v>131</v>
      </c>
      <c r="C1058" s="328">
        <v>1</v>
      </c>
      <c r="D1058" s="424">
        <v>1</v>
      </c>
      <c r="E1058" s="295"/>
      <c r="F1058" s="270"/>
      <c r="G1058" s="270"/>
    </row>
    <row r="1059" spans="1:7" ht="21.75" customHeight="1" outlineLevel="1" x14ac:dyDescent="0.25">
      <c r="A1059" s="275">
        <v>26</v>
      </c>
      <c r="B1059" s="302" t="s">
        <v>132</v>
      </c>
      <c r="C1059" s="278">
        <v>100</v>
      </c>
      <c r="D1059" s="424">
        <v>510.27</v>
      </c>
      <c r="E1059" s="295"/>
      <c r="F1059" s="270"/>
      <c r="G1059" s="270"/>
    </row>
    <row r="1060" spans="1:7" ht="45" outlineLevel="1" x14ac:dyDescent="0.25">
      <c r="A1060" s="275">
        <v>27</v>
      </c>
      <c r="B1060" s="302" t="s">
        <v>133</v>
      </c>
      <c r="C1060" s="278">
        <v>100</v>
      </c>
      <c r="D1060" s="424">
        <v>172.55500000000001</v>
      </c>
      <c r="E1060" s="295"/>
      <c r="F1060" s="270"/>
      <c r="G1060" s="270"/>
    </row>
    <row r="1061" spans="1:7" ht="30" outlineLevel="1" x14ac:dyDescent="0.25">
      <c r="A1061" s="275">
        <v>28</v>
      </c>
      <c r="B1061" s="302" t="s">
        <v>134</v>
      </c>
      <c r="C1061" s="278">
        <v>100</v>
      </c>
      <c r="D1061" s="424">
        <v>89</v>
      </c>
      <c r="E1061" s="295"/>
      <c r="F1061" s="270"/>
      <c r="G1061" s="270"/>
    </row>
    <row r="1062" spans="1:7" ht="60" outlineLevel="1" x14ac:dyDescent="0.25">
      <c r="A1062" s="275">
        <v>29</v>
      </c>
      <c r="B1062" s="327" t="s">
        <v>135</v>
      </c>
      <c r="C1062" s="303">
        <v>100</v>
      </c>
      <c r="D1062" s="424">
        <v>334.95872267077925</v>
      </c>
      <c r="E1062" s="269"/>
      <c r="F1062" s="270"/>
      <c r="G1062" s="270"/>
    </row>
    <row r="1063" spans="1:7" ht="45" outlineLevel="1" x14ac:dyDescent="0.25">
      <c r="A1063" s="505">
        <v>30</v>
      </c>
      <c r="B1063" s="302" t="s">
        <v>136</v>
      </c>
      <c r="C1063" s="271"/>
      <c r="D1063" s="424"/>
      <c r="E1063" s="295"/>
      <c r="F1063" s="270"/>
      <c r="G1063" s="270"/>
    </row>
    <row r="1064" spans="1:7" outlineLevel="1" x14ac:dyDescent="0.25">
      <c r="A1064" s="505"/>
      <c r="B1064" s="302" t="s">
        <v>176</v>
      </c>
      <c r="C1064" s="323">
        <v>1</v>
      </c>
      <c r="D1064" s="424">
        <v>60</v>
      </c>
      <c r="E1064" s="295"/>
      <c r="F1064" s="270"/>
      <c r="G1064" s="270"/>
    </row>
    <row r="1065" spans="1:7" outlineLevel="1" x14ac:dyDescent="0.25">
      <c r="A1065" s="505"/>
      <c r="B1065" s="302" t="s">
        <v>177</v>
      </c>
      <c r="C1065" s="323">
        <v>1</v>
      </c>
      <c r="D1065" s="424">
        <v>30</v>
      </c>
      <c r="E1065" s="295"/>
      <c r="F1065" s="270"/>
      <c r="G1065" s="270"/>
    </row>
    <row r="1066" spans="1:7" outlineLevel="1" x14ac:dyDescent="0.25">
      <c r="A1066" s="275"/>
      <c r="B1066" s="302" t="s">
        <v>178</v>
      </c>
      <c r="C1066" s="323">
        <v>1</v>
      </c>
      <c r="D1066" s="424">
        <v>15</v>
      </c>
      <c r="E1066" s="295"/>
      <c r="F1066" s="270"/>
      <c r="G1066" s="270"/>
    </row>
    <row r="1067" spans="1:7" ht="75" outlineLevel="1" x14ac:dyDescent="0.25">
      <c r="A1067" s="505">
        <v>31</v>
      </c>
      <c r="B1067" s="302" t="s">
        <v>141</v>
      </c>
      <c r="C1067" s="271"/>
      <c r="D1067" s="424"/>
      <c r="E1067" s="295"/>
      <c r="F1067" s="270"/>
      <c r="G1067" s="270"/>
    </row>
    <row r="1068" spans="1:7" outlineLevel="1" x14ac:dyDescent="0.25">
      <c r="A1068" s="505"/>
      <c r="B1068" s="302" t="s">
        <v>180</v>
      </c>
      <c r="C1068" s="323">
        <v>1</v>
      </c>
      <c r="D1068" s="424">
        <v>180</v>
      </c>
      <c r="E1068" s="295"/>
      <c r="F1068" s="270"/>
      <c r="G1068" s="270"/>
    </row>
    <row r="1069" spans="1:7" outlineLevel="1" x14ac:dyDescent="0.25">
      <c r="A1069" s="334"/>
      <c r="B1069" s="302" t="s">
        <v>181</v>
      </c>
      <c r="C1069" s="323">
        <v>1</v>
      </c>
      <c r="D1069" s="424">
        <v>60</v>
      </c>
      <c r="E1069" s="295"/>
      <c r="F1069" s="270"/>
      <c r="G1069" s="270"/>
    </row>
    <row r="1070" spans="1:7" ht="75" outlineLevel="1" x14ac:dyDescent="0.25">
      <c r="A1070" s="275">
        <v>32</v>
      </c>
      <c r="B1070" s="302" t="s">
        <v>144</v>
      </c>
      <c r="C1070" s="323">
        <v>1</v>
      </c>
      <c r="D1070" s="424">
        <v>40</v>
      </c>
      <c r="E1070" s="295"/>
      <c r="F1070" s="270"/>
      <c r="G1070" s="270"/>
    </row>
    <row r="1071" spans="1:7" ht="60" outlineLevel="1" x14ac:dyDescent="0.25">
      <c r="A1071" s="505">
        <v>33</v>
      </c>
      <c r="B1071" s="302" t="s">
        <v>145</v>
      </c>
      <c r="C1071" s="271"/>
      <c r="D1071" s="424"/>
      <c r="E1071" s="295"/>
      <c r="F1071" s="270"/>
      <c r="G1071" s="270"/>
    </row>
    <row r="1072" spans="1:7" outlineLevel="1" x14ac:dyDescent="0.25">
      <c r="A1072" s="505"/>
      <c r="B1072" s="302" t="s">
        <v>183</v>
      </c>
      <c r="C1072" s="329">
        <v>1</v>
      </c>
      <c r="D1072" s="424">
        <v>1</v>
      </c>
      <c r="E1072" s="295"/>
      <c r="F1072" s="270"/>
      <c r="G1072" s="270"/>
    </row>
    <row r="1073" spans="1:7" outlineLevel="1" x14ac:dyDescent="0.25">
      <c r="A1073" s="505"/>
      <c r="B1073" s="302" t="s">
        <v>184</v>
      </c>
      <c r="C1073" s="329">
        <v>1</v>
      </c>
      <c r="D1073" s="424">
        <v>1</v>
      </c>
      <c r="E1073" s="295"/>
      <c r="F1073" s="270"/>
      <c r="G1073" s="270"/>
    </row>
    <row r="1074" spans="1:7" outlineLevel="1" x14ac:dyDescent="0.25">
      <c r="A1074" s="505"/>
      <c r="B1074" s="302" t="s">
        <v>185</v>
      </c>
      <c r="C1074" s="329">
        <v>1</v>
      </c>
      <c r="D1074" s="424">
        <v>1</v>
      </c>
      <c r="E1074" s="295"/>
      <c r="F1074" s="270"/>
      <c r="G1074" s="270"/>
    </row>
    <row r="1075" spans="1:7" ht="30" outlineLevel="1" x14ac:dyDescent="0.25">
      <c r="A1075" s="275">
        <v>34</v>
      </c>
      <c r="B1075" s="302" t="s">
        <v>149</v>
      </c>
      <c r="C1075" s="329">
        <v>1</v>
      </c>
      <c r="D1075" s="424">
        <v>20</v>
      </c>
      <c r="E1075" s="295"/>
      <c r="F1075" s="270"/>
      <c r="G1075" s="270"/>
    </row>
    <row r="1076" spans="1:7" ht="20.25" customHeight="1" outlineLevel="1" x14ac:dyDescent="0.25">
      <c r="A1076" s="275">
        <v>35</v>
      </c>
      <c r="B1076" s="302" t="s">
        <v>150</v>
      </c>
      <c r="C1076" s="329">
        <v>1</v>
      </c>
      <c r="D1076" s="424">
        <v>4</v>
      </c>
      <c r="E1076" s="295"/>
      <c r="F1076" s="270"/>
      <c r="G1076" s="270"/>
    </row>
    <row r="1077" spans="1:7" ht="20.25" customHeight="1" outlineLevel="1" x14ac:dyDescent="0.25">
      <c r="A1077" s="275">
        <v>36</v>
      </c>
      <c r="B1077" s="302" t="s">
        <v>151</v>
      </c>
      <c r="C1077" s="329">
        <v>1</v>
      </c>
      <c r="D1077" s="424">
        <v>2</v>
      </c>
      <c r="E1077" s="295"/>
      <c r="F1077" s="270"/>
      <c r="G1077" s="270"/>
    </row>
    <row r="1078" spans="1:7" ht="30" outlineLevel="1" x14ac:dyDescent="0.25">
      <c r="A1078" s="275">
        <v>37</v>
      </c>
      <c r="B1078" s="302" t="s">
        <v>186</v>
      </c>
      <c r="C1078" s="329">
        <v>1</v>
      </c>
      <c r="D1078" s="424">
        <v>1</v>
      </c>
      <c r="E1078" s="295"/>
      <c r="F1078" s="270"/>
      <c r="G1078" s="270"/>
    </row>
    <row r="1079" spans="1:7" ht="150" outlineLevel="1" x14ac:dyDescent="0.25">
      <c r="A1079" s="275">
        <v>38</v>
      </c>
      <c r="B1079" s="299" t="s">
        <v>153</v>
      </c>
      <c r="C1079" s="328">
        <v>1</v>
      </c>
      <c r="D1079" s="424">
        <v>1</v>
      </c>
      <c r="E1079" s="295"/>
      <c r="F1079" s="270"/>
      <c r="G1079" s="270"/>
    </row>
    <row r="1080" spans="1:7" ht="90" outlineLevel="1" x14ac:dyDescent="0.25">
      <c r="A1080" s="275">
        <v>39</v>
      </c>
      <c r="B1080" s="302" t="s">
        <v>154</v>
      </c>
      <c r="C1080" s="328">
        <v>1</v>
      </c>
      <c r="D1080" s="424">
        <v>6</v>
      </c>
      <c r="E1080" s="295"/>
      <c r="F1080" s="270"/>
      <c r="G1080" s="270"/>
    </row>
    <row r="1081" spans="1:7" ht="135" outlineLevel="1" x14ac:dyDescent="0.25">
      <c r="A1081" s="275">
        <v>40</v>
      </c>
      <c r="B1081" s="299" t="s">
        <v>155</v>
      </c>
      <c r="C1081" s="328">
        <v>1</v>
      </c>
      <c r="D1081" s="424">
        <v>2</v>
      </c>
      <c r="E1081" s="295"/>
      <c r="F1081" s="270"/>
      <c r="G1081" s="270"/>
    </row>
    <row r="1082" spans="1:7" ht="150" outlineLevel="1" x14ac:dyDescent="0.25">
      <c r="A1082" s="275">
        <v>41</v>
      </c>
      <c r="B1082" s="299" t="s">
        <v>156</v>
      </c>
      <c r="C1082" s="328">
        <v>1</v>
      </c>
      <c r="D1082" s="424">
        <v>1</v>
      </c>
      <c r="E1082" s="295"/>
      <c r="F1082" s="270"/>
      <c r="G1082" s="270"/>
    </row>
    <row r="1083" spans="1:7" ht="60" outlineLevel="1" x14ac:dyDescent="0.25">
      <c r="A1083" s="275">
        <v>42</v>
      </c>
      <c r="B1083" s="302" t="s">
        <v>157</v>
      </c>
      <c r="C1083" s="328">
        <v>1</v>
      </c>
      <c r="D1083" s="424">
        <v>3</v>
      </c>
      <c r="E1083" s="295"/>
      <c r="F1083" s="270"/>
      <c r="G1083" s="270"/>
    </row>
    <row r="1084" spans="1:7" ht="30" outlineLevel="1" x14ac:dyDescent="0.25">
      <c r="A1084" s="275">
        <v>43</v>
      </c>
      <c r="B1084" s="302" t="s">
        <v>158</v>
      </c>
      <c r="C1084" s="328">
        <v>1</v>
      </c>
      <c r="D1084" s="424">
        <v>3</v>
      </c>
      <c r="E1084" s="295"/>
      <c r="F1084" s="270"/>
      <c r="G1084" s="270"/>
    </row>
    <row r="1085" spans="1:7" ht="75.75" outlineLevel="1" x14ac:dyDescent="0.25">
      <c r="A1085" s="275">
        <v>44</v>
      </c>
      <c r="B1085" s="299" t="s">
        <v>40</v>
      </c>
      <c r="C1085" s="276"/>
      <c r="D1085" s="424"/>
      <c r="E1085" s="298"/>
      <c r="F1085" s="270"/>
      <c r="G1085" s="270"/>
    </row>
    <row r="1086" spans="1:7" outlineLevel="1" x14ac:dyDescent="0.25">
      <c r="A1086" s="275" t="s">
        <v>67</v>
      </c>
      <c r="B1086" s="299" t="s">
        <v>68</v>
      </c>
      <c r="C1086" s="273">
        <v>100</v>
      </c>
      <c r="D1086" s="424">
        <v>101.387946551808</v>
      </c>
      <c r="E1086" s="298"/>
      <c r="F1086" s="270"/>
      <c r="G1086" s="270"/>
    </row>
    <row r="1087" spans="1:7" outlineLevel="1" x14ac:dyDescent="0.25">
      <c r="A1087" s="275" t="s">
        <v>41</v>
      </c>
      <c r="B1087" s="299" t="s">
        <v>42</v>
      </c>
      <c r="C1087" s="273">
        <v>100</v>
      </c>
      <c r="D1087" s="424">
        <v>40.3568</v>
      </c>
      <c r="E1087" s="298"/>
      <c r="F1087" s="270"/>
      <c r="G1087" s="270"/>
    </row>
    <row r="1088" spans="1:7" outlineLevel="1" x14ac:dyDescent="0.25">
      <c r="A1088" s="275" t="s">
        <v>70</v>
      </c>
      <c r="B1088" s="299" t="s">
        <v>159</v>
      </c>
      <c r="C1088" s="273">
        <v>100</v>
      </c>
      <c r="D1088" s="424">
        <v>151.864779</v>
      </c>
      <c r="E1088" s="298"/>
      <c r="F1088" s="270"/>
      <c r="G1088" s="270"/>
    </row>
    <row r="1089" spans="1:7" outlineLevel="1" x14ac:dyDescent="0.25">
      <c r="A1089" s="275" t="s">
        <v>160</v>
      </c>
      <c r="B1089" s="299" t="s">
        <v>161</v>
      </c>
      <c r="C1089" s="273">
        <v>100</v>
      </c>
      <c r="D1089" s="424">
        <v>7.0949999999999998</v>
      </c>
      <c r="E1089" s="298"/>
      <c r="F1089" s="270"/>
      <c r="G1089" s="270"/>
    </row>
    <row r="1090" spans="1:7" ht="18" customHeight="1" outlineLevel="1" x14ac:dyDescent="0.25">
      <c r="A1090" s="506" t="s">
        <v>259</v>
      </c>
      <c r="B1090" s="506"/>
      <c r="C1090" s="506"/>
      <c r="D1090" s="506"/>
      <c r="E1090" s="506"/>
      <c r="F1090" s="270"/>
      <c r="G1090" s="270"/>
    </row>
    <row r="1091" spans="1:7" ht="25.5" customHeight="1" x14ac:dyDescent="0.25">
      <c r="A1091" s="499" t="s">
        <v>295</v>
      </c>
      <c r="B1091" s="499"/>
      <c r="C1091" s="499"/>
      <c r="D1091" s="499"/>
      <c r="E1091" s="499"/>
      <c r="F1091" s="362"/>
      <c r="G1091" s="362"/>
    </row>
    <row r="1092" spans="1:7" ht="19.5" outlineLevel="1" x14ac:dyDescent="0.4">
      <c r="A1092" s="500" t="s">
        <v>9</v>
      </c>
      <c r="B1092" s="500"/>
      <c r="C1092" s="500"/>
      <c r="D1092" s="500"/>
      <c r="E1092" s="500"/>
      <c r="F1092" s="471"/>
      <c r="G1092" s="471"/>
    </row>
    <row r="1093" spans="1:7" ht="75" outlineLevel="1" x14ac:dyDescent="0.25">
      <c r="A1093" s="330">
        <v>1</v>
      </c>
      <c r="B1093" s="327" t="s">
        <v>10</v>
      </c>
      <c r="C1093" s="273">
        <v>1000</v>
      </c>
      <c r="D1093" s="422">
        <v>2187776.7000000002</v>
      </c>
      <c r="E1093" s="269"/>
      <c r="F1093" s="270"/>
      <c r="G1093" s="270"/>
    </row>
    <row r="1094" spans="1:7" ht="35.25" customHeight="1" outlineLevel="1" x14ac:dyDescent="0.25">
      <c r="A1094" s="330">
        <v>2</v>
      </c>
      <c r="B1094" s="327" t="s">
        <v>11</v>
      </c>
      <c r="C1094" s="273">
        <v>1000</v>
      </c>
      <c r="D1094" s="422">
        <v>1607647.35</v>
      </c>
      <c r="E1094" s="337"/>
      <c r="F1094" s="270"/>
      <c r="G1094" s="270"/>
    </row>
    <row r="1095" spans="1:7" ht="45" outlineLevel="1" x14ac:dyDescent="0.25">
      <c r="A1095" s="507">
        <v>3</v>
      </c>
      <c r="B1095" s="327" t="s">
        <v>12</v>
      </c>
      <c r="C1095" s="330"/>
      <c r="D1095" s="422"/>
      <c r="E1095" s="337"/>
      <c r="F1095" s="270"/>
      <c r="G1095" s="270"/>
    </row>
    <row r="1096" spans="1:7" outlineLevel="1" x14ac:dyDescent="0.25">
      <c r="A1096" s="507"/>
      <c r="B1096" s="327" t="s">
        <v>13</v>
      </c>
      <c r="C1096" s="273">
        <v>1000</v>
      </c>
      <c r="D1096" s="422">
        <v>1752.5</v>
      </c>
      <c r="E1096" s="337"/>
      <c r="F1096" s="270"/>
      <c r="G1096" s="270"/>
    </row>
    <row r="1097" spans="1:7" outlineLevel="1" x14ac:dyDescent="0.25">
      <c r="A1097" s="507"/>
      <c r="B1097" s="327" t="s">
        <v>164</v>
      </c>
      <c r="C1097" s="273">
        <v>1000</v>
      </c>
      <c r="D1097" s="422">
        <v>16955</v>
      </c>
      <c r="E1097" s="337"/>
      <c r="F1097" s="270"/>
      <c r="G1097" s="270"/>
    </row>
    <row r="1098" spans="1:7" outlineLevel="1" x14ac:dyDescent="0.25">
      <c r="A1098" s="507"/>
      <c r="B1098" s="327" t="s">
        <v>296</v>
      </c>
      <c r="C1098" s="273">
        <v>1000</v>
      </c>
      <c r="D1098" s="422">
        <v>97028.25</v>
      </c>
      <c r="E1098" s="337"/>
      <c r="F1098" s="270"/>
      <c r="G1098" s="270"/>
    </row>
    <row r="1099" spans="1:7" ht="45" outlineLevel="1" x14ac:dyDescent="0.25">
      <c r="A1099" s="330">
        <v>7</v>
      </c>
      <c r="B1099" s="327" t="s">
        <v>264</v>
      </c>
      <c r="C1099" s="328">
        <v>1</v>
      </c>
      <c r="D1099" s="422">
        <v>104</v>
      </c>
      <c r="E1099" s="298"/>
      <c r="F1099" s="270"/>
      <c r="G1099" s="270"/>
    </row>
    <row r="1100" spans="1:7" ht="19.5" outlineLevel="1" x14ac:dyDescent="0.4">
      <c r="A1100" s="500" t="s">
        <v>192</v>
      </c>
      <c r="B1100" s="500"/>
      <c r="C1100" s="500"/>
      <c r="D1100" s="500"/>
      <c r="E1100" s="500"/>
      <c r="F1100" s="471"/>
      <c r="G1100" s="471"/>
    </row>
    <row r="1101" spans="1:7" ht="65.25" customHeight="1" outlineLevel="1" x14ac:dyDescent="0.25">
      <c r="A1101" s="271">
        <v>1</v>
      </c>
      <c r="B1101" s="272" t="s">
        <v>22</v>
      </c>
      <c r="C1101" s="273">
        <v>1000</v>
      </c>
      <c r="D1101" s="423">
        <v>98</v>
      </c>
      <c r="E1101" s="274"/>
      <c r="F1101" s="270"/>
      <c r="G1101" s="270"/>
    </row>
    <row r="1102" spans="1:7" s="15" customFormat="1" ht="51" customHeight="1" outlineLevel="1" x14ac:dyDescent="0.2">
      <c r="A1102" s="285">
        <v>2</v>
      </c>
      <c r="B1102" s="286" t="s">
        <v>23</v>
      </c>
      <c r="C1102" s="287"/>
      <c r="D1102" s="441"/>
      <c r="E1102" s="316"/>
      <c r="F1102" s="289"/>
      <c r="G1102" s="289"/>
    </row>
    <row r="1103" spans="1:7" s="15" customFormat="1" ht="22.5" customHeight="1" outlineLevel="1" x14ac:dyDescent="0.2">
      <c r="A1103" s="280"/>
      <c r="B1103" s="281" t="s">
        <v>24</v>
      </c>
      <c r="C1103" s="282">
        <v>100</v>
      </c>
      <c r="D1103" s="445">
        <v>24.5</v>
      </c>
      <c r="E1103" s="310"/>
      <c r="F1103" s="284"/>
      <c r="G1103" s="284"/>
    </row>
    <row r="1104" spans="1:7" s="15" customFormat="1" ht="33.75" customHeight="1" outlineLevel="1" x14ac:dyDescent="0.2">
      <c r="A1104" s="275">
        <v>3</v>
      </c>
      <c r="B1104" s="272" t="s">
        <v>25</v>
      </c>
      <c r="C1104" s="273">
        <v>100</v>
      </c>
      <c r="D1104" s="423">
        <v>97.5</v>
      </c>
      <c r="E1104" s="274"/>
      <c r="F1104" s="277"/>
      <c r="G1104" s="277"/>
    </row>
    <row r="1105" spans="1:7" s="15" customFormat="1" ht="54" customHeight="1" outlineLevel="1" x14ac:dyDescent="0.2">
      <c r="A1105" s="275">
        <v>4</v>
      </c>
      <c r="B1105" s="272" t="s">
        <v>26</v>
      </c>
      <c r="C1105" s="278">
        <v>100</v>
      </c>
      <c r="D1105" s="423">
        <v>39</v>
      </c>
      <c r="E1105" s="274"/>
      <c r="F1105" s="277"/>
      <c r="G1105" s="277"/>
    </row>
    <row r="1106" spans="1:7" ht="37.5" customHeight="1" outlineLevel="1" x14ac:dyDescent="0.25">
      <c r="A1106" s="271">
        <v>5</v>
      </c>
      <c r="B1106" s="272" t="s">
        <v>27</v>
      </c>
      <c r="C1106" s="273">
        <v>100</v>
      </c>
      <c r="D1106" s="423">
        <v>81.703125</v>
      </c>
      <c r="E1106" s="274"/>
      <c r="F1106" s="270"/>
      <c r="G1106" s="270"/>
    </row>
    <row r="1107" spans="1:7" ht="24" customHeight="1" outlineLevel="1" x14ac:dyDescent="0.25">
      <c r="A1107" s="271">
        <v>6</v>
      </c>
      <c r="B1107" s="272" t="s">
        <v>28</v>
      </c>
      <c r="C1107" s="278">
        <v>100</v>
      </c>
      <c r="D1107" s="423">
        <v>230.64999999999998</v>
      </c>
      <c r="E1107" s="274"/>
      <c r="F1107" s="270"/>
      <c r="G1107" s="270"/>
    </row>
    <row r="1108" spans="1:7" ht="45" outlineLevel="1" x14ac:dyDescent="0.25">
      <c r="A1108" s="271">
        <v>7</v>
      </c>
      <c r="B1108" s="272" t="s">
        <v>29</v>
      </c>
      <c r="C1108" s="278">
        <v>100</v>
      </c>
      <c r="D1108" s="423">
        <v>230.64999999999998</v>
      </c>
      <c r="E1108" s="274"/>
      <c r="F1108" s="270"/>
      <c r="G1108" s="270"/>
    </row>
    <row r="1109" spans="1:7" ht="22.5" customHeight="1" outlineLevel="1" x14ac:dyDescent="0.25">
      <c r="A1109" s="271">
        <v>8</v>
      </c>
      <c r="B1109" s="272" t="s">
        <v>30</v>
      </c>
      <c r="C1109" s="328">
        <v>1</v>
      </c>
      <c r="D1109" s="423">
        <v>500</v>
      </c>
      <c r="E1109" s="274"/>
      <c r="F1109" s="270"/>
      <c r="G1109" s="270"/>
    </row>
    <row r="1110" spans="1:7" ht="81.75" customHeight="1" outlineLevel="1" x14ac:dyDescent="0.25">
      <c r="A1110" s="291">
        <v>9</v>
      </c>
      <c r="B1110" s="286" t="s">
        <v>31</v>
      </c>
      <c r="C1110" s="287"/>
      <c r="D1110" s="489"/>
      <c r="E1110" s="490"/>
      <c r="F1110" s="292"/>
      <c r="G1110" s="292"/>
    </row>
    <row r="1111" spans="1:7" outlineLevel="1" x14ac:dyDescent="0.25">
      <c r="A1111" s="488"/>
      <c r="B1111" s="281" t="s">
        <v>32</v>
      </c>
      <c r="C1111" s="282">
        <v>100</v>
      </c>
      <c r="D1111" s="445">
        <v>4.29</v>
      </c>
      <c r="E1111" s="283"/>
      <c r="F1111" s="290"/>
      <c r="G1111" s="290"/>
    </row>
    <row r="1112" spans="1:7" ht="19.5" outlineLevel="1" x14ac:dyDescent="0.4">
      <c r="A1112" s="500" t="s">
        <v>168</v>
      </c>
      <c r="B1112" s="500"/>
      <c r="C1112" s="500"/>
      <c r="D1112" s="500"/>
      <c r="E1112" s="500"/>
      <c r="F1112" s="471"/>
      <c r="G1112" s="471"/>
    </row>
    <row r="1113" spans="1:7" ht="21.75" customHeight="1" outlineLevel="1" x14ac:dyDescent="0.25">
      <c r="A1113" s="293">
        <v>1</v>
      </c>
      <c r="B1113" s="294" t="s">
        <v>34</v>
      </c>
      <c r="C1113" s="273">
        <v>1</v>
      </c>
      <c r="D1113" s="424">
        <v>22.36</v>
      </c>
      <c r="E1113" s="295"/>
      <c r="F1113" s="270"/>
      <c r="G1113" s="270"/>
    </row>
    <row r="1114" spans="1:7" ht="45" outlineLevel="1" x14ac:dyDescent="0.25">
      <c r="A1114" s="293">
        <v>2</v>
      </c>
      <c r="B1114" s="294" t="s">
        <v>35</v>
      </c>
      <c r="C1114" s="303">
        <v>100</v>
      </c>
      <c r="D1114" s="424">
        <v>51.09</v>
      </c>
      <c r="E1114" s="295"/>
      <c r="F1114" s="270"/>
      <c r="G1114" s="270"/>
    </row>
    <row r="1115" spans="1:7" ht="21" customHeight="1" outlineLevel="1" x14ac:dyDescent="0.25">
      <c r="A1115" s="275">
        <v>3</v>
      </c>
      <c r="B1115" s="294" t="s">
        <v>36</v>
      </c>
      <c r="C1115" s="328">
        <v>1</v>
      </c>
      <c r="D1115" s="424">
        <v>13</v>
      </c>
      <c r="E1115" s="295"/>
      <c r="F1115" s="270"/>
      <c r="G1115" s="270"/>
    </row>
    <row r="1116" spans="1:7" ht="21" customHeight="1" outlineLevel="1" x14ac:dyDescent="0.25">
      <c r="A1116" s="275">
        <v>4</v>
      </c>
      <c r="B1116" s="294" t="s">
        <v>37</v>
      </c>
      <c r="C1116" s="329">
        <v>1</v>
      </c>
      <c r="D1116" s="424">
        <v>13</v>
      </c>
      <c r="E1116" s="295"/>
      <c r="F1116" s="270"/>
      <c r="G1116" s="270"/>
    </row>
    <row r="1117" spans="1:7" ht="21" customHeight="1" outlineLevel="1" x14ac:dyDescent="0.25">
      <c r="A1117" s="275">
        <v>5</v>
      </c>
      <c r="B1117" s="294" t="s">
        <v>38</v>
      </c>
      <c r="C1117" s="278">
        <v>100</v>
      </c>
      <c r="D1117" s="424">
        <v>45.5</v>
      </c>
      <c r="E1117" s="295"/>
      <c r="F1117" s="270"/>
      <c r="G1117" s="270"/>
    </row>
    <row r="1118" spans="1:7" ht="30" outlineLevel="1" x14ac:dyDescent="0.25">
      <c r="A1118" s="275">
        <v>6</v>
      </c>
      <c r="B1118" s="294" t="s">
        <v>39</v>
      </c>
      <c r="C1118" s="328">
        <v>1</v>
      </c>
      <c r="D1118" s="424">
        <v>130</v>
      </c>
      <c r="E1118" s="295"/>
      <c r="F1118" s="270"/>
      <c r="G1118" s="270"/>
    </row>
    <row r="1119" spans="1:7" ht="75" outlineLevel="1" x14ac:dyDescent="0.25">
      <c r="A1119" s="275">
        <v>7</v>
      </c>
      <c r="B1119" s="299" t="s">
        <v>31</v>
      </c>
      <c r="C1119" s="276"/>
      <c r="D1119" s="424"/>
      <c r="E1119" s="298"/>
      <c r="F1119" s="270"/>
      <c r="G1119" s="270"/>
    </row>
    <row r="1120" spans="1:7" outlineLevel="1" x14ac:dyDescent="0.25">
      <c r="A1120" s="275" t="s">
        <v>41</v>
      </c>
      <c r="B1120" s="299" t="s">
        <v>42</v>
      </c>
      <c r="C1120" s="273">
        <v>100</v>
      </c>
      <c r="D1120" s="424">
        <v>19.6768</v>
      </c>
      <c r="E1120" s="298"/>
      <c r="F1120" s="270"/>
      <c r="G1120" s="270"/>
    </row>
    <row r="1121" spans="1:7" outlineLevel="1" x14ac:dyDescent="0.25">
      <c r="A1121" s="518" t="s">
        <v>43</v>
      </c>
      <c r="B1121" s="518"/>
      <c r="C1121" s="518"/>
      <c r="D1121" s="518"/>
      <c r="E1121" s="518"/>
      <c r="F1121" s="270"/>
      <c r="G1121" s="270"/>
    </row>
    <row r="1122" spans="1:7" ht="19.5" outlineLevel="1" x14ac:dyDescent="0.4">
      <c r="A1122" s="500" t="s">
        <v>265</v>
      </c>
      <c r="B1122" s="500"/>
      <c r="C1122" s="500"/>
      <c r="D1122" s="500"/>
      <c r="E1122" s="500"/>
      <c r="F1122" s="471"/>
      <c r="G1122" s="471"/>
    </row>
    <row r="1123" spans="1:7" ht="75" outlineLevel="1" x14ac:dyDescent="0.25">
      <c r="A1123" s="293">
        <v>1</v>
      </c>
      <c r="B1123" s="299" t="s">
        <v>45</v>
      </c>
      <c r="C1123" s="273">
        <v>1000</v>
      </c>
      <c r="D1123" s="424">
        <v>12395.410299999992</v>
      </c>
      <c r="E1123" s="269"/>
      <c r="F1123" s="270"/>
      <c r="G1123" s="270"/>
    </row>
    <row r="1124" spans="1:7" ht="23.25" customHeight="1" outlineLevel="1" x14ac:dyDescent="0.25">
      <c r="A1124" s="293">
        <v>2</v>
      </c>
      <c r="B1124" s="299" t="s">
        <v>75</v>
      </c>
      <c r="C1124" s="273">
        <v>1000</v>
      </c>
      <c r="D1124" s="424">
        <v>12395.410299999992</v>
      </c>
      <c r="E1124" s="269"/>
      <c r="F1124" s="270"/>
      <c r="G1124" s="270"/>
    </row>
    <row r="1125" spans="1:7" ht="45" outlineLevel="1" x14ac:dyDescent="0.25">
      <c r="A1125" s="275">
        <v>3</v>
      </c>
      <c r="B1125" s="302" t="s">
        <v>23</v>
      </c>
      <c r="C1125" s="276"/>
      <c r="D1125" s="424"/>
      <c r="E1125" s="295"/>
      <c r="F1125" s="270"/>
      <c r="G1125" s="270"/>
    </row>
    <row r="1126" spans="1:7" outlineLevel="1" x14ac:dyDescent="0.25">
      <c r="A1126" s="275"/>
      <c r="B1126" s="299" t="s">
        <v>24</v>
      </c>
      <c r="C1126" s="273">
        <v>100</v>
      </c>
      <c r="D1126" s="424">
        <v>1410.7375000000002</v>
      </c>
      <c r="E1126" s="269"/>
      <c r="F1126" s="270"/>
      <c r="G1126" s="270"/>
    </row>
    <row r="1127" spans="1:7" outlineLevel="1" x14ac:dyDescent="0.25">
      <c r="A1127" s="275"/>
      <c r="B1127" s="299" t="s">
        <v>125</v>
      </c>
      <c r="C1127" s="273">
        <v>100</v>
      </c>
      <c r="D1127" s="424">
        <v>187</v>
      </c>
      <c r="E1127" s="269"/>
      <c r="F1127" s="270"/>
      <c r="G1127" s="270"/>
    </row>
    <row r="1128" spans="1:7" ht="90" outlineLevel="1" x14ac:dyDescent="0.25">
      <c r="A1128" s="275">
        <v>4</v>
      </c>
      <c r="B1128" s="299" t="s">
        <v>46</v>
      </c>
      <c r="C1128" s="303">
        <v>100</v>
      </c>
      <c r="D1128" s="424">
        <v>35906.236199999992</v>
      </c>
      <c r="E1128" s="304"/>
      <c r="F1128" s="270"/>
      <c r="G1128" s="270"/>
    </row>
    <row r="1129" spans="1:7" ht="120.75" outlineLevel="1" x14ac:dyDescent="0.25">
      <c r="A1129" s="275">
        <v>5</v>
      </c>
      <c r="B1129" s="302" t="s">
        <v>78</v>
      </c>
      <c r="C1129" s="276"/>
      <c r="D1129" s="424"/>
      <c r="E1129" s="295"/>
      <c r="F1129" s="270"/>
      <c r="G1129" s="270"/>
    </row>
    <row r="1130" spans="1:7" ht="60" outlineLevel="1" x14ac:dyDescent="0.25">
      <c r="A1130" s="275"/>
      <c r="B1130" s="302" t="s">
        <v>205</v>
      </c>
      <c r="C1130" s="273">
        <v>1</v>
      </c>
      <c r="D1130" s="424">
        <v>7756.1378999999961</v>
      </c>
      <c r="E1130" s="269"/>
      <c r="F1130" s="270"/>
      <c r="G1130" s="270"/>
    </row>
    <row r="1131" spans="1:7" ht="75" outlineLevel="1" x14ac:dyDescent="0.25">
      <c r="A1131" s="275"/>
      <c r="B1131" s="302" t="s">
        <v>217</v>
      </c>
      <c r="C1131" s="273">
        <v>1</v>
      </c>
      <c r="D1131" s="424">
        <v>4212.607500000001</v>
      </c>
      <c r="E1131" s="269"/>
      <c r="F1131" s="270"/>
      <c r="G1131" s="270"/>
    </row>
    <row r="1132" spans="1:7" ht="30" outlineLevel="1" x14ac:dyDescent="0.25">
      <c r="A1132" s="275">
        <v>6</v>
      </c>
      <c r="B1132" s="299" t="s">
        <v>52</v>
      </c>
      <c r="C1132" s="278">
        <v>100</v>
      </c>
      <c r="D1132" s="424">
        <v>4687.729199999997</v>
      </c>
      <c r="E1132" s="295"/>
      <c r="F1132" s="270"/>
      <c r="G1132" s="270"/>
    </row>
    <row r="1133" spans="1:7" ht="30" outlineLevel="1" x14ac:dyDescent="0.25">
      <c r="A1133" s="275">
        <v>7</v>
      </c>
      <c r="B1133" s="302" t="s">
        <v>79</v>
      </c>
      <c r="C1133" s="273">
        <v>100</v>
      </c>
      <c r="D1133" s="424">
        <v>440</v>
      </c>
      <c r="E1133" s="295"/>
      <c r="F1133" s="270"/>
      <c r="G1133" s="270"/>
    </row>
    <row r="1134" spans="1:7" ht="45" outlineLevel="1" x14ac:dyDescent="0.25">
      <c r="A1134" s="275">
        <v>8</v>
      </c>
      <c r="B1134" s="313" t="s">
        <v>80</v>
      </c>
      <c r="C1134" s="323">
        <v>1</v>
      </c>
      <c r="D1134" s="424">
        <v>1098.7399999999998</v>
      </c>
      <c r="E1134" s="270"/>
      <c r="F1134" s="270"/>
      <c r="G1134" s="270"/>
    </row>
    <row r="1135" spans="1:7" ht="30" outlineLevel="1" x14ac:dyDescent="0.25">
      <c r="A1135" s="275">
        <v>9</v>
      </c>
      <c r="B1135" s="315" t="s">
        <v>81</v>
      </c>
      <c r="C1135" s="323">
        <v>1</v>
      </c>
      <c r="D1135" s="424">
        <v>380</v>
      </c>
      <c r="E1135" s="270"/>
      <c r="F1135" s="270"/>
      <c r="G1135" s="270"/>
    </row>
    <row r="1136" spans="1:7" ht="26.25" customHeight="1" outlineLevel="1" x14ac:dyDescent="0.25">
      <c r="A1136" s="275">
        <v>10</v>
      </c>
      <c r="B1136" s="299" t="s">
        <v>66</v>
      </c>
      <c r="C1136" s="273">
        <v>1000</v>
      </c>
      <c r="D1136" s="424">
        <v>22000</v>
      </c>
      <c r="E1136" s="298"/>
      <c r="F1136" s="270"/>
      <c r="G1136" s="270"/>
    </row>
    <row r="1137" spans="1:7" ht="75.75" outlineLevel="1" x14ac:dyDescent="0.25">
      <c r="A1137" s="275">
        <v>11</v>
      </c>
      <c r="B1137" s="299" t="s">
        <v>40</v>
      </c>
      <c r="C1137" s="276"/>
      <c r="D1137" s="424"/>
      <c r="E1137" s="298"/>
      <c r="F1137" s="270"/>
      <c r="G1137" s="270"/>
    </row>
    <row r="1138" spans="1:7" outlineLevel="1" x14ac:dyDescent="0.25">
      <c r="A1138" s="275" t="s">
        <v>67</v>
      </c>
      <c r="B1138" s="299" t="s">
        <v>68</v>
      </c>
      <c r="C1138" s="273">
        <v>100</v>
      </c>
      <c r="D1138" s="424">
        <v>1354.3080000000002</v>
      </c>
      <c r="E1138" s="298"/>
      <c r="F1138" s="270"/>
      <c r="G1138" s="270"/>
    </row>
    <row r="1139" spans="1:7" outlineLevel="1" x14ac:dyDescent="0.25">
      <c r="A1139" s="275" t="s">
        <v>41</v>
      </c>
      <c r="B1139" s="299" t="s">
        <v>42</v>
      </c>
      <c r="C1139" s="273">
        <v>100</v>
      </c>
      <c r="D1139" s="424">
        <v>164.56</v>
      </c>
      <c r="E1139" s="298"/>
      <c r="F1139" s="270"/>
      <c r="G1139" s="270"/>
    </row>
    <row r="1140" spans="1:7" outlineLevel="1" x14ac:dyDescent="0.25">
      <c r="A1140" s="275" t="s">
        <v>70</v>
      </c>
      <c r="B1140" s="299" t="s">
        <v>82</v>
      </c>
      <c r="C1140" s="273">
        <v>100</v>
      </c>
      <c r="D1140" s="424">
        <v>10053.746135999996</v>
      </c>
      <c r="E1140" s="298"/>
      <c r="F1140" s="270"/>
      <c r="G1140" s="270"/>
    </row>
    <row r="1141" spans="1:7" outlineLevel="1" x14ac:dyDescent="0.25">
      <c r="A1141" s="506" t="s">
        <v>43</v>
      </c>
      <c r="B1141" s="506"/>
      <c r="C1141" s="506"/>
      <c r="D1141" s="506"/>
      <c r="E1141" s="506"/>
      <c r="F1141" s="270"/>
      <c r="G1141" s="270"/>
    </row>
    <row r="1142" spans="1:7" ht="19.5" outlineLevel="1" x14ac:dyDescent="0.4">
      <c r="A1142" s="500" t="s">
        <v>266</v>
      </c>
      <c r="B1142" s="500"/>
      <c r="C1142" s="500"/>
      <c r="D1142" s="500"/>
      <c r="E1142" s="500"/>
      <c r="F1142" s="471"/>
      <c r="G1142" s="471"/>
    </row>
    <row r="1143" spans="1:7" ht="75" outlineLevel="1" x14ac:dyDescent="0.25">
      <c r="A1143" s="293">
        <v>1</v>
      </c>
      <c r="B1143" s="299" t="s">
        <v>45</v>
      </c>
      <c r="C1143" s="273">
        <v>1000</v>
      </c>
      <c r="D1143" s="424">
        <v>29517.97999999997</v>
      </c>
      <c r="E1143" s="269"/>
      <c r="F1143" s="270"/>
      <c r="G1143" s="270"/>
    </row>
    <row r="1144" spans="1:7" ht="45" outlineLevel="1" x14ac:dyDescent="0.25">
      <c r="A1144" s="285">
        <v>2</v>
      </c>
      <c r="B1144" s="311" t="s">
        <v>23</v>
      </c>
      <c r="C1144" s="291"/>
      <c r="D1144" s="441"/>
      <c r="E1144" s="288"/>
      <c r="F1144" s="292"/>
      <c r="G1144" s="292"/>
    </row>
    <row r="1145" spans="1:7" outlineLevel="1" x14ac:dyDescent="0.25">
      <c r="A1145" s="280"/>
      <c r="B1145" s="300" t="s">
        <v>24</v>
      </c>
      <c r="C1145" s="282">
        <v>100</v>
      </c>
      <c r="D1145" s="440">
        <v>768</v>
      </c>
      <c r="E1145" s="310"/>
      <c r="F1145" s="290"/>
      <c r="G1145" s="290"/>
    </row>
    <row r="1146" spans="1:7" ht="90" outlineLevel="1" x14ac:dyDescent="0.25">
      <c r="A1146" s="275">
        <v>3</v>
      </c>
      <c r="B1146" s="299" t="s">
        <v>46</v>
      </c>
      <c r="C1146" s="303">
        <v>100</v>
      </c>
      <c r="D1146" s="424">
        <v>29348.939999999984</v>
      </c>
      <c r="E1146" s="304"/>
      <c r="F1146" s="270"/>
      <c r="G1146" s="270"/>
    </row>
    <row r="1147" spans="1:7" ht="120.75" outlineLevel="1" x14ac:dyDescent="0.25">
      <c r="A1147" s="275">
        <v>4</v>
      </c>
      <c r="B1147" s="302" t="s">
        <v>47</v>
      </c>
      <c r="C1147" s="271"/>
      <c r="D1147" s="424"/>
      <c r="E1147" s="295"/>
      <c r="F1147" s="270"/>
      <c r="G1147" s="270"/>
    </row>
    <row r="1148" spans="1:7" ht="75" outlineLevel="1" x14ac:dyDescent="0.25">
      <c r="A1148" s="275"/>
      <c r="B1148" s="302" t="s">
        <v>100</v>
      </c>
      <c r="C1148" s="273">
        <v>1</v>
      </c>
      <c r="D1148" s="424">
        <v>6710.9799999999941</v>
      </c>
      <c r="E1148" s="269"/>
      <c r="F1148" s="270"/>
      <c r="G1148" s="270"/>
    </row>
    <row r="1149" spans="1:7" ht="75" outlineLevel="1" x14ac:dyDescent="0.25">
      <c r="A1149" s="275"/>
      <c r="B1149" s="302" t="s">
        <v>201</v>
      </c>
      <c r="C1149" s="273">
        <v>1</v>
      </c>
      <c r="D1149" s="424">
        <v>3072</v>
      </c>
      <c r="E1149" s="269"/>
      <c r="F1149" s="270"/>
      <c r="G1149" s="270"/>
    </row>
    <row r="1150" spans="1:7" ht="32.25" customHeight="1" outlineLevel="1" x14ac:dyDescent="0.25">
      <c r="A1150" s="275">
        <v>5</v>
      </c>
      <c r="B1150" s="299" t="s">
        <v>52</v>
      </c>
      <c r="C1150" s="278">
        <v>100</v>
      </c>
      <c r="D1150" s="424">
        <v>6537.2799999999952</v>
      </c>
      <c r="E1150" s="295"/>
      <c r="F1150" s="270"/>
      <c r="G1150" s="270"/>
    </row>
    <row r="1151" spans="1:7" ht="45" outlineLevel="1" x14ac:dyDescent="0.25">
      <c r="A1151" s="275">
        <v>6</v>
      </c>
      <c r="B1151" s="299" t="s">
        <v>214</v>
      </c>
      <c r="C1151" s="323">
        <v>1</v>
      </c>
      <c r="D1151" s="424">
        <v>31.5</v>
      </c>
      <c r="E1151" s="295"/>
      <c r="F1151" s="270"/>
      <c r="G1151" s="270"/>
    </row>
    <row r="1152" spans="1:7" ht="105" outlineLevel="1" x14ac:dyDescent="0.25">
      <c r="A1152" s="275">
        <v>7</v>
      </c>
      <c r="B1152" s="306" t="s">
        <v>54</v>
      </c>
      <c r="C1152" s="273">
        <v>100</v>
      </c>
      <c r="D1152" s="424">
        <v>300</v>
      </c>
      <c r="E1152" s="270"/>
      <c r="F1152" s="270"/>
      <c r="G1152" s="270"/>
    </row>
    <row r="1153" spans="1:7" ht="120" outlineLevel="1" x14ac:dyDescent="0.25">
      <c r="A1153" s="275">
        <v>8</v>
      </c>
      <c r="B1153" s="306" t="s">
        <v>267</v>
      </c>
      <c r="C1153" s="273">
        <v>100</v>
      </c>
      <c r="D1153" s="424">
        <v>300</v>
      </c>
      <c r="E1153" s="270"/>
      <c r="F1153" s="270"/>
      <c r="G1153" s="270"/>
    </row>
    <row r="1154" spans="1:7" ht="23.25" customHeight="1" outlineLevel="1" x14ac:dyDescent="0.25">
      <c r="A1154" s="275">
        <v>9</v>
      </c>
      <c r="B1154" s="306" t="s">
        <v>268</v>
      </c>
      <c r="C1154" s="323">
        <v>1</v>
      </c>
      <c r="D1154" s="424">
        <v>60</v>
      </c>
      <c r="E1154" s="270"/>
      <c r="F1154" s="270"/>
      <c r="G1154" s="270"/>
    </row>
    <row r="1155" spans="1:7" ht="105" outlineLevel="1" x14ac:dyDescent="0.25">
      <c r="A1155" s="275">
        <v>10</v>
      </c>
      <c r="B1155" s="306" t="s">
        <v>269</v>
      </c>
      <c r="C1155" s="307"/>
      <c r="D1155" s="424"/>
      <c r="E1155" s="295"/>
      <c r="F1155" s="270"/>
      <c r="G1155" s="270"/>
    </row>
    <row r="1156" spans="1:7" ht="45" outlineLevel="1" x14ac:dyDescent="0.25">
      <c r="A1156" s="275" t="s">
        <v>58</v>
      </c>
      <c r="B1156" s="306" t="s">
        <v>59</v>
      </c>
      <c r="C1156" s="278">
        <v>100</v>
      </c>
      <c r="D1156" s="424">
        <v>600</v>
      </c>
      <c r="E1156" s="295"/>
      <c r="F1156" s="270"/>
      <c r="G1156" s="270"/>
    </row>
    <row r="1157" spans="1:7" ht="45" outlineLevel="1" x14ac:dyDescent="0.25">
      <c r="A1157" s="275" t="s">
        <v>60</v>
      </c>
      <c r="B1157" s="306" t="s">
        <v>61</v>
      </c>
      <c r="C1157" s="278">
        <v>100</v>
      </c>
      <c r="D1157" s="424">
        <v>600</v>
      </c>
      <c r="E1157" s="295"/>
      <c r="F1157" s="270"/>
      <c r="G1157" s="270"/>
    </row>
    <row r="1158" spans="1:7" ht="45" outlineLevel="1" x14ac:dyDescent="0.25">
      <c r="A1158" s="275" t="s">
        <v>62</v>
      </c>
      <c r="B1158" s="306" t="s">
        <v>63</v>
      </c>
      <c r="C1158" s="278">
        <v>100</v>
      </c>
      <c r="D1158" s="424">
        <v>600</v>
      </c>
      <c r="E1158" s="295"/>
      <c r="F1158" s="270"/>
      <c r="G1158" s="270"/>
    </row>
    <row r="1159" spans="1:7" ht="45" outlineLevel="1" x14ac:dyDescent="0.25">
      <c r="A1159" s="275">
        <v>11</v>
      </c>
      <c r="B1159" s="306" t="s">
        <v>64</v>
      </c>
      <c r="C1159" s="273">
        <v>100</v>
      </c>
      <c r="D1159" s="424">
        <v>600</v>
      </c>
      <c r="E1159" s="295"/>
      <c r="F1159" s="270"/>
      <c r="G1159" s="270"/>
    </row>
    <row r="1160" spans="1:7" ht="30" outlineLevel="1" x14ac:dyDescent="0.25">
      <c r="A1160" s="308">
        <v>12</v>
      </c>
      <c r="B1160" s="309" t="s">
        <v>65</v>
      </c>
      <c r="C1160" s="273">
        <v>1000</v>
      </c>
      <c r="D1160" s="424">
        <v>4000</v>
      </c>
      <c r="E1160" s="295"/>
      <c r="F1160" s="270"/>
      <c r="G1160" s="270"/>
    </row>
    <row r="1161" spans="1:7" s="16" customFormat="1" ht="22.5" customHeight="1" outlineLevel="1" x14ac:dyDescent="0.25">
      <c r="A1161" s="275">
        <v>13</v>
      </c>
      <c r="B1161" s="299" t="s">
        <v>66</v>
      </c>
      <c r="C1161" s="273">
        <v>1000</v>
      </c>
      <c r="D1161" s="424">
        <v>30879.999999999891</v>
      </c>
      <c r="E1161" s="298"/>
      <c r="F1161" s="333"/>
      <c r="G1161" s="333"/>
    </row>
    <row r="1162" spans="1:7" ht="75.75" outlineLevel="1" x14ac:dyDescent="0.25">
      <c r="A1162" s="275">
        <v>14</v>
      </c>
      <c r="B1162" s="299" t="s">
        <v>40</v>
      </c>
      <c r="C1162" s="276"/>
      <c r="D1162" s="424"/>
      <c r="E1162" s="298"/>
      <c r="F1162" s="270"/>
      <c r="G1162" s="270"/>
    </row>
    <row r="1163" spans="1:7" outlineLevel="1" x14ac:dyDescent="0.25">
      <c r="A1163" s="275" t="s">
        <v>67</v>
      </c>
      <c r="B1163" s="299" t="s">
        <v>68</v>
      </c>
      <c r="C1163" s="273">
        <v>100</v>
      </c>
      <c r="D1163" s="424">
        <v>737.28</v>
      </c>
      <c r="E1163" s="298"/>
      <c r="F1163" s="270"/>
      <c r="G1163" s="270"/>
    </row>
    <row r="1164" spans="1:7" outlineLevel="1" x14ac:dyDescent="0.25">
      <c r="A1164" s="275" t="s">
        <v>41</v>
      </c>
      <c r="B1164" s="299" t="s">
        <v>69</v>
      </c>
      <c r="C1164" s="273">
        <v>100</v>
      </c>
      <c r="D1164" s="424">
        <v>8217.7031999999945</v>
      </c>
      <c r="E1164" s="298"/>
      <c r="F1164" s="270"/>
      <c r="G1164" s="270"/>
    </row>
    <row r="1165" spans="1:7" outlineLevel="1" x14ac:dyDescent="0.25">
      <c r="A1165" s="275" t="s">
        <v>70</v>
      </c>
      <c r="B1165" s="299" t="s">
        <v>71</v>
      </c>
      <c r="C1165" s="273">
        <v>100</v>
      </c>
      <c r="D1165" s="424">
        <v>366</v>
      </c>
      <c r="E1165" s="298"/>
      <c r="F1165" s="270"/>
      <c r="G1165" s="270"/>
    </row>
    <row r="1166" spans="1:7" outlineLevel="1" x14ac:dyDescent="0.25">
      <c r="A1166" s="275" t="s">
        <v>70</v>
      </c>
      <c r="B1166" s="299" t="s">
        <v>72</v>
      </c>
      <c r="C1166" s="273">
        <v>100</v>
      </c>
      <c r="D1166" s="424">
        <v>45</v>
      </c>
      <c r="E1166" s="298"/>
      <c r="F1166" s="270"/>
      <c r="G1166" s="270"/>
    </row>
    <row r="1167" spans="1:7" outlineLevel="1" x14ac:dyDescent="0.25">
      <c r="A1167" s="506" t="s">
        <v>73</v>
      </c>
      <c r="B1167" s="506"/>
      <c r="C1167" s="506"/>
      <c r="D1167" s="506"/>
      <c r="E1167" s="506"/>
      <c r="F1167" s="270"/>
      <c r="G1167" s="270"/>
    </row>
    <row r="1168" spans="1:7" ht="19.5" outlineLevel="1" x14ac:dyDescent="0.4">
      <c r="A1168" s="500" t="s">
        <v>297</v>
      </c>
      <c r="B1168" s="500"/>
      <c r="C1168" s="500"/>
      <c r="D1168" s="500"/>
      <c r="E1168" s="500"/>
      <c r="F1168" s="471"/>
      <c r="G1168" s="471"/>
    </row>
    <row r="1169" spans="1:7" ht="75" outlineLevel="1" x14ac:dyDescent="0.25">
      <c r="A1169" s="293">
        <v>1</v>
      </c>
      <c r="B1169" s="299" t="s">
        <v>45</v>
      </c>
      <c r="C1169" s="273">
        <v>1000</v>
      </c>
      <c r="D1169" s="424">
        <v>25000.750577999999</v>
      </c>
      <c r="E1169" s="269"/>
      <c r="F1169" s="270"/>
      <c r="G1169" s="270"/>
    </row>
    <row r="1170" spans="1:7" ht="22.5" customHeight="1" outlineLevel="1" x14ac:dyDescent="0.25">
      <c r="A1170" s="293">
        <v>2</v>
      </c>
      <c r="B1170" s="299" t="s">
        <v>75</v>
      </c>
      <c r="C1170" s="273">
        <v>1000</v>
      </c>
      <c r="D1170" s="424">
        <v>25000.750577999999</v>
      </c>
      <c r="E1170" s="269"/>
      <c r="F1170" s="270"/>
      <c r="G1170" s="270"/>
    </row>
    <row r="1171" spans="1:7" ht="45" outlineLevel="1" x14ac:dyDescent="0.25">
      <c r="A1171" s="275"/>
      <c r="B1171" s="302" t="s">
        <v>23</v>
      </c>
      <c r="C1171" s="271"/>
      <c r="D1171" s="424"/>
      <c r="E1171" s="295"/>
      <c r="F1171" s="270"/>
      <c r="G1171" s="270"/>
    </row>
    <row r="1172" spans="1:7" outlineLevel="1" x14ac:dyDescent="0.25">
      <c r="A1172" s="275">
        <v>3</v>
      </c>
      <c r="B1172" s="299" t="s">
        <v>24</v>
      </c>
      <c r="C1172" s="273">
        <v>100</v>
      </c>
      <c r="D1172" s="424">
        <v>733.66772500000002</v>
      </c>
      <c r="E1172" s="269"/>
      <c r="F1172" s="270"/>
      <c r="G1172" s="270"/>
    </row>
    <row r="1173" spans="1:7" outlineLevel="1" x14ac:dyDescent="0.25">
      <c r="A1173" s="275">
        <v>4</v>
      </c>
      <c r="B1173" s="299" t="s">
        <v>125</v>
      </c>
      <c r="C1173" s="273">
        <v>100</v>
      </c>
      <c r="D1173" s="424">
        <v>432.53600000000006</v>
      </c>
      <c r="E1173" s="269"/>
      <c r="F1173" s="270"/>
      <c r="G1173" s="270"/>
    </row>
    <row r="1174" spans="1:7" ht="90" outlineLevel="1" x14ac:dyDescent="0.25">
      <c r="A1174" s="275">
        <v>5</v>
      </c>
      <c r="B1174" s="299" t="s">
        <v>225</v>
      </c>
      <c r="C1174" s="303">
        <v>100</v>
      </c>
      <c r="D1174" s="424">
        <v>40723.133175000003</v>
      </c>
      <c r="E1174" s="304"/>
      <c r="F1174" s="270"/>
      <c r="G1174" s="270"/>
    </row>
    <row r="1175" spans="1:7" ht="120.75" outlineLevel="1" x14ac:dyDescent="0.25">
      <c r="A1175" s="275"/>
      <c r="B1175" s="302" t="s">
        <v>47</v>
      </c>
      <c r="C1175" s="271"/>
      <c r="D1175" s="424"/>
      <c r="E1175" s="295"/>
      <c r="F1175" s="270"/>
      <c r="G1175" s="270"/>
    </row>
    <row r="1176" spans="1:7" ht="75" outlineLevel="1" x14ac:dyDescent="0.25">
      <c r="A1176" s="275">
        <v>6</v>
      </c>
      <c r="B1176" s="302" t="s">
        <v>100</v>
      </c>
      <c r="C1176" s="273">
        <v>1</v>
      </c>
      <c r="D1176" s="424">
        <v>5753.3425000000007</v>
      </c>
      <c r="E1176" s="269"/>
      <c r="F1176" s="270"/>
      <c r="G1176" s="270"/>
    </row>
    <row r="1177" spans="1:7" ht="75" outlineLevel="1" x14ac:dyDescent="0.25">
      <c r="A1177" s="275">
        <v>7</v>
      </c>
      <c r="B1177" s="299" t="s">
        <v>201</v>
      </c>
      <c r="C1177" s="273">
        <v>1</v>
      </c>
      <c r="D1177" s="424">
        <v>3296.2426499999997</v>
      </c>
      <c r="E1177" s="269"/>
      <c r="F1177" s="270"/>
      <c r="G1177" s="270"/>
    </row>
    <row r="1178" spans="1:7" ht="30" outlineLevel="1" x14ac:dyDescent="0.25">
      <c r="A1178" s="275">
        <v>8</v>
      </c>
      <c r="B1178" s="299" t="s">
        <v>52</v>
      </c>
      <c r="C1178" s="278">
        <v>100</v>
      </c>
      <c r="D1178" s="424">
        <v>3466.0362</v>
      </c>
      <c r="E1178" s="295"/>
      <c r="F1178" s="270"/>
      <c r="G1178" s="270"/>
    </row>
    <row r="1179" spans="1:7" ht="75" outlineLevel="1" x14ac:dyDescent="0.25">
      <c r="A1179" s="275">
        <v>9</v>
      </c>
      <c r="B1179" s="299" t="s">
        <v>226</v>
      </c>
      <c r="C1179" s="278">
        <v>100</v>
      </c>
      <c r="D1179" s="424">
        <v>648.78250000000003</v>
      </c>
      <c r="E1179" s="269"/>
      <c r="F1179" s="270"/>
      <c r="G1179" s="270"/>
    </row>
    <row r="1180" spans="1:7" ht="30" outlineLevel="1" x14ac:dyDescent="0.25">
      <c r="A1180" s="275">
        <v>10</v>
      </c>
      <c r="B1180" s="302" t="s">
        <v>121</v>
      </c>
      <c r="C1180" s="278">
        <v>1</v>
      </c>
      <c r="D1180" s="424">
        <v>648.78250000000003</v>
      </c>
      <c r="E1180" s="269"/>
      <c r="F1180" s="270"/>
      <c r="G1180" s="270"/>
    </row>
    <row r="1181" spans="1:7" ht="45" outlineLevel="1" x14ac:dyDescent="0.25">
      <c r="A1181" s="275">
        <v>11</v>
      </c>
      <c r="B1181" s="302" t="s">
        <v>129</v>
      </c>
      <c r="C1181" s="323">
        <v>1</v>
      </c>
      <c r="D1181" s="424">
        <v>46</v>
      </c>
      <c r="E1181" s="295"/>
      <c r="F1181" s="270"/>
      <c r="G1181" s="270"/>
    </row>
    <row r="1182" spans="1:7" ht="30" outlineLevel="1" x14ac:dyDescent="0.25">
      <c r="A1182" s="275">
        <v>12</v>
      </c>
      <c r="B1182" s="302" t="s">
        <v>130</v>
      </c>
      <c r="C1182" s="328">
        <v>1</v>
      </c>
      <c r="D1182" s="424">
        <v>4</v>
      </c>
      <c r="E1182" s="295"/>
      <c r="F1182" s="270"/>
      <c r="G1182" s="270"/>
    </row>
    <row r="1183" spans="1:7" ht="22.5" customHeight="1" outlineLevel="1" x14ac:dyDescent="0.25">
      <c r="A1183" s="275">
        <v>13</v>
      </c>
      <c r="B1183" s="302" t="s">
        <v>131</v>
      </c>
      <c r="C1183" s="328">
        <v>1</v>
      </c>
      <c r="D1183" s="424">
        <v>4</v>
      </c>
      <c r="E1183" s="295"/>
      <c r="F1183" s="270"/>
      <c r="G1183" s="270"/>
    </row>
    <row r="1184" spans="1:7" ht="180" outlineLevel="1" x14ac:dyDescent="0.25">
      <c r="A1184" s="275">
        <v>14</v>
      </c>
      <c r="B1184" s="299" t="s">
        <v>227</v>
      </c>
      <c r="C1184" s="278">
        <v>1</v>
      </c>
      <c r="D1184" s="424">
        <v>271.92</v>
      </c>
      <c r="E1184" s="269"/>
      <c r="F1184" s="270"/>
      <c r="G1184" s="270"/>
    </row>
    <row r="1185" spans="1:7" ht="45" outlineLevel="1" x14ac:dyDescent="0.25">
      <c r="A1185" s="275">
        <v>15</v>
      </c>
      <c r="B1185" s="299" t="s">
        <v>228</v>
      </c>
      <c r="C1185" s="278">
        <v>1</v>
      </c>
      <c r="D1185" s="424">
        <v>176</v>
      </c>
      <c r="E1185" s="269"/>
      <c r="F1185" s="270"/>
      <c r="G1185" s="270"/>
    </row>
    <row r="1186" spans="1:7" ht="25.5" customHeight="1" outlineLevel="1" x14ac:dyDescent="0.25">
      <c r="A1186" s="275">
        <v>16</v>
      </c>
      <c r="B1186" s="302" t="s">
        <v>229</v>
      </c>
      <c r="C1186" s="278">
        <v>100</v>
      </c>
      <c r="D1186" s="424">
        <v>2528.6009999999997</v>
      </c>
      <c r="E1186" s="295"/>
      <c r="F1186" s="270"/>
      <c r="G1186" s="270"/>
    </row>
    <row r="1187" spans="1:7" ht="45" outlineLevel="1" x14ac:dyDescent="0.25">
      <c r="A1187" s="275">
        <v>17</v>
      </c>
      <c r="B1187" s="302" t="s">
        <v>133</v>
      </c>
      <c r="C1187" s="278">
        <v>100</v>
      </c>
      <c r="D1187" s="424">
        <v>2362.2509999999997</v>
      </c>
      <c r="E1187" s="295"/>
      <c r="F1187" s="270"/>
      <c r="G1187" s="270"/>
    </row>
    <row r="1188" spans="1:7" ht="30" outlineLevel="1" x14ac:dyDescent="0.25">
      <c r="A1188" s="275">
        <v>18</v>
      </c>
      <c r="B1188" s="302" t="s">
        <v>134</v>
      </c>
      <c r="C1188" s="278">
        <v>100</v>
      </c>
      <c r="D1188" s="424">
        <v>168</v>
      </c>
      <c r="E1188" s="295"/>
      <c r="F1188" s="270"/>
      <c r="G1188" s="270"/>
    </row>
    <row r="1189" spans="1:7" ht="45" outlineLevel="1" x14ac:dyDescent="0.25">
      <c r="A1189" s="275">
        <v>19</v>
      </c>
      <c r="B1189" s="299" t="s">
        <v>230</v>
      </c>
      <c r="C1189" s="328">
        <v>1</v>
      </c>
      <c r="D1189" s="424">
        <v>28</v>
      </c>
      <c r="E1189" s="295"/>
      <c r="F1189" s="270"/>
      <c r="G1189" s="270"/>
    </row>
    <row r="1190" spans="1:7" ht="26.25" customHeight="1" outlineLevel="1" x14ac:dyDescent="0.25">
      <c r="A1190" s="275">
        <v>21</v>
      </c>
      <c r="B1190" s="299" t="s">
        <v>231</v>
      </c>
      <c r="C1190" s="278">
        <v>1</v>
      </c>
      <c r="D1190" s="424">
        <v>184</v>
      </c>
      <c r="E1190" s="295"/>
      <c r="F1190" s="270"/>
      <c r="G1190" s="270"/>
    </row>
    <row r="1191" spans="1:7" ht="75" outlineLevel="1" x14ac:dyDescent="0.25">
      <c r="A1191" s="275">
        <v>22</v>
      </c>
      <c r="B1191" s="299" t="s">
        <v>232</v>
      </c>
      <c r="C1191" s="278">
        <v>1</v>
      </c>
      <c r="D1191" s="424">
        <v>1417.6664000000001</v>
      </c>
      <c r="E1191" s="295"/>
      <c r="F1191" s="270"/>
      <c r="G1191" s="270"/>
    </row>
    <row r="1192" spans="1:7" ht="30" outlineLevel="1" x14ac:dyDescent="0.25">
      <c r="A1192" s="275">
        <v>23</v>
      </c>
      <c r="B1192" s="299" t="s">
        <v>233</v>
      </c>
      <c r="C1192" s="273">
        <v>100</v>
      </c>
      <c r="D1192" s="424">
        <v>272.49</v>
      </c>
      <c r="E1192" s="295"/>
      <c r="F1192" s="270"/>
      <c r="G1192" s="270"/>
    </row>
    <row r="1193" spans="1:7" ht="90" outlineLevel="1" x14ac:dyDescent="0.25">
      <c r="A1193" s="275">
        <v>24</v>
      </c>
      <c r="B1193" s="299" t="s">
        <v>234</v>
      </c>
      <c r="C1193" s="278">
        <v>100</v>
      </c>
      <c r="D1193" s="424">
        <v>648.78250000000003</v>
      </c>
      <c r="E1193" s="295"/>
      <c r="F1193" s="270"/>
      <c r="G1193" s="270"/>
    </row>
    <row r="1194" spans="1:7" ht="75" outlineLevel="1" x14ac:dyDescent="0.25">
      <c r="A1194" s="275">
        <v>25</v>
      </c>
      <c r="B1194" s="299" t="s">
        <v>235</v>
      </c>
      <c r="C1194" s="278">
        <v>100</v>
      </c>
      <c r="D1194" s="424">
        <v>53.42</v>
      </c>
      <c r="E1194" s="295"/>
      <c r="F1194" s="270"/>
      <c r="G1194" s="270"/>
    </row>
    <row r="1195" spans="1:7" ht="45" outlineLevel="1" x14ac:dyDescent="0.25">
      <c r="A1195" s="275">
        <v>26</v>
      </c>
      <c r="B1195" s="299" t="s">
        <v>236</v>
      </c>
      <c r="C1195" s="323">
        <v>1</v>
      </c>
      <c r="D1195" s="424">
        <v>389.75</v>
      </c>
      <c r="E1195" s="295"/>
      <c r="F1195" s="270"/>
      <c r="G1195" s="270"/>
    </row>
    <row r="1196" spans="1:7" ht="45" outlineLevel="1" x14ac:dyDescent="0.25">
      <c r="A1196" s="275">
        <v>27</v>
      </c>
      <c r="B1196" s="313" t="s">
        <v>80</v>
      </c>
      <c r="C1196" s="323">
        <v>1</v>
      </c>
      <c r="D1196" s="424">
        <v>173.29</v>
      </c>
      <c r="E1196" s="270"/>
      <c r="F1196" s="270"/>
      <c r="G1196" s="270"/>
    </row>
    <row r="1197" spans="1:7" ht="45" outlineLevel="1" x14ac:dyDescent="0.25">
      <c r="A1197" s="275">
        <v>28</v>
      </c>
      <c r="B1197" s="302" t="s">
        <v>136</v>
      </c>
      <c r="C1197" s="271"/>
      <c r="D1197" s="424"/>
      <c r="E1197" s="295"/>
      <c r="F1197" s="270"/>
      <c r="G1197" s="270"/>
    </row>
    <row r="1198" spans="1:7" outlineLevel="1" x14ac:dyDescent="0.25">
      <c r="A1198" s="275"/>
      <c r="B1198" s="302" t="s">
        <v>176</v>
      </c>
      <c r="C1198" s="323">
        <v>1</v>
      </c>
      <c r="D1198" s="424">
        <v>100</v>
      </c>
      <c r="E1198" s="295"/>
      <c r="F1198" s="270"/>
      <c r="G1198" s="270"/>
    </row>
    <row r="1199" spans="1:7" outlineLevel="1" x14ac:dyDescent="0.25">
      <c r="A1199" s="275"/>
      <c r="B1199" s="302" t="s">
        <v>177</v>
      </c>
      <c r="C1199" s="323">
        <v>1</v>
      </c>
      <c r="D1199" s="424">
        <v>100</v>
      </c>
      <c r="E1199" s="295"/>
      <c r="F1199" s="270"/>
      <c r="G1199" s="270"/>
    </row>
    <row r="1200" spans="1:7" ht="75" outlineLevel="1" x14ac:dyDescent="0.25">
      <c r="A1200" s="275">
        <v>29</v>
      </c>
      <c r="B1200" s="302" t="s">
        <v>141</v>
      </c>
      <c r="C1200" s="271"/>
      <c r="D1200" s="424"/>
      <c r="E1200" s="295"/>
      <c r="F1200" s="270"/>
      <c r="G1200" s="270"/>
    </row>
    <row r="1201" spans="1:7" outlineLevel="1" x14ac:dyDescent="0.25">
      <c r="A1201" s="275"/>
      <c r="B1201" s="302" t="s">
        <v>180</v>
      </c>
      <c r="C1201" s="323">
        <v>1</v>
      </c>
      <c r="D1201" s="424">
        <v>250</v>
      </c>
      <c r="E1201" s="295"/>
      <c r="F1201" s="270"/>
      <c r="G1201" s="270"/>
    </row>
    <row r="1202" spans="1:7" outlineLevel="1" x14ac:dyDescent="0.25">
      <c r="A1202" s="275"/>
      <c r="B1202" s="302" t="s">
        <v>181</v>
      </c>
      <c r="C1202" s="323">
        <v>1</v>
      </c>
      <c r="D1202" s="424">
        <v>200</v>
      </c>
      <c r="E1202" s="295"/>
      <c r="F1202" s="270"/>
      <c r="G1202" s="270"/>
    </row>
    <row r="1203" spans="1:7" ht="60" outlineLevel="1" x14ac:dyDescent="0.25">
      <c r="A1203" s="275">
        <v>30</v>
      </c>
      <c r="B1203" s="302" t="s">
        <v>145</v>
      </c>
      <c r="C1203" s="271"/>
      <c r="D1203" s="424"/>
      <c r="E1203" s="295"/>
      <c r="F1203" s="270"/>
      <c r="G1203" s="270"/>
    </row>
    <row r="1204" spans="1:7" outlineLevel="1" x14ac:dyDescent="0.25">
      <c r="A1204" s="275"/>
      <c r="B1204" s="302" t="s">
        <v>184</v>
      </c>
      <c r="C1204" s="329">
        <v>1</v>
      </c>
      <c r="D1204" s="424">
        <v>3</v>
      </c>
      <c r="E1204" s="295"/>
      <c r="F1204" s="270"/>
      <c r="G1204" s="270"/>
    </row>
    <row r="1205" spans="1:7" ht="20.25" customHeight="1" outlineLevel="1" x14ac:dyDescent="0.25">
      <c r="A1205" s="275">
        <v>31</v>
      </c>
      <c r="B1205" s="302" t="s">
        <v>237</v>
      </c>
      <c r="C1205" s="329">
        <v>1</v>
      </c>
      <c r="D1205" s="424">
        <v>20</v>
      </c>
      <c r="E1205" s="295"/>
      <c r="F1205" s="270"/>
      <c r="G1205" s="270"/>
    </row>
    <row r="1206" spans="1:7" ht="30" outlineLevel="1" x14ac:dyDescent="0.25">
      <c r="A1206" s="275">
        <v>32</v>
      </c>
      <c r="B1206" s="302" t="s">
        <v>238</v>
      </c>
      <c r="C1206" s="329">
        <v>1</v>
      </c>
      <c r="D1206" s="424">
        <v>5</v>
      </c>
      <c r="E1206" s="295"/>
      <c r="F1206" s="270"/>
      <c r="G1206" s="270"/>
    </row>
    <row r="1207" spans="1:7" ht="20.25" customHeight="1" outlineLevel="1" x14ac:dyDescent="0.25">
      <c r="A1207" s="275">
        <v>33</v>
      </c>
      <c r="B1207" s="302" t="s">
        <v>150</v>
      </c>
      <c r="C1207" s="329">
        <v>1</v>
      </c>
      <c r="D1207" s="424">
        <v>5</v>
      </c>
      <c r="E1207" s="295"/>
      <c r="F1207" s="270"/>
      <c r="G1207" s="270"/>
    </row>
    <row r="1208" spans="1:7" ht="90.75" outlineLevel="1" x14ac:dyDescent="0.25">
      <c r="A1208" s="275">
        <v>34</v>
      </c>
      <c r="B1208" s="302" t="s">
        <v>239</v>
      </c>
      <c r="C1208" s="328">
        <v>1</v>
      </c>
      <c r="D1208" s="424">
        <v>1</v>
      </c>
      <c r="E1208" s="295"/>
      <c r="F1208" s="270"/>
      <c r="G1208" s="270"/>
    </row>
    <row r="1209" spans="1:7" ht="90.75" outlineLevel="1" x14ac:dyDescent="0.25">
      <c r="A1209" s="275">
        <v>35</v>
      </c>
      <c r="B1209" s="302" t="s">
        <v>240</v>
      </c>
      <c r="C1209" s="328">
        <v>1</v>
      </c>
      <c r="D1209" s="424">
        <v>2</v>
      </c>
      <c r="E1209" s="295"/>
      <c r="F1209" s="270"/>
      <c r="G1209" s="270"/>
    </row>
    <row r="1210" spans="1:7" ht="75" outlineLevel="1" x14ac:dyDescent="0.25">
      <c r="A1210" s="275">
        <v>36</v>
      </c>
      <c r="B1210" s="299" t="s">
        <v>298</v>
      </c>
      <c r="C1210" s="329">
        <v>1</v>
      </c>
      <c r="D1210" s="424">
        <v>4</v>
      </c>
      <c r="E1210" s="295"/>
      <c r="F1210" s="270"/>
      <c r="G1210" s="270"/>
    </row>
    <row r="1211" spans="1:7" ht="60" outlineLevel="1" x14ac:dyDescent="0.25">
      <c r="A1211" s="275">
        <v>37</v>
      </c>
      <c r="B1211" s="302" t="s">
        <v>157</v>
      </c>
      <c r="C1211" s="328">
        <v>1</v>
      </c>
      <c r="D1211" s="424">
        <v>5</v>
      </c>
      <c r="E1211" s="295"/>
      <c r="F1211" s="270"/>
      <c r="G1211" s="270"/>
    </row>
    <row r="1212" spans="1:7" outlineLevel="1" x14ac:dyDescent="0.25">
      <c r="A1212" s="285"/>
      <c r="B1212" s="346" t="s">
        <v>273</v>
      </c>
      <c r="C1212" s="354"/>
      <c r="D1212" s="441"/>
      <c r="E1212" s="316"/>
      <c r="F1212" s="292"/>
      <c r="G1212" s="292"/>
    </row>
    <row r="1213" spans="1:7" ht="30" outlineLevel="1" x14ac:dyDescent="0.25">
      <c r="A1213" s="352">
        <v>38</v>
      </c>
      <c r="B1213" s="353" t="s">
        <v>65</v>
      </c>
      <c r="C1213" s="282">
        <v>1000</v>
      </c>
      <c r="D1213" s="440">
        <v>10698.490000000002</v>
      </c>
      <c r="E1213" s="301"/>
      <c r="F1213" s="290"/>
      <c r="G1213" s="290"/>
    </row>
    <row r="1214" spans="1:7" ht="60" outlineLevel="1" x14ac:dyDescent="0.25">
      <c r="A1214" s="308">
        <v>39</v>
      </c>
      <c r="B1214" s="309" t="s">
        <v>274</v>
      </c>
      <c r="C1214" s="273">
        <v>1000</v>
      </c>
      <c r="D1214" s="424">
        <v>10698.490000000002</v>
      </c>
      <c r="E1214" s="295"/>
      <c r="F1214" s="270"/>
      <c r="G1214" s="270"/>
    </row>
    <row r="1215" spans="1:7" ht="60" outlineLevel="1" x14ac:dyDescent="0.25">
      <c r="A1215" s="308">
        <v>40</v>
      </c>
      <c r="B1215" s="309" t="s">
        <v>275</v>
      </c>
      <c r="C1215" s="273">
        <v>1000</v>
      </c>
      <c r="D1215" s="424">
        <v>4319.8550000000005</v>
      </c>
      <c r="E1215" s="295"/>
      <c r="F1215" s="270"/>
      <c r="G1215" s="270"/>
    </row>
    <row r="1216" spans="1:7" outlineLevel="1" x14ac:dyDescent="0.25">
      <c r="A1216" s="358"/>
      <c r="B1216" s="309" t="s">
        <v>276</v>
      </c>
      <c r="C1216" s="350"/>
      <c r="D1216" s="424"/>
      <c r="E1216" s="269"/>
      <c r="F1216" s="270"/>
      <c r="G1216" s="270"/>
    </row>
    <row r="1217" spans="1:7" outlineLevel="1" x14ac:dyDescent="0.25">
      <c r="A1217" s="358">
        <v>41</v>
      </c>
      <c r="B1217" s="309" t="s">
        <v>277</v>
      </c>
      <c r="C1217" s="278">
        <v>100</v>
      </c>
      <c r="D1217" s="422">
        <v>700</v>
      </c>
      <c r="E1217" s="269"/>
      <c r="F1217" s="270"/>
      <c r="G1217" s="270"/>
    </row>
    <row r="1218" spans="1:7" outlineLevel="1" x14ac:dyDescent="0.25">
      <c r="A1218" s="358">
        <v>42</v>
      </c>
      <c r="B1218" s="309" t="s">
        <v>278</v>
      </c>
      <c r="C1218" s="278">
        <v>100</v>
      </c>
      <c r="D1218" s="422">
        <v>1168</v>
      </c>
      <c r="E1218" s="269"/>
      <c r="F1218" s="270"/>
      <c r="G1218" s="270"/>
    </row>
    <row r="1219" spans="1:7" ht="30" outlineLevel="1" x14ac:dyDescent="0.25">
      <c r="A1219" s="358"/>
      <c r="B1219" s="309" t="s">
        <v>279</v>
      </c>
      <c r="C1219" s="350"/>
      <c r="D1219" s="424"/>
      <c r="E1219" s="298"/>
      <c r="F1219" s="270"/>
      <c r="G1219" s="270"/>
    </row>
    <row r="1220" spans="1:7" outlineLevel="1" x14ac:dyDescent="0.25">
      <c r="A1220" s="358">
        <v>43</v>
      </c>
      <c r="B1220" s="309" t="s">
        <v>280</v>
      </c>
      <c r="C1220" s="273">
        <v>100</v>
      </c>
      <c r="D1220" s="424">
        <v>239.75</v>
      </c>
      <c r="E1220" s="298"/>
      <c r="F1220" s="270"/>
      <c r="G1220" s="270"/>
    </row>
    <row r="1221" spans="1:7" outlineLevel="1" x14ac:dyDescent="0.25">
      <c r="A1221" s="358">
        <v>44</v>
      </c>
      <c r="B1221" s="309" t="s">
        <v>281</v>
      </c>
      <c r="C1221" s="273">
        <v>100</v>
      </c>
      <c r="D1221" s="424">
        <v>400.04</v>
      </c>
      <c r="E1221" s="298"/>
      <c r="F1221" s="270"/>
      <c r="G1221" s="270"/>
    </row>
    <row r="1222" spans="1:7" ht="30" outlineLevel="1" x14ac:dyDescent="0.25">
      <c r="A1222" s="308">
        <v>45</v>
      </c>
      <c r="B1222" s="309" t="s">
        <v>282</v>
      </c>
      <c r="C1222" s="323">
        <v>1</v>
      </c>
      <c r="D1222" s="424">
        <v>186.8</v>
      </c>
      <c r="E1222" s="269"/>
      <c r="F1222" s="270"/>
      <c r="G1222" s="270"/>
    </row>
    <row r="1223" spans="1:7" ht="30" outlineLevel="1" x14ac:dyDescent="0.25">
      <c r="A1223" s="308">
        <v>46</v>
      </c>
      <c r="B1223" s="309" t="s">
        <v>283</v>
      </c>
      <c r="C1223" s="278">
        <v>100</v>
      </c>
      <c r="D1223" s="424">
        <v>93.4</v>
      </c>
      <c r="E1223" s="295"/>
      <c r="F1223" s="270"/>
      <c r="G1223" s="270"/>
    </row>
    <row r="1224" spans="1:7" outlineLevel="1" x14ac:dyDescent="0.25">
      <c r="A1224" s="285"/>
      <c r="B1224" s="346" t="s">
        <v>242</v>
      </c>
      <c r="C1224" s="347"/>
      <c r="D1224" s="441"/>
      <c r="E1224" s="316"/>
      <c r="F1224" s="292"/>
      <c r="G1224" s="292"/>
    </row>
    <row r="1225" spans="1:7" ht="30" outlineLevel="1" x14ac:dyDescent="0.25">
      <c r="A1225" s="280">
        <v>47</v>
      </c>
      <c r="B1225" s="300" t="s">
        <v>85</v>
      </c>
      <c r="C1225" s="282">
        <v>1000</v>
      </c>
      <c r="D1225" s="440">
        <v>6208.72</v>
      </c>
      <c r="E1225" s="310"/>
      <c r="F1225" s="290"/>
      <c r="G1225" s="290"/>
    </row>
    <row r="1226" spans="1:7" ht="45" outlineLevel="1" x14ac:dyDescent="0.25">
      <c r="A1226" s="275">
        <v>48</v>
      </c>
      <c r="B1226" s="317" t="s">
        <v>243</v>
      </c>
      <c r="C1226" s="273">
        <v>100</v>
      </c>
      <c r="D1226" s="424">
        <v>6208.72</v>
      </c>
      <c r="E1226" s="295"/>
      <c r="F1226" s="270"/>
      <c r="G1226" s="270"/>
    </row>
    <row r="1227" spans="1:7" ht="20.25" customHeight="1" outlineLevel="1" x14ac:dyDescent="0.25">
      <c r="A1227" s="275">
        <v>49</v>
      </c>
      <c r="B1227" s="317" t="s">
        <v>87</v>
      </c>
      <c r="C1227" s="278">
        <v>100</v>
      </c>
      <c r="D1227" s="424">
        <v>2589.8832000000002</v>
      </c>
      <c r="E1227" s="295"/>
      <c r="F1227" s="270"/>
      <c r="G1227" s="270"/>
    </row>
    <row r="1228" spans="1:7" ht="20.25" customHeight="1" outlineLevel="1" x14ac:dyDescent="0.25">
      <c r="A1228" s="275">
        <v>50</v>
      </c>
      <c r="B1228" s="317" t="s">
        <v>88</v>
      </c>
      <c r="C1228" s="278">
        <v>100</v>
      </c>
      <c r="D1228" s="424">
        <v>524.66</v>
      </c>
      <c r="E1228" s="295"/>
      <c r="F1228" s="270"/>
      <c r="G1228" s="270"/>
    </row>
    <row r="1229" spans="1:7" ht="30" outlineLevel="1" x14ac:dyDescent="0.25">
      <c r="A1229" s="275">
        <v>51</v>
      </c>
      <c r="B1229" s="299" t="s">
        <v>244</v>
      </c>
      <c r="C1229" s="273">
        <v>100</v>
      </c>
      <c r="D1229" s="424">
        <v>854.70999999999992</v>
      </c>
      <c r="E1229" s="295"/>
      <c r="F1229" s="270"/>
      <c r="G1229" s="270"/>
    </row>
    <row r="1230" spans="1:7" ht="30" outlineLevel="1" x14ac:dyDescent="0.25">
      <c r="A1230" s="275">
        <v>52</v>
      </c>
      <c r="B1230" s="299" t="s">
        <v>245</v>
      </c>
      <c r="C1230" s="273">
        <v>100</v>
      </c>
      <c r="D1230" s="424">
        <v>854.70999999999992</v>
      </c>
      <c r="E1230" s="295"/>
      <c r="F1230" s="270"/>
      <c r="G1230" s="270"/>
    </row>
    <row r="1231" spans="1:7" ht="30" outlineLevel="1" x14ac:dyDescent="0.25">
      <c r="A1231" s="275">
        <v>53</v>
      </c>
      <c r="B1231" s="299" t="s">
        <v>246</v>
      </c>
      <c r="C1231" s="273">
        <v>100</v>
      </c>
      <c r="D1231" s="424">
        <v>173.14</v>
      </c>
      <c r="E1231" s="295"/>
      <c r="F1231" s="270"/>
      <c r="G1231" s="270"/>
    </row>
    <row r="1232" spans="1:7" ht="30" outlineLevel="1" x14ac:dyDescent="0.25">
      <c r="A1232" s="275">
        <v>54</v>
      </c>
      <c r="B1232" s="299" t="s">
        <v>233</v>
      </c>
      <c r="C1232" s="273">
        <v>100</v>
      </c>
      <c r="D1232" s="424">
        <v>173.14</v>
      </c>
      <c r="E1232" s="295"/>
      <c r="F1232" s="270"/>
      <c r="G1232" s="270"/>
    </row>
    <row r="1233" spans="1:7" ht="30" outlineLevel="1" x14ac:dyDescent="0.25">
      <c r="A1233" s="275">
        <v>55</v>
      </c>
      <c r="B1233" s="299" t="s">
        <v>247</v>
      </c>
      <c r="C1233" s="273">
        <v>100</v>
      </c>
      <c r="D1233" s="424">
        <v>2590.02</v>
      </c>
      <c r="E1233" s="295"/>
      <c r="F1233" s="270"/>
      <c r="G1233" s="270"/>
    </row>
    <row r="1234" spans="1:7" ht="30" outlineLevel="1" x14ac:dyDescent="0.25">
      <c r="A1234" s="275">
        <v>56</v>
      </c>
      <c r="B1234" s="299" t="s">
        <v>248</v>
      </c>
      <c r="C1234" s="273">
        <v>100</v>
      </c>
      <c r="D1234" s="424">
        <v>173.14</v>
      </c>
      <c r="E1234" s="295"/>
      <c r="F1234" s="270"/>
      <c r="G1234" s="270"/>
    </row>
    <row r="1235" spans="1:7" ht="60" outlineLevel="1" x14ac:dyDescent="0.25">
      <c r="A1235" s="275">
        <v>57</v>
      </c>
      <c r="B1235" s="317" t="s">
        <v>249</v>
      </c>
      <c r="C1235" s="273">
        <v>100</v>
      </c>
      <c r="D1235" s="424">
        <v>20947.183422000002</v>
      </c>
      <c r="E1235" s="295"/>
      <c r="F1235" s="270"/>
      <c r="G1235" s="270"/>
    </row>
    <row r="1236" spans="1:7" outlineLevel="1" x14ac:dyDescent="0.25">
      <c r="A1236" s="506" t="s">
        <v>43</v>
      </c>
      <c r="B1236" s="506"/>
      <c r="C1236" s="506"/>
      <c r="D1236" s="506"/>
      <c r="E1236" s="506"/>
      <c r="F1236" s="270"/>
      <c r="G1236" s="270"/>
    </row>
    <row r="1237" spans="1:7" ht="19.5" outlineLevel="1" x14ac:dyDescent="0.4">
      <c r="A1237" s="500" t="s">
        <v>284</v>
      </c>
      <c r="B1237" s="500"/>
      <c r="C1237" s="500"/>
      <c r="D1237" s="500"/>
      <c r="E1237" s="500"/>
      <c r="F1237" s="471"/>
      <c r="G1237" s="471"/>
    </row>
    <row r="1238" spans="1:7" ht="75.75" outlineLevel="1" x14ac:dyDescent="0.25">
      <c r="A1238" s="293">
        <v>1</v>
      </c>
      <c r="B1238" s="302" t="s">
        <v>285</v>
      </c>
      <c r="C1238" s="273">
        <v>1000</v>
      </c>
      <c r="D1238" s="424">
        <v>12209.000500000002</v>
      </c>
      <c r="E1238" s="269"/>
      <c r="F1238" s="270"/>
      <c r="G1238" s="270"/>
    </row>
    <row r="1239" spans="1:7" ht="45" outlineLevel="1" x14ac:dyDescent="0.25">
      <c r="A1239" s="505">
        <v>2</v>
      </c>
      <c r="B1239" s="327" t="s">
        <v>124</v>
      </c>
      <c r="C1239" s="330"/>
      <c r="D1239" s="424"/>
      <c r="E1239" s="269"/>
      <c r="F1239" s="270"/>
      <c r="G1239" s="270"/>
    </row>
    <row r="1240" spans="1:7" outlineLevel="1" x14ac:dyDescent="0.25">
      <c r="A1240" s="505"/>
      <c r="B1240" s="327" t="s">
        <v>24</v>
      </c>
      <c r="C1240" s="273">
        <v>100</v>
      </c>
      <c r="D1240" s="424">
        <v>1730.8731</v>
      </c>
      <c r="E1240" s="269"/>
      <c r="F1240" s="270"/>
      <c r="G1240" s="270"/>
    </row>
    <row r="1241" spans="1:7" outlineLevel="1" x14ac:dyDescent="0.25">
      <c r="A1241" s="505"/>
      <c r="B1241" s="327" t="s">
        <v>125</v>
      </c>
      <c r="C1241" s="273">
        <v>100</v>
      </c>
      <c r="D1241" s="424">
        <v>180.36562499999994</v>
      </c>
      <c r="E1241" s="269"/>
      <c r="F1241" s="270"/>
      <c r="G1241" s="270"/>
    </row>
    <row r="1242" spans="1:7" ht="30" outlineLevel="1" x14ac:dyDescent="0.25">
      <c r="A1242" s="275">
        <v>3</v>
      </c>
      <c r="B1242" s="302" t="s">
        <v>79</v>
      </c>
      <c r="C1242" s="273">
        <v>100</v>
      </c>
      <c r="D1242" s="424">
        <v>2798.8875000000007</v>
      </c>
      <c r="E1242" s="269"/>
      <c r="F1242" s="270"/>
      <c r="G1242" s="270"/>
    </row>
    <row r="1243" spans="1:7" ht="120" outlineLevel="1" x14ac:dyDescent="0.25">
      <c r="A1243" s="275">
        <v>4</v>
      </c>
      <c r="B1243" s="302" t="s">
        <v>99</v>
      </c>
      <c r="C1243" s="271"/>
      <c r="D1243" s="424"/>
      <c r="E1243" s="269"/>
      <c r="F1243" s="270"/>
      <c r="G1243" s="270"/>
    </row>
    <row r="1244" spans="1:7" ht="75" outlineLevel="1" x14ac:dyDescent="0.25">
      <c r="A1244" s="326"/>
      <c r="B1244" s="302" t="s">
        <v>100</v>
      </c>
      <c r="C1244" s="273">
        <v>1</v>
      </c>
      <c r="D1244" s="424">
        <v>2314.125</v>
      </c>
      <c r="E1244" s="269"/>
      <c r="F1244" s="270"/>
      <c r="G1244" s="270"/>
    </row>
    <row r="1245" spans="1:7" ht="75" outlineLevel="1" x14ac:dyDescent="0.25">
      <c r="A1245" s="326"/>
      <c r="B1245" s="302" t="s">
        <v>201</v>
      </c>
      <c r="C1245" s="273">
        <v>1</v>
      </c>
      <c r="D1245" s="424">
        <v>796.5</v>
      </c>
      <c r="E1245" s="269"/>
      <c r="F1245" s="270"/>
      <c r="G1245" s="270"/>
    </row>
    <row r="1246" spans="1:7" ht="90" outlineLevel="1" x14ac:dyDescent="0.25">
      <c r="A1246" s="326">
        <v>5</v>
      </c>
      <c r="B1246" s="302" t="s">
        <v>286</v>
      </c>
      <c r="C1246" s="303">
        <v>100</v>
      </c>
      <c r="D1246" s="424">
        <v>9331.875</v>
      </c>
      <c r="E1246" s="304"/>
      <c r="F1246" s="270"/>
      <c r="G1246" s="270"/>
    </row>
    <row r="1247" spans="1:7" ht="30" outlineLevel="1" x14ac:dyDescent="0.25">
      <c r="A1247" s="275">
        <v>6</v>
      </c>
      <c r="B1247" s="317" t="s">
        <v>287</v>
      </c>
      <c r="C1247" s="273">
        <v>100</v>
      </c>
      <c r="D1247" s="424">
        <v>2649.9022000000004</v>
      </c>
      <c r="E1247" s="295"/>
      <c r="F1247" s="270"/>
      <c r="G1247" s="270"/>
    </row>
    <row r="1248" spans="1:7" ht="31.5" customHeight="1" outlineLevel="1" x14ac:dyDescent="0.25">
      <c r="A1248" s="275">
        <v>14</v>
      </c>
      <c r="B1248" s="299" t="s">
        <v>66</v>
      </c>
      <c r="C1248" s="273">
        <v>1000</v>
      </c>
      <c r="D1248" s="424">
        <v>4720</v>
      </c>
      <c r="E1248" s="298"/>
      <c r="F1248" s="270"/>
      <c r="G1248" s="270"/>
    </row>
    <row r="1249" spans="1:7" ht="75.75" outlineLevel="1" x14ac:dyDescent="0.25">
      <c r="A1249" s="275">
        <v>15</v>
      </c>
      <c r="B1249" s="299" t="s">
        <v>40</v>
      </c>
      <c r="C1249" s="276"/>
      <c r="D1249" s="424"/>
      <c r="E1249" s="298"/>
      <c r="F1249" s="270"/>
      <c r="G1249" s="270"/>
    </row>
    <row r="1250" spans="1:7" outlineLevel="1" x14ac:dyDescent="0.25">
      <c r="A1250" s="275" t="s">
        <v>67</v>
      </c>
      <c r="B1250" s="299" t="s">
        <v>68</v>
      </c>
      <c r="C1250" s="273">
        <v>100</v>
      </c>
      <c r="D1250" s="424">
        <v>1661.6381759999999</v>
      </c>
      <c r="E1250" s="298"/>
      <c r="F1250" s="270"/>
      <c r="G1250" s="270"/>
    </row>
    <row r="1251" spans="1:7" outlineLevel="1" x14ac:dyDescent="0.25">
      <c r="A1251" s="275" t="s">
        <v>67</v>
      </c>
      <c r="B1251" s="299" t="s">
        <v>42</v>
      </c>
      <c r="C1251" s="273">
        <v>100</v>
      </c>
      <c r="D1251" s="424">
        <v>158.72174999999996</v>
      </c>
      <c r="E1251" s="298"/>
      <c r="F1251" s="270"/>
      <c r="G1251" s="270"/>
    </row>
    <row r="1252" spans="1:7" outlineLevel="1" x14ac:dyDescent="0.25">
      <c r="A1252" s="275" t="s">
        <v>41</v>
      </c>
      <c r="B1252" s="299" t="s">
        <v>69</v>
      </c>
      <c r="C1252" s="273">
        <v>100</v>
      </c>
      <c r="D1252" s="424">
        <v>2612.9249999999997</v>
      </c>
      <c r="E1252" s="298"/>
      <c r="F1252" s="270"/>
      <c r="G1252" s="270"/>
    </row>
    <row r="1253" spans="1:7" outlineLevel="1" x14ac:dyDescent="0.25">
      <c r="A1253" s="275" t="s">
        <v>70</v>
      </c>
      <c r="B1253" s="299" t="s">
        <v>288</v>
      </c>
      <c r="C1253" s="273">
        <v>100</v>
      </c>
      <c r="D1253" s="424">
        <v>3577.3679700000007</v>
      </c>
      <c r="E1253" s="298"/>
      <c r="F1253" s="270"/>
      <c r="G1253" s="270"/>
    </row>
    <row r="1254" spans="1:7" outlineLevel="1" x14ac:dyDescent="0.25">
      <c r="A1254" s="506" t="s">
        <v>43</v>
      </c>
      <c r="B1254" s="506"/>
      <c r="C1254" s="506"/>
      <c r="D1254" s="506"/>
      <c r="E1254" s="506"/>
      <c r="F1254" s="270"/>
      <c r="G1254" s="270"/>
    </row>
    <row r="1255" spans="1:7" ht="25.5" customHeight="1" x14ac:dyDescent="0.25">
      <c r="A1255" s="499" t="s">
        <v>300</v>
      </c>
      <c r="B1255" s="499"/>
      <c r="C1255" s="499"/>
      <c r="D1255" s="499"/>
      <c r="E1255" s="499"/>
      <c r="F1255" s="362"/>
      <c r="G1255" s="362"/>
    </row>
    <row r="1256" spans="1:7" ht="19.5" outlineLevel="1" x14ac:dyDescent="0.4">
      <c r="A1256" s="500" t="s">
        <v>9</v>
      </c>
      <c r="B1256" s="500"/>
      <c r="C1256" s="500"/>
      <c r="D1256" s="500"/>
      <c r="E1256" s="500"/>
      <c r="F1256" s="471"/>
      <c r="G1256" s="471"/>
    </row>
    <row r="1257" spans="1:7" ht="45" outlineLevel="1" x14ac:dyDescent="0.25">
      <c r="A1257" s="330">
        <v>1</v>
      </c>
      <c r="B1257" s="327" t="s">
        <v>301</v>
      </c>
      <c r="C1257" s="273">
        <v>1000</v>
      </c>
      <c r="D1257" s="422">
        <v>1671902.1400000001</v>
      </c>
      <c r="E1257" s="269"/>
      <c r="F1257" s="270"/>
      <c r="G1257" s="270"/>
    </row>
    <row r="1258" spans="1:7" ht="36.75" customHeight="1" outlineLevel="1" x14ac:dyDescent="0.25">
      <c r="A1258" s="330">
        <v>2</v>
      </c>
      <c r="B1258" s="359" t="s">
        <v>11</v>
      </c>
      <c r="C1258" s="273">
        <v>1000</v>
      </c>
      <c r="D1258" s="422">
        <v>1638852.06</v>
      </c>
      <c r="E1258" s="269"/>
      <c r="F1258" s="270"/>
      <c r="G1258" s="270"/>
    </row>
    <row r="1259" spans="1:7" ht="45" outlineLevel="1" x14ac:dyDescent="0.25">
      <c r="A1259" s="330">
        <v>3</v>
      </c>
      <c r="B1259" s="359" t="s">
        <v>12</v>
      </c>
      <c r="C1259" s="360"/>
      <c r="D1259" s="422"/>
      <c r="E1259" s="332"/>
      <c r="F1259" s="270"/>
      <c r="G1259" s="270"/>
    </row>
    <row r="1260" spans="1:7" outlineLevel="1" x14ac:dyDescent="0.25">
      <c r="A1260" s="330"/>
      <c r="B1260" s="359" t="s">
        <v>13</v>
      </c>
      <c r="C1260" s="273">
        <v>1000</v>
      </c>
      <c r="D1260" s="422">
        <v>10467.499999999996</v>
      </c>
      <c r="E1260" s="332"/>
      <c r="F1260" s="270"/>
      <c r="G1260" s="270"/>
    </row>
    <row r="1261" spans="1:7" outlineLevel="1" x14ac:dyDescent="0.25">
      <c r="A1261" s="330"/>
      <c r="B1261" s="359" t="s">
        <v>164</v>
      </c>
      <c r="C1261" s="273">
        <v>1000</v>
      </c>
      <c r="D1261" s="422">
        <v>23964.999999999996</v>
      </c>
      <c r="E1261" s="332"/>
      <c r="F1261" s="270"/>
      <c r="G1261" s="270"/>
    </row>
    <row r="1262" spans="1:7" outlineLevel="1" x14ac:dyDescent="0.25">
      <c r="A1262" s="330"/>
      <c r="B1262" s="359" t="s">
        <v>254</v>
      </c>
      <c r="C1262" s="273">
        <v>1000</v>
      </c>
      <c r="D1262" s="422">
        <v>5747.4999999999964</v>
      </c>
      <c r="E1262" s="332"/>
      <c r="F1262" s="270"/>
      <c r="G1262" s="270"/>
    </row>
    <row r="1263" spans="1:7" ht="30" outlineLevel="1" x14ac:dyDescent="0.25">
      <c r="A1263" s="507">
        <v>4</v>
      </c>
      <c r="B1263" s="327" t="s">
        <v>191</v>
      </c>
      <c r="C1263" s="273">
        <v>1000</v>
      </c>
      <c r="D1263" s="422"/>
      <c r="E1263" s="269"/>
      <c r="F1263" s="270"/>
      <c r="G1263" s="270"/>
    </row>
    <row r="1264" spans="1:7" outlineLevel="1" x14ac:dyDescent="0.25">
      <c r="A1264" s="507"/>
      <c r="B1264" s="327" t="s">
        <v>302</v>
      </c>
      <c r="C1264" s="273">
        <v>1000</v>
      </c>
      <c r="D1264" s="422">
        <v>159193.80000000005</v>
      </c>
      <c r="E1264" s="298"/>
      <c r="F1264" s="270"/>
      <c r="G1264" s="270"/>
    </row>
    <row r="1265" spans="1:7" ht="45" outlineLevel="1" x14ac:dyDescent="0.25">
      <c r="A1265" s="330">
        <v>7</v>
      </c>
      <c r="B1265" s="327" t="s">
        <v>264</v>
      </c>
      <c r="C1265" s="328">
        <v>1</v>
      </c>
      <c r="D1265" s="422">
        <v>130</v>
      </c>
      <c r="E1265" s="337"/>
      <c r="F1265" s="270"/>
      <c r="G1265" s="270"/>
    </row>
    <row r="1266" spans="1:7" ht="19.5" outlineLevel="1" x14ac:dyDescent="0.4">
      <c r="A1266" s="500" t="s">
        <v>192</v>
      </c>
      <c r="B1266" s="500"/>
      <c r="C1266" s="500"/>
      <c r="D1266" s="500"/>
      <c r="E1266" s="500"/>
      <c r="F1266" s="471"/>
      <c r="G1266" s="471"/>
    </row>
    <row r="1267" spans="1:7" ht="64.5" customHeight="1" outlineLevel="1" x14ac:dyDescent="0.25">
      <c r="A1267" s="271">
        <v>1</v>
      </c>
      <c r="B1267" s="272" t="s">
        <v>22</v>
      </c>
      <c r="C1267" s="273">
        <v>1000</v>
      </c>
      <c r="D1267" s="423">
        <v>98</v>
      </c>
      <c r="E1267" s="274"/>
      <c r="F1267" s="270"/>
      <c r="G1267" s="270"/>
    </row>
    <row r="1268" spans="1:7" s="15" customFormat="1" ht="53.25" customHeight="1" outlineLevel="1" x14ac:dyDescent="0.2">
      <c r="A1268" s="275">
        <v>2</v>
      </c>
      <c r="B1268" s="272" t="s">
        <v>23</v>
      </c>
      <c r="C1268" s="276"/>
      <c r="D1268" s="424"/>
      <c r="E1268" s="295"/>
      <c r="F1268" s="277"/>
      <c r="G1268" s="277"/>
    </row>
    <row r="1269" spans="1:7" s="15" customFormat="1" ht="22.5" customHeight="1" outlineLevel="1" x14ac:dyDescent="0.2">
      <c r="A1269" s="275"/>
      <c r="B1269" s="272" t="s">
        <v>24</v>
      </c>
      <c r="C1269" s="273">
        <v>100</v>
      </c>
      <c r="D1269" s="423">
        <v>24.5</v>
      </c>
      <c r="E1269" s="269"/>
      <c r="F1269" s="277"/>
      <c r="G1269" s="277"/>
    </row>
    <row r="1270" spans="1:7" s="15" customFormat="1" ht="35.25" customHeight="1" outlineLevel="1" x14ac:dyDescent="0.2">
      <c r="A1270" s="275">
        <v>3</v>
      </c>
      <c r="B1270" s="272" t="s">
        <v>25</v>
      </c>
      <c r="C1270" s="273">
        <v>100</v>
      </c>
      <c r="D1270" s="423">
        <v>97.5</v>
      </c>
      <c r="E1270" s="274"/>
      <c r="F1270" s="277"/>
      <c r="G1270" s="277"/>
    </row>
    <row r="1271" spans="1:7" s="15" customFormat="1" ht="51.75" customHeight="1" outlineLevel="1" x14ac:dyDescent="0.2">
      <c r="A1271" s="275">
        <v>4</v>
      </c>
      <c r="B1271" s="272" t="s">
        <v>26</v>
      </c>
      <c r="C1271" s="278">
        <v>100</v>
      </c>
      <c r="D1271" s="423">
        <v>39</v>
      </c>
      <c r="E1271" s="274"/>
      <c r="F1271" s="277"/>
      <c r="G1271" s="277"/>
    </row>
    <row r="1272" spans="1:7" ht="34.5" customHeight="1" outlineLevel="1" x14ac:dyDescent="0.25">
      <c r="A1272" s="271">
        <v>5</v>
      </c>
      <c r="B1272" s="272" t="s">
        <v>27</v>
      </c>
      <c r="C1272" s="273">
        <v>100</v>
      </c>
      <c r="D1272" s="423">
        <v>81.703125</v>
      </c>
      <c r="E1272" s="274"/>
      <c r="F1272" s="270"/>
      <c r="G1272" s="270"/>
    </row>
    <row r="1273" spans="1:7" ht="21.75" customHeight="1" outlineLevel="1" x14ac:dyDescent="0.25">
      <c r="A1273" s="271">
        <v>6</v>
      </c>
      <c r="B1273" s="272" t="s">
        <v>28</v>
      </c>
      <c r="C1273" s="278">
        <v>100</v>
      </c>
      <c r="D1273" s="423">
        <v>230.64999999999998</v>
      </c>
      <c r="E1273" s="274"/>
      <c r="F1273" s="270"/>
      <c r="G1273" s="270"/>
    </row>
    <row r="1274" spans="1:7" ht="45" outlineLevel="1" x14ac:dyDescent="0.25">
      <c r="A1274" s="271">
        <v>7</v>
      </c>
      <c r="B1274" s="272" t="s">
        <v>29</v>
      </c>
      <c r="C1274" s="278">
        <v>100</v>
      </c>
      <c r="D1274" s="423">
        <v>230.64999999999998</v>
      </c>
      <c r="E1274" s="274"/>
      <c r="F1274" s="270"/>
      <c r="G1274" s="270"/>
    </row>
    <row r="1275" spans="1:7" ht="22.5" customHeight="1" outlineLevel="1" x14ac:dyDescent="0.25">
      <c r="A1275" s="271">
        <v>8</v>
      </c>
      <c r="B1275" s="272" t="s">
        <v>30</v>
      </c>
      <c r="C1275" s="328">
        <v>1</v>
      </c>
      <c r="D1275" s="423">
        <v>500</v>
      </c>
      <c r="E1275" s="274"/>
      <c r="F1275" s="270"/>
      <c r="G1275" s="270"/>
    </row>
    <row r="1276" spans="1:7" ht="75" outlineLevel="1" x14ac:dyDescent="0.25">
      <c r="A1276" s="271">
        <v>9</v>
      </c>
      <c r="B1276" s="272" t="s">
        <v>31</v>
      </c>
      <c r="C1276" s="276"/>
      <c r="D1276" s="423"/>
      <c r="E1276" s="274"/>
      <c r="F1276" s="270"/>
      <c r="G1276" s="270"/>
    </row>
    <row r="1277" spans="1:7" outlineLevel="1" x14ac:dyDescent="0.25">
      <c r="A1277" s="271"/>
      <c r="B1277" s="272" t="s">
        <v>32</v>
      </c>
      <c r="C1277" s="273">
        <v>100</v>
      </c>
      <c r="D1277" s="423">
        <v>4.29</v>
      </c>
      <c r="E1277" s="274"/>
      <c r="F1277" s="270"/>
      <c r="G1277" s="270"/>
    </row>
    <row r="1278" spans="1:7" ht="19.5" outlineLevel="1" x14ac:dyDescent="0.4">
      <c r="A1278" s="500" t="s">
        <v>168</v>
      </c>
      <c r="B1278" s="500"/>
      <c r="C1278" s="500"/>
      <c r="D1278" s="500"/>
      <c r="E1278" s="500"/>
      <c r="F1278" s="471"/>
      <c r="G1278" s="471"/>
    </row>
    <row r="1279" spans="1:7" ht="21" customHeight="1" outlineLevel="1" x14ac:dyDescent="0.25">
      <c r="A1279" s="293">
        <v>1</v>
      </c>
      <c r="B1279" s="294" t="s">
        <v>34</v>
      </c>
      <c r="C1279" s="273">
        <v>1</v>
      </c>
      <c r="D1279" s="424">
        <v>22.36</v>
      </c>
      <c r="E1279" s="295"/>
      <c r="F1279" s="270"/>
      <c r="G1279" s="270"/>
    </row>
    <row r="1280" spans="1:7" ht="45" outlineLevel="1" x14ac:dyDescent="0.25">
      <c r="A1280" s="293">
        <v>2</v>
      </c>
      <c r="B1280" s="294" t="s">
        <v>35</v>
      </c>
      <c r="C1280" s="303">
        <v>100</v>
      </c>
      <c r="D1280" s="424">
        <v>51.09</v>
      </c>
      <c r="E1280" s="295"/>
      <c r="F1280" s="270"/>
      <c r="G1280" s="270"/>
    </row>
    <row r="1281" spans="1:7" ht="21" customHeight="1" outlineLevel="1" x14ac:dyDescent="0.25">
      <c r="A1281" s="275">
        <v>3</v>
      </c>
      <c r="B1281" s="294" t="s">
        <v>36</v>
      </c>
      <c r="C1281" s="328">
        <v>1</v>
      </c>
      <c r="D1281" s="424">
        <v>13</v>
      </c>
      <c r="E1281" s="295"/>
      <c r="F1281" s="270"/>
      <c r="G1281" s="270"/>
    </row>
    <row r="1282" spans="1:7" ht="21" customHeight="1" outlineLevel="1" x14ac:dyDescent="0.25">
      <c r="A1282" s="275">
        <v>4</v>
      </c>
      <c r="B1282" s="294" t="s">
        <v>37</v>
      </c>
      <c r="C1282" s="329">
        <v>1</v>
      </c>
      <c r="D1282" s="424">
        <v>13</v>
      </c>
      <c r="E1282" s="295"/>
      <c r="F1282" s="270"/>
      <c r="G1282" s="270"/>
    </row>
    <row r="1283" spans="1:7" ht="21" customHeight="1" outlineLevel="1" x14ac:dyDescent="0.25">
      <c r="A1283" s="275">
        <v>5</v>
      </c>
      <c r="B1283" s="294" t="s">
        <v>38</v>
      </c>
      <c r="C1283" s="278">
        <v>100</v>
      </c>
      <c r="D1283" s="424">
        <v>45.5</v>
      </c>
      <c r="E1283" s="295"/>
      <c r="F1283" s="270"/>
      <c r="G1283" s="270"/>
    </row>
    <row r="1284" spans="1:7" ht="30" outlineLevel="1" x14ac:dyDescent="0.25">
      <c r="A1284" s="275">
        <v>6</v>
      </c>
      <c r="B1284" s="294" t="s">
        <v>39</v>
      </c>
      <c r="C1284" s="328">
        <v>1</v>
      </c>
      <c r="D1284" s="424">
        <v>130</v>
      </c>
      <c r="E1284" s="295"/>
      <c r="F1284" s="270"/>
      <c r="G1284" s="270"/>
    </row>
    <row r="1285" spans="1:7" ht="75" outlineLevel="1" x14ac:dyDescent="0.25">
      <c r="A1285" s="275">
        <v>7</v>
      </c>
      <c r="B1285" s="299" t="s">
        <v>31</v>
      </c>
      <c r="C1285" s="276"/>
      <c r="D1285" s="424"/>
      <c r="E1285" s="298"/>
      <c r="F1285" s="270"/>
      <c r="G1285" s="270"/>
    </row>
    <row r="1286" spans="1:7" outlineLevel="1" x14ac:dyDescent="0.25">
      <c r="A1286" s="275" t="s">
        <v>41</v>
      </c>
      <c r="B1286" s="299" t="s">
        <v>42</v>
      </c>
      <c r="C1286" s="273">
        <v>100</v>
      </c>
      <c r="D1286" s="424">
        <v>19.6768</v>
      </c>
      <c r="E1286" s="298"/>
      <c r="F1286" s="270"/>
      <c r="G1286" s="270"/>
    </row>
    <row r="1287" spans="1:7" outlineLevel="1" x14ac:dyDescent="0.25">
      <c r="A1287" s="518" t="s">
        <v>43</v>
      </c>
      <c r="B1287" s="518"/>
      <c r="C1287" s="518"/>
      <c r="D1287" s="518"/>
      <c r="E1287" s="518"/>
      <c r="F1287" s="270"/>
      <c r="G1287" s="270"/>
    </row>
    <row r="1288" spans="1:7" ht="19.5" outlineLevel="1" x14ac:dyDescent="0.4">
      <c r="A1288" s="500" t="s">
        <v>265</v>
      </c>
      <c r="B1288" s="500"/>
      <c r="C1288" s="500"/>
      <c r="D1288" s="500"/>
      <c r="E1288" s="500"/>
      <c r="F1288" s="471"/>
      <c r="G1288" s="471"/>
    </row>
    <row r="1289" spans="1:7" ht="75" outlineLevel="1" x14ac:dyDescent="0.25">
      <c r="A1289" s="293">
        <v>1</v>
      </c>
      <c r="B1289" s="299" t="s">
        <v>45</v>
      </c>
      <c r="C1289" s="273">
        <v>1000</v>
      </c>
      <c r="D1289" s="424">
        <v>15395.300699999989</v>
      </c>
      <c r="E1289" s="269"/>
      <c r="F1289" s="270"/>
      <c r="G1289" s="270"/>
    </row>
    <row r="1290" spans="1:7" ht="24" customHeight="1" outlineLevel="1" x14ac:dyDescent="0.25">
      <c r="A1290" s="293">
        <v>2</v>
      </c>
      <c r="B1290" s="299" t="s">
        <v>75</v>
      </c>
      <c r="C1290" s="273">
        <v>1000</v>
      </c>
      <c r="D1290" s="424">
        <v>15395.300699999989</v>
      </c>
      <c r="E1290" s="269"/>
      <c r="F1290" s="270"/>
      <c r="G1290" s="270"/>
    </row>
    <row r="1291" spans="1:7" ht="45" outlineLevel="1" x14ac:dyDescent="0.25">
      <c r="A1291" s="275">
        <v>3</v>
      </c>
      <c r="B1291" s="302" t="s">
        <v>23</v>
      </c>
      <c r="C1291" s="276"/>
      <c r="D1291" s="424"/>
      <c r="E1291" s="295"/>
      <c r="F1291" s="270"/>
      <c r="G1291" s="270"/>
    </row>
    <row r="1292" spans="1:7" outlineLevel="1" x14ac:dyDescent="0.25">
      <c r="A1292" s="275"/>
      <c r="B1292" s="299" t="s">
        <v>24</v>
      </c>
      <c r="C1292" s="273">
        <v>100</v>
      </c>
      <c r="D1292" s="424">
        <v>1785.0250000000003</v>
      </c>
      <c r="E1292" s="269"/>
      <c r="F1292" s="270"/>
      <c r="G1292" s="270"/>
    </row>
    <row r="1293" spans="1:7" outlineLevel="1" x14ac:dyDescent="0.25">
      <c r="A1293" s="275"/>
      <c r="B1293" s="299" t="s">
        <v>125</v>
      </c>
      <c r="C1293" s="273">
        <v>100</v>
      </c>
      <c r="D1293" s="424">
        <v>238</v>
      </c>
      <c r="E1293" s="269"/>
      <c r="F1293" s="270"/>
      <c r="G1293" s="270"/>
    </row>
    <row r="1294" spans="1:7" ht="90" outlineLevel="1" x14ac:dyDescent="0.25">
      <c r="A1294" s="275">
        <v>4</v>
      </c>
      <c r="B1294" s="299" t="s">
        <v>46</v>
      </c>
      <c r="C1294" s="303">
        <v>100</v>
      </c>
      <c r="D1294" s="424">
        <v>45010.326149999994</v>
      </c>
      <c r="E1294" s="304"/>
      <c r="F1294" s="270"/>
      <c r="G1294" s="270"/>
    </row>
    <row r="1295" spans="1:7" ht="120.75" outlineLevel="1" x14ac:dyDescent="0.25">
      <c r="A1295" s="275">
        <v>5</v>
      </c>
      <c r="B1295" s="302" t="s">
        <v>78</v>
      </c>
      <c r="C1295" s="276"/>
      <c r="D1295" s="424"/>
      <c r="E1295" s="295"/>
      <c r="F1295" s="270"/>
      <c r="G1295" s="270"/>
    </row>
    <row r="1296" spans="1:7" ht="75" outlineLevel="1" x14ac:dyDescent="0.25">
      <c r="A1296" s="275"/>
      <c r="B1296" s="302" t="s">
        <v>100</v>
      </c>
      <c r="C1296" s="273">
        <v>1</v>
      </c>
      <c r="D1296" s="424">
        <v>9694.2370499999979</v>
      </c>
      <c r="E1296" s="269"/>
      <c r="F1296" s="270"/>
      <c r="G1296" s="270"/>
    </row>
    <row r="1297" spans="1:7" ht="75" outlineLevel="1" x14ac:dyDescent="0.25">
      <c r="A1297" s="275"/>
      <c r="B1297" s="302" t="s">
        <v>201</v>
      </c>
      <c r="C1297" s="273">
        <v>1</v>
      </c>
      <c r="D1297" s="424">
        <v>5309.2050000000017</v>
      </c>
      <c r="E1297" s="269"/>
      <c r="F1297" s="270"/>
      <c r="G1297" s="270"/>
    </row>
    <row r="1298" spans="1:7" ht="30" outlineLevel="1" x14ac:dyDescent="0.25">
      <c r="A1298" s="275">
        <v>6</v>
      </c>
      <c r="B1298" s="299" t="s">
        <v>52</v>
      </c>
      <c r="C1298" s="278">
        <v>100</v>
      </c>
      <c r="D1298" s="424">
        <v>5822.749799999995</v>
      </c>
      <c r="E1298" s="295"/>
      <c r="F1298" s="270"/>
      <c r="G1298" s="270"/>
    </row>
    <row r="1299" spans="1:7" ht="30" outlineLevel="1" x14ac:dyDescent="0.25">
      <c r="A1299" s="275">
        <v>7</v>
      </c>
      <c r="B1299" s="302" t="s">
        <v>79</v>
      </c>
      <c r="C1299" s="273">
        <v>100</v>
      </c>
      <c r="D1299" s="424">
        <v>560</v>
      </c>
      <c r="E1299" s="295"/>
      <c r="F1299" s="270"/>
      <c r="G1299" s="270"/>
    </row>
    <row r="1300" spans="1:7" ht="45" outlineLevel="1" x14ac:dyDescent="0.25">
      <c r="A1300" s="275">
        <v>8</v>
      </c>
      <c r="B1300" s="313" t="s">
        <v>80</v>
      </c>
      <c r="C1300" s="323">
        <v>1</v>
      </c>
      <c r="D1300" s="424">
        <v>1373.78</v>
      </c>
      <c r="E1300" s="270"/>
      <c r="F1300" s="270"/>
      <c r="G1300" s="270"/>
    </row>
    <row r="1301" spans="1:7" ht="30" outlineLevel="1" x14ac:dyDescent="0.25">
      <c r="A1301" s="275">
        <v>9</v>
      </c>
      <c r="B1301" s="315" t="s">
        <v>81</v>
      </c>
      <c r="C1301" s="323">
        <v>1</v>
      </c>
      <c r="D1301" s="424">
        <v>470</v>
      </c>
      <c r="E1301" s="270"/>
      <c r="F1301" s="270"/>
      <c r="G1301" s="270"/>
    </row>
    <row r="1302" spans="1:7" ht="24" customHeight="1" outlineLevel="1" x14ac:dyDescent="0.25">
      <c r="A1302" s="275">
        <v>10</v>
      </c>
      <c r="B1302" s="299" t="s">
        <v>66</v>
      </c>
      <c r="C1302" s="273">
        <v>1000</v>
      </c>
      <c r="D1302" s="424">
        <v>28000</v>
      </c>
      <c r="E1302" s="298"/>
      <c r="F1302" s="270"/>
      <c r="G1302" s="270"/>
    </row>
    <row r="1303" spans="1:7" ht="75.75" outlineLevel="1" x14ac:dyDescent="0.25">
      <c r="A1303" s="275">
        <v>11</v>
      </c>
      <c r="B1303" s="299" t="s">
        <v>40</v>
      </c>
      <c r="C1303" s="276"/>
      <c r="D1303" s="424"/>
      <c r="E1303" s="298"/>
      <c r="F1303" s="270"/>
      <c r="G1303" s="270"/>
    </row>
    <row r="1304" spans="1:7" outlineLevel="1" x14ac:dyDescent="0.25">
      <c r="A1304" s="275" t="s">
        <v>67</v>
      </c>
      <c r="B1304" s="299" t="s">
        <v>68</v>
      </c>
      <c r="C1304" s="273">
        <v>100</v>
      </c>
      <c r="D1304" s="424">
        <v>1713.6240000000003</v>
      </c>
      <c r="E1304" s="298"/>
      <c r="F1304" s="270"/>
      <c r="G1304" s="270"/>
    </row>
    <row r="1305" spans="1:7" outlineLevel="1" x14ac:dyDescent="0.25">
      <c r="A1305" s="275" t="s">
        <v>41</v>
      </c>
      <c r="B1305" s="299" t="s">
        <v>42</v>
      </c>
      <c r="C1305" s="273">
        <v>100</v>
      </c>
      <c r="D1305" s="424">
        <v>209.44</v>
      </c>
      <c r="E1305" s="298"/>
      <c r="F1305" s="270"/>
      <c r="G1305" s="270"/>
    </row>
    <row r="1306" spans="1:7" outlineLevel="1" x14ac:dyDescent="0.25">
      <c r="A1306" s="275" t="s">
        <v>70</v>
      </c>
      <c r="B1306" s="299" t="s">
        <v>82</v>
      </c>
      <c r="C1306" s="273">
        <v>100</v>
      </c>
      <c r="D1306" s="424">
        <v>12602.891321999999</v>
      </c>
      <c r="E1306" s="298"/>
      <c r="F1306" s="270"/>
      <c r="G1306" s="270"/>
    </row>
    <row r="1307" spans="1:7" outlineLevel="1" x14ac:dyDescent="0.25">
      <c r="A1307" s="506" t="s">
        <v>83</v>
      </c>
      <c r="B1307" s="506"/>
      <c r="C1307" s="506"/>
      <c r="D1307" s="506"/>
      <c r="E1307" s="506"/>
      <c r="F1307" s="270"/>
      <c r="G1307" s="270"/>
    </row>
    <row r="1308" spans="1:7" ht="19.5" outlineLevel="1" x14ac:dyDescent="0.4">
      <c r="A1308" s="500" t="s">
        <v>266</v>
      </c>
      <c r="B1308" s="500"/>
      <c r="C1308" s="500"/>
      <c r="D1308" s="500"/>
      <c r="E1308" s="500"/>
      <c r="F1308" s="471"/>
      <c r="G1308" s="471"/>
    </row>
    <row r="1309" spans="1:7" ht="75" outlineLevel="1" x14ac:dyDescent="0.25">
      <c r="A1309" s="293">
        <v>1</v>
      </c>
      <c r="B1309" s="299" t="s">
        <v>45</v>
      </c>
      <c r="C1309" s="273">
        <v>1000</v>
      </c>
      <c r="D1309" s="424">
        <v>21204.327294117251</v>
      </c>
      <c r="E1309" s="269"/>
      <c r="F1309" s="270"/>
      <c r="G1309" s="270"/>
    </row>
    <row r="1310" spans="1:7" ht="45" outlineLevel="1" x14ac:dyDescent="0.25">
      <c r="A1310" s="275">
        <v>2</v>
      </c>
      <c r="B1310" s="302" t="s">
        <v>23</v>
      </c>
      <c r="C1310" s="271"/>
      <c r="D1310" s="424"/>
      <c r="E1310" s="269"/>
      <c r="F1310" s="270"/>
      <c r="G1310" s="270"/>
    </row>
    <row r="1311" spans="1:7" outlineLevel="1" x14ac:dyDescent="0.25">
      <c r="A1311" s="275"/>
      <c r="B1311" s="299" t="s">
        <v>24</v>
      </c>
      <c r="C1311" s="273">
        <v>100</v>
      </c>
      <c r="D1311" s="424">
        <v>564.5</v>
      </c>
      <c r="E1311" s="269"/>
      <c r="F1311" s="270"/>
      <c r="G1311" s="270"/>
    </row>
    <row r="1312" spans="1:7" ht="90" outlineLevel="1" x14ac:dyDescent="0.25">
      <c r="A1312" s="275">
        <v>3</v>
      </c>
      <c r="B1312" s="299" t="s">
        <v>46</v>
      </c>
      <c r="C1312" s="303">
        <v>100</v>
      </c>
      <c r="D1312" s="424">
        <v>22179.123529411605</v>
      </c>
      <c r="E1312" s="304"/>
      <c r="F1312" s="270"/>
      <c r="G1312" s="270"/>
    </row>
    <row r="1313" spans="1:7" ht="120.75" outlineLevel="1" x14ac:dyDescent="0.25">
      <c r="A1313" s="275">
        <v>4</v>
      </c>
      <c r="B1313" s="302" t="s">
        <v>47</v>
      </c>
      <c r="C1313" s="271"/>
      <c r="D1313" s="424"/>
      <c r="E1313" s="295"/>
      <c r="F1313" s="270"/>
      <c r="G1313" s="270"/>
    </row>
    <row r="1314" spans="1:7" ht="75" outlineLevel="1" x14ac:dyDescent="0.25">
      <c r="A1314" s="275"/>
      <c r="B1314" s="302" t="s">
        <v>100</v>
      </c>
      <c r="C1314" s="273">
        <v>1</v>
      </c>
      <c r="D1314" s="424">
        <v>5135.041176470535</v>
      </c>
      <c r="E1314" s="269"/>
      <c r="F1314" s="270"/>
      <c r="G1314" s="270"/>
    </row>
    <row r="1315" spans="1:7" ht="75" outlineLevel="1" x14ac:dyDescent="0.25">
      <c r="A1315" s="275"/>
      <c r="B1315" s="302" t="s">
        <v>201</v>
      </c>
      <c r="C1315" s="273">
        <v>1</v>
      </c>
      <c r="D1315" s="424">
        <v>2258</v>
      </c>
      <c r="E1315" s="269"/>
      <c r="F1315" s="270"/>
      <c r="G1315" s="270"/>
    </row>
    <row r="1316" spans="1:7" ht="30" outlineLevel="1" x14ac:dyDescent="0.25">
      <c r="A1316" s="275">
        <v>5</v>
      </c>
      <c r="B1316" s="299" t="s">
        <v>52</v>
      </c>
      <c r="C1316" s="278">
        <v>100</v>
      </c>
      <c r="D1316" s="424">
        <v>4909.2811764705175</v>
      </c>
      <c r="E1316" s="295"/>
      <c r="F1316" s="270"/>
      <c r="G1316" s="270"/>
    </row>
    <row r="1317" spans="1:7" ht="45" outlineLevel="1" x14ac:dyDescent="0.25">
      <c r="A1317" s="275">
        <v>6</v>
      </c>
      <c r="B1317" s="299" t="s">
        <v>214</v>
      </c>
      <c r="C1317" s="323">
        <v>1</v>
      </c>
      <c r="D1317" s="424">
        <v>22.5</v>
      </c>
      <c r="E1317" s="295"/>
      <c r="F1317" s="270"/>
      <c r="G1317" s="270"/>
    </row>
    <row r="1318" spans="1:7" ht="105" outlineLevel="1" x14ac:dyDescent="0.25">
      <c r="A1318" s="275">
        <v>7</v>
      </c>
      <c r="B1318" s="306" t="s">
        <v>54</v>
      </c>
      <c r="C1318" s="273">
        <v>100</v>
      </c>
      <c r="D1318" s="424">
        <v>350</v>
      </c>
      <c r="E1318" s="270"/>
      <c r="F1318" s="270"/>
      <c r="G1318" s="270"/>
    </row>
    <row r="1319" spans="1:7" ht="120" outlineLevel="1" x14ac:dyDescent="0.25">
      <c r="A1319" s="275">
        <v>8</v>
      </c>
      <c r="B1319" s="306" t="s">
        <v>267</v>
      </c>
      <c r="C1319" s="273">
        <v>100</v>
      </c>
      <c r="D1319" s="424">
        <v>350</v>
      </c>
      <c r="E1319" s="270"/>
      <c r="F1319" s="270"/>
      <c r="G1319" s="270"/>
    </row>
    <row r="1320" spans="1:7" ht="29.25" customHeight="1" outlineLevel="1" x14ac:dyDescent="0.25">
      <c r="A1320" s="275">
        <v>9</v>
      </c>
      <c r="B1320" s="306" t="s">
        <v>268</v>
      </c>
      <c r="C1320" s="323">
        <v>1</v>
      </c>
      <c r="D1320" s="424">
        <v>100</v>
      </c>
      <c r="E1320" s="270"/>
      <c r="F1320" s="270"/>
      <c r="G1320" s="270"/>
    </row>
    <row r="1321" spans="1:7" ht="105" outlineLevel="1" x14ac:dyDescent="0.25">
      <c r="A1321" s="275">
        <v>10</v>
      </c>
      <c r="B1321" s="306" t="s">
        <v>269</v>
      </c>
      <c r="C1321" s="307"/>
      <c r="D1321" s="424"/>
      <c r="E1321" s="295"/>
      <c r="F1321" s="270"/>
      <c r="G1321" s="270"/>
    </row>
    <row r="1322" spans="1:7" ht="45" outlineLevel="1" x14ac:dyDescent="0.25">
      <c r="A1322" s="275" t="s">
        <v>58</v>
      </c>
      <c r="B1322" s="306" t="s">
        <v>59</v>
      </c>
      <c r="C1322" s="278">
        <v>100</v>
      </c>
      <c r="D1322" s="424">
        <v>700</v>
      </c>
      <c r="E1322" s="295"/>
      <c r="F1322" s="270"/>
      <c r="G1322" s="270"/>
    </row>
    <row r="1323" spans="1:7" ht="45" outlineLevel="1" x14ac:dyDescent="0.25">
      <c r="A1323" s="275" t="s">
        <v>60</v>
      </c>
      <c r="B1323" s="306" t="s">
        <v>61</v>
      </c>
      <c r="C1323" s="278">
        <v>100</v>
      </c>
      <c r="D1323" s="424">
        <v>700</v>
      </c>
      <c r="E1323" s="295"/>
      <c r="F1323" s="270"/>
      <c r="G1323" s="270"/>
    </row>
    <row r="1324" spans="1:7" ht="45" outlineLevel="1" x14ac:dyDescent="0.25">
      <c r="A1324" s="275" t="s">
        <v>62</v>
      </c>
      <c r="B1324" s="306" t="s">
        <v>63</v>
      </c>
      <c r="C1324" s="278">
        <v>100</v>
      </c>
      <c r="D1324" s="424">
        <v>700</v>
      </c>
      <c r="E1324" s="295"/>
      <c r="F1324" s="270"/>
      <c r="G1324" s="270"/>
    </row>
    <row r="1325" spans="1:7" ht="45" outlineLevel="1" x14ac:dyDescent="0.25">
      <c r="A1325" s="275">
        <v>11</v>
      </c>
      <c r="B1325" s="306" t="s">
        <v>64</v>
      </c>
      <c r="C1325" s="273">
        <v>100</v>
      </c>
      <c r="D1325" s="424">
        <v>600</v>
      </c>
      <c r="E1325" s="295"/>
      <c r="F1325" s="270"/>
      <c r="G1325" s="270"/>
    </row>
    <row r="1326" spans="1:7" ht="30" outlineLevel="1" x14ac:dyDescent="0.25">
      <c r="A1326" s="308">
        <v>12</v>
      </c>
      <c r="B1326" s="309" t="s">
        <v>65</v>
      </c>
      <c r="C1326" s="273">
        <v>1000</v>
      </c>
      <c r="D1326" s="424">
        <v>6400</v>
      </c>
      <c r="E1326" s="295"/>
      <c r="F1326" s="270"/>
      <c r="G1326" s="270"/>
    </row>
    <row r="1327" spans="1:7" ht="22.5" customHeight="1" outlineLevel="1" x14ac:dyDescent="0.25">
      <c r="A1327" s="275">
        <v>13</v>
      </c>
      <c r="B1327" s="299" t="s">
        <v>66</v>
      </c>
      <c r="C1327" s="273">
        <v>1000</v>
      </c>
      <c r="D1327" s="424">
        <v>24812.800000000025</v>
      </c>
      <c r="E1327" s="298"/>
      <c r="F1327" s="270"/>
      <c r="G1327" s="270"/>
    </row>
    <row r="1328" spans="1:7" ht="75.75" outlineLevel="1" x14ac:dyDescent="0.25">
      <c r="A1328" s="275">
        <v>14</v>
      </c>
      <c r="B1328" s="299" t="s">
        <v>40</v>
      </c>
      <c r="C1328" s="276"/>
      <c r="D1328" s="424"/>
      <c r="E1328" s="298"/>
      <c r="F1328" s="270"/>
      <c r="G1328" s="270"/>
    </row>
    <row r="1329" spans="1:7" outlineLevel="1" x14ac:dyDescent="0.25">
      <c r="A1329" s="275" t="s">
        <v>67</v>
      </c>
      <c r="B1329" s="299" t="s">
        <v>68</v>
      </c>
      <c r="C1329" s="273">
        <v>100</v>
      </c>
      <c r="D1329" s="424">
        <v>541.91999999999996</v>
      </c>
      <c r="E1329" s="298"/>
      <c r="F1329" s="270"/>
      <c r="G1329" s="270"/>
    </row>
    <row r="1330" spans="1:7" outlineLevel="1" x14ac:dyDescent="0.25">
      <c r="A1330" s="275" t="s">
        <v>41</v>
      </c>
      <c r="B1330" s="299" t="s">
        <v>69</v>
      </c>
      <c r="C1330" s="273">
        <v>100</v>
      </c>
      <c r="D1330" s="424">
        <v>6210.1545882352493</v>
      </c>
      <c r="E1330" s="298"/>
      <c r="F1330" s="270"/>
      <c r="G1330" s="270"/>
    </row>
    <row r="1331" spans="1:7" outlineLevel="1" x14ac:dyDescent="0.25">
      <c r="A1331" s="275" t="s">
        <v>70</v>
      </c>
      <c r="B1331" s="299" t="s">
        <v>71</v>
      </c>
      <c r="C1331" s="273">
        <v>100</v>
      </c>
      <c r="D1331" s="424">
        <v>427</v>
      </c>
      <c r="E1331" s="298"/>
      <c r="F1331" s="270"/>
      <c r="G1331" s="270"/>
    </row>
    <row r="1332" spans="1:7" outlineLevel="1" x14ac:dyDescent="0.25">
      <c r="A1332" s="275" t="s">
        <v>70</v>
      </c>
      <c r="B1332" s="299" t="s">
        <v>72</v>
      </c>
      <c r="C1332" s="273">
        <v>100</v>
      </c>
      <c r="D1332" s="424">
        <v>52.5</v>
      </c>
      <c r="E1332" s="298"/>
      <c r="F1332" s="270"/>
      <c r="G1332" s="270"/>
    </row>
    <row r="1333" spans="1:7" outlineLevel="1" x14ac:dyDescent="0.25">
      <c r="A1333" s="506" t="s">
        <v>73</v>
      </c>
      <c r="B1333" s="506"/>
      <c r="C1333" s="506"/>
      <c r="D1333" s="506"/>
      <c r="E1333" s="506"/>
      <c r="F1333" s="270"/>
      <c r="G1333" s="270"/>
    </row>
    <row r="1334" spans="1:7" ht="19.5" outlineLevel="1" x14ac:dyDescent="0.4">
      <c r="A1334" s="500" t="s">
        <v>303</v>
      </c>
      <c r="B1334" s="500"/>
      <c r="C1334" s="500"/>
      <c r="D1334" s="500"/>
      <c r="E1334" s="500"/>
      <c r="F1334" s="471"/>
      <c r="G1334" s="471"/>
    </row>
    <row r="1335" spans="1:7" ht="75" outlineLevel="1" x14ac:dyDescent="0.25">
      <c r="A1335" s="293">
        <v>1</v>
      </c>
      <c r="B1335" s="299" t="s">
        <v>45</v>
      </c>
      <c r="C1335" s="273">
        <v>1000</v>
      </c>
      <c r="D1335" s="424">
        <v>21403.790700999998</v>
      </c>
      <c r="E1335" s="269"/>
      <c r="F1335" s="270"/>
      <c r="G1335" s="270"/>
    </row>
    <row r="1336" spans="1:7" ht="22.5" customHeight="1" outlineLevel="1" x14ac:dyDescent="0.25">
      <c r="A1336" s="293">
        <v>2</v>
      </c>
      <c r="B1336" s="299" t="s">
        <v>75</v>
      </c>
      <c r="C1336" s="273">
        <v>1000</v>
      </c>
      <c r="D1336" s="424">
        <v>21403.790700999998</v>
      </c>
      <c r="E1336" s="269"/>
      <c r="F1336" s="270"/>
      <c r="G1336" s="270"/>
    </row>
    <row r="1337" spans="1:7" ht="45" outlineLevel="1" x14ac:dyDescent="0.25">
      <c r="A1337" s="275"/>
      <c r="B1337" s="302" t="s">
        <v>23</v>
      </c>
      <c r="C1337" s="271"/>
      <c r="D1337" s="424"/>
      <c r="E1337" s="295"/>
      <c r="F1337" s="270"/>
      <c r="G1337" s="270"/>
    </row>
    <row r="1338" spans="1:7" outlineLevel="1" x14ac:dyDescent="0.25">
      <c r="A1338" s="275">
        <v>3</v>
      </c>
      <c r="B1338" s="299" t="s">
        <v>24</v>
      </c>
      <c r="C1338" s="273">
        <v>100</v>
      </c>
      <c r="D1338" s="424">
        <v>736.12622500000009</v>
      </c>
      <c r="E1338" s="269"/>
      <c r="F1338" s="270"/>
      <c r="G1338" s="270"/>
    </row>
    <row r="1339" spans="1:7" outlineLevel="1" x14ac:dyDescent="0.25">
      <c r="A1339" s="275">
        <v>4</v>
      </c>
      <c r="B1339" s="299" t="s">
        <v>125</v>
      </c>
      <c r="C1339" s="273">
        <v>100</v>
      </c>
      <c r="D1339" s="424">
        <v>432.53600000000006</v>
      </c>
      <c r="E1339" s="269"/>
      <c r="F1339" s="270"/>
      <c r="G1339" s="270"/>
    </row>
    <row r="1340" spans="1:7" ht="90" outlineLevel="1" x14ac:dyDescent="0.25">
      <c r="A1340" s="275">
        <v>5</v>
      </c>
      <c r="B1340" s="299" t="s">
        <v>225</v>
      </c>
      <c r="C1340" s="303">
        <v>100</v>
      </c>
      <c r="D1340" s="424">
        <v>40760.528174999999</v>
      </c>
      <c r="E1340" s="304"/>
      <c r="F1340" s="270"/>
      <c r="G1340" s="270"/>
    </row>
    <row r="1341" spans="1:7" ht="120.75" outlineLevel="1" x14ac:dyDescent="0.25">
      <c r="A1341" s="275"/>
      <c r="B1341" s="302" t="s">
        <v>47</v>
      </c>
      <c r="C1341" s="271"/>
      <c r="D1341" s="424"/>
      <c r="E1341" s="295"/>
      <c r="F1341" s="270"/>
      <c r="G1341" s="270"/>
    </row>
    <row r="1342" spans="1:7" ht="75" outlineLevel="1" x14ac:dyDescent="0.25">
      <c r="A1342" s="275">
        <v>6</v>
      </c>
      <c r="B1342" s="302" t="s">
        <v>100</v>
      </c>
      <c r="C1342" s="273">
        <v>1</v>
      </c>
      <c r="D1342" s="424">
        <v>5794.4625000000005</v>
      </c>
      <c r="E1342" s="269"/>
      <c r="F1342" s="270"/>
      <c r="G1342" s="270"/>
    </row>
    <row r="1343" spans="1:7" ht="75" outlineLevel="1" x14ac:dyDescent="0.25">
      <c r="A1343" s="275">
        <v>7</v>
      </c>
      <c r="B1343" s="299" t="s">
        <v>201</v>
      </c>
      <c r="C1343" s="273">
        <v>1</v>
      </c>
      <c r="D1343" s="424">
        <v>3263.4326499999997</v>
      </c>
      <c r="E1343" s="269"/>
      <c r="F1343" s="270"/>
      <c r="G1343" s="270"/>
    </row>
    <row r="1344" spans="1:7" ht="30" outlineLevel="1" x14ac:dyDescent="0.25">
      <c r="A1344" s="275">
        <v>8</v>
      </c>
      <c r="B1344" s="299" t="s">
        <v>52</v>
      </c>
      <c r="C1344" s="278">
        <v>100</v>
      </c>
      <c r="D1344" s="424">
        <v>3489.5021999999999</v>
      </c>
      <c r="E1344" s="295"/>
      <c r="F1344" s="270"/>
      <c r="G1344" s="270"/>
    </row>
    <row r="1345" spans="1:7" ht="75" outlineLevel="1" x14ac:dyDescent="0.25">
      <c r="A1345" s="275">
        <v>9</v>
      </c>
      <c r="B1345" s="299" t="s">
        <v>226</v>
      </c>
      <c r="C1345" s="278">
        <v>100</v>
      </c>
      <c r="D1345" s="424">
        <v>648.78250000000003</v>
      </c>
      <c r="E1345" s="269"/>
      <c r="F1345" s="270"/>
      <c r="G1345" s="270"/>
    </row>
    <row r="1346" spans="1:7" ht="30" outlineLevel="1" x14ac:dyDescent="0.25">
      <c r="A1346" s="275">
        <v>10</v>
      </c>
      <c r="B1346" s="302" t="s">
        <v>121</v>
      </c>
      <c r="C1346" s="278">
        <v>1</v>
      </c>
      <c r="D1346" s="424">
        <v>648.78250000000003</v>
      </c>
      <c r="E1346" s="269"/>
      <c r="F1346" s="270"/>
      <c r="G1346" s="270"/>
    </row>
    <row r="1347" spans="1:7" ht="45" outlineLevel="1" x14ac:dyDescent="0.25">
      <c r="A1347" s="275">
        <v>11</v>
      </c>
      <c r="B1347" s="302" t="s">
        <v>129</v>
      </c>
      <c r="C1347" s="278">
        <v>1</v>
      </c>
      <c r="D1347" s="424">
        <v>46</v>
      </c>
      <c r="E1347" s="295"/>
      <c r="F1347" s="270"/>
      <c r="G1347" s="270"/>
    </row>
    <row r="1348" spans="1:7" outlineLevel="1" x14ac:dyDescent="0.25">
      <c r="A1348" s="275">
        <v>12</v>
      </c>
      <c r="B1348" s="302" t="s">
        <v>571</v>
      </c>
      <c r="C1348" s="328">
        <v>1</v>
      </c>
      <c r="D1348" s="424">
        <v>4</v>
      </c>
      <c r="E1348" s="295"/>
      <c r="F1348" s="270"/>
      <c r="G1348" s="270"/>
    </row>
    <row r="1349" spans="1:7" ht="21.75" customHeight="1" outlineLevel="1" x14ac:dyDescent="0.25">
      <c r="A1349" s="275">
        <v>13</v>
      </c>
      <c r="B1349" s="302" t="s">
        <v>131</v>
      </c>
      <c r="C1349" s="328">
        <v>1</v>
      </c>
      <c r="D1349" s="424">
        <v>4</v>
      </c>
      <c r="E1349" s="295"/>
      <c r="F1349" s="270"/>
      <c r="G1349" s="270"/>
    </row>
    <row r="1350" spans="1:7" ht="180" outlineLevel="1" x14ac:dyDescent="0.25">
      <c r="A1350" s="275">
        <v>14</v>
      </c>
      <c r="B1350" s="299" t="s">
        <v>227</v>
      </c>
      <c r="C1350" s="278">
        <v>1</v>
      </c>
      <c r="D1350" s="424">
        <v>271.92</v>
      </c>
      <c r="E1350" s="269"/>
      <c r="F1350" s="270"/>
      <c r="G1350" s="270"/>
    </row>
    <row r="1351" spans="1:7" ht="45" outlineLevel="1" x14ac:dyDescent="0.25">
      <c r="A1351" s="275">
        <v>15</v>
      </c>
      <c r="B1351" s="299" t="s">
        <v>228</v>
      </c>
      <c r="C1351" s="278">
        <v>1</v>
      </c>
      <c r="D1351" s="424">
        <v>176</v>
      </c>
      <c r="E1351" s="269"/>
      <c r="F1351" s="270"/>
      <c r="G1351" s="270"/>
    </row>
    <row r="1352" spans="1:7" ht="22.5" customHeight="1" outlineLevel="1" x14ac:dyDescent="0.25">
      <c r="A1352" s="275">
        <v>16</v>
      </c>
      <c r="B1352" s="302" t="s">
        <v>229</v>
      </c>
      <c r="C1352" s="278">
        <v>100</v>
      </c>
      <c r="D1352" s="424">
        <v>2528.6009999999997</v>
      </c>
      <c r="E1352" s="295"/>
      <c r="F1352" s="270"/>
      <c r="G1352" s="270"/>
    </row>
    <row r="1353" spans="1:7" ht="45" outlineLevel="1" x14ac:dyDescent="0.25">
      <c r="A1353" s="275">
        <v>17</v>
      </c>
      <c r="B1353" s="302" t="s">
        <v>133</v>
      </c>
      <c r="C1353" s="278">
        <v>100</v>
      </c>
      <c r="D1353" s="424">
        <v>2362.2509999999997</v>
      </c>
      <c r="E1353" s="295"/>
      <c r="F1353" s="270"/>
      <c r="G1353" s="270"/>
    </row>
    <row r="1354" spans="1:7" ht="36" customHeight="1" outlineLevel="1" x14ac:dyDescent="0.25">
      <c r="A1354" s="275">
        <v>18</v>
      </c>
      <c r="B1354" s="302" t="s">
        <v>134</v>
      </c>
      <c r="C1354" s="278">
        <v>100</v>
      </c>
      <c r="D1354" s="424">
        <v>168</v>
      </c>
      <c r="E1354" s="295"/>
      <c r="F1354" s="270"/>
      <c r="G1354" s="270"/>
    </row>
    <row r="1355" spans="1:7" ht="45" outlineLevel="1" x14ac:dyDescent="0.25">
      <c r="A1355" s="275">
        <v>19</v>
      </c>
      <c r="B1355" s="299" t="s">
        <v>230</v>
      </c>
      <c r="C1355" s="328">
        <v>1</v>
      </c>
      <c r="D1355" s="424">
        <v>28</v>
      </c>
      <c r="E1355" s="295"/>
      <c r="F1355" s="270"/>
      <c r="G1355" s="270"/>
    </row>
    <row r="1356" spans="1:7" ht="24" customHeight="1" outlineLevel="1" x14ac:dyDescent="0.25">
      <c r="A1356" s="275">
        <v>21</v>
      </c>
      <c r="B1356" s="299" t="s">
        <v>231</v>
      </c>
      <c r="C1356" s="278">
        <v>1</v>
      </c>
      <c r="D1356" s="424">
        <v>184</v>
      </c>
      <c r="E1356" s="295"/>
      <c r="F1356" s="270"/>
      <c r="G1356" s="270"/>
    </row>
    <row r="1357" spans="1:7" ht="75" outlineLevel="1" x14ac:dyDescent="0.25">
      <c r="A1357" s="275">
        <v>22</v>
      </c>
      <c r="B1357" s="299" t="s">
        <v>232</v>
      </c>
      <c r="C1357" s="278">
        <v>1</v>
      </c>
      <c r="D1357" s="424">
        <v>1417.6664000000001</v>
      </c>
      <c r="E1357" s="295"/>
      <c r="F1357" s="270"/>
      <c r="G1357" s="270"/>
    </row>
    <row r="1358" spans="1:7" ht="32.25" customHeight="1" outlineLevel="1" x14ac:dyDescent="0.25">
      <c r="A1358" s="275">
        <v>23</v>
      </c>
      <c r="B1358" s="299" t="s">
        <v>233</v>
      </c>
      <c r="C1358" s="273">
        <v>100</v>
      </c>
      <c r="D1358" s="424">
        <v>272.49</v>
      </c>
      <c r="E1358" s="295"/>
      <c r="F1358" s="270"/>
      <c r="G1358" s="270"/>
    </row>
    <row r="1359" spans="1:7" ht="90" outlineLevel="1" x14ac:dyDescent="0.25">
      <c r="A1359" s="275">
        <v>24</v>
      </c>
      <c r="B1359" s="299" t="s">
        <v>234</v>
      </c>
      <c r="C1359" s="278">
        <v>100</v>
      </c>
      <c r="D1359" s="424">
        <v>648.78250000000003</v>
      </c>
      <c r="E1359" s="295"/>
      <c r="F1359" s="270"/>
      <c r="G1359" s="270"/>
    </row>
    <row r="1360" spans="1:7" ht="75" outlineLevel="1" x14ac:dyDescent="0.25">
      <c r="A1360" s="275">
        <v>25</v>
      </c>
      <c r="B1360" s="299" t="s">
        <v>235</v>
      </c>
      <c r="C1360" s="278">
        <v>100</v>
      </c>
      <c r="D1360" s="424">
        <v>53.42</v>
      </c>
      <c r="E1360" s="295"/>
      <c r="F1360" s="270"/>
      <c r="G1360" s="270"/>
    </row>
    <row r="1361" spans="1:7" ht="45" outlineLevel="1" x14ac:dyDescent="0.25">
      <c r="A1361" s="275">
        <v>26</v>
      </c>
      <c r="B1361" s="299" t="s">
        <v>236</v>
      </c>
      <c r="C1361" s="323">
        <v>1</v>
      </c>
      <c r="D1361" s="424">
        <v>389.75</v>
      </c>
      <c r="E1361" s="295"/>
      <c r="F1361" s="270"/>
      <c r="G1361" s="270"/>
    </row>
    <row r="1362" spans="1:7" ht="45" outlineLevel="1" x14ac:dyDescent="0.25">
      <c r="A1362" s="275">
        <v>27</v>
      </c>
      <c r="B1362" s="313" t="s">
        <v>80</v>
      </c>
      <c r="C1362" s="323">
        <v>1</v>
      </c>
      <c r="D1362" s="424">
        <v>176.57</v>
      </c>
      <c r="E1362" s="270"/>
      <c r="F1362" s="270"/>
      <c r="G1362" s="270"/>
    </row>
    <row r="1363" spans="1:7" ht="45" outlineLevel="1" x14ac:dyDescent="0.25">
      <c r="A1363" s="275">
        <v>28</v>
      </c>
      <c r="B1363" s="302" t="s">
        <v>136</v>
      </c>
      <c r="C1363" s="271"/>
      <c r="D1363" s="424"/>
      <c r="E1363" s="295"/>
      <c r="F1363" s="270"/>
      <c r="G1363" s="270"/>
    </row>
    <row r="1364" spans="1:7" outlineLevel="1" x14ac:dyDescent="0.25">
      <c r="A1364" s="275"/>
      <c r="B1364" s="302" t="s">
        <v>176</v>
      </c>
      <c r="C1364" s="323">
        <v>1</v>
      </c>
      <c r="D1364" s="424">
        <v>100</v>
      </c>
      <c r="E1364" s="295"/>
      <c r="F1364" s="270"/>
      <c r="G1364" s="270"/>
    </row>
    <row r="1365" spans="1:7" outlineLevel="1" x14ac:dyDescent="0.25">
      <c r="A1365" s="275"/>
      <c r="B1365" s="302" t="s">
        <v>177</v>
      </c>
      <c r="C1365" s="323">
        <v>1</v>
      </c>
      <c r="D1365" s="424">
        <v>100</v>
      </c>
      <c r="E1365" s="295"/>
      <c r="F1365" s="270"/>
      <c r="G1365" s="270"/>
    </row>
    <row r="1366" spans="1:7" ht="75" outlineLevel="1" x14ac:dyDescent="0.25">
      <c r="A1366" s="275">
        <v>29</v>
      </c>
      <c r="B1366" s="302" t="s">
        <v>141</v>
      </c>
      <c r="C1366" s="271"/>
      <c r="D1366" s="424"/>
      <c r="E1366" s="295"/>
      <c r="F1366" s="270"/>
      <c r="G1366" s="270"/>
    </row>
    <row r="1367" spans="1:7" outlineLevel="1" x14ac:dyDescent="0.25">
      <c r="A1367" s="275"/>
      <c r="B1367" s="302" t="s">
        <v>180</v>
      </c>
      <c r="C1367" s="323">
        <v>1</v>
      </c>
      <c r="D1367" s="424">
        <v>250</v>
      </c>
      <c r="E1367" s="295"/>
      <c r="F1367" s="270"/>
      <c r="G1367" s="270"/>
    </row>
    <row r="1368" spans="1:7" outlineLevel="1" x14ac:dyDescent="0.25">
      <c r="A1368" s="275"/>
      <c r="B1368" s="302" t="s">
        <v>181</v>
      </c>
      <c r="C1368" s="323">
        <v>1</v>
      </c>
      <c r="D1368" s="424">
        <v>200</v>
      </c>
      <c r="E1368" s="295"/>
      <c r="F1368" s="270"/>
      <c r="G1368" s="270"/>
    </row>
    <row r="1369" spans="1:7" ht="60" outlineLevel="1" x14ac:dyDescent="0.25">
      <c r="A1369" s="275">
        <v>30</v>
      </c>
      <c r="B1369" s="302" t="s">
        <v>145</v>
      </c>
      <c r="C1369" s="271"/>
      <c r="D1369" s="424"/>
      <c r="E1369" s="295"/>
      <c r="F1369" s="270"/>
      <c r="G1369" s="270"/>
    </row>
    <row r="1370" spans="1:7" outlineLevel="1" x14ac:dyDescent="0.25">
      <c r="A1370" s="275"/>
      <c r="B1370" s="302" t="s">
        <v>184</v>
      </c>
      <c r="C1370" s="329">
        <v>1</v>
      </c>
      <c r="D1370" s="424">
        <v>3</v>
      </c>
      <c r="E1370" s="295"/>
      <c r="F1370" s="270"/>
      <c r="G1370" s="270"/>
    </row>
    <row r="1371" spans="1:7" ht="21" customHeight="1" outlineLevel="1" x14ac:dyDescent="0.25">
      <c r="A1371" s="275">
        <v>31</v>
      </c>
      <c r="B1371" s="302" t="s">
        <v>237</v>
      </c>
      <c r="C1371" s="329">
        <v>1</v>
      </c>
      <c r="D1371" s="424">
        <v>20</v>
      </c>
      <c r="E1371" s="295"/>
      <c r="F1371" s="270"/>
      <c r="G1371" s="270"/>
    </row>
    <row r="1372" spans="1:7" ht="30" outlineLevel="1" x14ac:dyDescent="0.25">
      <c r="A1372" s="275">
        <v>32</v>
      </c>
      <c r="B1372" s="302" t="s">
        <v>238</v>
      </c>
      <c r="C1372" s="329">
        <v>1</v>
      </c>
      <c r="D1372" s="424">
        <v>5</v>
      </c>
      <c r="E1372" s="295"/>
      <c r="F1372" s="270"/>
      <c r="G1372" s="270"/>
    </row>
    <row r="1373" spans="1:7" ht="24" customHeight="1" outlineLevel="1" x14ac:dyDescent="0.25">
      <c r="A1373" s="275">
        <v>33</v>
      </c>
      <c r="B1373" s="302" t="s">
        <v>150</v>
      </c>
      <c r="C1373" s="329">
        <v>1</v>
      </c>
      <c r="D1373" s="424">
        <v>5</v>
      </c>
      <c r="E1373" s="295"/>
      <c r="F1373" s="270"/>
      <c r="G1373" s="270"/>
    </row>
    <row r="1374" spans="1:7" ht="90.75" outlineLevel="1" x14ac:dyDescent="0.25">
      <c r="A1374" s="275">
        <v>34</v>
      </c>
      <c r="B1374" s="302" t="s">
        <v>239</v>
      </c>
      <c r="C1374" s="328">
        <v>1</v>
      </c>
      <c r="D1374" s="424">
        <v>1</v>
      </c>
      <c r="E1374" s="295"/>
      <c r="F1374" s="270"/>
      <c r="G1374" s="270"/>
    </row>
    <row r="1375" spans="1:7" ht="90.75" outlineLevel="1" x14ac:dyDescent="0.25">
      <c r="A1375" s="275">
        <v>35</v>
      </c>
      <c r="B1375" s="302" t="s">
        <v>240</v>
      </c>
      <c r="C1375" s="328">
        <v>1</v>
      </c>
      <c r="D1375" s="424">
        <v>2</v>
      </c>
      <c r="E1375" s="295"/>
      <c r="F1375" s="270"/>
      <c r="G1375" s="270"/>
    </row>
    <row r="1376" spans="1:7" ht="75" outlineLevel="1" x14ac:dyDescent="0.25">
      <c r="A1376" s="275">
        <v>36</v>
      </c>
      <c r="B1376" s="299" t="s">
        <v>298</v>
      </c>
      <c r="C1376" s="329">
        <v>1</v>
      </c>
      <c r="D1376" s="424">
        <v>4</v>
      </c>
      <c r="E1376" s="295"/>
      <c r="F1376" s="270"/>
      <c r="G1376" s="270"/>
    </row>
    <row r="1377" spans="1:7" ht="60" outlineLevel="1" x14ac:dyDescent="0.25">
      <c r="A1377" s="275">
        <v>37</v>
      </c>
      <c r="B1377" s="302" t="s">
        <v>157</v>
      </c>
      <c r="C1377" s="328">
        <v>1</v>
      </c>
      <c r="D1377" s="424">
        <v>5</v>
      </c>
      <c r="E1377" s="295"/>
      <c r="F1377" s="270"/>
      <c r="G1377" s="270"/>
    </row>
    <row r="1378" spans="1:7" outlineLevel="1" x14ac:dyDescent="0.25">
      <c r="A1378" s="285"/>
      <c r="B1378" s="346" t="s">
        <v>273</v>
      </c>
      <c r="C1378" s="354"/>
      <c r="D1378" s="441"/>
      <c r="E1378" s="316"/>
      <c r="F1378" s="292"/>
      <c r="G1378" s="292"/>
    </row>
    <row r="1379" spans="1:7" ht="30" outlineLevel="1" x14ac:dyDescent="0.25">
      <c r="A1379" s="352">
        <v>38</v>
      </c>
      <c r="B1379" s="353" t="s">
        <v>65</v>
      </c>
      <c r="C1379" s="282">
        <v>1000</v>
      </c>
      <c r="D1379" s="440">
        <v>14034.924999999999</v>
      </c>
      <c r="E1379" s="301"/>
      <c r="F1379" s="290"/>
      <c r="G1379" s="290"/>
    </row>
    <row r="1380" spans="1:7" ht="60" outlineLevel="1" x14ac:dyDescent="0.25">
      <c r="A1380" s="308">
        <v>39</v>
      </c>
      <c r="B1380" s="309" t="s">
        <v>274</v>
      </c>
      <c r="C1380" s="273">
        <v>1000</v>
      </c>
      <c r="D1380" s="424">
        <v>14034.924999999999</v>
      </c>
      <c r="E1380" s="295"/>
      <c r="F1380" s="270"/>
      <c r="G1380" s="270"/>
    </row>
    <row r="1381" spans="1:7" ht="60" outlineLevel="1" x14ac:dyDescent="0.25">
      <c r="A1381" s="308">
        <v>40</v>
      </c>
      <c r="B1381" s="309" t="s">
        <v>275</v>
      </c>
      <c r="C1381" s="273">
        <v>1000</v>
      </c>
      <c r="D1381" s="424">
        <v>4319.8550000000005</v>
      </c>
      <c r="E1381" s="295"/>
      <c r="F1381" s="270"/>
      <c r="G1381" s="270"/>
    </row>
    <row r="1382" spans="1:7" outlineLevel="1" x14ac:dyDescent="0.25">
      <c r="A1382" s="358"/>
      <c r="B1382" s="309" t="s">
        <v>276</v>
      </c>
      <c r="C1382" s="350"/>
      <c r="D1382" s="424"/>
      <c r="E1382" s="269"/>
      <c r="F1382" s="270"/>
      <c r="G1382" s="270"/>
    </row>
    <row r="1383" spans="1:7" outlineLevel="1" x14ac:dyDescent="0.25">
      <c r="A1383" s="308">
        <v>41</v>
      </c>
      <c r="B1383" s="309" t="s">
        <v>277</v>
      </c>
      <c r="C1383" s="273">
        <v>100</v>
      </c>
      <c r="D1383" s="422">
        <v>700</v>
      </c>
      <c r="E1383" s="269"/>
      <c r="F1383" s="270"/>
      <c r="G1383" s="270"/>
    </row>
    <row r="1384" spans="1:7" outlineLevel="1" x14ac:dyDescent="0.25">
      <c r="A1384" s="308">
        <v>42</v>
      </c>
      <c r="B1384" s="309" t="s">
        <v>278</v>
      </c>
      <c r="C1384" s="273">
        <v>100</v>
      </c>
      <c r="D1384" s="422">
        <v>1168</v>
      </c>
      <c r="E1384" s="269"/>
      <c r="F1384" s="270"/>
      <c r="G1384" s="270"/>
    </row>
    <row r="1385" spans="1:7" ht="30" outlineLevel="1" x14ac:dyDescent="0.25">
      <c r="A1385" s="308"/>
      <c r="B1385" s="309" t="s">
        <v>279</v>
      </c>
      <c r="C1385" s="350"/>
      <c r="D1385" s="424"/>
      <c r="E1385" s="298"/>
      <c r="F1385" s="270"/>
      <c r="G1385" s="270"/>
    </row>
    <row r="1386" spans="1:7" outlineLevel="1" x14ac:dyDescent="0.25">
      <c r="A1386" s="308">
        <v>43</v>
      </c>
      <c r="B1386" s="309" t="s">
        <v>280</v>
      </c>
      <c r="C1386" s="273">
        <v>100</v>
      </c>
      <c r="D1386" s="424">
        <v>239.75</v>
      </c>
      <c r="E1386" s="298"/>
      <c r="F1386" s="270"/>
      <c r="G1386" s="270"/>
    </row>
    <row r="1387" spans="1:7" outlineLevel="1" x14ac:dyDescent="0.25">
      <c r="A1387" s="308">
        <v>44</v>
      </c>
      <c r="B1387" s="309" t="s">
        <v>281</v>
      </c>
      <c r="C1387" s="273">
        <v>100</v>
      </c>
      <c r="D1387" s="424">
        <v>400.04</v>
      </c>
      <c r="E1387" s="298"/>
      <c r="F1387" s="270"/>
      <c r="G1387" s="270"/>
    </row>
    <row r="1388" spans="1:7" ht="30" outlineLevel="1" x14ac:dyDescent="0.25">
      <c r="A1388" s="308">
        <v>45</v>
      </c>
      <c r="B1388" s="309" t="s">
        <v>282</v>
      </c>
      <c r="C1388" s="323">
        <v>1</v>
      </c>
      <c r="D1388" s="424">
        <v>186.8</v>
      </c>
      <c r="E1388" s="269"/>
      <c r="F1388" s="270"/>
      <c r="G1388" s="270"/>
    </row>
    <row r="1389" spans="1:7" ht="30" outlineLevel="1" x14ac:dyDescent="0.25">
      <c r="A1389" s="308">
        <v>46</v>
      </c>
      <c r="B1389" s="309" t="s">
        <v>283</v>
      </c>
      <c r="C1389" s="278">
        <v>100</v>
      </c>
      <c r="D1389" s="424">
        <v>93.4</v>
      </c>
      <c r="E1389" s="295"/>
      <c r="F1389" s="270"/>
      <c r="G1389" s="270"/>
    </row>
    <row r="1390" spans="1:7" outlineLevel="1" x14ac:dyDescent="0.25">
      <c r="A1390" s="285"/>
      <c r="B1390" s="346" t="s">
        <v>242</v>
      </c>
      <c r="C1390" s="347"/>
      <c r="D1390" s="441"/>
      <c r="E1390" s="316"/>
      <c r="F1390" s="292"/>
      <c r="G1390" s="292"/>
    </row>
    <row r="1391" spans="1:7" ht="30" outlineLevel="1" x14ac:dyDescent="0.25">
      <c r="A1391" s="280">
        <v>47</v>
      </c>
      <c r="B1391" s="300" t="s">
        <v>85</v>
      </c>
      <c r="C1391" s="282">
        <v>1000</v>
      </c>
      <c r="D1391" s="440">
        <v>6208.72</v>
      </c>
      <c r="E1391" s="310"/>
      <c r="F1391" s="290"/>
      <c r="G1391" s="290"/>
    </row>
    <row r="1392" spans="1:7" ht="45" outlineLevel="1" x14ac:dyDescent="0.25">
      <c r="A1392" s="275">
        <v>48</v>
      </c>
      <c r="B1392" s="317" t="s">
        <v>243</v>
      </c>
      <c r="C1392" s="273">
        <v>100</v>
      </c>
      <c r="D1392" s="424">
        <v>6208.72</v>
      </c>
      <c r="E1392" s="295"/>
      <c r="F1392" s="270"/>
      <c r="G1392" s="270"/>
    </row>
    <row r="1393" spans="1:7" ht="22.5" customHeight="1" outlineLevel="1" x14ac:dyDescent="0.25">
      <c r="A1393" s="275">
        <v>49</v>
      </c>
      <c r="B1393" s="317" t="s">
        <v>87</v>
      </c>
      <c r="C1393" s="278">
        <v>100</v>
      </c>
      <c r="D1393" s="424">
        <v>3457.1106</v>
      </c>
      <c r="E1393" s="295"/>
      <c r="F1393" s="270"/>
      <c r="G1393" s="270"/>
    </row>
    <row r="1394" spans="1:7" ht="22.5" customHeight="1" outlineLevel="1" x14ac:dyDescent="0.25">
      <c r="A1394" s="275">
        <v>50</v>
      </c>
      <c r="B1394" s="317" t="s">
        <v>88</v>
      </c>
      <c r="C1394" s="278">
        <v>100</v>
      </c>
      <c r="D1394" s="424">
        <v>524.66</v>
      </c>
      <c r="E1394" s="295"/>
      <c r="F1394" s="270"/>
      <c r="G1394" s="270"/>
    </row>
    <row r="1395" spans="1:7" ht="30" outlineLevel="1" x14ac:dyDescent="0.25">
      <c r="A1395" s="275">
        <v>51</v>
      </c>
      <c r="B1395" s="299" t="s">
        <v>244</v>
      </c>
      <c r="C1395" s="273">
        <v>100</v>
      </c>
      <c r="D1395" s="424">
        <v>1140.8899999999999</v>
      </c>
      <c r="E1395" s="295"/>
      <c r="F1395" s="270"/>
      <c r="G1395" s="270"/>
    </row>
    <row r="1396" spans="1:7" ht="30" outlineLevel="1" x14ac:dyDescent="0.25">
      <c r="A1396" s="275">
        <v>52</v>
      </c>
      <c r="B1396" s="299" t="s">
        <v>245</v>
      </c>
      <c r="C1396" s="273">
        <v>100</v>
      </c>
      <c r="D1396" s="424">
        <v>1140.8899999999999</v>
      </c>
      <c r="E1396" s="295"/>
      <c r="F1396" s="270"/>
      <c r="G1396" s="270"/>
    </row>
    <row r="1397" spans="1:7" ht="30" outlineLevel="1" x14ac:dyDescent="0.25">
      <c r="A1397" s="275">
        <v>53</v>
      </c>
      <c r="B1397" s="299" t="s">
        <v>246</v>
      </c>
      <c r="C1397" s="273">
        <v>100</v>
      </c>
      <c r="D1397" s="424">
        <v>173.14</v>
      </c>
      <c r="E1397" s="295"/>
      <c r="F1397" s="270"/>
      <c r="G1397" s="270"/>
    </row>
    <row r="1398" spans="1:7" ht="30" outlineLevel="1" x14ac:dyDescent="0.25">
      <c r="A1398" s="275">
        <v>54</v>
      </c>
      <c r="B1398" s="299" t="s">
        <v>233</v>
      </c>
      <c r="C1398" s="273">
        <v>100</v>
      </c>
      <c r="D1398" s="424">
        <v>173.14</v>
      </c>
      <c r="E1398" s="295"/>
      <c r="F1398" s="270"/>
      <c r="G1398" s="270"/>
    </row>
    <row r="1399" spans="1:7" ht="30" outlineLevel="1" x14ac:dyDescent="0.25">
      <c r="A1399" s="275">
        <v>55</v>
      </c>
      <c r="B1399" s="299" t="s">
        <v>247</v>
      </c>
      <c r="C1399" s="273">
        <v>100</v>
      </c>
      <c r="D1399" s="424">
        <v>3457.25</v>
      </c>
      <c r="E1399" s="295"/>
      <c r="F1399" s="270"/>
      <c r="G1399" s="270"/>
    </row>
    <row r="1400" spans="1:7" ht="30" outlineLevel="1" x14ac:dyDescent="0.25">
      <c r="A1400" s="275">
        <v>56</v>
      </c>
      <c r="B1400" s="299" t="s">
        <v>248</v>
      </c>
      <c r="C1400" s="273">
        <v>100</v>
      </c>
      <c r="D1400" s="424">
        <v>173.14</v>
      </c>
      <c r="E1400" s="295"/>
      <c r="F1400" s="270"/>
      <c r="G1400" s="270"/>
    </row>
    <row r="1401" spans="1:7" ht="60" outlineLevel="1" x14ac:dyDescent="0.25">
      <c r="A1401" s="275">
        <v>57</v>
      </c>
      <c r="B1401" s="317" t="s">
        <v>249</v>
      </c>
      <c r="C1401" s="273">
        <v>100</v>
      </c>
      <c r="D1401" s="424">
        <v>21997.199982000006</v>
      </c>
      <c r="E1401" s="295"/>
      <c r="F1401" s="270"/>
      <c r="G1401" s="270"/>
    </row>
    <row r="1402" spans="1:7" outlineLevel="1" x14ac:dyDescent="0.25">
      <c r="A1402" s="506" t="s">
        <v>43</v>
      </c>
      <c r="B1402" s="506"/>
      <c r="C1402" s="506"/>
      <c r="D1402" s="506"/>
      <c r="E1402" s="506"/>
      <c r="F1402" s="270"/>
      <c r="G1402" s="270"/>
    </row>
    <row r="1403" spans="1:7" ht="19.5" outlineLevel="1" x14ac:dyDescent="0.4">
      <c r="A1403" s="500" t="s">
        <v>293</v>
      </c>
      <c r="B1403" s="500"/>
      <c r="C1403" s="500"/>
      <c r="D1403" s="500"/>
      <c r="E1403" s="500"/>
      <c r="F1403" s="471"/>
      <c r="G1403" s="471"/>
    </row>
    <row r="1404" spans="1:7" ht="75.75" outlineLevel="1" x14ac:dyDescent="0.25">
      <c r="A1404" s="293">
        <v>1</v>
      </c>
      <c r="B1404" s="302" t="s">
        <v>285</v>
      </c>
      <c r="C1404" s="273">
        <v>1000</v>
      </c>
      <c r="D1404" s="424">
        <v>11890.325300000002</v>
      </c>
      <c r="E1404" s="269"/>
      <c r="F1404" s="270"/>
      <c r="G1404" s="270"/>
    </row>
    <row r="1405" spans="1:7" ht="45" outlineLevel="1" x14ac:dyDescent="0.25">
      <c r="A1405" s="505">
        <v>2</v>
      </c>
      <c r="B1405" s="327" t="s">
        <v>124</v>
      </c>
      <c r="C1405" s="330"/>
      <c r="D1405" s="424"/>
      <c r="E1405" s="269"/>
      <c r="F1405" s="270"/>
      <c r="G1405" s="270"/>
    </row>
    <row r="1406" spans="1:7" outlineLevel="1" x14ac:dyDescent="0.25">
      <c r="A1406" s="505"/>
      <c r="B1406" s="327" t="s">
        <v>24</v>
      </c>
      <c r="C1406" s="273">
        <v>100</v>
      </c>
      <c r="D1406" s="424">
        <v>1730.8731</v>
      </c>
      <c r="E1406" s="269"/>
      <c r="F1406" s="270"/>
      <c r="G1406" s="270"/>
    </row>
    <row r="1407" spans="1:7" outlineLevel="1" x14ac:dyDescent="0.25">
      <c r="A1407" s="505"/>
      <c r="B1407" s="327" t="s">
        <v>125</v>
      </c>
      <c r="C1407" s="273">
        <v>100</v>
      </c>
      <c r="D1407" s="424">
        <v>180.36562499999994</v>
      </c>
      <c r="E1407" s="269"/>
      <c r="F1407" s="270"/>
      <c r="G1407" s="270"/>
    </row>
    <row r="1408" spans="1:7" ht="30" outlineLevel="1" x14ac:dyDescent="0.25">
      <c r="A1408" s="275">
        <v>3</v>
      </c>
      <c r="B1408" s="302" t="s">
        <v>79</v>
      </c>
      <c r="C1408" s="273">
        <v>100</v>
      </c>
      <c r="D1408" s="424">
        <v>2798.8875000000007</v>
      </c>
      <c r="E1408" s="269"/>
      <c r="F1408" s="270"/>
      <c r="G1408" s="270"/>
    </row>
    <row r="1409" spans="1:7" ht="120" outlineLevel="1" x14ac:dyDescent="0.25">
      <c r="A1409" s="275">
        <v>4</v>
      </c>
      <c r="B1409" s="302" t="s">
        <v>99</v>
      </c>
      <c r="C1409" s="271"/>
      <c r="D1409" s="424"/>
      <c r="E1409" s="269"/>
      <c r="F1409" s="270"/>
      <c r="G1409" s="270"/>
    </row>
    <row r="1410" spans="1:7" ht="75" outlineLevel="1" x14ac:dyDescent="0.25">
      <c r="A1410" s="326" t="s">
        <v>48</v>
      </c>
      <c r="B1410" s="302" t="s">
        <v>100</v>
      </c>
      <c r="C1410" s="273">
        <v>1</v>
      </c>
      <c r="D1410" s="424">
        <v>2314.125</v>
      </c>
      <c r="E1410" s="269"/>
      <c r="F1410" s="270"/>
      <c r="G1410" s="270"/>
    </row>
    <row r="1411" spans="1:7" ht="75" outlineLevel="1" x14ac:dyDescent="0.25">
      <c r="A1411" s="326" t="s">
        <v>50</v>
      </c>
      <c r="B1411" s="302" t="s">
        <v>201</v>
      </c>
      <c r="C1411" s="273">
        <v>1</v>
      </c>
      <c r="D1411" s="424">
        <v>796.5</v>
      </c>
      <c r="E1411" s="269"/>
      <c r="F1411" s="270"/>
      <c r="G1411" s="270"/>
    </row>
    <row r="1412" spans="1:7" ht="90" outlineLevel="1" x14ac:dyDescent="0.25">
      <c r="A1412" s="326">
        <v>5</v>
      </c>
      <c r="B1412" s="302" t="s">
        <v>286</v>
      </c>
      <c r="C1412" s="303">
        <v>100</v>
      </c>
      <c r="D1412" s="424">
        <v>9331.875</v>
      </c>
      <c r="E1412" s="304"/>
      <c r="F1412" s="270"/>
      <c r="G1412" s="270"/>
    </row>
    <row r="1413" spans="1:7" ht="30" outlineLevel="1" x14ac:dyDescent="0.25">
      <c r="A1413" s="275">
        <v>6</v>
      </c>
      <c r="B1413" s="317" t="s">
        <v>287</v>
      </c>
      <c r="C1413" s="273">
        <v>100</v>
      </c>
      <c r="D1413" s="424">
        <v>2331.2270000000012</v>
      </c>
      <c r="E1413" s="295"/>
      <c r="F1413" s="270"/>
      <c r="G1413" s="270"/>
    </row>
    <row r="1414" spans="1:7" ht="25.5" customHeight="1" outlineLevel="1" x14ac:dyDescent="0.25">
      <c r="A1414" s="275">
        <v>14</v>
      </c>
      <c r="B1414" s="299" t="s">
        <v>66</v>
      </c>
      <c r="C1414" s="273">
        <v>1000</v>
      </c>
      <c r="D1414" s="424">
        <v>4720</v>
      </c>
      <c r="E1414" s="298"/>
      <c r="F1414" s="270"/>
      <c r="G1414" s="270"/>
    </row>
    <row r="1415" spans="1:7" ht="75.75" outlineLevel="1" x14ac:dyDescent="0.25">
      <c r="A1415" s="275">
        <v>15</v>
      </c>
      <c r="B1415" s="299" t="s">
        <v>40</v>
      </c>
      <c r="C1415" s="276"/>
      <c r="D1415" s="424"/>
      <c r="E1415" s="298"/>
      <c r="F1415" s="270"/>
      <c r="G1415" s="270"/>
    </row>
    <row r="1416" spans="1:7" outlineLevel="1" x14ac:dyDescent="0.25">
      <c r="A1416" s="275" t="s">
        <v>67</v>
      </c>
      <c r="B1416" s="299" t="s">
        <v>68</v>
      </c>
      <c r="C1416" s="273">
        <v>100</v>
      </c>
      <c r="D1416" s="424">
        <v>1661.6381759999999</v>
      </c>
      <c r="E1416" s="298"/>
      <c r="F1416" s="270"/>
      <c r="G1416" s="270"/>
    </row>
    <row r="1417" spans="1:7" outlineLevel="1" x14ac:dyDescent="0.25">
      <c r="A1417" s="275" t="s">
        <v>67</v>
      </c>
      <c r="B1417" s="299" t="s">
        <v>42</v>
      </c>
      <c r="C1417" s="273">
        <v>100</v>
      </c>
      <c r="D1417" s="424">
        <v>158.72174999999996</v>
      </c>
      <c r="E1417" s="298"/>
      <c r="F1417" s="270"/>
      <c r="G1417" s="270"/>
    </row>
    <row r="1418" spans="1:7" outlineLevel="1" x14ac:dyDescent="0.25">
      <c r="A1418" s="275" t="s">
        <v>41</v>
      </c>
      <c r="B1418" s="299" t="s">
        <v>69</v>
      </c>
      <c r="C1418" s="273">
        <v>100</v>
      </c>
      <c r="D1418" s="424">
        <v>2612.9249999999997</v>
      </c>
      <c r="E1418" s="298"/>
      <c r="F1418" s="270"/>
      <c r="G1418" s="270"/>
    </row>
    <row r="1419" spans="1:7" outlineLevel="1" x14ac:dyDescent="0.25">
      <c r="A1419" s="275" t="s">
        <v>70</v>
      </c>
      <c r="B1419" s="299" t="s">
        <v>288</v>
      </c>
      <c r="C1419" s="273">
        <v>100</v>
      </c>
      <c r="D1419" s="424">
        <v>3147.1564500000018</v>
      </c>
      <c r="E1419" s="298"/>
      <c r="F1419" s="270"/>
      <c r="G1419" s="270"/>
    </row>
    <row r="1420" spans="1:7" outlineLevel="1" x14ac:dyDescent="0.25">
      <c r="A1420" s="506" t="s">
        <v>43</v>
      </c>
      <c r="B1420" s="506"/>
      <c r="C1420" s="506"/>
      <c r="D1420" s="506"/>
      <c r="E1420" s="506"/>
      <c r="F1420" s="270"/>
      <c r="G1420" s="270"/>
    </row>
    <row r="1421" spans="1:7" ht="25.5" customHeight="1" x14ac:dyDescent="0.25">
      <c r="A1421" s="499" t="s">
        <v>305</v>
      </c>
      <c r="B1421" s="499"/>
      <c r="C1421" s="499"/>
      <c r="D1421" s="499"/>
      <c r="E1421" s="499"/>
      <c r="F1421" s="362"/>
      <c r="G1421" s="362"/>
    </row>
    <row r="1422" spans="1:7" ht="19.5" outlineLevel="1" x14ac:dyDescent="0.4">
      <c r="A1422" s="500" t="s">
        <v>9</v>
      </c>
      <c r="B1422" s="500"/>
      <c r="C1422" s="500"/>
      <c r="D1422" s="500"/>
      <c r="E1422" s="500"/>
      <c r="F1422" s="471"/>
      <c r="G1422" s="471"/>
    </row>
    <row r="1423" spans="1:7" ht="75" outlineLevel="1" x14ac:dyDescent="0.25">
      <c r="A1423" s="330">
        <v>1</v>
      </c>
      <c r="B1423" s="327" t="s">
        <v>10</v>
      </c>
      <c r="C1423" s="273">
        <v>1000</v>
      </c>
      <c r="D1423" s="422">
        <v>307260.39</v>
      </c>
      <c r="E1423" s="269"/>
      <c r="F1423" s="270"/>
      <c r="G1423" s="270"/>
    </row>
    <row r="1424" spans="1:7" ht="30" outlineLevel="1" x14ac:dyDescent="0.25">
      <c r="A1424" s="330">
        <v>2</v>
      </c>
      <c r="B1424" s="327" t="s">
        <v>11</v>
      </c>
      <c r="C1424" s="273">
        <v>1000</v>
      </c>
      <c r="D1424" s="422">
        <v>392780.14500000002</v>
      </c>
      <c r="E1424" s="269"/>
      <c r="F1424" s="270"/>
      <c r="G1424" s="270"/>
    </row>
    <row r="1425" spans="1:7" ht="45" outlineLevel="1" x14ac:dyDescent="0.25">
      <c r="A1425" s="472">
        <v>3</v>
      </c>
      <c r="B1425" s="473" t="s">
        <v>12</v>
      </c>
      <c r="C1425" s="474"/>
      <c r="D1425" s="475"/>
      <c r="E1425" s="476"/>
      <c r="F1425" s="292"/>
      <c r="G1425" s="292"/>
    </row>
    <row r="1426" spans="1:7" outlineLevel="1" x14ac:dyDescent="0.25">
      <c r="A1426" s="477"/>
      <c r="B1426" s="478" t="s">
        <v>254</v>
      </c>
      <c r="C1426" s="282">
        <v>1000</v>
      </c>
      <c r="D1426" s="479">
        <v>11732.790000000008</v>
      </c>
      <c r="E1426" s="480"/>
      <c r="F1426" s="290"/>
      <c r="G1426" s="290"/>
    </row>
    <row r="1427" spans="1:7" ht="30" outlineLevel="1" x14ac:dyDescent="0.25">
      <c r="A1427" s="515">
        <v>3</v>
      </c>
      <c r="B1427" s="447" t="s">
        <v>191</v>
      </c>
      <c r="C1427" s="481">
        <v>1000</v>
      </c>
      <c r="D1427" s="475"/>
      <c r="E1427" s="288"/>
      <c r="F1427" s="292"/>
      <c r="G1427" s="292"/>
    </row>
    <row r="1428" spans="1:7" outlineLevel="1" x14ac:dyDescent="0.25">
      <c r="A1428" s="516"/>
      <c r="B1428" s="446" t="s">
        <v>306</v>
      </c>
      <c r="C1428" s="282">
        <v>1000</v>
      </c>
      <c r="D1428" s="479">
        <v>97969.465000000011</v>
      </c>
      <c r="E1428" s="480"/>
      <c r="F1428" s="290"/>
      <c r="G1428" s="290"/>
    </row>
    <row r="1429" spans="1:7" ht="45" outlineLevel="1" x14ac:dyDescent="0.25">
      <c r="A1429" s="330">
        <v>4</v>
      </c>
      <c r="B1429" s="327" t="s">
        <v>264</v>
      </c>
      <c r="C1429" s="328">
        <v>1</v>
      </c>
      <c r="D1429" s="422">
        <v>30</v>
      </c>
      <c r="E1429" s="337"/>
      <c r="F1429" s="270"/>
      <c r="G1429" s="270"/>
    </row>
    <row r="1430" spans="1:7" ht="19.5" outlineLevel="1" x14ac:dyDescent="0.4">
      <c r="A1430" s="500" t="s">
        <v>192</v>
      </c>
      <c r="B1430" s="500"/>
      <c r="C1430" s="500"/>
      <c r="D1430" s="500"/>
      <c r="E1430" s="500"/>
      <c r="F1430" s="471"/>
      <c r="G1430" s="471"/>
    </row>
    <row r="1431" spans="1:7" ht="65.25" customHeight="1" outlineLevel="1" x14ac:dyDescent="0.25">
      <c r="A1431" s="271">
        <v>1</v>
      </c>
      <c r="B1431" s="272" t="s">
        <v>22</v>
      </c>
      <c r="C1431" s="273">
        <v>1000</v>
      </c>
      <c r="D1431" s="423">
        <v>98</v>
      </c>
      <c r="E1431" s="274"/>
      <c r="F1431" s="270"/>
      <c r="G1431" s="270"/>
    </row>
    <row r="1432" spans="1:7" s="15" customFormat="1" ht="51.75" customHeight="1" outlineLevel="1" x14ac:dyDescent="0.2">
      <c r="A1432" s="275">
        <v>2</v>
      </c>
      <c r="B1432" s="272" t="s">
        <v>23</v>
      </c>
      <c r="C1432" s="276"/>
      <c r="D1432" s="424"/>
      <c r="E1432" s="295"/>
      <c r="F1432" s="277"/>
      <c r="G1432" s="277"/>
    </row>
    <row r="1433" spans="1:7" s="15" customFormat="1" ht="22.5" customHeight="1" outlineLevel="1" x14ac:dyDescent="0.2">
      <c r="A1433" s="275"/>
      <c r="B1433" s="272" t="s">
        <v>24</v>
      </c>
      <c r="C1433" s="273">
        <v>100</v>
      </c>
      <c r="D1433" s="423">
        <v>24.5</v>
      </c>
      <c r="E1433" s="269"/>
      <c r="F1433" s="277"/>
      <c r="G1433" s="277"/>
    </row>
    <row r="1434" spans="1:7" s="15" customFormat="1" ht="34.5" customHeight="1" outlineLevel="1" x14ac:dyDescent="0.2">
      <c r="A1434" s="275">
        <v>3</v>
      </c>
      <c r="B1434" s="272" t="s">
        <v>25</v>
      </c>
      <c r="C1434" s="273">
        <v>100</v>
      </c>
      <c r="D1434" s="423">
        <v>97.5</v>
      </c>
      <c r="E1434" s="274"/>
      <c r="F1434" s="277"/>
      <c r="G1434" s="277"/>
    </row>
    <row r="1435" spans="1:7" s="15" customFormat="1" ht="50.25" customHeight="1" outlineLevel="1" x14ac:dyDescent="0.2">
      <c r="A1435" s="275">
        <v>4</v>
      </c>
      <c r="B1435" s="272" t="s">
        <v>26</v>
      </c>
      <c r="C1435" s="278">
        <v>100</v>
      </c>
      <c r="D1435" s="423">
        <v>39</v>
      </c>
      <c r="E1435" s="274"/>
      <c r="F1435" s="277"/>
      <c r="G1435" s="277"/>
    </row>
    <row r="1436" spans="1:7" ht="37.5" customHeight="1" outlineLevel="1" x14ac:dyDescent="0.25">
      <c r="A1436" s="271">
        <v>5</v>
      </c>
      <c r="B1436" s="272" t="s">
        <v>27</v>
      </c>
      <c r="C1436" s="273">
        <v>100</v>
      </c>
      <c r="D1436" s="423">
        <v>81.703125</v>
      </c>
      <c r="E1436" s="274"/>
      <c r="F1436" s="270"/>
      <c r="G1436" s="270"/>
    </row>
    <row r="1437" spans="1:7" ht="24" customHeight="1" outlineLevel="1" x14ac:dyDescent="0.25">
      <c r="A1437" s="271">
        <v>6</v>
      </c>
      <c r="B1437" s="272" t="s">
        <v>28</v>
      </c>
      <c r="C1437" s="278">
        <v>100</v>
      </c>
      <c r="D1437" s="423">
        <v>230.64999999999998</v>
      </c>
      <c r="E1437" s="274"/>
      <c r="F1437" s="270"/>
      <c r="G1437" s="270"/>
    </row>
    <row r="1438" spans="1:7" ht="45" outlineLevel="1" x14ac:dyDescent="0.25">
      <c r="A1438" s="271">
        <v>7</v>
      </c>
      <c r="B1438" s="272" t="s">
        <v>29</v>
      </c>
      <c r="C1438" s="278">
        <v>100</v>
      </c>
      <c r="D1438" s="423">
        <v>230.64999999999998</v>
      </c>
      <c r="E1438" s="274"/>
      <c r="F1438" s="270"/>
      <c r="G1438" s="270"/>
    </row>
    <row r="1439" spans="1:7" ht="25.5" customHeight="1" outlineLevel="1" x14ac:dyDescent="0.25">
      <c r="A1439" s="271">
        <v>8</v>
      </c>
      <c r="B1439" s="272" t="s">
        <v>30</v>
      </c>
      <c r="C1439" s="328">
        <v>1</v>
      </c>
      <c r="D1439" s="423">
        <v>500</v>
      </c>
      <c r="E1439" s="274"/>
      <c r="F1439" s="270"/>
      <c r="G1439" s="270"/>
    </row>
    <row r="1440" spans="1:7" ht="81" customHeight="1" outlineLevel="1" x14ac:dyDescent="0.25">
      <c r="A1440" s="271">
        <v>9</v>
      </c>
      <c r="B1440" s="272" t="s">
        <v>31</v>
      </c>
      <c r="C1440" s="276"/>
      <c r="D1440" s="423"/>
      <c r="E1440" s="274"/>
      <c r="F1440" s="270"/>
      <c r="G1440" s="270"/>
    </row>
    <row r="1441" spans="1:7" outlineLevel="1" x14ac:dyDescent="0.25">
      <c r="A1441" s="271"/>
      <c r="B1441" s="272" t="s">
        <v>32</v>
      </c>
      <c r="C1441" s="273">
        <v>100</v>
      </c>
      <c r="D1441" s="423">
        <v>4.29</v>
      </c>
      <c r="E1441" s="274"/>
      <c r="F1441" s="270"/>
      <c r="G1441" s="270"/>
    </row>
    <row r="1442" spans="1:7" ht="19.5" outlineLevel="1" x14ac:dyDescent="0.4">
      <c r="A1442" s="517" t="s">
        <v>168</v>
      </c>
      <c r="B1442" s="517"/>
      <c r="C1442" s="517"/>
      <c r="D1442" s="517"/>
      <c r="E1442" s="517"/>
      <c r="F1442" s="482"/>
      <c r="G1442" s="482"/>
    </row>
    <row r="1443" spans="1:7" ht="22.5" customHeight="1" outlineLevel="1" x14ac:dyDescent="0.25">
      <c r="A1443" s="293">
        <v>1</v>
      </c>
      <c r="B1443" s="294" t="s">
        <v>34</v>
      </c>
      <c r="C1443" s="273">
        <v>1</v>
      </c>
      <c r="D1443" s="424">
        <v>5.16</v>
      </c>
      <c r="E1443" s="295"/>
      <c r="F1443" s="270"/>
      <c r="G1443" s="270"/>
    </row>
    <row r="1444" spans="1:7" ht="45" outlineLevel="1" x14ac:dyDescent="0.25">
      <c r="A1444" s="293">
        <v>2</v>
      </c>
      <c r="B1444" s="294" t="s">
        <v>35</v>
      </c>
      <c r="C1444" s="303">
        <v>100</v>
      </c>
      <c r="D1444" s="424">
        <v>11.790000000000001</v>
      </c>
      <c r="E1444" s="295"/>
      <c r="F1444" s="270"/>
      <c r="G1444" s="270"/>
    </row>
    <row r="1445" spans="1:7" ht="20.25" customHeight="1" outlineLevel="1" x14ac:dyDescent="0.25">
      <c r="A1445" s="275">
        <v>3</v>
      </c>
      <c r="B1445" s="294" t="s">
        <v>36</v>
      </c>
      <c r="C1445" s="328">
        <v>1</v>
      </c>
      <c r="D1445" s="424">
        <v>3</v>
      </c>
      <c r="E1445" s="295"/>
      <c r="F1445" s="270"/>
      <c r="G1445" s="270"/>
    </row>
    <row r="1446" spans="1:7" ht="20.25" customHeight="1" outlineLevel="1" x14ac:dyDescent="0.25">
      <c r="A1446" s="275">
        <v>4</v>
      </c>
      <c r="B1446" s="294" t="s">
        <v>37</v>
      </c>
      <c r="C1446" s="329">
        <v>1</v>
      </c>
      <c r="D1446" s="424">
        <v>3</v>
      </c>
      <c r="E1446" s="295"/>
      <c r="F1446" s="270"/>
      <c r="G1446" s="270"/>
    </row>
    <row r="1447" spans="1:7" ht="20.25" customHeight="1" outlineLevel="1" x14ac:dyDescent="0.25">
      <c r="A1447" s="275">
        <v>5</v>
      </c>
      <c r="B1447" s="294" t="s">
        <v>38</v>
      </c>
      <c r="C1447" s="278">
        <v>100</v>
      </c>
      <c r="D1447" s="424">
        <v>10.5</v>
      </c>
      <c r="E1447" s="295"/>
      <c r="F1447" s="270"/>
      <c r="G1447" s="270"/>
    </row>
    <row r="1448" spans="1:7" ht="32.25" customHeight="1" outlineLevel="1" x14ac:dyDescent="0.25">
      <c r="A1448" s="275">
        <v>6</v>
      </c>
      <c r="B1448" s="294" t="s">
        <v>39</v>
      </c>
      <c r="C1448" s="328">
        <v>1</v>
      </c>
      <c r="D1448" s="424">
        <v>30</v>
      </c>
      <c r="E1448" s="295"/>
      <c r="F1448" s="270"/>
      <c r="G1448" s="270"/>
    </row>
    <row r="1449" spans="1:7" ht="75" outlineLevel="1" x14ac:dyDescent="0.25">
      <c r="A1449" s="275">
        <v>7</v>
      </c>
      <c r="B1449" s="299" t="s">
        <v>31</v>
      </c>
      <c r="C1449" s="276"/>
      <c r="D1449" s="424"/>
      <c r="E1449" s="298"/>
      <c r="F1449" s="270"/>
      <c r="G1449" s="270"/>
    </row>
    <row r="1450" spans="1:7" outlineLevel="1" x14ac:dyDescent="0.25">
      <c r="A1450" s="275" t="s">
        <v>41</v>
      </c>
      <c r="B1450" s="299" t="s">
        <v>42</v>
      </c>
      <c r="C1450" s="273">
        <v>100</v>
      </c>
      <c r="D1450" s="424">
        <v>4.5407999999999999</v>
      </c>
      <c r="E1450" s="298"/>
      <c r="F1450" s="270"/>
      <c r="G1450" s="270"/>
    </row>
    <row r="1451" spans="1:7" ht="21" customHeight="1" outlineLevel="1" x14ac:dyDescent="0.25">
      <c r="A1451" s="518" t="s">
        <v>43</v>
      </c>
      <c r="B1451" s="518"/>
      <c r="C1451" s="518"/>
      <c r="D1451" s="518"/>
      <c r="E1451" s="518"/>
      <c r="F1451" s="270"/>
      <c r="G1451" s="270"/>
    </row>
    <row r="1452" spans="1:7" ht="19.5" outlineLevel="1" x14ac:dyDescent="0.4">
      <c r="A1452" s="500" t="s">
        <v>265</v>
      </c>
      <c r="B1452" s="500"/>
      <c r="C1452" s="500"/>
      <c r="D1452" s="500"/>
      <c r="E1452" s="500"/>
      <c r="F1452" s="471"/>
      <c r="G1452" s="471"/>
    </row>
    <row r="1453" spans="1:7" ht="75" outlineLevel="1" x14ac:dyDescent="0.25">
      <c r="A1453" s="293">
        <v>1</v>
      </c>
      <c r="B1453" s="299" t="s">
        <v>45</v>
      </c>
      <c r="C1453" s="273">
        <v>1000</v>
      </c>
      <c r="D1453" s="424">
        <v>1949.3305000000028</v>
      </c>
      <c r="E1453" s="269"/>
      <c r="F1453" s="270"/>
      <c r="G1453" s="270"/>
    </row>
    <row r="1454" spans="1:7" ht="24" customHeight="1" outlineLevel="1" x14ac:dyDescent="0.25">
      <c r="A1454" s="293">
        <v>2</v>
      </c>
      <c r="B1454" s="299" t="s">
        <v>75</v>
      </c>
      <c r="C1454" s="273">
        <v>1000</v>
      </c>
      <c r="D1454" s="424">
        <v>1949.3305000000028</v>
      </c>
      <c r="E1454" s="269"/>
      <c r="F1454" s="270"/>
      <c r="G1454" s="270"/>
    </row>
    <row r="1455" spans="1:7" ht="45" outlineLevel="1" x14ac:dyDescent="0.25">
      <c r="A1455" s="275">
        <v>3</v>
      </c>
      <c r="B1455" s="302" t="s">
        <v>23</v>
      </c>
      <c r="C1455" s="276"/>
      <c r="D1455" s="424"/>
      <c r="E1455" s="295"/>
      <c r="F1455" s="270"/>
      <c r="G1455" s="270"/>
    </row>
    <row r="1456" spans="1:7" outlineLevel="1" x14ac:dyDescent="0.25">
      <c r="A1456" s="275"/>
      <c r="B1456" s="299" t="s">
        <v>24</v>
      </c>
      <c r="C1456" s="273">
        <v>100</v>
      </c>
      <c r="D1456" s="424">
        <v>458.78250000000003</v>
      </c>
      <c r="E1456" s="269"/>
      <c r="F1456" s="270"/>
      <c r="G1456" s="270"/>
    </row>
    <row r="1457" spans="1:7" outlineLevel="1" x14ac:dyDescent="0.25">
      <c r="A1457" s="275"/>
      <c r="B1457" s="299" t="s">
        <v>125</v>
      </c>
      <c r="C1457" s="273">
        <v>100</v>
      </c>
      <c r="D1457" s="424">
        <v>68</v>
      </c>
      <c r="E1457" s="269"/>
      <c r="F1457" s="270"/>
      <c r="G1457" s="270"/>
    </row>
    <row r="1458" spans="1:7" ht="90" outlineLevel="1" x14ac:dyDescent="0.25">
      <c r="A1458" s="275">
        <v>4</v>
      </c>
      <c r="B1458" s="299" t="s">
        <v>46</v>
      </c>
      <c r="C1458" s="303">
        <v>100</v>
      </c>
      <c r="D1458" s="424">
        <v>9117.4861500000006</v>
      </c>
      <c r="E1458" s="304"/>
      <c r="F1458" s="270"/>
      <c r="G1458" s="270"/>
    </row>
    <row r="1459" spans="1:7" ht="120.75" outlineLevel="1" x14ac:dyDescent="0.25">
      <c r="A1459" s="275">
        <v>5</v>
      </c>
      <c r="B1459" s="302" t="s">
        <v>78</v>
      </c>
      <c r="C1459" s="276"/>
      <c r="D1459" s="424"/>
      <c r="E1459" s="295"/>
      <c r="F1459" s="270"/>
      <c r="G1459" s="270"/>
    </row>
    <row r="1460" spans="1:7" ht="60" outlineLevel="1" x14ac:dyDescent="0.25">
      <c r="A1460" s="275" t="s">
        <v>48</v>
      </c>
      <c r="B1460" s="302" t="s">
        <v>205</v>
      </c>
      <c r="C1460" s="273">
        <v>1</v>
      </c>
      <c r="D1460" s="424">
        <v>1761.1120500000006</v>
      </c>
      <c r="E1460" s="269"/>
      <c r="F1460" s="270"/>
      <c r="G1460" s="270"/>
    </row>
    <row r="1461" spans="1:7" ht="75" outlineLevel="1" x14ac:dyDescent="0.25">
      <c r="A1461" s="275" t="s">
        <v>50</v>
      </c>
      <c r="B1461" s="302" t="s">
        <v>217</v>
      </c>
      <c r="C1461" s="273">
        <v>1</v>
      </c>
      <c r="D1461" s="424">
        <v>1278.0500000000002</v>
      </c>
      <c r="E1461" s="269"/>
      <c r="F1461" s="270"/>
      <c r="G1461" s="270"/>
    </row>
    <row r="1462" spans="1:7" ht="30" outlineLevel="1" x14ac:dyDescent="0.25">
      <c r="A1462" s="275">
        <v>6</v>
      </c>
      <c r="B1462" s="299" t="s">
        <v>52</v>
      </c>
      <c r="C1462" s="278">
        <v>100</v>
      </c>
      <c r="D1462" s="424">
        <v>986.23980000000086</v>
      </c>
      <c r="E1462" s="295"/>
      <c r="F1462" s="270"/>
      <c r="G1462" s="270"/>
    </row>
    <row r="1463" spans="1:7" ht="30" outlineLevel="1" x14ac:dyDescent="0.25">
      <c r="A1463" s="275">
        <v>7</v>
      </c>
      <c r="B1463" s="302" t="s">
        <v>79</v>
      </c>
      <c r="C1463" s="273">
        <v>100</v>
      </c>
      <c r="D1463" s="424">
        <v>160</v>
      </c>
      <c r="E1463" s="295"/>
      <c r="F1463" s="270"/>
      <c r="G1463" s="270"/>
    </row>
    <row r="1464" spans="1:7" ht="45" outlineLevel="1" x14ac:dyDescent="0.25">
      <c r="A1464" s="275">
        <v>8</v>
      </c>
      <c r="B1464" s="313" t="s">
        <v>80</v>
      </c>
      <c r="C1464" s="323">
        <v>1</v>
      </c>
      <c r="D1464" s="424">
        <v>213.57999999999998</v>
      </c>
      <c r="E1464" s="270"/>
      <c r="F1464" s="270"/>
      <c r="G1464" s="270"/>
    </row>
    <row r="1465" spans="1:7" ht="30" outlineLevel="1" x14ac:dyDescent="0.25">
      <c r="A1465" s="275">
        <v>9</v>
      </c>
      <c r="B1465" s="315" t="s">
        <v>81</v>
      </c>
      <c r="C1465" s="323">
        <v>1</v>
      </c>
      <c r="D1465" s="424">
        <v>90</v>
      </c>
      <c r="E1465" s="270"/>
      <c r="F1465" s="270"/>
      <c r="G1465" s="270"/>
    </row>
    <row r="1466" spans="1:7" ht="23.25" customHeight="1" outlineLevel="1" x14ac:dyDescent="0.25">
      <c r="A1466" s="275">
        <v>10</v>
      </c>
      <c r="B1466" s="299" t="s">
        <v>66</v>
      </c>
      <c r="C1466" s="273">
        <v>1000</v>
      </c>
      <c r="D1466" s="424">
        <v>8000</v>
      </c>
      <c r="E1466" s="298"/>
      <c r="F1466" s="270"/>
      <c r="G1466" s="270"/>
    </row>
    <row r="1467" spans="1:7" ht="75.75" outlineLevel="1" x14ac:dyDescent="0.25">
      <c r="A1467" s="275">
        <v>11</v>
      </c>
      <c r="B1467" s="299" t="s">
        <v>40</v>
      </c>
      <c r="C1467" s="276"/>
      <c r="D1467" s="424"/>
      <c r="E1467" s="298"/>
      <c r="F1467" s="270"/>
      <c r="G1467" s="270"/>
    </row>
    <row r="1468" spans="1:7" outlineLevel="1" x14ac:dyDescent="0.25">
      <c r="A1468" s="275" t="s">
        <v>67</v>
      </c>
      <c r="B1468" s="299" t="s">
        <v>68</v>
      </c>
      <c r="C1468" s="273">
        <v>100</v>
      </c>
      <c r="D1468" s="424">
        <v>440.43119999999999</v>
      </c>
      <c r="E1468" s="298"/>
      <c r="F1468" s="270"/>
      <c r="G1468" s="270"/>
    </row>
    <row r="1469" spans="1:7" outlineLevel="1" x14ac:dyDescent="0.25">
      <c r="A1469" s="275" t="s">
        <v>41</v>
      </c>
      <c r="B1469" s="299" t="s">
        <v>42</v>
      </c>
      <c r="C1469" s="273">
        <v>100</v>
      </c>
      <c r="D1469" s="424">
        <v>59.84</v>
      </c>
      <c r="E1469" s="298"/>
      <c r="F1469" s="270"/>
      <c r="G1469" s="270"/>
    </row>
    <row r="1470" spans="1:7" outlineLevel="1" x14ac:dyDescent="0.25">
      <c r="A1470" s="275" t="s">
        <v>70</v>
      </c>
      <c r="B1470" s="299" t="s">
        <v>82</v>
      </c>
      <c r="C1470" s="273">
        <v>100</v>
      </c>
      <c r="D1470" s="424">
        <v>2552.8961220000006</v>
      </c>
      <c r="E1470" s="298"/>
      <c r="F1470" s="270"/>
      <c r="G1470" s="270"/>
    </row>
    <row r="1471" spans="1:7" outlineLevel="1" x14ac:dyDescent="0.25">
      <c r="A1471" s="506" t="s">
        <v>83</v>
      </c>
      <c r="B1471" s="506"/>
      <c r="C1471" s="506"/>
      <c r="D1471" s="506"/>
      <c r="E1471" s="506"/>
      <c r="F1471" s="270"/>
      <c r="G1471" s="270"/>
    </row>
    <row r="1472" spans="1:7" ht="19.5" outlineLevel="1" x14ac:dyDescent="0.4">
      <c r="A1472" s="500" t="s">
        <v>266</v>
      </c>
      <c r="B1472" s="500"/>
      <c r="C1472" s="500"/>
      <c r="D1472" s="500"/>
      <c r="E1472" s="500"/>
      <c r="F1472" s="471"/>
      <c r="G1472" s="471"/>
    </row>
    <row r="1473" spans="1:7" ht="75" outlineLevel="1" x14ac:dyDescent="0.25">
      <c r="A1473" s="293">
        <v>1</v>
      </c>
      <c r="B1473" s="299" t="s">
        <v>45</v>
      </c>
      <c r="C1473" s="273">
        <v>1000</v>
      </c>
      <c r="D1473" s="424">
        <v>11161.160000000029</v>
      </c>
      <c r="E1473" s="269"/>
      <c r="F1473" s="270"/>
      <c r="G1473" s="270"/>
    </row>
    <row r="1474" spans="1:7" ht="45" outlineLevel="1" x14ac:dyDescent="0.25">
      <c r="A1474" s="285">
        <v>2</v>
      </c>
      <c r="B1474" s="311" t="s">
        <v>23</v>
      </c>
      <c r="C1474" s="291"/>
      <c r="D1474" s="441"/>
      <c r="E1474" s="288"/>
      <c r="F1474" s="292"/>
      <c r="G1474" s="292"/>
    </row>
    <row r="1475" spans="1:7" outlineLevel="1" x14ac:dyDescent="0.25">
      <c r="A1475" s="280"/>
      <c r="B1475" s="300" t="s">
        <v>24</v>
      </c>
      <c r="C1475" s="282">
        <v>100</v>
      </c>
      <c r="D1475" s="440">
        <v>252</v>
      </c>
      <c r="E1475" s="310"/>
      <c r="F1475" s="290"/>
      <c r="G1475" s="290"/>
    </row>
    <row r="1476" spans="1:7" ht="90" outlineLevel="1" x14ac:dyDescent="0.25">
      <c r="A1476" s="275">
        <v>3</v>
      </c>
      <c r="B1476" s="299" t="s">
        <v>46</v>
      </c>
      <c r="C1476" s="303">
        <v>100</v>
      </c>
      <c r="D1476" s="424">
        <v>10673.280000000015</v>
      </c>
      <c r="E1476" s="304"/>
      <c r="F1476" s="270"/>
      <c r="G1476" s="270"/>
    </row>
    <row r="1477" spans="1:7" ht="120.75" outlineLevel="1" x14ac:dyDescent="0.25">
      <c r="A1477" s="275">
        <v>4</v>
      </c>
      <c r="B1477" s="302" t="s">
        <v>47</v>
      </c>
      <c r="C1477" s="271"/>
      <c r="D1477" s="424"/>
      <c r="E1477" s="295"/>
      <c r="F1477" s="270"/>
      <c r="G1477" s="270"/>
    </row>
    <row r="1478" spans="1:7" ht="75" outlineLevel="1" x14ac:dyDescent="0.25">
      <c r="A1478" s="275" t="s">
        <v>48</v>
      </c>
      <c r="B1478" s="302" t="s">
        <v>100</v>
      </c>
      <c r="C1478" s="273">
        <v>1</v>
      </c>
      <c r="D1478" s="424">
        <v>2549.7600000000048</v>
      </c>
      <c r="E1478" s="269"/>
      <c r="F1478" s="270"/>
      <c r="G1478" s="270"/>
    </row>
    <row r="1479" spans="1:7" ht="75" outlineLevel="1" x14ac:dyDescent="0.25">
      <c r="A1479" s="275" t="s">
        <v>50</v>
      </c>
      <c r="B1479" s="302" t="s">
        <v>201</v>
      </c>
      <c r="C1479" s="273">
        <v>1</v>
      </c>
      <c r="D1479" s="424">
        <v>1008</v>
      </c>
      <c r="E1479" s="269"/>
      <c r="F1479" s="270"/>
      <c r="G1479" s="270"/>
    </row>
    <row r="1480" spans="1:7" ht="33.75" customHeight="1" outlineLevel="1" x14ac:dyDescent="0.25">
      <c r="A1480" s="275">
        <v>5</v>
      </c>
      <c r="B1480" s="299" t="s">
        <v>52</v>
      </c>
      <c r="C1480" s="278">
        <v>100</v>
      </c>
      <c r="D1480" s="424">
        <v>2884.8000000000065</v>
      </c>
      <c r="E1480" s="295"/>
      <c r="F1480" s="270"/>
      <c r="G1480" s="270"/>
    </row>
    <row r="1481" spans="1:7" ht="45" outlineLevel="1" x14ac:dyDescent="0.25">
      <c r="A1481" s="275">
        <v>6</v>
      </c>
      <c r="B1481" s="299" t="s">
        <v>214</v>
      </c>
      <c r="C1481" s="323">
        <v>1</v>
      </c>
      <c r="D1481" s="424">
        <v>13.5</v>
      </c>
      <c r="E1481" s="295"/>
      <c r="F1481" s="270"/>
      <c r="G1481" s="270"/>
    </row>
    <row r="1482" spans="1:7" ht="23.25" customHeight="1" outlineLevel="1" x14ac:dyDescent="0.25">
      <c r="A1482" s="275">
        <v>7</v>
      </c>
      <c r="B1482" s="299" t="s">
        <v>66</v>
      </c>
      <c r="C1482" s="273">
        <v>1000</v>
      </c>
      <c r="D1482" s="424">
        <v>11520</v>
      </c>
      <c r="E1482" s="298"/>
      <c r="F1482" s="270"/>
      <c r="G1482" s="270"/>
    </row>
    <row r="1483" spans="1:7" ht="75.75" outlineLevel="1" x14ac:dyDescent="0.25">
      <c r="A1483" s="275">
        <v>18</v>
      </c>
      <c r="B1483" s="299" t="s">
        <v>40</v>
      </c>
      <c r="C1483" s="276"/>
      <c r="D1483" s="424"/>
      <c r="E1483" s="298"/>
      <c r="F1483" s="270"/>
      <c r="G1483" s="270"/>
    </row>
    <row r="1484" spans="1:7" outlineLevel="1" x14ac:dyDescent="0.25">
      <c r="A1484" s="275" t="s">
        <v>67</v>
      </c>
      <c r="B1484" s="299" t="s">
        <v>68</v>
      </c>
      <c r="C1484" s="273">
        <v>100</v>
      </c>
      <c r="D1484" s="424">
        <v>241.92</v>
      </c>
      <c r="E1484" s="298"/>
      <c r="F1484" s="270"/>
      <c r="G1484" s="270"/>
    </row>
    <row r="1485" spans="1:7" outlineLevel="1" x14ac:dyDescent="0.25">
      <c r="A1485" s="275" t="s">
        <v>41</v>
      </c>
      <c r="B1485" s="299" t="s">
        <v>69</v>
      </c>
      <c r="C1485" s="273">
        <v>100</v>
      </c>
      <c r="D1485" s="424">
        <v>2988.518400000004</v>
      </c>
      <c r="E1485" s="298"/>
      <c r="F1485" s="270"/>
      <c r="G1485" s="270"/>
    </row>
    <row r="1486" spans="1:7" outlineLevel="1" x14ac:dyDescent="0.25">
      <c r="A1486" s="506" t="s">
        <v>73</v>
      </c>
      <c r="B1486" s="506"/>
      <c r="C1486" s="506"/>
      <c r="D1486" s="506"/>
      <c r="E1486" s="506"/>
      <c r="F1486" s="270"/>
      <c r="G1486" s="270"/>
    </row>
    <row r="1487" spans="1:7" ht="19.5" outlineLevel="1" x14ac:dyDescent="0.4">
      <c r="A1487" s="500" t="s">
        <v>307</v>
      </c>
      <c r="B1487" s="500"/>
      <c r="C1487" s="500"/>
      <c r="D1487" s="500"/>
      <c r="E1487" s="500"/>
      <c r="F1487" s="471"/>
      <c r="G1487" s="471"/>
    </row>
    <row r="1488" spans="1:7" ht="75.75" outlineLevel="1" x14ac:dyDescent="0.25">
      <c r="A1488" s="293">
        <v>1</v>
      </c>
      <c r="B1488" s="302" t="s">
        <v>285</v>
      </c>
      <c r="C1488" s="273">
        <v>1000</v>
      </c>
      <c r="D1488" s="424">
        <v>4728.6509999999998</v>
      </c>
      <c r="E1488" s="269"/>
      <c r="F1488" s="270"/>
      <c r="G1488" s="270"/>
    </row>
    <row r="1489" spans="1:7" ht="45" outlineLevel="1" x14ac:dyDescent="0.25">
      <c r="A1489" s="505">
        <v>2</v>
      </c>
      <c r="B1489" s="327" t="s">
        <v>124</v>
      </c>
      <c r="C1489" s="330"/>
      <c r="D1489" s="424"/>
      <c r="E1489" s="269"/>
      <c r="F1489" s="270"/>
      <c r="G1489" s="270"/>
    </row>
    <row r="1490" spans="1:7" outlineLevel="1" x14ac:dyDescent="0.25">
      <c r="A1490" s="505"/>
      <c r="B1490" s="327" t="s">
        <v>24</v>
      </c>
      <c r="C1490" s="273">
        <v>100</v>
      </c>
      <c r="D1490" s="424">
        <v>695.07900000000018</v>
      </c>
      <c r="E1490" s="269"/>
      <c r="F1490" s="270"/>
      <c r="G1490" s="270"/>
    </row>
    <row r="1491" spans="1:7" outlineLevel="1" x14ac:dyDescent="0.25">
      <c r="A1491" s="505"/>
      <c r="B1491" s="327" t="s">
        <v>125</v>
      </c>
      <c r="C1491" s="273">
        <v>100</v>
      </c>
      <c r="D1491" s="424">
        <v>72.146249999999995</v>
      </c>
      <c r="E1491" s="269"/>
      <c r="F1491" s="270"/>
      <c r="G1491" s="270"/>
    </row>
    <row r="1492" spans="1:7" ht="32.25" customHeight="1" outlineLevel="1" x14ac:dyDescent="0.25">
      <c r="A1492" s="275">
        <v>3</v>
      </c>
      <c r="B1492" s="302" t="s">
        <v>79</v>
      </c>
      <c r="C1492" s="273">
        <v>100</v>
      </c>
      <c r="D1492" s="424">
        <v>1119.5550000000001</v>
      </c>
      <c r="E1492" s="269"/>
      <c r="F1492" s="270"/>
      <c r="G1492" s="270"/>
    </row>
    <row r="1493" spans="1:7" ht="120" outlineLevel="1" x14ac:dyDescent="0.25">
      <c r="A1493" s="275">
        <v>4</v>
      </c>
      <c r="B1493" s="302" t="s">
        <v>99</v>
      </c>
      <c r="C1493" s="271"/>
      <c r="D1493" s="424"/>
      <c r="E1493" s="269"/>
      <c r="F1493" s="270"/>
      <c r="G1493" s="270"/>
    </row>
    <row r="1494" spans="1:7" ht="75" outlineLevel="1" x14ac:dyDescent="0.25">
      <c r="A1494" s="326" t="s">
        <v>48</v>
      </c>
      <c r="B1494" s="302" t="s">
        <v>100</v>
      </c>
      <c r="C1494" s="273">
        <v>1</v>
      </c>
      <c r="D1494" s="424">
        <v>938.25</v>
      </c>
      <c r="E1494" s="269"/>
      <c r="F1494" s="270"/>
      <c r="G1494" s="270"/>
    </row>
    <row r="1495" spans="1:7" ht="75" outlineLevel="1" x14ac:dyDescent="0.25">
      <c r="A1495" s="326" t="s">
        <v>50</v>
      </c>
      <c r="B1495" s="302" t="s">
        <v>201</v>
      </c>
      <c r="C1495" s="273">
        <v>1</v>
      </c>
      <c r="D1495" s="424">
        <v>324</v>
      </c>
      <c r="E1495" s="269"/>
      <c r="F1495" s="270"/>
      <c r="G1495" s="270"/>
    </row>
    <row r="1496" spans="1:7" ht="90" outlineLevel="1" x14ac:dyDescent="0.25">
      <c r="A1496" s="326">
        <v>5</v>
      </c>
      <c r="B1496" s="302" t="s">
        <v>286</v>
      </c>
      <c r="C1496" s="303">
        <v>100</v>
      </c>
      <c r="D1496" s="424">
        <v>3786.75</v>
      </c>
      <c r="E1496" s="304"/>
      <c r="F1496" s="270"/>
      <c r="G1496" s="270"/>
    </row>
    <row r="1497" spans="1:7" ht="30" outlineLevel="1" x14ac:dyDescent="0.25">
      <c r="A1497" s="275">
        <v>6</v>
      </c>
      <c r="B1497" s="317" t="s">
        <v>287</v>
      </c>
      <c r="C1497" s="273">
        <v>100</v>
      </c>
      <c r="D1497" s="424">
        <v>881.64719999999977</v>
      </c>
      <c r="E1497" s="295"/>
      <c r="F1497" s="270"/>
      <c r="G1497" s="270"/>
    </row>
    <row r="1498" spans="1:7" ht="23.25" customHeight="1" outlineLevel="1" x14ac:dyDescent="0.25">
      <c r="A1498" s="275">
        <v>7</v>
      </c>
      <c r="B1498" s="299" t="s">
        <v>66</v>
      </c>
      <c r="C1498" s="273">
        <v>1000</v>
      </c>
      <c r="D1498" s="424">
        <v>1920</v>
      </c>
      <c r="E1498" s="298"/>
      <c r="F1498" s="270"/>
      <c r="G1498" s="270"/>
    </row>
    <row r="1499" spans="1:7" ht="75.75" outlineLevel="1" x14ac:dyDescent="0.25">
      <c r="A1499" s="275">
        <v>8</v>
      </c>
      <c r="B1499" s="299" t="s">
        <v>40</v>
      </c>
      <c r="C1499" s="276"/>
      <c r="D1499" s="424"/>
      <c r="E1499" s="298"/>
      <c r="F1499" s="270"/>
      <c r="G1499" s="270"/>
    </row>
    <row r="1500" spans="1:7" outlineLevel="1" x14ac:dyDescent="0.25">
      <c r="A1500" s="275" t="s">
        <v>67</v>
      </c>
      <c r="B1500" s="299" t="s">
        <v>68</v>
      </c>
      <c r="C1500" s="273">
        <v>100</v>
      </c>
      <c r="D1500" s="424">
        <v>667.27584000000013</v>
      </c>
      <c r="E1500" s="298"/>
      <c r="F1500" s="270"/>
      <c r="G1500" s="270"/>
    </row>
    <row r="1501" spans="1:7" outlineLevel="1" x14ac:dyDescent="0.25">
      <c r="A1501" s="275" t="s">
        <v>67</v>
      </c>
      <c r="B1501" s="299" t="s">
        <v>42</v>
      </c>
      <c r="C1501" s="273">
        <v>100</v>
      </c>
      <c r="D1501" s="424">
        <v>63.488699999999994</v>
      </c>
      <c r="E1501" s="298"/>
      <c r="F1501" s="270"/>
      <c r="G1501" s="270"/>
    </row>
    <row r="1502" spans="1:7" outlineLevel="1" x14ac:dyDescent="0.25">
      <c r="A1502" s="275" t="s">
        <v>41</v>
      </c>
      <c r="B1502" s="299" t="s">
        <v>69</v>
      </c>
      <c r="C1502" s="273">
        <v>100</v>
      </c>
      <c r="D1502" s="424">
        <v>1060.29</v>
      </c>
      <c r="E1502" s="298"/>
      <c r="F1502" s="270"/>
      <c r="G1502" s="270"/>
    </row>
    <row r="1503" spans="1:7" outlineLevel="1" x14ac:dyDescent="0.25">
      <c r="A1503" s="275" t="s">
        <v>70</v>
      </c>
      <c r="B1503" s="299" t="s">
        <v>288</v>
      </c>
      <c r="C1503" s="273">
        <v>100</v>
      </c>
      <c r="D1503" s="424">
        <v>1190.2237199999997</v>
      </c>
      <c r="E1503" s="298"/>
      <c r="F1503" s="270"/>
      <c r="G1503" s="270"/>
    </row>
    <row r="1504" spans="1:7" outlineLevel="1" x14ac:dyDescent="0.25">
      <c r="A1504" s="506" t="s">
        <v>43</v>
      </c>
      <c r="B1504" s="506"/>
      <c r="C1504" s="506"/>
      <c r="D1504" s="506"/>
      <c r="E1504" s="506"/>
      <c r="F1504" s="270"/>
      <c r="G1504" s="270"/>
    </row>
    <row r="1505" spans="1:7" ht="19.5" outlineLevel="1" x14ac:dyDescent="0.4">
      <c r="A1505" s="500" t="s">
        <v>308</v>
      </c>
      <c r="B1505" s="500"/>
      <c r="C1505" s="500"/>
      <c r="D1505" s="500"/>
      <c r="E1505" s="500"/>
      <c r="F1505" s="471"/>
      <c r="G1505" s="471"/>
    </row>
    <row r="1506" spans="1:7" ht="75" outlineLevel="1" x14ac:dyDescent="0.25">
      <c r="A1506" s="293">
        <v>1</v>
      </c>
      <c r="B1506" s="302" t="s">
        <v>10</v>
      </c>
      <c r="C1506" s="273">
        <v>1000</v>
      </c>
      <c r="D1506" s="424">
        <v>148.5</v>
      </c>
      <c r="E1506" s="269"/>
      <c r="F1506" s="270"/>
      <c r="G1506" s="270"/>
    </row>
    <row r="1507" spans="1:7" ht="30" outlineLevel="1" x14ac:dyDescent="0.25">
      <c r="A1507" s="293">
        <v>2</v>
      </c>
      <c r="B1507" s="302" t="s">
        <v>86</v>
      </c>
      <c r="C1507" s="273">
        <v>100</v>
      </c>
      <c r="D1507" s="424">
        <v>148.5</v>
      </c>
      <c r="E1507" s="295"/>
      <c r="F1507" s="270"/>
      <c r="G1507" s="270"/>
    </row>
    <row r="1508" spans="1:7" ht="21" customHeight="1" outlineLevel="1" x14ac:dyDescent="0.25">
      <c r="A1508" s="275">
        <v>3</v>
      </c>
      <c r="B1508" s="317" t="s">
        <v>87</v>
      </c>
      <c r="C1508" s="278">
        <v>100</v>
      </c>
      <c r="D1508" s="424">
        <v>422.73</v>
      </c>
      <c r="E1508" s="295"/>
      <c r="F1508" s="270"/>
      <c r="G1508" s="270"/>
    </row>
    <row r="1509" spans="1:7" ht="21" customHeight="1" outlineLevel="1" x14ac:dyDescent="0.25">
      <c r="A1509" s="275">
        <v>4</v>
      </c>
      <c r="B1509" s="317" t="s">
        <v>88</v>
      </c>
      <c r="C1509" s="278">
        <v>100</v>
      </c>
      <c r="D1509" s="424">
        <v>126</v>
      </c>
      <c r="E1509" s="295"/>
      <c r="F1509" s="270"/>
      <c r="G1509" s="270"/>
    </row>
    <row r="1510" spans="1:7" ht="21" customHeight="1" outlineLevel="1" x14ac:dyDescent="0.25">
      <c r="A1510" s="293">
        <v>5</v>
      </c>
      <c r="B1510" s="302" t="s">
        <v>89</v>
      </c>
      <c r="C1510" s="273">
        <v>100</v>
      </c>
      <c r="D1510" s="424">
        <v>139.5</v>
      </c>
      <c r="E1510" s="295"/>
      <c r="F1510" s="270"/>
      <c r="G1510" s="270"/>
    </row>
    <row r="1511" spans="1:7" ht="21" customHeight="1" outlineLevel="1" x14ac:dyDescent="0.25">
      <c r="A1511" s="293">
        <v>6</v>
      </c>
      <c r="B1511" s="302" t="s">
        <v>90</v>
      </c>
      <c r="C1511" s="273">
        <v>100</v>
      </c>
      <c r="D1511" s="424">
        <v>139.5</v>
      </c>
      <c r="E1511" s="295"/>
      <c r="F1511" s="270"/>
      <c r="G1511" s="270"/>
    </row>
    <row r="1512" spans="1:7" ht="21" customHeight="1" outlineLevel="1" x14ac:dyDescent="0.25">
      <c r="A1512" s="293">
        <v>7</v>
      </c>
      <c r="B1512" s="302" t="s">
        <v>91</v>
      </c>
      <c r="C1512" s="273">
        <v>100</v>
      </c>
      <c r="D1512" s="424">
        <v>41.58</v>
      </c>
      <c r="E1512" s="295"/>
      <c r="F1512" s="270"/>
      <c r="G1512" s="270"/>
    </row>
    <row r="1513" spans="1:7" ht="21" customHeight="1" outlineLevel="1" x14ac:dyDescent="0.25">
      <c r="A1513" s="293">
        <v>8</v>
      </c>
      <c r="B1513" s="302" t="s">
        <v>92</v>
      </c>
      <c r="C1513" s="273">
        <v>100</v>
      </c>
      <c r="D1513" s="424">
        <v>41.58</v>
      </c>
      <c r="E1513" s="295"/>
      <c r="F1513" s="270"/>
      <c r="G1513" s="270"/>
    </row>
    <row r="1514" spans="1:7" ht="21" customHeight="1" outlineLevel="1" x14ac:dyDescent="0.25">
      <c r="A1514" s="293">
        <v>9</v>
      </c>
      <c r="B1514" s="302" t="s">
        <v>93</v>
      </c>
      <c r="C1514" s="273">
        <v>100</v>
      </c>
      <c r="D1514" s="424">
        <v>422.73</v>
      </c>
      <c r="E1514" s="295"/>
      <c r="F1514" s="270"/>
      <c r="G1514" s="270"/>
    </row>
    <row r="1515" spans="1:7" ht="21" customHeight="1" outlineLevel="1" x14ac:dyDescent="0.25">
      <c r="A1515" s="293">
        <v>10</v>
      </c>
      <c r="B1515" s="302" t="s">
        <v>94</v>
      </c>
      <c r="C1515" s="273">
        <v>100</v>
      </c>
      <c r="D1515" s="424">
        <v>126</v>
      </c>
      <c r="E1515" s="295"/>
      <c r="F1515" s="270"/>
      <c r="G1515" s="270"/>
    </row>
    <row r="1516" spans="1:7" ht="60" outlineLevel="1" x14ac:dyDescent="0.25">
      <c r="A1516" s="293">
        <v>11</v>
      </c>
      <c r="B1516" s="302" t="s">
        <v>95</v>
      </c>
      <c r="C1516" s="273">
        <v>100</v>
      </c>
      <c r="D1516" s="424">
        <v>858.95100000000002</v>
      </c>
      <c r="E1516" s="295"/>
      <c r="F1516" s="270"/>
      <c r="G1516" s="270"/>
    </row>
    <row r="1517" spans="1:7" outlineLevel="1" x14ac:dyDescent="0.25">
      <c r="A1517" s="506" t="s">
        <v>43</v>
      </c>
      <c r="B1517" s="506"/>
      <c r="C1517" s="506"/>
      <c r="D1517" s="506"/>
      <c r="E1517" s="506"/>
      <c r="F1517" s="270"/>
      <c r="G1517" s="270"/>
    </row>
    <row r="1518" spans="1:7" ht="19.5" outlineLevel="1" x14ac:dyDescent="0.4">
      <c r="A1518" s="500" t="s">
        <v>107</v>
      </c>
      <c r="B1518" s="500"/>
      <c r="C1518" s="500"/>
      <c r="D1518" s="500"/>
      <c r="E1518" s="500"/>
      <c r="F1518" s="471"/>
      <c r="G1518" s="471"/>
    </row>
    <row r="1519" spans="1:7" ht="75" outlineLevel="1" x14ac:dyDescent="0.25">
      <c r="A1519" s="293">
        <v>1</v>
      </c>
      <c r="B1519" s="299" t="s">
        <v>108</v>
      </c>
      <c r="C1519" s="273">
        <v>1000</v>
      </c>
      <c r="D1519" s="424">
        <v>544.8919083198</v>
      </c>
      <c r="E1519" s="269"/>
      <c r="F1519" s="270"/>
      <c r="G1519" s="270"/>
    </row>
    <row r="1520" spans="1:7" ht="105" outlineLevel="1" x14ac:dyDescent="0.25">
      <c r="A1520" s="293">
        <v>2</v>
      </c>
      <c r="B1520" s="318" t="s">
        <v>109</v>
      </c>
      <c r="C1520" s="278">
        <v>1</v>
      </c>
      <c r="D1520" s="424">
        <v>508.5</v>
      </c>
      <c r="E1520" s="295"/>
      <c r="F1520" s="270"/>
      <c r="G1520" s="270"/>
    </row>
    <row r="1521" spans="1:7" ht="45" outlineLevel="1" x14ac:dyDescent="0.25">
      <c r="A1521" s="275">
        <v>3</v>
      </c>
      <c r="B1521" s="302" t="s">
        <v>23</v>
      </c>
      <c r="C1521" s="276"/>
      <c r="D1521" s="424"/>
      <c r="E1521" s="295"/>
      <c r="F1521" s="270"/>
      <c r="G1521" s="270"/>
    </row>
    <row r="1522" spans="1:7" outlineLevel="1" x14ac:dyDescent="0.25">
      <c r="A1522" s="275"/>
      <c r="B1522" s="299" t="s">
        <v>24</v>
      </c>
      <c r="C1522" s="273">
        <v>100</v>
      </c>
      <c r="D1522" s="424">
        <v>105.61244432480001</v>
      </c>
      <c r="E1522" s="269"/>
      <c r="F1522" s="270"/>
      <c r="G1522" s="270"/>
    </row>
    <row r="1523" spans="1:7" ht="35.25" customHeight="1" outlineLevel="1" x14ac:dyDescent="0.25">
      <c r="A1523" s="275">
        <v>4</v>
      </c>
      <c r="B1523" s="302" t="s">
        <v>25</v>
      </c>
      <c r="C1523" s="273">
        <v>100</v>
      </c>
      <c r="D1523" s="424">
        <v>315.04000000000002</v>
      </c>
      <c r="E1523" s="269"/>
      <c r="F1523" s="270"/>
      <c r="G1523" s="270"/>
    </row>
    <row r="1524" spans="1:7" ht="60" outlineLevel="1" x14ac:dyDescent="0.25">
      <c r="A1524" s="275">
        <v>5</v>
      </c>
      <c r="B1524" s="302" t="s">
        <v>110</v>
      </c>
      <c r="C1524" s="278">
        <v>100</v>
      </c>
      <c r="D1524" s="424">
        <v>64.5</v>
      </c>
      <c r="E1524" s="269"/>
      <c r="F1524" s="270"/>
      <c r="G1524" s="270"/>
    </row>
    <row r="1525" spans="1:7" ht="60" outlineLevel="1" x14ac:dyDescent="0.25">
      <c r="A1525" s="275">
        <v>6</v>
      </c>
      <c r="B1525" s="299" t="s">
        <v>111</v>
      </c>
      <c r="C1525" s="278">
        <v>100</v>
      </c>
      <c r="D1525" s="424">
        <v>120</v>
      </c>
      <c r="E1525" s="269"/>
      <c r="F1525" s="270"/>
      <c r="G1525" s="270"/>
    </row>
    <row r="1526" spans="1:7" ht="30" outlineLevel="1" x14ac:dyDescent="0.25">
      <c r="A1526" s="275">
        <v>7</v>
      </c>
      <c r="B1526" s="302" t="s">
        <v>112</v>
      </c>
      <c r="C1526" s="273">
        <v>1000</v>
      </c>
      <c r="D1526" s="424">
        <v>150</v>
      </c>
      <c r="E1526" s="269"/>
      <c r="F1526" s="270"/>
      <c r="G1526" s="270"/>
    </row>
    <row r="1527" spans="1:7" ht="30" outlineLevel="1" x14ac:dyDescent="0.25">
      <c r="A1527" s="275">
        <v>8</v>
      </c>
      <c r="B1527" s="299" t="s">
        <v>173</v>
      </c>
      <c r="C1527" s="273">
        <v>100</v>
      </c>
      <c r="D1527" s="424">
        <v>290.89999999999998</v>
      </c>
      <c r="E1527" s="269"/>
      <c r="F1527" s="270"/>
      <c r="G1527" s="270"/>
    </row>
    <row r="1528" spans="1:7" ht="120.75" outlineLevel="1" x14ac:dyDescent="0.25">
      <c r="A1528" s="505">
        <v>9</v>
      </c>
      <c r="B1528" s="302" t="s">
        <v>47</v>
      </c>
      <c r="C1528" s="271"/>
      <c r="D1528" s="424"/>
      <c r="E1528" s="269"/>
      <c r="F1528" s="270"/>
      <c r="G1528" s="270"/>
    </row>
    <row r="1529" spans="1:7" ht="60" outlineLevel="1" x14ac:dyDescent="0.25">
      <c r="A1529" s="505"/>
      <c r="B1529" s="302" t="s">
        <v>309</v>
      </c>
      <c r="C1529" s="273">
        <v>1</v>
      </c>
      <c r="D1529" s="424">
        <v>154.16579999999999</v>
      </c>
      <c r="E1529" s="269"/>
      <c r="F1529" s="270"/>
      <c r="G1529" s="270"/>
    </row>
    <row r="1530" spans="1:7" ht="75" outlineLevel="1" x14ac:dyDescent="0.25">
      <c r="A1530" s="334">
        <v>10</v>
      </c>
      <c r="B1530" s="299" t="s">
        <v>251</v>
      </c>
      <c r="C1530" s="273">
        <v>1</v>
      </c>
      <c r="D1530" s="424">
        <v>18.407812499999999</v>
      </c>
      <c r="E1530" s="269"/>
      <c r="F1530" s="270"/>
      <c r="G1530" s="270"/>
    </row>
    <row r="1531" spans="1:7" ht="90" outlineLevel="1" x14ac:dyDescent="0.25">
      <c r="A1531" s="326">
        <v>11</v>
      </c>
      <c r="B1531" s="302" t="s">
        <v>116</v>
      </c>
      <c r="C1531" s="303">
        <v>100</v>
      </c>
      <c r="D1531" s="424">
        <v>1035.441675</v>
      </c>
      <c r="E1531" s="269"/>
      <c r="F1531" s="270"/>
      <c r="G1531" s="270"/>
    </row>
    <row r="1532" spans="1:7" ht="180" outlineLevel="1" x14ac:dyDescent="0.25">
      <c r="A1532" s="275">
        <v>12</v>
      </c>
      <c r="B1532" s="302" t="s">
        <v>117</v>
      </c>
      <c r="C1532" s="278">
        <v>1</v>
      </c>
      <c r="D1532" s="424">
        <v>32</v>
      </c>
      <c r="E1532" s="269"/>
      <c r="F1532" s="270"/>
      <c r="G1532" s="270"/>
    </row>
    <row r="1533" spans="1:7" ht="60" outlineLevel="1" x14ac:dyDescent="0.25">
      <c r="A1533" s="275">
        <v>13</v>
      </c>
      <c r="B1533" s="302" t="s">
        <v>118</v>
      </c>
      <c r="C1533" s="278">
        <v>1</v>
      </c>
      <c r="D1533" s="424">
        <v>40</v>
      </c>
      <c r="E1533" s="269"/>
      <c r="F1533" s="270"/>
      <c r="G1533" s="270"/>
    </row>
    <row r="1534" spans="1:7" ht="45" outlineLevel="1" x14ac:dyDescent="0.25">
      <c r="A1534" s="275">
        <v>14</v>
      </c>
      <c r="B1534" s="302" t="s">
        <v>119</v>
      </c>
      <c r="C1534" s="278">
        <v>1</v>
      </c>
      <c r="D1534" s="424">
        <v>49</v>
      </c>
      <c r="E1534" s="269"/>
      <c r="F1534" s="270"/>
      <c r="G1534" s="270"/>
    </row>
    <row r="1535" spans="1:7" ht="75" outlineLevel="1" x14ac:dyDescent="0.25">
      <c r="A1535" s="293">
        <v>15</v>
      </c>
      <c r="B1535" s="302" t="s">
        <v>120</v>
      </c>
      <c r="C1535" s="278">
        <v>100</v>
      </c>
      <c r="D1535" s="424">
        <v>95.5625</v>
      </c>
      <c r="E1535" s="269"/>
      <c r="F1535" s="270"/>
      <c r="G1535" s="270"/>
    </row>
    <row r="1536" spans="1:7" ht="30" outlineLevel="1" x14ac:dyDescent="0.25">
      <c r="A1536" s="293">
        <v>16</v>
      </c>
      <c r="B1536" s="302" t="s">
        <v>121</v>
      </c>
      <c r="C1536" s="278">
        <v>1</v>
      </c>
      <c r="D1536" s="424">
        <v>99.5625</v>
      </c>
      <c r="E1536" s="269"/>
      <c r="F1536" s="270"/>
      <c r="G1536" s="270"/>
    </row>
    <row r="1537" spans="1:7" ht="24" customHeight="1" outlineLevel="1" x14ac:dyDescent="0.25">
      <c r="A1537" s="275">
        <v>17</v>
      </c>
      <c r="B1537" s="302" t="s">
        <v>122</v>
      </c>
      <c r="C1537" s="273">
        <v>100</v>
      </c>
      <c r="D1537" s="424">
        <v>40.9375</v>
      </c>
      <c r="E1537" s="295"/>
      <c r="F1537" s="270"/>
      <c r="G1537" s="270"/>
    </row>
    <row r="1538" spans="1:7" ht="45" outlineLevel="1" x14ac:dyDescent="0.25">
      <c r="A1538" s="293">
        <v>18</v>
      </c>
      <c r="B1538" s="302" t="s">
        <v>123</v>
      </c>
      <c r="C1538" s="273">
        <v>100</v>
      </c>
      <c r="D1538" s="424">
        <v>48.9375</v>
      </c>
      <c r="E1538" s="295"/>
      <c r="F1538" s="270"/>
      <c r="G1538" s="270"/>
    </row>
    <row r="1539" spans="1:7" ht="45" outlineLevel="1" x14ac:dyDescent="0.25">
      <c r="A1539" s="505">
        <v>19</v>
      </c>
      <c r="B1539" s="327" t="s">
        <v>124</v>
      </c>
      <c r="C1539" s="271"/>
      <c r="D1539" s="424"/>
      <c r="E1539" s="269"/>
      <c r="F1539" s="270"/>
      <c r="G1539" s="270"/>
    </row>
    <row r="1540" spans="1:7" outlineLevel="1" x14ac:dyDescent="0.25">
      <c r="A1540" s="505"/>
      <c r="B1540" s="327" t="s">
        <v>125</v>
      </c>
      <c r="C1540" s="273">
        <v>100</v>
      </c>
      <c r="D1540" s="424">
        <v>45.86</v>
      </c>
      <c r="E1540" s="269"/>
      <c r="F1540" s="270"/>
      <c r="G1540" s="270"/>
    </row>
    <row r="1541" spans="1:7" ht="30" outlineLevel="1" x14ac:dyDescent="0.25">
      <c r="A1541" s="275">
        <v>20</v>
      </c>
      <c r="B1541" s="302" t="s">
        <v>126</v>
      </c>
      <c r="C1541" s="278">
        <v>100</v>
      </c>
      <c r="D1541" s="424">
        <v>568.30500000000006</v>
      </c>
      <c r="E1541" s="295"/>
      <c r="F1541" s="270"/>
      <c r="G1541" s="270"/>
    </row>
    <row r="1542" spans="1:7" ht="30" outlineLevel="1" x14ac:dyDescent="0.25">
      <c r="A1542" s="275">
        <v>21</v>
      </c>
      <c r="B1542" s="302" t="s">
        <v>207</v>
      </c>
      <c r="C1542" s="278">
        <v>100</v>
      </c>
      <c r="D1542" s="424">
        <v>114.52</v>
      </c>
      <c r="E1542" s="295"/>
      <c r="F1542" s="270"/>
      <c r="G1542" s="270"/>
    </row>
    <row r="1543" spans="1:7" ht="60" outlineLevel="1" x14ac:dyDescent="0.25">
      <c r="A1543" s="275">
        <v>22</v>
      </c>
      <c r="B1543" s="302" t="s">
        <v>128</v>
      </c>
      <c r="C1543" s="278">
        <v>100</v>
      </c>
      <c r="D1543" s="424">
        <v>489.875</v>
      </c>
      <c r="E1543" s="295"/>
      <c r="F1543" s="270"/>
      <c r="G1543" s="270"/>
    </row>
    <row r="1544" spans="1:7" ht="45" outlineLevel="1" x14ac:dyDescent="0.25">
      <c r="A1544" s="275">
        <v>23</v>
      </c>
      <c r="B1544" s="302" t="s">
        <v>129</v>
      </c>
      <c r="C1544" s="323">
        <v>1</v>
      </c>
      <c r="D1544" s="424">
        <v>13</v>
      </c>
      <c r="E1544" s="295"/>
      <c r="F1544" s="270"/>
      <c r="G1544" s="270"/>
    </row>
    <row r="1545" spans="1:7" outlineLevel="1" x14ac:dyDescent="0.25">
      <c r="A1545" s="275">
        <v>24</v>
      </c>
      <c r="B1545" s="302" t="s">
        <v>571</v>
      </c>
      <c r="C1545" s="328">
        <v>1</v>
      </c>
      <c r="D1545" s="424">
        <v>2</v>
      </c>
      <c r="E1545" s="295"/>
      <c r="F1545" s="270"/>
      <c r="G1545" s="270"/>
    </row>
    <row r="1546" spans="1:7" ht="23.25" customHeight="1" outlineLevel="1" x14ac:dyDescent="0.25">
      <c r="A1546" s="275">
        <v>25</v>
      </c>
      <c r="B1546" s="302" t="s">
        <v>131</v>
      </c>
      <c r="C1546" s="328">
        <v>1</v>
      </c>
      <c r="D1546" s="424">
        <v>1</v>
      </c>
      <c r="E1546" s="295"/>
      <c r="F1546" s="270"/>
      <c r="G1546" s="270"/>
    </row>
    <row r="1547" spans="1:7" ht="23.25" customHeight="1" outlineLevel="1" x14ac:dyDescent="0.25">
      <c r="A1547" s="275">
        <v>26</v>
      </c>
      <c r="B1547" s="302" t="s">
        <v>132</v>
      </c>
      <c r="C1547" s="278">
        <v>100</v>
      </c>
      <c r="D1547" s="424">
        <v>510.27</v>
      </c>
      <c r="E1547" s="295"/>
      <c r="F1547" s="270"/>
      <c r="G1547" s="270"/>
    </row>
    <row r="1548" spans="1:7" ht="45" outlineLevel="1" x14ac:dyDescent="0.25">
      <c r="A1548" s="275">
        <v>27</v>
      </c>
      <c r="B1548" s="302" t="s">
        <v>133</v>
      </c>
      <c r="C1548" s="278">
        <v>100</v>
      </c>
      <c r="D1548" s="424">
        <v>172.55500000000001</v>
      </c>
      <c r="E1548" s="295"/>
      <c r="F1548" s="270"/>
      <c r="G1548" s="270"/>
    </row>
    <row r="1549" spans="1:7" ht="30" outlineLevel="1" x14ac:dyDescent="0.25">
      <c r="A1549" s="275">
        <v>28</v>
      </c>
      <c r="B1549" s="302" t="s">
        <v>134</v>
      </c>
      <c r="C1549" s="278">
        <v>100</v>
      </c>
      <c r="D1549" s="424">
        <v>89</v>
      </c>
      <c r="E1549" s="295"/>
      <c r="F1549" s="270"/>
      <c r="G1549" s="270"/>
    </row>
    <row r="1550" spans="1:7" ht="60" outlineLevel="1" x14ac:dyDescent="0.25">
      <c r="A1550" s="275">
        <v>29</v>
      </c>
      <c r="B1550" s="327" t="s">
        <v>135</v>
      </c>
      <c r="C1550" s="303">
        <v>100</v>
      </c>
      <c r="D1550" s="424">
        <v>334.95872267077925</v>
      </c>
      <c r="E1550" s="269"/>
      <c r="F1550" s="270"/>
      <c r="G1550" s="270"/>
    </row>
    <row r="1551" spans="1:7" ht="45" outlineLevel="1" x14ac:dyDescent="0.25">
      <c r="A1551" s="505">
        <v>30</v>
      </c>
      <c r="B1551" s="302" t="s">
        <v>136</v>
      </c>
      <c r="C1551" s="271"/>
      <c r="D1551" s="424"/>
      <c r="E1551" s="295"/>
      <c r="F1551" s="270"/>
      <c r="G1551" s="270"/>
    </row>
    <row r="1552" spans="1:7" outlineLevel="1" x14ac:dyDescent="0.25">
      <c r="A1552" s="505"/>
      <c r="B1552" s="302" t="s">
        <v>176</v>
      </c>
      <c r="C1552" s="323">
        <v>1</v>
      </c>
      <c r="D1552" s="424">
        <v>60</v>
      </c>
      <c r="E1552" s="295"/>
      <c r="F1552" s="270"/>
      <c r="G1552" s="270"/>
    </row>
    <row r="1553" spans="1:7" outlineLevel="1" x14ac:dyDescent="0.25">
      <c r="A1553" s="505"/>
      <c r="B1553" s="302" t="s">
        <v>177</v>
      </c>
      <c r="C1553" s="323">
        <v>1</v>
      </c>
      <c r="D1553" s="424">
        <v>30</v>
      </c>
      <c r="E1553" s="295"/>
      <c r="F1553" s="270"/>
      <c r="G1553" s="270"/>
    </row>
    <row r="1554" spans="1:7" outlineLevel="1" x14ac:dyDescent="0.25">
      <c r="A1554" s="275"/>
      <c r="B1554" s="302" t="s">
        <v>178</v>
      </c>
      <c r="C1554" s="323">
        <v>1</v>
      </c>
      <c r="D1554" s="424">
        <v>15</v>
      </c>
      <c r="E1554" s="295"/>
      <c r="F1554" s="270"/>
      <c r="G1554" s="270"/>
    </row>
    <row r="1555" spans="1:7" ht="75" outlineLevel="1" x14ac:dyDescent="0.25">
      <c r="A1555" s="505">
        <v>31</v>
      </c>
      <c r="B1555" s="302" t="s">
        <v>141</v>
      </c>
      <c r="C1555" s="271"/>
      <c r="D1555" s="424"/>
      <c r="E1555" s="295"/>
      <c r="F1555" s="270"/>
      <c r="G1555" s="270"/>
    </row>
    <row r="1556" spans="1:7" outlineLevel="1" x14ac:dyDescent="0.25">
      <c r="A1556" s="505"/>
      <c r="B1556" s="302" t="s">
        <v>180</v>
      </c>
      <c r="C1556" s="323">
        <v>1</v>
      </c>
      <c r="D1556" s="424">
        <v>180</v>
      </c>
      <c r="E1556" s="295"/>
      <c r="F1556" s="270"/>
      <c r="G1556" s="270"/>
    </row>
    <row r="1557" spans="1:7" outlineLevel="1" x14ac:dyDescent="0.25">
      <c r="A1557" s="334"/>
      <c r="B1557" s="302" t="s">
        <v>181</v>
      </c>
      <c r="C1557" s="323">
        <v>1</v>
      </c>
      <c r="D1557" s="424">
        <v>60</v>
      </c>
      <c r="E1557" s="295"/>
      <c r="F1557" s="270"/>
      <c r="G1557" s="270"/>
    </row>
    <row r="1558" spans="1:7" ht="75" outlineLevel="1" x14ac:dyDescent="0.25">
      <c r="A1558" s="275">
        <v>32</v>
      </c>
      <c r="B1558" s="302" t="s">
        <v>144</v>
      </c>
      <c r="C1558" s="323">
        <v>1</v>
      </c>
      <c r="D1558" s="424">
        <v>40</v>
      </c>
      <c r="E1558" s="295"/>
      <c r="F1558" s="270"/>
      <c r="G1558" s="270"/>
    </row>
    <row r="1559" spans="1:7" ht="60" outlineLevel="1" x14ac:dyDescent="0.25">
      <c r="A1559" s="505">
        <v>33</v>
      </c>
      <c r="B1559" s="302" t="s">
        <v>145</v>
      </c>
      <c r="C1559" s="271"/>
      <c r="D1559" s="424"/>
      <c r="E1559" s="295"/>
      <c r="F1559" s="270"/>
      <c r="G1559" s="270"/>
    </row>
    <row r="1560" spans="1:7" outlineLevel="1" x14ac:dyDescent="0.25">
      <c r="A1560" s="505"/>
      <c r="B1560" s="302" t="s">
        <v>183</v>
      </c>
      <c r="C1560" s="329">
        <v>1</v>
      </c>
      <c r="D1560" s="424">
        <v>1</v>
      </c>
      <c r="E1560" s="295"/>
      <c r="F1560" s="270"/>
      <c r="G1560" s="270"/>
    </row>
    <row r="1561" spans="1:7" outlineLevel="1" x14ac:dyDescent="0.25">
      <c r="A1561" s="505"/>
      <c r="B1561" s="302" t="s">
        <v>184</v>
      </c>
      <c r="C1561" s="329">
        <v>1</v>
      </c>
      <c r="D1561" s="424">
        <v>1</v>
      </c>
      <c r="E1561" s="295"/>
      <c r="F1561" s="270"/>
      <c r="G1561" s="270"/>
    </row>
    <row r="1562" spans="1:7" outlineLevel="1" x14ac:dyDescent="0.25">
      <c r="A1562" s="505"/>
      <c r="B1562" s="302" t="s">
        <v>185</v>
      </c>
      <c r="C1562" s="329">
        <v>1</v>
      </c>
      <c r="D1562" s="424">
        <v>1</v>
      </c>
      <c r="E1562" s="295"/>
      <c r="F1562" s="270"/>
      <c r="G1562" s="270"/>
    </row>
    <row r="1563" spans="1:7" ht="23.25" customHeight="1" outlineLevel="1" x14ac:dyDescent="0.25">
      <c r="A1563" s="275">
        <v>34</v>
      </c>
      <c r="B1563" s="302" t="s">
        <v>237</v>
      </c>
      <c r="C1563" s="329">
        <v>1</v>
      </c>
      <c r="D1563" s="424">
        <v>20</v>
      </c>
      <c r="E1563" s="295"/>
      <c r="F1563" s="270"/>
      <c r="G1563" s="270"/>
    </row>
    <row r="1564" spans="1:7" ht="22.5" customHeight="1" outlineLevel="1" x14ac:dyDescent="0.25">
      <c r="A1564" s="275">
        <v>35</v>
      </c>
      <c r="B1564" s="302" t="s">
        <v>150</v>
      </c>
      <c r="C1564" s="329">
        <v>1</v>
      </c>
      <c r="D1564" s="424">
        <v>4</v>
      </c>
      <c r="E1564" s="295"/>
      <c r="F1564" s="270"/>
      <c r="G1564" s="270"/>
    </row>
    <row r="1565" spans="1:7" ht="22.5" customHeight="1" outlineLevel="1" x14ac:dyDescent="0.25">
      <c r="A1565" s="275">
        <v>36</v>
      </c>
      <c r="B1565" s="302" t="s">
        <v>151</v>
      </c>
      <c r="C1565" s="329">
        <v>1</v>
      </c>
      <c r="D1565" s="424">
        <v>2</v>
      </c>
      <c r="E1565" s="295"/>
      <c r="F1565" s="270"/>
      <c r="G1565" s="270"/>
    </row>
    <row r="1566" spans="1:7" ht="30" outlineLevel="1" x14ac:dyDescent="0.25">
      <c r="A1566" s="275">
        <v>37</v>
      </c>
      <c r="B1566" s="302" t="s">
        <v>186</v>
      </c>
      <c r="C1566" s="329">
        <v>1</v>
      </c>
      <c r="D1566" s="424">
        <v>1</v>
      </c>
      <c r="E1566" s="295"/>
      <c r="F1566" s="270"/>
      <c r="G1566" s="270"/>
    </row>
    <row r="1567" spans="1:7" ht="135" outlineLevel="1" x14ac:dyDescent="0.25">
      <c r="A1567" s="275">
        <v>38</v>
      </c>
      <c r="B1567" s="299" t="s">
        <v>208</v>
      </c>
      <c r="C1567" s="328">
        <v>1</v>
      </c>
      <c r="D1567" s="424">
        <v>1</v>
      </c>
      <c r="E1567" s="295"/>
      <c r="F1567" s="270"/>
      <c r="G1567" s="270"/>
    </row>
    <row r="1568" spans="1:7" ht="90" outlineLevel="1" x14ac:dyDescent="0.25">
      <c r="A1568" s="275">
        <v>39</v>
      </c>
      <c r="B1568" s="302" t="s">
        <v>154</v>
      </c>
      <c r="C1568" s="328">
        <v>1</v>
      </c>
      <c r="D1568" s="424">
        <v>6</v>
      </c>
      <c r="E1568" s="295"/>
      <c r="F1568" s="270"/>
      <c r="G1568" s="270"/>
    </row>
    <row r="1569" spans="1:7" ht="135" outlineLevel="1" x14ac:dyDescent="0.25">
      <c r="A1569" s="275">
        <v>40</v>
      </c>
      <c r="B1569" s="299" t="s">
        <v>155</v>
      </c>
      <c r="C1569" s="328">
        <v>1</v>
      </c>
      <c r="D1569" s="424">
        <v>2</v>
      </c>
      <c r="E1569" s="295"/>
      <c r="F1569" s="270"/>
      <c r="G1569" s="270"/>
    </row>
    <row r="1570" spans="1:7" ht="150" outlineLevel="1" x14ac:dyDescent="0.25">
      <c r="A1570" s="275">
        <v>41</v>
      </c>
      <c r="B1570" s="299" t="s">
        <v>156</v>
      </c>
      <c r="C1570" s="328">
        <v>1</v>
      </c>
      <c r="D1570" s="424">
        <v>1</v>
      </c>
      <c r="E1570" s="295"/>
      <c r="F1570" s="270"/>
      <c r="G1570" s="270"/>
    </row>
    <row r="1571" spans="1:7" ht="60" outlineLevel="1" x14ac:dyDescent="0.25">
      <c r="A1571" s="275">
        <v>42</v>
      </c>
      <c r="B1571" s="302" t="s">
        <v>157</v>
      </c>
      <c r="C1571" s="328">
        <v>1</v>
      </c>
      <c r="D1571" s="424">
        <v>3</v>
      </c>
      <c r="E1571" s="295"/>
      <c r="F1571" s="270"/>
      <c r="G1571" s="270"/>
    </row>
    <row r="1572" spans="1:7" ht="30" outlineLevel="1" x14ac:dyDescent="0.25">
      <c r="A1572" s="275">
        <v>43</v>
      </c>
      <c r="B1572" s="302" t="s">
        <v>158</v>
      </c>
      <c r="C1572" s="328">
        <v>1</v>
      </c>
      <c r="D1572" s="424">
        <v>3</v>
      </c>
      <c r="E1572" s="295"/>
      <c r="F1572" s="270"/>
      <c r="G1572" s="270"/>
    </row>
    <row r="1573" spans="1:7" ht="75.75" outlineLevel="1" x14ac:dyDescent="0.25">
      <c r="A1573" s="275">
        <v>44</v>
      </c>
      <c r="B1573" s="299" t="s">
        <v>40</v>
      </c>
      <c r="C1573" s="276"/>
      <c r="D1573" s="424"/>
      <c r="E1573" s="298"/>
      <c r="F1573" s="270"/>
      <c r="G1573" s="270"/>
    </row>
    <row r="1574" spans="1:7" outlineLevel="1" x14ac:dyDescent="0.25">
      <c r="A1574" s="275" t="s">
        <v>67</v>
      </c>
      <c r="B1574" s="299" t="s">
        <v>68</v>
      </c>
      <c r="C1574" s="273">
        <v>100</v>
      </c>
      <c r="D1574" s="424">
        <v>101.387946551808</v>
      </c>
      <c r="E1574" s="298"/>
      <c r="F1574" s="270"/>
      <c r="G1574" s="270"/>
    </row>
    <row r="1575" spans="1:7" outlineLevel="1" x14ac:dyDescent="0.25">
      <c r="A1575" s="275" t="s">
        <v>41</v>
      </c>
      <c r="B1575" s="299" t="s">
        <v>42</v>
      </c>
      <c r="C1575" s="273">
        <v>100</v>
      </c>
      <c r="D1575" s="424">
        <v>40.3568</v>
      </c>
      <c r="E1575" s="298"/>
      <c r="F1575" s="270"/>
      <c r="G1575" s="270"/>
    </row>
    <row r="1576" spans="1:7" outlineLevel="1" x14ac:dyDescent="0.25">
      <c r="A1576" s="275" t="s">
        <v>70</v>
      </c>
      <c r="B1576" s="299" t="s">
        <v>159</v>
      </c>
      <c r="C1576" s="273">
        <v>100</v>
      </c>
      <c r="D1576" s="424">
        <v>151.864779</v>
      </c>
      <c r="E1576" s="298"/>
      <c r="F1576" s="270"/>
      <c r="G1576" s="270"/>
    </row>
    <row r="1577" spans="1:7" outlineLevel="1" x14ac:dyDescent="0.25">
      <c r="A1577" s="275" t="s">
        <v>160</v>
      </c>
      <c r="B1577" s="299" t="s">
        <v>161</v>
      </c>
      <c r="C1577" s="273">
        <v>100</v>
      </c>
      <c r="D1577" s="424">
        <v>7.0949999999999998</v>
      </c>
      <c r="E1577" s="298"/>
      <c r="F1577" s="270"/>
      <c r="G1577" s="270"/>
    </row>
    <row r="1578" spans="1:7" outlineLevel="1" x14ac:dyDescent="0.25">
      <c r="A1578" s="506" t="s">
        <v>83</v>
      </c>
      <c r="B1578" s="506"/>
      <c r="C1578" s="506"/>
      <c r="D1578" s="506"/>
      <c r="E1578" s="506"/>
      <c r="F1578" s="270"/>
      <c r="G1578" s="270"/>
    </row>
    <row r="1579" spans="1:7" s="6" customFormat="1" ht="25.5" customHeight="1" x14ac:dyDescent="0.25">
      <c r="A1579" s="499" t="s">
        <v>552</v>
      </c>
      <c r="B1579" s="499"/>
      <c r="C1579" s="499"/>
      <c r="D1579" s="499"/>
      <c r="E1579" s="499"/>
      <c r="F1579" s="362"/>
      <c r="G1579" s="362"/>
    </row>
    <row r="1580" spans="1:7" s="7" customFormat="1" ht="23.25" customHeight="1" outlineLevel="1" x14ac:dyDescent="0.25">
      <c r="A1580" s="523" t="s">
        <v>476</v>
      </c>
      <c r="B1580" s="524"/>
      <c r="C1580" s="524"/>
      <c r="D1580" s="524"/>
      <c r="E1580" s="524"/>
      <c r="F1580" s="524"/>
      <c r="G1580" s="525"/>
    </row>
    <row r="1581" spans="1:7" s="7" customFormat="1" ht="15" customHeight="1" outlineLevel="1" x14ac:dyDescent="0.4">
      <c r="A1581" s="495" t="s">
        <v>477</v>
      </c>
      <c r="B1581" s="495"/>
      <c r="C1581" s="495"/>
      <c r="D1581" s="495"/>
      <c r="E1581" s="495"/>
      <c r="F1581" s="483"/>
      <c r="G1581" s="483"/>
    </row>
    <row r="1582" spans="1:7" s="7" customFormat="1" outlineLevel="1" x14ac:dyDescent="0.25">
      <c r="A1582" s="242">
        <v>1</v>
      </c>
      <c r="B1582" s="246" t="s">
        <v>409</v>
      </c>
      <c r="C1582" s="242" t="s">
        <v>474</v>
      </c>
      <c r="D1582" s="427">
        <v>25</v>
      </c>
      <c r="E1582" s="246"/>
      <c r="F1582" s="363"/>
      <c r="G1582" s="363"/>
    </row>
    <row r="1583" spans="1:7" s="7" customFormat="1" outlineLevel="1" x14ac:dyDescent="0.25">
      <c r="A1583" s="242">
        <v>2</v>
      </c>
      <c r="B1583" s="246" t="s">
        <v>410</v>
      </c>
      <c r="C1583" s="242" t="s">
        <v>474</v>
      </c>
      <c r="D1583" s="427">
        <v>700</v>
      </c>
      <c r="E1583" s="246"/>
      <c r="F1583" s="363"/>
      <c r="G1583" s="363"/>
    </row>
    <row r="1584" spans="1:7" s="7" customFormat="1" outlineLevel="1" x14ac:dyDescent="0.25">
      <c r="A1584" s="242">
        <v>3</v>
      </c>
      <c r="B1584" s="246" t="s">
        <v>411</v>
      </c>
      <c r="C1584" s="242" t="s">
        <v>474</v>
      </c>
      <c r="D1584" s="427">
        <v>700</v>
      </c>
      <c r="E1584" s="246"/>
      <c r="F1584" s="363"/>
      <c r="G1584" s="363"/>
    </row>
    <row r="1585" spans="1:7" s="7" customFormat="1" outlineLevel="1" x14ac:dyDescent="0.25">
      <c r="A1585" s="242">
        <v>4</v>
      </c>
      <c r="B1585" s="246" t="s">
        <v>412</v>
      </c>
      <c r="C1585" s="242" t="s">
        <v>474</v>
      </c>
      <c r="D1585" s="427">
        <v>1000</v>
      </c>
      <c r="E1585" s="246"/>
      <c r="F1585" s="363"/>
      <c r="G1585" s="363"/>
    </row>
    <row r="1586" spans="1:7" s="7" customFormat="1" outlineLevel="1" x14ac:dyDescent="0.25">
      <c r="A1586" s="242">
        <v>5</v>
      </c>
      <c r="B1586" s="246" t="s">
        <v>413</v>
      </c>
      <c r="C1586" s="242" t="s">
        <v>474</v>
      </c>
      <c r="D1586" s="427">
        <v>1500</v>
      </c>
      <c r="E1586" s="246"/>
      <c r="F1586" s="363"/>
      <c r="G1586" s="363"/>
    </row>
    <row r="1587" spans="1:7" s="7" customFormat="1" outlineLevel="1" x14ac:dyDescent="0.25">
      <c r="A1587" s="242">
        <v>6</v>
      </c>
      <c r="B1587" s="246" t="s">
        <v>414</v>
      </c>
      <c r="C1587" s="242" t="s">
        <v>474</v>
      </c>
      <c r="D1587" s="427">
        <v>1200</v>
      </c>
      <c r="E1587" s="246"/>
      <c r="F1587" s="363"/>
      <c r="G1587" s="363"/>
    </row>
    <row r="1588" spans="1:7" s="7" customFormat="1" outlineLevel="1" x14ac:dyDescent="0.25">
      <c r="A1588" s="242">
        <v>7</v>
      </c>
      <c r="B1588" s="246" t="s">
        <v>415</v>
      </c>
      <c r="C1588" s="242" t="s">
        <v>474</v>
      </c>
      <c r="D1588" s="427">
        <v>250</v>
      </c>
      <c r="E1588" s="246"/>
      <c r="F1588" s="363"/>
      <c r="G1588" s="363"/>
    </row>
    <row r="1589" spans="1:7" s="7" customFormat="1" outlineLevel="1" x14ac:dyDescent="0.25">
      <c r="A1589" s="242">
        <v>8</v>
      </c>
      <c r="B1589" s="246" t="s">
        <v>416</v>
      </c>
      <c r="C1589" s="242" t="s">
        <v>474</v>
      </c>
      <c r="D1589" s="427">
        <v>1000</v>
      </c>
      <c r="E1589" s="246"/>
      <c r="F1589" s="363"/>
      <c r="G1589" s="363"/>
    </row>
    <row r="1590" spans="1:7" s="7" customFormat="1" outlineLevel="1" x14ac:dyDescent="0.25">
      <c r="A1590" s="242">
        <v>9</v>
      </c>
      <c r="B1590" s="246" t="s">
        <v>417</v>
      </c>
      <c r="C1590" s="242" t="s">
        <v>474</v>
      </c>
      <c r="D1590" s="427">
        <v>700</v>
      </c>
      <c r="E1590" s="246"/>
      <c r="F1590" s="363"/>
      <c r="G1590" s="363"/>
    </row>
    <row r="1591" spans="1:7" s="7" customFormat="1" outlineLevel="1" x14ac:dyDescent="0.25">
      <c r="A1591" s="242">
        <v>10</v>
      </c>
      <c r="B1591" s="246" t="s">
        <v>418</v>
      </c>
      <c r="C1591" s="242" t="s">
        <v>474</v>
      </c>
      <c r="D1591" s="427">
        <v>500</v>
      </c>
      <c r="E1591" s="246"/>
      <c r="F1591" s="363"/>
      <c r="G1591" s="363"/>
    </row>
    <row r="1592" spans="1:7" s="7" customFormat="1" outlineLevel="1" x14ac:dyDescent="0.25">
      <c r="A1592" s="242">
        <v>11</v>
      </c>
      <c r="B1592" s="246" t="s">
        <v>419</v>
      </c>
      <c r="C1592" s="242" t="s">
        <v>474</v>
      </c>
      <c r="D1592" s="427">
        <v>500</v>
      </c>
      <c r="E1592" s="246"/>
      <c r="F1592" s="363"/>
      <c r="G1592" s="363"/>
    </row>
    <row r="1593" spans="1:7" s="7" customFormat="1" outlineLevel="1" x14ac:dyDescent="0.25">
      <c r="A1593" s="242">
        <v>12</v>
      </c>
      <c r="B1593" s="246" t="s">
        <v>420</v>
      </c>
      <c r="C1593" s="242" t="s">
        <v>474</v>
      </c>
      <c r="D1593" s="427">
        <v>200</v>
      </c>
      <c r="E1593" s="246"/>
      <c r="F1593" s="363"/>
      <c r="G1593" s="363"/>
    </row>
    <row r="1594" spans="1:7" s="7" customFormat="1" outlineLevel="1" x14ac:dyDescent="0.25">
      <c r="A1594" s="242">
        <v>13</v>
      </c>
      <c r="B1594" s="246" t="s">
        <v>421</v>
      </c>
      <c r="C1594" s="242" t="s">
        <v>474</v>
      </c>
      <c r="D1594" s="427">
        <v>150</v>
      </c>
      <c r="E1594" s="246"/>
      <c r="F1594" s="363"/>
      <c r="G1594" s="363"/>
    </row>
    <row r="1595" spans="1:7" s="7" customFormat="1" outlineLevel="1" x14ac:dyDescent="0.25">
      <c r="A1595" s="242">
        <v>14</v>
      </c>
      <c r="B1595" s="246" t="s">
        <v>422</v>
      </c>
      <c r="C1595" s="242" t="s">
        <v>558</v>
      </c>
      <c r="D1595" s="427">
        <v>1200</v>
      </c>
      <c r="E1595" s="246"/>
      <c r="F1595" s="363"/>
      <c r="G1595" s="363"/>
    </row>
    <row r="1596" spans="1:7" s="7" customFormat="1" outlineLevel="1" x14ac:dyDescent="0.25">
      <c r="A1596" s="242">
        <v>15</v>
      </c>
      <c r="B1596" s="246" t="s">
        <v>423</v>
      </c>
      <c r="C1596" s="242" t="s">
        <v>474</v>
      </c>
      <c r="D1596" s="427">
        <v>55000</v>
      </c>
      <c r="E1596" s="246"/>
      <c r="F1596" s="363"/>
      <c r="G1596" s="363"/>
    </row>
    <row r="1597" spans="1:7" customFormat="1" outlineLevel="1" x14ac:dyDescent="0.25">
      <c r="A1597" s="496" t="s">
        <v>475</v>
      </c>
      <c r="B1597" s="496"/>
      <c r="C1597" s="496"/>
      <c r="D1597" s="496"/>
      <c r="E1597" s="496"/>
      <c r="F1597" s="364"/>
      <c r="G1597" s="364"/>
    </row>
    <row r="1598" spans="1:7" customFormat="1" ht="15" customHeight="1" outlineLevel="1" x14ac:dyDescent="0.25">
      <c r="A1598" s="495" t="s">
        <v>478</v>
      </c>
      <c r="B1598" s="495"/>
      <c r="C1598" s="495"/>
      <c r="D1598" s="495"/>
      <c r="E1598" s="495"/>
      <c r="F1598" s="364"/>
      <c r="G1598" s="364"/>
    </row>
    <row r="1599" spans="1:7" s="7" customFormat="1" outlineLevel="1" x14ac:dyDescent="0.25">
      <c r="A1599" s="242">
        <v>1</v>
      </c>
      <c r="B1599" s="246" t="s">
        <v>424</v>
      </c>
      <c r="C1599" s="242" t="s">
        <v>474</v>
      </c>
      <c r="D1599" s="427">
        <v>2</v>
      </c>
      <c r="E1599" s="246"/>
      <c r="F1599" s="363"/>
      <c r="G1599" s="363"/>
    </row>
    <row r="1600" spans="1:7" s="7" customFormat="1" outlineLevel="1" x14ac:dyDescent="0.25">
      <c r="A1600" s="242">
        <v>2</v>
      </c>
      <c r="B1600" s="246" t="s">
        <v>425</v>
      </c>
      <c r="C1600" s="242" t="s">
        <v>474</v>
      </c>
      <c r="D1600" s="427">
        <v>5</v>
      </c>
      <c r="E1600" s="246"/>
      <c r="F1600" s="363"/>
      <c r="G1600" s="363"/>
    </row>
    <row r="1601" spans="1:7" s="7" customFormat="1" outlineLevel="1" x14ac:dyDescent="0.25">
      <c r="A1601" s="242">
        <v>3</v>
      </c>
      <c r="B1601" s="246" t="s">
        <v>426</v>
      </c>
      <c r="C1601" s="242" t="s">
        <v>474</v>
      </c>
      <c r="D1601" s="427">
        <v>5</v>
      </c>
      <c r="E1601" s="246"/>
      <c r="F1601" s="363"/>
      <c r="G1601" s="363"/>
    </row>
    <row r="1602" spans="1:7" s="7" customFormat="1" outlineLevel="1" x14ac:dyDescent="0.25">
      <c r="A1602" s="242">
        <v>4</v>
      </c>
      <c r="B1602" s="246" t="s">
        <v>427</v>
      </c>
      <c r="C1602" s="242" t="s">
        <v>474</v>
      </c>
      <c r="D1602" s="427">
        <v>40</v>
      </c>
      <c r="E1602" s="246"/>
      <c r="F1602" s="363"/>
      <c r="G1602" s="363"/>
    </row>
    <row r="1603" spans="1:7" s="7" customFormat="1" outlineLevel="1" x14ac:dyDescent="0.25">
      <c r="A1603" s="242">
        <v>5</v>
      </c>
      <c r="B1603" s="246" t="s">
        <v>411</v>
      </c>
      <c r="C1603" s="242" t="s">
        <v>474</v>
      </c>
      <c r="D1603" s="427">
        <v>120</v>
      </c>
      <c r="E1603" s="246"/>
      <c r="F1603" s="363"/>
      <c r="G1603" s="363"/>
    </row>
    <row r="1604" spans="1:7" s="7" customFormat="1" outlineLevel="1" x14ac:dyDescent="0.25">
      <c r="A1604" s="242">
        <v>6</v>
      </c>
      <c r="B1604" s="246" t="s">
        <v>412</v>
      </c>
      <c r="C1604" s="242" t="s">
        <v>474</v>
      </c>
      <c r="D1604" s="427">
        <v>700</v>
      </c>
      <c r="E1604" s="246"/>
      <c r="F1604" s="363"/>
      <c r="G1604" s="363"/>
    </row>
    <row r="1605" spans="1:7" s="7" customFormat="1" outlineLevel="1" x14ac:dyDescent="0.25">
      <c r="A1605" s="242">
        <v>7</v>
      </c>
      <c r="B1605" s="246" t="s">
        <v>415</v>
      </c>
      <c r="C1605" s="242" t="s">
        <v>474</v>
      </c>
      <c r="D1605" s="427">
        <v>2100</v>
      </c>
      <c r="E1605" s="246"/>
      <c r="F1605" s="363"/>
      <c r="G1605" s="363"/>
    </row>
    <row r="1606" spans="1:7" s="7" customFormat="1" outlineLevel="1" x14ac:dyDescent="0.25">
      <c r="A1606" s="242">
        <v>8</v>
      </c>
      <c r="B1606" s="246" t="s">
        <v>428</v>
      </c>
      <c r="C1606" s="242" t="s">
        <v>474</v>
      </c>
      <c r="D1606" s="427">
        <v>60</v>
      </c>
      <c r="E1606" s="246"/>
      <c r="F1606" s="363"/>
      <c r="G1606" s="363"/>
    </row>
    <row r="1607" spans="1:7" s="7" customFormat="1" outlineLevel="1" x14ac:dyDescent="0.25">
      <c r="A1607" s="242">
        <v>9</v>
      </c>
      <c r="B1607" s="246" t="s">
        <v>423</v>
      </c>
      <c r="C1607" s="242" t="s">
        <v>474</v>
      </c>
      <c r="D1607" s="427">
        <v>3200</v>
      </c>
      <c r="E1607" s="246"/>
      <c r="F1607" s="363"/>
      <c r="G1607" s="363"/>
    </row>
    <row r="1608" spans="1:7" s="7" customFormat="1" outlineLevel="1" x14ac:dyDescent="0.25">
      <c r="A1608" s="242">
        <v>10</v>
      </c>
      <c r="B1608" s="246" t="s">
        <v>429</v>
      </c>
      <c r="C1608" s="242" t="s">
        <v>474</v>
      </c>
      <c r="D1608" s="427">
        <v>500</v>
      </c>
      <c r="E1608" s="246"/>
      <c r="F1608" s="363"/>
      <c r="G1608" s="363"/>
    </row>
    <row r="1609" spans="1:7" s="7" customFormat="1" outlineLevel="1" x14ac:dyDescent="0.25">
      <c r="A1609" s="242">
        <v>11</v>
      </c>
      <c r="B1609" s="246" t="s">
        <v>430</v>
      </c>
      <c r="C1609" s="242" t="s">
        <v>474</v>
      </c>
      <c r="D1609" s="427">
        <v>150</v>
      </c>
      <c r="E1609" s="246"/>
      <c r="F1609" s="363"/>
      <c r="G1609" s="363"/>
    </row>
    <row r="1610" spans="1:7" s="7" customFormat="1" outlineLevel="1" x14ac:dyDescent="0.25">
      <c r="A1610" s="242">
        <v>12</v>
      </c>
      <c r="B1610" s="246" t="s">
        <v>431</v>
      </c>
      <c r="C1610" s="242" t="s">
        <v>474</v>
      </c>
      <c r="D1610" s="427">
        <v>50</v>
      </c>
      <c r="E1610" s="246"/>
      <c r="F1610" s="363"/>
      <c r="G1610" s="363"/>
    </row>
    <row r="1611" spans="1:7" s="7" customFormat="1" outlineLevel="1" x14ac:dyDescent="0.25">
      <c r="A1611" s="242">
        <v>13</v>
      </c>
      <c r="B1611" s="246" t="s">
        <v>432</v>
      </c>
      <c r="C1611" s="242" t="s">
        <v>474</v>
      </c>
      <c r="D1611" s="427">
        <v>50</v>
      </c>
      <c r="E1611" s="246"/>
      <c r="F1611" s="363"/>
      <c r="G1611" s="363"/>
    </row>
    <row r="1612" spans="1:7" s="7" customFormat="1" outlineLevel="1" x14ac:dyDescent="0.25">
      <c r="A1612" s="242">
        <v>14</v>
      </c>
      <c r="B1612" s="246" t="s">
        <v>433</v>
      </c>
      <c r="C1612" s="242" t="s">
        <v>474</v>
      </c>
      <c r="D1612" s="427">
        <v>500</v>
      </c>
      <c r="E1612" s="246"/>
      <c r="F1612" s="363"/>
      <c r="G1612" s="363"/>
    </row>
    <row r="1613" spans="1:7" s="7" customFormat="1" ht="44.25" customHeight="1" outlineLevel="1" x14ac:dyDescent="0.25">
      <c r="A1613" s="242">
        <v>15</v>
      </c>
      <c r="B1613" s="365" t="s">
        <v>434</v>
      </c>
      <c r="C1613" s="242" t="s">
        <v>474</v>
      </c>
      <c r="D1613" s="427">
        <v>200</v>
      </c>
      <c r="E1613" s="246"/>
      <c r="F1613" s="363"/>
      <c r="G1613" s="363"/>
    </row>
    <row r="1614" spans="1:7" s="7" customFormat="1" ht="58.5" customHeight="1" outlineLevel="1" x14ac:dyDescent="0.25">
      <c r="A1614" s="242">
        <v>16</v>
      </c>
      <c r="B1614" s="365" t="s">
        <v>515</v>
      </c>
      <c r="C1614" s="242" t="s">
        <v>474</v>
      </c>
      <c r="D1614" s="427">
        <v>200</v>
      </c>
      <c r="E1614" s="246"/>
      <c r="F1614" s="363"/>
      <c r="G1614" s="363"/>
    </row>
    <row r="1615" spans="1:7" s="7" customFormat="1" ht="31.5" outlineLevel="1" x14ac:dyDescent="0.25">
      <c r="A1615" s="242">
        <v>17</v>
      </c>
      <c r="B1615" s="365" t="s">
        <v>435</v>
      </c>
      <c r="C1615" s="242" t="s">
        <v>474</v>
      </c>
      <c r="D1615" s="427">
        <v>200</v>
      </c>
      <c r="E1615" s="246"/>
      <c r="F1615" s="363"/>
      <c r="G1615" s="363"/>
    </row>
    <row r="1616" spans="1:7" s="7" customFormat="1" outlineLevel="1" x14ac:dyDescent="0.25">
      <c r="A1616" s="496" t="s">
        <v>475</v>
      </c>
      <c r="B1616" s="496"/>
      <c r="C1616" s="496"/>
      <c r="D1616" s="496"/>
      <c r="E1616" s="496"/>
      <c r="F1616" s="363"/>
      <c r="G1616" s="363"/>
    </row>
    <row r="1617" spans="1:7" s="7" customFormat="1" ht="15" customHeight="1" outlineLevel="1" x14ac:dyDescent="0.25">
      <c r="A1617" s="495" t="s">
        <v>479</v>
      </c>
      <c r="B1617" s="495"/>
      <c r="C1617" s="495"/>
      <c r="D1617" s="495"/>
      <c r="E1617" s="495"/>
      <c r="F1617" s="363"/>
      <c r="G1617" s="363"/>
    </row>
    <row r="1618" spans="1:7" s="7" customFormat="1" outlineLevel="1" x14ac:dyDescent="0.25">
      <c r="A1618" s="242">
        <v>1</v>
      </c>
      <c r="B1618" s="246" t="s">
        <v>436</v>
      </c>
      <c r="C1618" s="242" t="s">
        <v>474</v>
      </c>
      <c r="D1618" s="427">
        <v>5000</v>
      </c>
      <c r="E1618" s="246"/>
      <c r="F1618" s="363"/>
      <c r="G1618" s="363"/>
    </row>
    <row r="1619" spans="1:7" s="7" customFormat="1" outlineLevel="1" x14ac:dyDescent="0.25">
      <c r="A1619" s="242">
        <v>2</v>
      </c>
      <c r="B1619" s="246" t="s">
        <v>437</v>
      </c>
      <c r="C1619" s="242" t="s">
        <v>474</v>
      </c>
      <c r="D1619" s="427">
        <v>50</v>
      </c>
      <c r="E1619" s="246"/>
      <c r="F1619" s="363"/>
      <c r="G1619" s="363"/>
    </row>
    <row r="1620" spans="1:7" s="7" customFormat="1" outlineLevel="1" x14ac:dyDescent="0.25">
      <c r="A1620" s="242">
        <v>3</v>
      </c>
      <c r="B1620" s="246" t="s">
        <v>438</v>
      </c>
      <c r="C1620" s="242" t="s">
        <v>474</v>
      </c>
      <c r="D1620" s="427">
        <v>10</v>
      </c>
      <c r="E1620" s="246"/>
      <c r="F1620" s="363"/>
      <c r="G1620" s="363"/>
    </row>
    <row r="1621" spans="1:7" s="7" customFormat="1" outlineLevel="1" x14ac:dyDescent="0.25">
      <c r="A1621" s="242">
        <v>4</v>
      </c>
      <c r="B1621" s="246" t="s">
        <v>439</v>
      </c>
      <c r="C1621" s="242" t="s">
        <v>474</v>
      </c>
      <c r="D1621" s="427">
        <v>20</v>
      </c>
      <c r="E1621" s="246"/>
      <c r="F1621" s="363"/>
      <c r="G1621" s="363"/>
    </row>
    <row r="1622" spans="1:7" s="7" customFormat="1" outlineLevel="1" x14ac:dyDescent="0.25">
      <c r="A1622" s="242">
        <v>5</v>
      </c>
      <c r="B1622" s="246" t="s">
        <v>440</v>
      </c>
      <c r="C1622" s="242" t="s">
        <v>474</v>
      </c>
      <c r="D1622" s="427">
        <v>80</v>
      </c>
      <c r="E1622" s="246"/>
      <c r="F1622" s="363"/>
      <c r="G1622" s="363"/>
    </row>
    <row r="1623" spans="1:7" s="7" customFormat="1" outlineLevel="1" x14ac:dyDescent="0.25">
      <c r="A1623" s="496" t="s">
        <v>475</v>
      </c>
      <c r="B1623" s="496"/>
      <c r="C1623" s="496"/>
      <c r="D1623" s="496"/>
      <c r="E1623" s="496"/>
      <c r="F1623" s="363"/>
      <c r="G1623" s="363"/>
    </row>
    <row r="1624" spans="1:7" s="7" customFormat="1" ht="15" customHeight="1" outlineLevel="1" x14ac:dyDescent="0.25">
      <c r="A1624" s="495" t="s">
        <v>480</v>
      </c>
      <c r="B1624" s="495"/>
      <c r="C1624" s="495"/>
      <c r="D1624" s="495"/>
      <c r="E1624" s="495"/>
      <c r="F1624" s="363"/>
      <c r="G1624" s="363"/>
    </row>
    <row r="1625" spans="1:7" s="7" customFormat="1" outlineLevel="1" x14ac:dyDescent="0.25">
      <c r="A1625" s="242">
        <v>1</v>
      </c>
      <c r="B1625" s="246" t="s">
        <v>441</v>
      </c>
      <c r="C1625" s="242" t="s">
        <v>474</v>
      </c>
      <c r="D1625" s="427">
        <v>1</v>
      </c>
      <c r="E1625" s="246"/>
      <c r="F1625" s="363"/>
      <c r="G1625" s="363"/>
    </row>
    <row r="1626" spans="1:7" s="7" customFormat="1" outlineLevel="1" x14ac:dyDescent="0.25">
      <c r="A1626" s="242">
        <v>2</v>
      </c>
      <c r="B1626" s="246" t="s">
        <v>442</v>
      </c>
      <c r="C1626" s="242" t="s">
        <v>474</v>
      </c>
      <c r="D1626" s="427">
        <v>1</v>
      </c>
      <c r="E1626" s="246"/>
      <c r="F1626" s="363"/>
      <c r="G1626" s="363"/>
    </row>
    <row r="1627" spans="1:7" s="7" customFormat="1" outlineLevel="1" x14ac:dyDescent="0.25">
      <c r="A1627" s="242">
        <v>3</v>
      </c>
      <c r="B1627" s="246" t="s">
        <v>443</v>
      </c>
      <c r="C1627" s="242" t="s">
        <v>474</v>
      </c>
      <c r="D1627" s="427">
        <v>1</v>
      </c>
      <c r="E1627" s="246"/>
      <c r="F1627" s="363"/>
      <c r="G1627" s="363"/>
    </row>
    <row r="1628" spans="1:7" s="7" customFormat="1" outlineLevel="1" x14ac:dyDescent="0.25">
      <c r="A1628" s="496" t="s">
        <v>475</v>
      </c>
      <c r="B1628" s="496"/>
      <c r="C1628" s="496"/>
      <c r="D1628" s="496"/>
      <c r="E1628" s="496"/>
      <c r="F1628" s="363"/>
      <c r="G1628" s="363"/>
    </row>
    <row r="1629" spans="1:7" s="7" customFormat="1" ht="15" customHeight="1" outlineLevel="1" x14ac:dyDescent="0.25">
      <c r="A1629" s="495" t="s">
        <v>481</v>
      </c>
      <c r="B1629" s="495"/>
      <c r="C1629" s="495"/>
      <c r="D1629" s="495"/>
      <c r="E1629" s="495"/>
      <c r="F1629" s="363"/>
      <c r="G1629" s="363"/>
    </row>
    <row r="1630" spans="1:7" s="7" customFormat="1" outlineLevel="1" x14ac:dyDescent="0.25">
      <c r="A1630" s="242">
        <v>1</v>
      </c>
      <c r="B1630" s="246" t="s">
        <v>444</v>
      </c>
      <c r="C1630" s="242" t="s">
        <v>474</v>
      </c>
      <c r="D1630" s="427">
        <v>1</v>
      </c>
      <c r="E1630" s="246"/>
      <c r="F1630" s="363"/>
      <c r="G1630" s="363"/>
    </row>
    <row r="1631" spans="1:7" s="7" customFormat="1" outlineLevel="1" x14ac:dyDescent="0.25">
      <c r="A1631" s="496" t="s">
        <v>475</v>
      </c>
      <c r="B1631" s="496"/>
      <c r="C1631" s="496"/>
      <c r="D1631" s="496"/>
      <c r="E1631" s="496"/>
      <c r="F1631" s="363"/>
      <c r="G1631" s="363"/>
    </row>
    <row r="1632" spans="1:7" s="7" customFormat="1" ht="15" customHeight="1" outlineLevel="1" x14ac:dyDescent="0.25">
      <c r="A1632" s="495" t="s">
        <v>482</v>
      </c>
      <c r="B1632" s="495"/>
      <c r="C1632" s="495"/>
      <c r="D1632" s="495"/>
      <c r="E1632" s="495"/>
      <c r="F1632" s="363"/>
      <c r="G1632" s="363"/>
    </row>
    <row r="1633" spans="1:7" s="7" customFormat="1" outlineLevel="1" x14ac:dyDescent="0.25">
      <c r="A1633" s="242">
        <v>1</v>
      </c>
      <c r="B1633" s="246" t="s">
        <v>445</v>
      </c>
      <c r="C1633" s="242" t="s">
        <v>474</v>
      </c>
      <c r="D1633" s="427">
        <v>1</v>
      </c>
      <c r="E1633" s="246"/>
      <c r="F1633" s="363"/>
      <c r="G1633" s="363"/>
    </row>
    <row r="1634" spans="1:7" s="7" customFormat="1" outlineLevel="1" x14ac:dyDescent="0.25">
      <c r="A1634" s="496" t="s">
        <v>475</v>
      </c>
      <c r="B1634" s="496"/>
      <c r="C1634" s="496"/>
      <c r="D1634" s="496"/>
      <c r="E1634" s="496"/>
      <c r="F1634" s="363"/>
      <c r="G1634" s="363"/>
    </row>
    <row r="1635" spans="1:7" s="7" customFormat="1" ht="15" customHeight="1" outlineLevel="1" x14ac:dyDescent="0.25">
      <c r="A1635" s="495" t="s">
        <v>483</v>
      </c>
      <c r="B1635" s="495"/>
      <c r="C1635" s="495"/>
      <c r="D1635" s="495"/>
      <c r="E1635" s="495"/>
      <c r="F1635" s="363"/>
      <c r="G1635" s="363"/>
    </row>
    <row r="1636" spans="1:7" s="7" customFormat="1" outlineLevel="1" x14ac:dyDescent="0.25">
      <c r="A1636" s="242">
        <v>1</v>
      </c>
      <c r="B1636" s="246" t="s">
        <v>446</v>
      </c>
      <c r="C1636" s="242" t="s">
        <v>474</v>
      </c>
      <c r="D1636" s="427">
        <v>1</v>
      </c>
      <c r="E1636" s="246"/>
      <c r="F1636" s="363"/>
      <c r="G1636" s="363"/>
    </row>
    <row r="1637" spans="1:7" s="7" customFormat="1" outlineLevel="1" x14ac:dyDescent="0.25">
      <c r="A1637" s="496" t="s">
        <v>475</v>
      </c>
      <c r="B1637" s="496"/>
      <c r="C1637" s="496"/>
      <c r="D1637" s="496"/>
      <c r="E1637" s="496"/>
      <c r="F1637" s="363"/>
      <c r="G1637" s="363"/>
    </row>
    <row r="1638" spans="1:7" s="7" customFormat="1" outlineLevel="1" x14ac:dyDescent="0.25">
      <c r="A1638" s="496" t="s">
        <v>475</v>
      </c>
      <c r="B1638" s="496"/>
      <c r="C1638" s="496"/>
      <c r="D1638" s="496"/>
      <c r="E1638" s="496"/>
      <c r="F1638" s="363"/>
      <c r="G1638" s="363"/>
    </row>
    <row r="1639" spans="1:7" s="7" customFormat="1" ht="29.25" customHeight="1" outlineLevel="1" x14ac:dyDescent="0.25">
      <c r="A1639" s="523" t="s">
        <v>484</v>
      </c>
      <c r="B1639" s="524"/>
      <c r="C1639" s="524"/>
      <c r="D1639" s="524"/>
      <c r="E1639" s="524"/>
      <c r="F1639" s="524"/>
      <c r="G1639" s="525"/>
    </row>
    <row r="1640" spans="1:7" s="7" customFormat="1" ht="21" customHeight="1" outlineLevel="1" x14ac:dyDescent="0.25">
      <c r="A1640" s="495" t="s">
        <v>485</v>
      </c>
      <c r="B1640" s="495"/>
      <c r="C1640" s="495"/>
      <c r="D1640" s="495"/>
      <c r="E1640" s="495"/>
      <c r="F1640" s="363"/>
      <c r="G1640" s="363"/>
    </row>
    <row r="1641" spans="1:7" s="7" customFormat="1" outlineLevel="1" x14ac:dyDescent="0.25">
      <c r="A1641" s="248">
        <v>1</v>
      </c>
      <c r="B1641" s="366" t="s">
        <v>447</v>
      </c>
      <c r="C1641" s="242" t="s">
        <v>448</v>
      </c>
      <c r="D1641" s="427">
        <v>1</v>
      </c>
      <c r="E1641" s="246"/>
      <c r="F1641" s="363"/>
      <c r="G1641" s="363"/>
    </row>
    <row r="1642" spans="1:7" s="7" customFormat="1" outlineLevel="1" x14ac:dyDescent="0.25">
      <c r="A1642" s="248">
        <v>2</v>
      </c>
      <c r="B1642" s="366" t="s">
        <v>449</v>
      </c>
      <c r="C1642" s="242" t="s">
        <v>448</v>
      </c>
      <c r="D1642" s="427">
        <v>1</v>
      </c>
      <c r="E1642" s="246"/>
      <c r="F1642" s="363"/>
      <c r="G1642" s="363"/>
    </row>
    <row r="1643" spans="1:7" s="7" customFormat="1" outlineLevel="1" x14ac:dyDescent="0.25">
      <c r="A1643" s="248">
        <v>3</v>
      </c>
      <c r="B1643" s="366" t="s">
        <v>450</v>
      </c>
      <c r="C1643" s="242" t="s">
        <v>448</v>
      </c>
      <c r="D1643" s="427">
        <v>3</v>
      </c>
      <c r="E1643" s="246"/>
      <c r="F1643" s="363"/>
      <c r="G1643" s="363"/>
    </row>
    <row r="1644" spans="1:7" s="7" customFormat="1" outlineLevel="1" x14ac:dyDescent="0.25">
      <c r="A1644" s="248">
        <v>4</v>
      </c>
      <c r="B1644" s="366" t="s">
        <v>412</v>
      </c>
      <c r="C1644" s="242" t="s">
        <v>448</v>
      </c>
      <c r="D1644" s="427">
        <v>9</v>
      </c>
      <c r="E1644" s="246"/>
      <c r="F1644" s="363"/>
      <c r="G1644" s="363"/>
    </row>
    <row r="1645" spans="1:7" s="7" customFormat="1" outlineLevel="1" x14ac:dyDescent="0.25">
      <c r="A1645" s="248">
        <v>5</v>
      </c>
      <c r="B1645" s="366" t="s">
        <v>451</v>
      </c>
      <c r="C1645" s="242" t="s">
        <v>448</v>
      </c>
      <c r="D1645" s="427">
        <v>3</v>
      </c>
      <c r="E1645" s="246"/>
      <c r="F1645" s="363"/>
      <c r="G1645" s="363"/>
    </row>
    <row r="1646" spans="1:7" s="7" customFormat="1" outlineLevel="1" x14ac:dyDescent="0.25">
      <c r="A1646" s="248">
        <v>6</v>
      </c>
      <c r="B1646" s="366" t="s">
        <v>452</v>
      </c>
      <c r="C1646" s="242" t="s">
        <v>453</v>
      </c>
      <c r="D1646" s="427">
        <v>930</v>
      </c>
      <c r="E1646" s="246"/>
      <c r="F1646" s="363"/>
      <c r="G1646" s="363"/>
    </row>
    <row r="1647" spans="1:7" s="7" customFormat="1" outlineLevel="1" x14ac:dyDescent="0.25">
      <c r="A1647" s="248">
        <v>7</v>
      </c>
      <c r="B1647" s="366" t="s">
        <v>454</v>
      </c>
      <c r="C1647" s="242" t="s">
        <v>448</v>
      </c>
      <c r="D1647" s="427">
        <v>1</v>
      </c>
      <c r="E1647" s="246"/>
      <c r="F1647" s="363"/>
      <c r="G1647" s="363"/>
    </row>
    <row r="1648" spans="1:7" s="7" customFormat="1" outlineLevel="1" x14ac:dyDescent="0.25">
      <c r="A1648" s="248">
        <v>8</v>
      </c>
      <c r="B1648" s="366" t="s">
        <v>455</v>
      </c>
      <c r="C1648" s="242" t="s">
        <v>448</v>
      </c>
      <c r="D1648" s="427">
        <v>9</v>
      </c>
      <c r="E1648" s="246"/>
      <c r="F1648" s="363"/>
      <c r="G1648" s="363"/>
    </row>
    <row r="1649" spans="1:7" s="7" customFormat="1" outlineLevel="1" x14ac:dyDescent="0.25">
      <c r="A1649" s="248">
        <v>9</v>
      </c>
      <c r="B1649" s="366" t="s">
        <v>456</v>
      </c>
      <c r="C1649" s="242" t="s">
        <v>448</v>
      </c>
      <c r="D1649" s="427">
        <v>6</v>
      </c>
      <c r="E1649" s="246"/>
      <c r="F1649" s="363"/>
      <c r="G1649" s="363"/>
    </row>
    <row r="1650" spans="1:7" s="7" customFormat="1" outlineLevel="1" x14ac:dyDescent="0.25">
      <c r="A1650" s="248">
        <v>10</v>
      </c>
      <c r="B1650" s="366" t="s">
        <v>457</v>
      </c>
      <c r="C1650" s="242" t="s">
        <v>448</v>
      </c>
      <c r="D1650" s="427">
        <v>4</v>
      </c>
      <c r="E1650" s="246"/>
      <c r="F1650" s="363"/>
      <c r="G1650" s="363"/>
    </row>
    <row r="1651" spans="1:7" s="7" customFormat="1" outlineLevel="1" x14ac:dyDescent="0.25">
      <c r="A1651" s="248">
        <v>11</v>
      </c>
      <c r="B1651" s="366" t="s">
        <v>422</v>
      </c>
      <c r="C1651" s="242" t="s">
        <v>458</v>
      </c>
      <c r="D1651" s="427">
        <v>110</v>
      </c>
      <c r="E1651" s="246"/>
      <c r="F1651" s="363"/>
      <c r="G1651" s="363"/>
    </row>
    <row r="1652" spans="1:7" s="7" customFormat="1" outlineLevel="1" x14ac:dyDescent="0.25">
      <c r="A1652" s="248">
        <v>12</v>
      </c>
      <c r="B1652" s="366" t="s">
        <v>459</v>
      </c>
      <c r="C1652" s="242" t="s">
        <v>448</v>
      </c>
      <c r="D1652" s="427">
        <v>7</v>
      </c>
      <c r="E1652" s="246"/>
      <c r="F1652" s="363"/>
      <c r="G1652" s="363"/>
    </row>
    <row r="1653" spans="1:7" s="7" customFormat="1" outlineLevel="1" x14ac:dyDescent="0.25">
      <c r="A1653" s="248">
        <v>13</v>
      </c>
      <c r="B1653" s="366" t="s">
        <v>460</v>
      </c>
      <c r="C1653" s="242" t="s">
        <v>453</v>
      </c>
      <c r="D1653" s="427">
        <v>30</v>
      </c>
      <c r="E1653" s="246"/>
      <c r="F1653" s="363"/>
      <c r="G1653" s="363"/>
    </row>
    <row r="1654" spans="1:7" s="7" customFormat="1" outlineLevel="1" x14ac:dyDescent="0.25">
      <c r="A1654" s="248">
        <v>14</v>
      </c>
      <c r="B1654" s="366" t="s">
        <v>461</v>
      </c>
      <c r="C1654" s="242" t="s">
        <v>462</v>
      </c>
      <c r="D1654" s="427">
        <v>1</v>
      </c>
      <c r="E1654" s="246"/>
      <c r="F1654" s="363"/>
      <c r="G1654" s="363"/>
    </row>
    <row r="1655" spans="1:7" s="7" customFormat="1" outlineLevel="1" x14ac:dyDescent="0.25">
      <c r="A1655" s="240"/>
      <c r="B1655" s="245" t="s">
        <v>475</v>
      </c>
      <c r="C1655" s="242"/>
      <c r="D1655" s="427"/>
      <c r="E1655" s="246"/>
      <c r="F1655" s="363"/>
      <c r="G1655" s="363"/>
    </row>
    <row r="1656" spans="1:7" s="7" customFormat="1" outlineLevel="1" x14ac:dyDescent="0.25">
      <c r="A1656" s="240"/>
      <c r="B1656" s="366" t="s">
        <v>463</v>
      </c>
      <c r="C1656" s="242"/>
      <c r="D1656" s="427"/>
      <c r="E1656" s="246"/>
      <c r="F1656" s="363"/>
      <c r="G1656" s="363"/>
    </row>
    <row r="1657" spans="1:7" s="7" customFormat="1" outlineLevel="1" x14ac:dyDescent="0.25">
      <c r="A1657" s="240"/>
      <c r="B1657" s="366" t="s">
        <v>464</v>
      </c>
      <c r="C1657" s="242" t="s">
        <v>448</v>
      </c>
      <c r="D1657" s="427">
        <v>3</v>
      </c>
      <c r="E1657" s="246"/>
      <c r="F1657" s="363"/>
      <c r="G1657" s="363"/>
    </row>
    <row r="1658" spans="1:7" s="7" customFormat="1" outlineLevel="1" x14ac:dyDescent="0.25">
      <c r="A1658" s="240"/>
      <c r="B1658" s="366" t="s">
        <v>465</v>
      </c>
      <c r="C1658" s="242"/>
      <c r="D1658" s="427"/>
      <c r="E1658" s="246"/>
      <c r="F1658" s="363"/>
      <c r="G1658" s="363"/>
    </row>
    <row r="1659" spans="1:7" s="7" customFormat="1" outlineLevel="1" x14ac:dyDescent="0.25">
      <c r="A1659" s="240"/>
      <c r="B1659" s="496" t="s">
        <v>475</v>
      </c>
      <c r="C1659" s="496"/>
      <c r="D1659" s="496"/>
      <c r="E1659" s="496"/>
      <c r="F1659" s="363"/>
      <c r="G1659" s="363"/>
    </row>
    <row r="1660" spans="1:7" s="7" customFormat="1" ht="18.75" outlineLevel="1" x14ac:dyDescent="0.25">
      <c r="A1660" s="495" t="s">
        <v>486</v>
      </c>
      <c r="B1660" s="495"/>
      <c r="C1660" s="495"/>
      <c r="D1660" s="495"/>
      <c r="E1660" s="495"/>
      <c r="F1660" s="363"/>
      <c r="G1660" s="363"/>
    </row>
    <row r="1661" spans="1:7" s="7" customFormat="1" outlineLevel="1" x14ac:dyDescent="0.25">
      <c r="A1661" s="248">
        <v>1</v>
      </c>
      <c r="B1661" s="366" t="s">
        <v>447</v>
      </c>
      <c r="C1661" s="242" t="s">
        <v>448</v>
      </c>
      <c r="D1661" s="427">
        <v>1</v>
      </c>
      <c r="E1661" s="242"/>
      <c r="F1661" s="363"/>
      <c r="G1661" s="363"/>
    </row>
    <row r="1662" spans="1:7" s="7" customFormat="1" outlineLevel="1" x14ac:dyDescent="0.25">
      <c r="A1662" s="248">
        <v>2</v>
      </c>
      <c r="B1662" s="366" t="s">
        <v>449</v>
      </c>
      <c r="C1662" s="242" t="s">
        <v>448</v>
      </c>
      <c r="D1662" s="427">
        <v>1</v>
      </c>
      <c r="E1662" s="242"/>
      <c r="F1662" s="363"/>
      <c r="G1662" s="363"/>
    </row>
    <row r="1663" spans="1:7" s="7" customFormat="1" outlineLevel="1" x14ac:dyDescent="0.25">
      <c r="A1663" s="248">
        <v>3</v>
      </c>
      <c r="B1663" s="366" t="s">
        <v>450</v>
      </c>
      <c r="C1663" s="242" t="s">
        <v>448</v>
      </c>
      <c r="D1663" s="427">
        <v>1</v>
      </c>
      <c r="E1663" s="242"/>
      <c r="F1663" s="363"/>
      <c r="G1663" s="363"/>
    </row>
    <row r="1664" spans="1:7" s="7" customFormat="1" outlineLevel="1" x14ac:dyDescent="0.25">
      <c r="A1664" s="248">
        <v>4</v>
      </c>
      <c r="B1664" s="366" t="s">
        <v>412</v>
      </c>
      <c r="C1664" s="242" t="s">
        <v>448</v>
      </c>
      <c r="D1664" s="427">
        <v>3</v>
      </c>
      <c r="E1664" s="242"/>
      <c r="F1664" s="363"/>
      <c r="G1664" s="363"/>
    </row>
    <row r="1665" spans="1:7" s="7" customFormat="1" outlineLevel="1" x14ac:dyDescent="0.25">
      <c r="A1665" s="248">
        <v>5</v>
      </c>
      <c r="B1665" s="366" t="s">
        <v>451</v>
      </c>
      <c r="C1665" s="242" t="s">
        <v>448</v>
      </c>
      <c r="D1665" s="427">
        <v>3</v>
      </c>
      <c r="E1665" s="242"/>
      <c r="F1665" s="363"/>
      <c r="G1665" s="363"/>
    </row>
    <row r="1666" spans="1:7" s="7" customFormat="1" outlineLevel="1" x14ac:dyDescent="0.25">
      <c r="A1666" s="248">
        <v>6</v>
      </c>
      <c r="B1666" s="366" t="s">
        <v>452</v>
      </c>
      <c r="C1666" s="242" t="s">
        <v>453</v>
      </c>
      <c r="D1666" s="427">
        <v>30</v>
      </c>
      <c r="E1666" s="242"/>
      <c r="F1666" s="363"/>
      <c r="G1666" s="363"/>
    </row>
    <row r="1667" spans="1:7" s="7" customFormat="1" outlineLevel="1" x14ac:dyDescent="0.25">
      <c r="A1667" s="248">
        <v>7</v>
      </c>
      <c r="B1667" s="366" t="s">
        <v>454</v>
      </c>
      <c r="C1667" s="242" t="s">
        <v>448</v>
      </c>
      <c r="D1667" s="427">
        <v>1</v>
      </c>
      <c r="E1667" s="242"/>
      <c r="F1667" s="363"/>
      <c r="G1667" s="363"/>
    </row>
    <row r="1668" spans="1:7" s="7" customFormat="1" outlineLevel="1" x14ac:dyDescent="0.25">
      <c r="A1668" s="248">
        <v>8</v>
      </c>
      <c r="B1668" s="366" t="s">
        <v>455</v>
      </c>
      <c r="C1668" s="242" t="s">
        <v>448</v>
      </c>
      <c r="D1668" s="427">
        <v>6</v>
      </c>
      <c r="E1668" s="242"/>
      <c r="F1668" s="363"/>
      <c r="G1668" s="363"/>
    </row>
    <row r="1669" spans="1:7" s="7" customFormat="1" outlineLevel="1" x14ac:dyDescent="0.25">
      <c r="A1669" s="248">
        <v>9</v>
      </c>
      <c r="B1669" s="366" t="s">
        <v>422</v>
      </c>
      <c r="C1669" s="242" t="s">
        <v>458</v>
      </c>
      <c r="D1669" s="427">
        <v>30</v>
      </c>
      <c r="E1669" s="242"/>
      <c r="F1669" s="363"/>
      <c r="G1669" s="363"/>
    </row>
    <row r="1670" spans="1:7" s="7" customFormat="1" outlineLevel="1" x14ac:dyDescent="0.25">
      <c r="A1670" s="248">
        <v>10</v>
      </c>
      <c r="B1670" s="366" t="s">
        <v>459</v>
      </c>
      <c r="C1670" s="242" t="s">
        <v>448</v>
      </c>
      <c r="D1670" s="427">
        <v>3</v>
      </c>
      <c r="E1670" s="242"/>
      <c r="F1670" s="363"/>
      <c r="G1670" s="363"/>
    </row>
    <row r="1671" spans="1:7" s="7" customFormat="1" outlineLevel="1" x14ac:dyDescent="0.25">
      <c r="A1671" s="248">
        <v>11</v>
      </c>
      <c r="B1671" s="366" t="s">
        <v>460</v>
      </c>
      <c r="C1671" s="242" t="s">
        <v>453</v>
      </c>
      <c r="D1671" s="427">
        <v>30</v>
      </c>
      <c r="E1671" s="242"/>
      <c r="F1671" s="363"/>
      <c r="G1671" s="363"/>
    </row>
    <row r="1672" spans="1:7" s="7" customFormat="1" outlineLevel="1" x14ac:dyDescent="0.25">
      <c r="A1672" s="248">
        <v>12</v>
      </c>
      <c r="B1672" s="366" t="s">
        <v>461</v>
      </c>
      <c r="C1672" s="242" t="s">
        <v>462</v>
      </c>
      <c r="D1672" s="427">
        <v>1</v>
      </c>
      <c r="E1672" s="242"/>
      <c r="F1672" s="363"/>
      <c r="G1672" s="363"/>
    </row>
    <row r="1673" spans="1:7" s="7" customFormat="1" outlineLevel="1" x14ac:dyDescent="0.25">
      <c r="A1673" s="248"/>
      <c r="B1673" s="245" t="s">
        <v>475</v>
      </c>
      <c r="C1673" s="242"/>
      <c r="D1673" s="427"/>
      <c r="E1673" s="246"/>
      <c r="F1673" s="363"/>
      <c r="G1673" s="363"/>
    </row>
    <row r="1674" spans="1:7" s="7" customFormat="1" outlineLevel="1" x14ac:dyDescent="0.25">
      <c r="A1674" s="248"/>
      <c r="B1674" s="366" t="s">
        <v>463</v>
      </c>
      <c r="C1674" s="242"/>
      <c r="D1674" s="427"/>
      <c r="E1674" s="246"/>
      <c r="F1674" s="363"/>
      <c r="G1674" s="363"/>
    </row>
    <row r="1675" spans="1:7" s="7" customFormat="1" outlineLevel="1" x14ac:dyDescent="0.25">
      <c r="A1675" s="240"/>
      <c r="B1675" s="366" t="s">
        <v>464</v>
      </c>
      <c r="C1675" s="242" t="s">
        <v>448</v>
      </c>
      <c r="D1675" s="427">
        <v>1</v>
      </c>
      <c r="E1675" s="246"/>
      <c r="F1675" s="363"/>
      <c r="G1675" s="363"/>
    </row>
    <row r="1676" spans="1:7" s="7" customFormat="1" outlineLevel="1" x14ac:dyDescent="0.25">
      <c r="A1676" s="240"/>
      <c r="B1676" s="366" t="s">
        <v>465</v>
      </c>
      <c r="C1676" s="242"/>
      <c r="D1676" s="427"/>
      <c r="E1676" s="246"/>
      <c r="F1676" s="363"/>
      <c r="G1676" s="363"/>
    </row>
    <row r="1677" spans="1:7" s="7" customFormat="1" outlineLevel="1" x14ac:dyDescent="0.25">
      <c r="A1677" s="240"/>
      <c r="B1677" s="496" t="s">
        <v>475</v>
      </c>
      <c r="C1677" s="496"/>
      <c r="D1677" s="496"/>
      <c r="E1677" s="496"/>
      <c r="F1677" s="363"/>
      <c r="G1677" s="363"/>
    </row>
    <row r="1678" spans="1:7" s="7" customFormat="1" ht="18.75" outlineLevel="1" x14ac:dyDescent="0.25">
      <c r="A1678" s="495" t="s">
        <v>487</v>
      </c>
      <c r="B1678" s="495"/>
      <c r="C1678" s="495"/>
      <c r="D1678" s="495"/>
      <c r="E1678" s="495"/>
      <c r="F1678" s="363"/>
      <c r="G1678" s="363"/>
    </row>
    <row r="1679" spans="1:7" s="7" customFormat="1" outlineLevel="1" x14ac:dyDescent="0.25">
      <c r="A1679" s="248">
        <v>1</v>
      </c>
      <c r="B1679" s="366" t="s">
        <v>447</v>
      </c>
      <c r="C1679" s="242" t="s">
        <v>448</v>
      </c>
      <c r="D1679" s="427">
        <v>1</v>
      </c>
      <c r="E1679" s="246"/>
      <c r="F1679" s="363"/>
      <c r="G1679" s="363"/>
    </row>
    <row r="1680" spans="1:7" s="7" customFormat="1" outlineLevel="1" x14ac:dyDescent="0.25">
      <c r="A1680" s="248">
        <v>2</v>
      </c>
      <c r="B1680" s="366" t="s">
        <v>449</v>
      </c>
      <c r="C1680" s="242" t="s">
        <v>448</v>
      </c>
      <c r="D1680" s="427">
        <v>1</v>
      </c>
      <c r="E1680" s="246"/>
      <c r="F1680" s="363"/>
      <c r="G1680" s="363"/>
    </row>
    <row r="1681" spans="1:7" s="7" customFormat="1" outlineLevel="1" x14ac:dyDescent="0.25">
      <c r="A1681" s="248">
        <v>3</v>
      </c>
      <c r="B1681" s="366" t="s">
        <v>450</v>
      </c>
      <c r="C1681" s="242" t="s">
        <v>448</v>
      </c>
      <c r="D1681" s="427">
        <v>1</v>
      </c>
      <c r="E1681" s="246"/>
      <c r="F1681" s="363"/>
      <c r="G1681" s="363"/>
    </row>
    <row r="1682" spans="1:7" s="7" customFormat="1" outlineLevel="1" x14ac:dyDescent="0.25">
      <c r="A1682" s="248">
        <v>4</v>
      </c>
      <c r="B1682" s="366" t="s">
        <v>412</v>
      </c>
      <c r="C1682" s="242" t="s">
        <v>448</v>
      </c>
      <c r="D1682" s="427">
        <v>6</v>
      </c>
      <c r="E1682" s="246"/>
      <c r="F1682" s="363"/>
      <c r="G1682" s="363"/>
    </row>
    <row r="1683" spans="1:7" s="7" customFormat="1" outlineLevel="1" x14ac:dyDescent="0.25">
      <c r="A1683" s="248">
        <v>5</v>
      </c>
      <c r="B1683" s="366" t="s">
        <v>451</v>
      </c>
      <c r="C1683" s="242" t="s">
        <v>448</v>
      </c>
      <c r="D1683" s="427">
        <v>3</v>
      </c>
      <c r="E1683" s="246"/>
      <c r="F1683" s="363"/>
      <c r="G1683" s="363"/>
    </row>
    <row r="1684" spans="1:7" s="7" customFormat="1" outlineLevel="1" x14ac:dyDescent="0.25">
      <c r="A1684" s="248">
        <v>6</v>
      </c>
      <c r="B1684" s="366" t="s">
        <v>452</v>
      </c>
      <c r="C1684" s="242" t="s">
        <v>453</v>
      </c>
      <c r="D1684" s="427">
        <v>380</v>
      </c>
      <c r="E1684" s="246"/>
      <c r="F1684" s="363"/>
      <c r="G1684" s="363"/>
    </row>
    <row r="1685" spans="1:7" s="7" customFormat="1" outlineLevel="1" x14ac:dyDescent="0.25">
      <c r="A1685" s="248">
        <v>7</v>
      </c>
      <c r="B1685" s="366" t="s">
        <v>454</v>
      </c>
      <c r="C1685" s="242" t="s">
        <v>448</v>
      </c>
      <c r="D1685" s="427">
        <v>1</v>
      </c>
      <c r="E1685" s="246"/>
      <c r="F1685" s="363"/>
      <c r="G1685" s="363"/>
    </row>
    <row r="1686" spans="1:7" s="7" customFormat="1" outlineLevel="1" x14ac:dyDescent="0.25">
      <c r="A1686" s="248">
        <v>8</v>
      </c>
      <c r="B1686" s="366" t="s">
        <v>466</v>
      </c>
      <c r="C1686" s="242" t="s">
        <v>448</v>
      </c>
      <c r="D1686" s="427">
        <v>6</v>
      </c>
      <c r="E1686" s="246"/>
      <c r="F1686" s="363"/>
      <c r="G1686" s="363"/>
    </row>
    <row r="1687" spans="1:7" s="7" customFormat="1" outlineLevel="1" x14ac:dyDescent="0.25">
      <c r="A1687" s="248">
        <v>9</v>
      </c>
      <c r="B1687" s="366" t="s">
        <v>456</v>
      </c>
      <c r="C1687" s="242" t="s">
        <v>448</v>
      </c>
      <c r="D1687" s="427">
        <v>6</v>
      </c>
      <c r="E1687" s="246"/>
      <c r="F1687" s="363"/>
      <c r="G1687" s="363"/>
    </row>
    <row r="1688" spans="1:7" s="7" customFormat="1" outlineLevel="1" x14ac:dyDescent="0.25">
      <c r="A1688" s="248">
        <v>10</v>
      </c>
      <c r="B1688" s="366" t="s">
        <v>457</v>
      </c>
      <c r="C1688" s="242" t="s">
        <v>448</v>
      </c>
      <c r="D1688" s="427">
        <v>2</v>
      </c>
      <c r="E1688" s="246"/>
      <c r="F1688" s="363"/>
      <c r="G1688" s="363"/>
    </row>
    <row r="1689" spans="1:7" s="7" customFormat="1" outlineLevel="1" x14ac:dyDescent="0.25">
      <c r="A1689" s="248">
        <v>11</v>
      </c>
      <c r="B1689" s="366" t="s">
        <v>422</v>
      </c>
      <c r="C1689" s="242" t="s">
        <v>458</v>
      </c>
      <c r="D1689" s="427">
        <v>60</v>
      </c>
      <c r="E1689" s="246"/>
      <c r="F1689" s="363"/>
      <c r="G1689" s="363"/>
    </row>
    <row r="1690" spans="1:7" s="7" customFormat="1" outlineLevel="1" x14ac:dyDescent="0.25">
      <c r="A1690" s="248">
        <v>12</v>
      </c>
      <c r="B1690" s="366" t="s">
        <v>459</v>
      </c>
      <c r="C1690" s="242" t="s">
        <v>448</v>
      </c>
      <c r="D1690" s="427">
        <v>4</v>
      </c>
      <c r="E1690" s="246"/>
      <c r="F1690" s="363"/>
      <c r="G1690" s="363"/>
    </row>
    <row r="1691" spans="1:7" s="7" customFormat="1" outlineLevel="1" x14ac:dyDescent="0.25">
      <c r="A1691" s="248">
        <v>13</v>
      </c>
      <c r="B1691" s="366" t="s">
        <v>460</v>
      </c>
      <c r="C1691" s="242" t="s">
        <v>453</v>
      </c>
      <c r="D1691" s="427">
        <v>30</v>
      </c>
      <c r="E1691" s="246"/>
      <c r="F1691" s="363"/>
      <c r="G1691" s="363"/>
    </row>
    <row r="1692" spans="1:7" s="7" customFormat="1" outlineLevel="1" x14ac:dyDescent="0.25">
      <c r="A1692" s="248">
        <v>14</v>
      </c>
      <c r="B1692" s="366" t="s">
        <v>461</v>
      </c>
      <c r="C1692" s="242" t="s">
        <v>462</v>
      </c>
      <c r="D1692" s="427">
        <v>1</v>
      </c>
      <c r="E1692" s="246"/>
      <c r="F1692" s="363"/>
      <c r="G1692" s="363"/>
    </row>
    <row r="1693" spans="1:7" s="7" customFormat="1" outlineLevel="1" x14ac:dyDescent="0.25">
      <c r="A1693" s="240"/>
      <c r="B1693" s="245" t="s">
        <v>475</v>
      </c>
      <c r="C1693" s="242"/>
      <c r="D1693" s="427"/>
      <c r="E1693" s="246"/>
      <c r="F1693" s="363"/>
      <c r="G1693" s="363"/>
    </row>
    <row r="1694" spans="1:7" s="7" customFormat="1" outlineLevel="1" x14ac:dyDescent="0.25">
      <c r="A1694" s="240"/>
      <c r="B1694" s="366" t="s">
        <v>463</v>
      </c>
      <c r="C1694" s="242"/>
      <c r="D1694" s="427"/>
      <c r="E1694" s="246"/>
      <c r="F1694" s="363"/>
      <c r="G1694" s="363"/>
    </row>
    <row r="1695" spans="1:7" s="7" customFormat="1" outlineLevel="1" x14ac:dyDescent="0.25">
      <c r="A1695" s="240"/>
      <c r="B1695" s="366" t="s">
        <v>464</v>
      </c>
      <c r="C1695" s="242" t="s">
        <v>448</v>
      </c>
      <c r="D1695" s="427">
        <v>1</v>
      </c>
      <c r="E1695" s="246"/>
      <c r="F1695" s="363"/>
      <c r="G1695" s="363"/>
    </row>
    <row r="1696" spans="1:7" s="7" customFormat="1" outlineLevel="1" x14ac:dyDescent="0.25">
      <c r="A1696" s="240"/>
      <c r="B1696" s="366" t="s">
        <v>465</v>
      </c>
      <c r="C1696" s="242"/>
      <c r="D1696" s="427"/>
      <c r="E1696" s="246"/>
      <c r="F1696" s="363"/>
      <c r="G1696" s="363"/>
    </row>
    <row r="1697" spans="1:7" s="7" customFormat="1" outlineLevel="1" x14ac:dyDescent="0.25">
      <c r="A1697" s="240"/>
      <c r="B1697" s="496" t="s">
        <v>475</v>
      </c>
      <c r="C1697" s="496"/>
      <c r="D1697" s="496"/>
      <c r="E1697" s="496"/>
      <c r="F1697" s="363"/>
      <c r="G1697" s="363"/>
    </row>
    <row r="1698" spans="1:7" s="7" customFormat="1" ht="18.75" outlineLevel="1" x14ac:dyDescent="0.25">
      <c r="A1698" s="495" t="s">
        <v>488</v>
      </c>
      <c r="B1698" s="495"/>
      <c r="C1698" s="495"/>
      <c r="D1698" s="495"/>
      <c r="E1698" s="495"/>
      <c r="F1698" s="363"/>
      <c r="G1698" s="363"/>
    </row>
    <row r="1699" spans="1:7" s="7" customFormat="1" outlineLevel="1" x14ac:dyDescent="0.25">
      <c r="A1699" s="248">
        <v>1</v>
      </c>
      <c r="B1699" s="366" t="s">
        <v>447</v>
      </c>
      <c r="C1699" s="242" t="s">
        <v>448</v>
      </c>
      <c r="D1699" s="427">
        <v>1</v>
      </c>
      <c r="E1699" s="246"/>
      <c r="F1699" s="363"/>
      <c r="G1699" s="363"/>
    </row>
    <row r="1700" spans="1:7" s="7" customFormat="1" outlineLevel="1" x14ac:dyDescent="0.25">
      <c r="A1700" s="248">
        <v>2</v>
      </c>
      <c r="B1700" s="366" t="s">
        <v>449</v>
      </c>
      <c r="C1700" s="242" t="s">
        <v>448</v>
      </c>
      <c r="D1700" s="427">
        <v>1</v>
      </c>
      <c r="E1700" s="246"/>
      <c r="F1700" s="363"/>
      <c r="G1700" s="363"/>
    </row>
    <row r="1701" spans="1:7" s="7" customFormat="1" outlineLevel="1" x14ac:dyDescent="0.25">
      <c r="A1701" s="248">
        <v>3</v>
      </c>
      <c r="B1701" s="366" t="s">
        <v>450</v>
      </c>
      <c r="C1701" s="242" t="s">
        <v>448</v>
      </c>
      <c r="D1701" s="427">
        <v>4</v>
      </c>
      <c r="E1701" s="246"/>
      <c r="F1701" s="363"/>
      <c r="G1701" s="363"/>
    </row>
    <row r="1702" spans="1:7" s="7" customFormat="1" outlineLevel="1" x14ac:dyDescent="0.25">
      <c r="A1702" s="248">
        <v>4</v>
      </c>
      <c r="B1702" s="366" t="s">
        <v>412</v>
      </c>
      <c r="C1702" s="242" t="s">
        <v>448</v>
      </c>
      <c r="D1702" s="427">
        <v>10</v>
      </c>
      <c r="E1702" s="246"/>
      <c r="F1702" s="363"/>
      <c r="G1702" s="363"/>
    </row>
    <row r="1703" spans="1:7" s="7" customFormat="1" outlineLevel="1" x14ac:dyDescent="0.25">
      <c r="A1703" s="248">
        <v>5</v>
      </c>
      <c r="B1703" s="366" t="s">
        <v>451</v>
      </c>
      <c r="C1703" s="242" t="s">
        <v>448</v>
      </c>
      <c r="D1703" s="427">
        <v>3</v>
      </c>
      <c r="E1703" s="246"/>
      <c r="F1703" s="363"/>
      <c r="G1703" s="363"/>
    </row>
    <row r="1704" spans="1:7" s="7" customFormat="1" outlineLevel="1" x14ac:dyDescent="0.25">
      <c r="A1704" s="248">
        <v>6</v>
      </c>
      <c r="B1704" s="366" t="s">
        <v>452</v>
      </c>
      <c r="C1704" s="242" t="s">
        <v>453</v>
      </c>
      <c r="D1704" s="427">
        <v>1130</v>
      </c>
      <c r="E1704" s="246"/>
      <c r="F1704" s="363"/>
      <c r="G1704" s="363"/>
    </row>
    <row r="1705" spans="1:7" s="7" customFormat="1" outlineLevel="1" x14ac:dyDescent="0.25">
      <c r="A1705" s="248">
        <v>7</v>
      </c>
      <c r="B1705" s="366" t="s">
        <v>454</v>
      </c>
      <c r="C1705" s="242" t="s">
        <v>448</v>
      </c>
      <c r="D1705" s="427">
        <v>1</v>
      </c>
      <c r="E1705" s="246"/>
      <c r="F1705" s="363"/>
      <c r="G1705" s="363"/>
    </row>
    <row r="1706" spans="1:7" s="7" customFormat="1" outlineLevel="1" x14ac:dyDescent="0.25">
      <c r="A1706" s="248">
        <v>8</v>
      </c>
      <c r="B1706" s="366" t="s">
        <v>466</v>
      </c>
      <c r="C1706" s="242" t="s">
        <v>448</v>
      </c>
      <c r="D1706" s="427">
        <v>12</v>
      </c>
      <c r="E1706" s="246"/>
      <c r="F1706" s="363"/>
      <c r="G1706" s="363"/>
    </row>
    <row r="1707" spans="1:7" s="7" customFormat="1" outlineLevel="1" x14ac:dyDescent="0.25">
      <c r="A1707" s="248">
        <v>9</v>
      </c>
      <c r="B1707" s="366" t="s">
        <v>456</v>
      </c>
      <c r="C1707" s="242" t="s">
        <v>448</v>
      </c>
      <c r="D1707" s="427">
        <v>6</v>
      </c>
      <c r="E1707" s="246"/>
      <c r="F1707" s="363"/>
      <c r="G1707" s="363"/>
    </row>
    <row r="1708" spans="1:7" s="7" customFormat="1" outlineLevel="1" x14ac:dyDescent="0.25">
      <c r="A1708" s="248">
        <v>10</v>
      </c>
      <c r="B1708" s="366" t="s">
        <v>457</v>
      </c>
      <c r="C1708" s="242" t="s">
        <v>448</v>
      </c>
      <c r="D1708" s="427">
        <v>4</v>
      </c>
      <c r="E1708" s="246"/>
      <c r="F1708" s="363"/>
      <c r="G1708" s="363"/>
    </row>
    <row r="1709" spans="1:7" s="7" customFormat="1" outlineLevel="1" x14ac:dyDescent="0.25">
      <c r="A1709" s="248">
        <v>11</v>
      </c>
      <c r="B1709" s="366" t="s">
        <v>422</v>
      </c>
      <c r="C1709" s="242" t="s">
        <v>458</v>
      </c>
      <c r="D1709" s="427">
        <v>120</v>
      </c>
      <c r="E1709" s="246"/>
      <c r="F1709" s="363"/>
      <c r="G1709" s="363"/>
    </row>
    <row r="1710" spans="1:7" s="7" customFormat="1" outlineLevel="1" x14ac:dyDescent="0.25">
      <c r="A1710" s="248">
        <v>12</v>
      </c>
      <c r="B1710" s="366" t="s">
        <v>459</v>
      </c>
      <c r="C1710" s="242" t="s">
        <v>448</v>
      </c>
      <c r="D1710" s="427">
        <v>8</v>
      </c>
      <c r="E1710" s="246"/>
      <c r="F1710" s="363"/>
      <c r="G1710" s="363"/>
    </row>
    <row r="1711" spans="1:7" s="7" customFormat="1" outlineLevel="1" x14ac:dyDescent="0.25">
      <c r="A1711" s="248">
        <v>13</v>
      </c>
      <c r="B1711" s="366" t="s">
        <v>460</v>
      </c>
      <c r="C1711" s="242" t="s">
        <v>453</v>
      </c>
      <c r="D1711" s="427">
        <v>30</v>
      </c>
      <c r="E1711" s="246"/>
      <c r="F1711" s="363"/>
      <c r="G1711" s="363"/>
    </row>
    <row r="1712" spans="1:7" s="7" customFormat="1" outlineLevel="1" x14ac:dyDescent="0.25">
      <c r="A1712" s="248">
        <v>14</v>
      </c>
      <c r="B1712" s="366" t="s">
        <v>461</v>
      </c>
      <c r="C1712" s="242" t="s">
        <v>462</v>
      </c>
      <c r="D1712" s="427">
        <v>1</v>
      </c>
      <c r="E1712" s="246"/>
      <c r="F1712" s="363"/>
      <c r="G1712" s="363"/>
    </row>
    <row r="1713" spans="1:7" s="7" customFormat="1" outlineLevel="1" x14ac:dyDescent="0.25">
      <c r="A1713" s="240"/>
      <c r="B1713" s="245" t="s">
        <v>475</v>
      </c>
      <c r="C1713" s="242"/>
      <c r="D1713" s="427"/>
      <c r="E1713" s="246"/>
      <c r="F1713" s="363"/>
      <c r="G1713" s="363"/>
    </row>
    <row r="1714" spans="1:7" s="7" customFormat="1" outlineLevel="1" x14ac:dyDescent="0.25">
      <c r="A1714" s="240"/>
      <c r="B1714" s="366" t="s">
        <v>463</v>
      </c>
      <c r="C1714" s="242"/>
      <c r="D1714" s="427"/>
      <c r="E1714" s="246"/>
      <c r="F1714" s="363"/>
      <c r="G1714" s="363"/>
    </row>
    <row r="1715" spans="1:7" s="7" customFormat="1" outlineLevel="1" x14ac:dyDescent="0.25">
      <c r="A1715" s="240"/>
      <c r="B1715" s="366" t="s">
        <v>464</v>
      </c>
      <c r="C1715" s="242" t="s">
        <v>448</v>
      </c>
      <c r="D1715" s="427">
        <v>4</v>
      </c>
      <c r="E1715" s="246"/>
      <c r="F1715" s="363"/>
      <c r="G1715" s="363"/>
    </row>
    <row r="1716" spans="1:7" s="7" customFormat="1" outlineLevel="1" x14ac:dyDescent="0.25">
      <c r="A1716" s="240"/>
      <c r="B1716" s="366" t="s">
        <v>465</v>
      </c>
      <c r="C1716" s="242"/>
      <c r="D1716" s="427"/>
      <c r="E1716" s="246"/>
      <c r="F1716" s="363"/>
      <c r="G1716" s="363"/>
    </row>
    <row r="1717" spans="1:7" s="7" customFormat="1" outlineLevel="1" x14ac:dyDescent="0.25">
      <c r="A1717" s="240"/>
      <c r="B1717" s="496" t="s">
        <v>475</v>
      </c>
      <c r="C1717" s="496"/>
      <c r="D1717" s="496"/>
      <c r="E1717" s="496"/>
      <c r="F1717" s="363"/>
      <c r="G1717" s="363"/>
    </row>
    <row r="1718" spans="1:7" s="7" customFormat="1" ht="18.75" outlineLevel="1" x14ac:dyDescent="0.25">
      <c r="A1718" s="495" t="s">
        <v>489</v>
      </c>
      <c r="B1718" s="495"/>
      <c r="C1718" s="495"/>
      <c r="D1718" s="495"/>
      <c r="E1718" s="495"/>
      <c r="F1718" s="363"/>
      <c r="G1718" s="363"/>
    </row>
    <row r="1719" spans="1:7" s="7" customFormat="1" outlineLevel="1" x14ac:dyDescent="0.25">
      <c r="A1719" s="248">
        <v>1</v>
      </c>
      <c r="B1719" s="366" t="s">
        <v>467</v>
      </c>
      <c r="C1719" s="242" t="s">
        <v>448</v>
      </c>
      <c r="D1719" s="427">
        <v>1</v>
      </c>
      <c r="E1719" s="246"/>
      <c r="F1719" s="363"/>
      <c r="G1719" s="363"/>
    </row>
    <row r="1720" spans="1:7" s="7" customFormat="1" outlineLevel="1" x14ac:dyDescent="0.25">
      <c r="A1720" s="248">
        <v>2</v>
      </c>
      <c r="B1720" s="366" t="s">
        <v>468</v>
      </c>
      <c r="C1720" s="242" t="s">
        <v>448</v>
      </c>
      <c r="D1720" s="427">
        <v>1</v>
      </c>
      <c r="E1720" s="246"/>
      <c r="F1720" s="363"/>
      <c r="G1720" s="363"/>
    </row>
    <row r="1721" spans="1:7" s="7" customFormat="1" outlineLevel="1" x14ac:dyDescent="0.25">
      <c r="A1721" s="248">
        <v>3</v>
      </c>
      <c r="B1721" s="366" t="s">
        <v>469</v>
      </c>
      <c r="C1721" s="242" t="s">
        <v>448</v>
      </c>
      <c r="D1721" s="427">
        <v>1</v>
      </c>
      <c r="E1721" s="246"/>
      <c r="F1721" s="363"/>
      <c r="G1721" s="363"/>
    </row>
    <row r="1722" spans="1:7" s="7" customFormat="1" outlineLevel="1" x14ac:dyDescent="0.25">
      <c r="A1722" s="248">
        <v>4</v>
      </c>
      <c r="B1722" s="366" t="s">
        <v>412</v>
      </c>
      <c r="C1722" s="242" t="s">
        <v>448</v>
      </c>
      <c r="D1722" s="427">
        <v>4</v>
      </c>
      <c r="E1722" s="246"/>
      <c r="F1722" s="363"/>
      <c r="G1722" s="363"/>
    </row>
    <row r="1723" spans="1:7" s="7" customFormat="1" outlineLevel="1" x14ac:dyDescent="0.25">
      <c r="A1723" s="248">
        <v>5</v>
      </c>
      <c r="B1723" s="366" t="s">
        <v>451</v>
      </c>
      <c r="C1723" s="242" t="s">
        <v>448</v>
      </c>
      <c r="D1723" s="427">
        <v>3</v>
      </c>
      <c r="E1723" s="246"/>
      <c r="F1723" s="363"/>
      <c r="G1723" s="363"/>
    </row>
    <row r="1724" spans="1:7" s="7" customFormat="1" outlineLevel="1" x14ac:dyDescent="0.25">
      <c r="A1724" s="248">
        <v>6</v>
      </c>
      <c r="B1724" s="366" t="s">
        <v>452</v>
      </c>
      <c r="C1724" s="242" t="s">
        <v>453</v>
      </c>
      <c r="D1724" s="427">
        <v>50</v>
      </c>
      <c r="E1724" s="246"/>
      <c r="F1724" s="363"/>
      <c r="G1724" s="363"/>
    </row>
    <row r="1725" spans="1:7" s="7" customFormat="1" outlineLevel="1" x14ac:dyDescent="0.25">
      <c r="A1725" s="248">
        <v>7</v>
      </c>
      <c r="B1725" s="366" t="s">
        <v>454</v>
      </c>
      <c r="C1725" s="242" t="s">
        <v>448</v>
      </c>
      <c r="D1725" s="427">
        <v>1</v>
      </c>
      <c r="E1725" s="246"/>
      <c r="F1725" s="363"/>
      <c r="G1725" s="363"/>
    </row>
    <row r="1726" spans="1:7" s="7" customFormat="1" outlineLevel="1" x14ac:dyDescent="0.25">
      <c r="A1726" s="248">
        <v>8</v>
      </c>
      <c r="B1726" s="366" t="s">
        <v>466</v>
      </c>
      <c r="C1726" s="242" t="s">
        <v>448</v>
      </c>
      <c r="D1726" s="427">
        <v>6</v>
      </c>
      <c r="E1726" s="246"/>
      <c r="F1726" s="363"/>
      <c r="G1726" s="363"/>
    </row>
    <row r="1727" spans="1:7" s="7" customFormat="1" outlineLevel="1" x14ac:dyDescent="0.25">
      <c r="A1727" s="248">
        <v>9</v>
      </c>
      <c r="B1727" s="366" t="s">
        <v>470</v>
      </c>
      <c r="C1727" s="242" t="s">
        <v>448</v>
      </c>
      <c r="D1727" s="427">
        <v>2</v>
      </c>
      <c r="E1727" s="246"/>
      <c r="F1727" s="363"/>
      <c r="G1727" s="363"/>
    </row>
    <row r="1728" spans="1:7" s="7" customFormat="1" outlineLevel="1" x14ac:dyDescent="0.25">
      <c r="A1728" s="248">
        <v>10</v>
      </c>
      <c r="B1728" s="366" t="s">
        <v>471</v>
      </c>
      <c r="C1728" s="242" t="s">
        <v>448</v>
      </c>
      <c r="D1728" s="427">
        <v>8</v>
      </c>
      <c r="E1728" s="246"/>
      <c r="F1728" s="363"/>
      <c r="G1728" s="363"/>
    </row>
    <row r="1729" spans="1:7" s="7" customFormat="1" outlineLevel="1" x14ac:dyDescent="0.25">
      <c r="A1729" s="248">
        <v>11</v>
      </c>
      <c r="B1729" s="366" t="s">
        <v>422</v>
      </c>
      <c r="C1729" s="242" t="s">
        <v>458</v>
      </c>
      <c r="D1729" s="427">
        <v>40</v>
      </c>
      <c r="E1729" s="246"/>
      <c r="F1729" s="363"/>
      <c r="G1729" s="363"/>
    </row>
    <row r="1730" spans="1:7" s="7" customFormat="1" outlineLevel="1" x14ac:dyDescent="0.25">
      <c r="A1730" s="248">
        <v>12</v>
      </c>
      <c r="B1730" s="366" t="s">
        <v>459</v>
      </c>
      <c r="C1730" s="242" t="s">
        <v>448</v>
      </c>
      <c r="D1730" s="427">
        <v>4</v>
      </c>
      <c r="E1730" s="246"/>
      <c r="F1730" s="363"/>
      <c r="G1730" s="363"/>
    </row>
    <row r="1731" spans="1:7" s="7" customFormat="1" outlineLevel="1" x14ac:dyDescent="0.25">
      <c r="A1731" s="248">
        <v>13</v>
      </c>
      <c r="B1731" s="366" t="s">
        <v>472</v>
      </c>
      <c r="C1731" s="242" t="s">
        <v>453</v>
      </c>
      <c r="D1731" s="427">
        <v>100</v>
      </c>
      <c r="E1731" s="246"/>
      <c r="F1731" s="363"/>
      <c r="G1731" s="363"/>
    </row>
    <row r="1732" spans="1:7" s="7" customFormat="1" outlineLevel="1" x14ac:dyDescent="0.25">
      <c r="A1732" s="248">
        <v>14</v>
      </c>
      <c r="B1732" s="366" t="s">
        <v>461</v>
      </c>
      <c r="C1732" s="242" t="s">
        <v>462</v>
      </c>
      <c r="D1732" s="427">
        <v>1</v>
      </c>
      <c r="E1732" s="246"/>
      <c r="F1732" s="363"/>
      <c r="G1732" s="363"/>
    </row>
    <row r="1733" spans="1:7" s="7" customFormat="1" outlineLevel="1" x14ac:dyDescent="0.25">
      <c r="A1733" s="240"/>
      <c r="B1733" s="245" t="s">
        <v>475</v>
      </c>
      <c r="C1733" s="242"/>
      <c r="D1733" s="427"/>
      <c r="E1733" s="246"/>
      <c r="F1733" s="363"/>
      <c r="G1733" s="363"/>
    </row>
    <row r="1734" spans="1:7" s="7" customFormat="1" outlineLevel="1" x14ac:dyDescent="0.25">
      <c r="A1734" s="240"/>
      <c r="B1734" s="366" t="s">
        <v>463</v>
      </c>
      <c r="C1734" s="242"/>
      <c r="D1734" s="427"/>
      <c r="E1734" s="246"/>
      <c r="F1734" s="363"/>
      <c r="G1734" s="363"/>
    </row>
    <row r="1735" spans="1:7" s="7" customFormat="1" outlineLevel="1" x14ac:dyDescent="0.25">
      <c r="A1735" s="240"/>
      <c r="B1735" s="366" t="s">
        <v>464</v>
      </c>
      <c r="C1735" s="242" t="s">
        <v>448</v>
      </c>
      <c r="D1735" s="427">
        <v>1</v>
      </c>
      <c r="E1735" s="246"/>
      <c r="F1735" s="363"/>
      <c r="G1735" s="363"/>
    </row>
    <row r="1736" spans="1:7" s="7" customFormat="1" outlineLevel="1" x14ac:dyDescent="0.25">
      <c r="A1736" s="240"/>
      <c r="B1736" s="366" t="s">
        <v>465</v>
      </c>
      <c r="C1736" s="242"/>
      <c r="D1736" s="427"/>
      <c r="E1736" s="246"/>
      <c r="F1736" s="363"/>
      <c r="G1736" s="363"/>
    </row>
    <row r="1737" spans="1:7" s="7" customFormat="1" outlineLevel="1" x14ac:dyDescent="0.25">
      <c r="A1737" s="240"/>
      <c r="B1737" s="496" t="s">
        <v>475</v>
      </c>
      <c r="C1737" s="496"/>
      <c r="D1737" s="496"/>
      <c r="E1737" s="496"/>
      <c r="F1737" s="363"/>
      <c r="G1737" s="363"/>
    </row>
    <row r="1738" spans="1:7" s="7" customFormat="1" ht="18.75" outlineLevel="1" x14ac:dyDescent="0.25">
      <c r="A1738" s="495" t="s">
        <v>490</v>
      </c>
      <c r="B1738" s="495"/>
      <c r="C1738" s="495"/>
      <c r="D1738" s="495"/>
      <c r="E1738" s="495"/>
      <c r="F1738" s="363"/>
      <c r="G1738" s="363"/>
    </row>
    <row r="1739" spans="1:7" s="7" customFormat="1" outlineLevel="1" x14ac:dyDescent="0.25">
      <c r="A1739" s="248">
        <v>1</v>
      </c>
      <c r="B1739" s="366" t="s">
        <v>447</v>
      </c>
      <c r="C1739" s="242" t="s">
        <v>448</v>
      </c>
      <c r="D1739" s="427">
        <v>1</v>
      </c>
      <c r="E1739" s="246"/>
      <c r="F1739" s="363"/>
      <c r="G1739" s="363"/>
    </row>
    <row r="1740" spans="1:7" s="7" customFormat="1" outlineLevel="1" x14ac:dyDescent="0.25">
      <c r="A1740" s="248">
        <v>2</v>
      </c>
      <c r="B1740" s="366" t="s">
        <v>449</v>
      </c>
      <c r="C1740" s="242" t="s">
        <v>448</v>
      </c>
      <c r="D1740" s="427">
        <v>1</v>
      </c>
      <c r="E1740" s="246"/>
      <c r="F1740" s="363"/>
      <c r="G1740" s="363"/>
    </row>
    <row r="1741" spans="1:7" s="7" customFormat="1" outlineLevel="1" x14ac:dyDescent="0.25">
      <c r="A1741" s="248">
        <v>3</v>
      </c>
      <c r="B1741" s="366" t="s">
        <v>450</v>
      </c>
      <c r="C1741" s="242" t="s">
        <v>448</v>
      </c>
      <c r="D1741" s="427">
        <v>1</v>
      </c>
      <c r="E1741" s="246"/>
      <c r="F1741" s="363"/>
      <c r="G1741" s="363"/>
    </row>
    <row r="1742" spans="1:7" s="7" customFormat="1" outlineLevel="1" x14ac:dyDescent="0.25">
      <c r="A1742" s="248">
        <v>4</v>
      </c>
      <c r="B1742" s="366" t="s">
        <v>412</v>
      </c>
      <c r="C1742" s="242" t="s">
        <v>448</v>
      </c>
      <c r="D1742" s="427">
        <v>6</v>
      </c>
      <c r="E1742" s="246"/>
      <c r="F1742" s="363"/>
      <c r="G1742" s="363"/>
    </row>
    <row r="1743" spans="1:7" s="7" customFormat="1" outlineLevel="1" x14ac:dyDescent="0.25">
      <c r="A1743" s="248">
        <v>5</v>
      </c>
      <c r="B1743" s="366" t="s">
        <v>451</v>
      </c>
      <c r="C1743" s="242" t="s">
        <v>448</v>
      </c>
      <c r="D1743" s="427">
        <v>3</v>
      </c>
      <c r="E1743" s="246"/>
      <c r="F1743" s="363"/>
      <c r="G1743" s="363"/>
    </row>
    <row r="1744" spans="1:7" s="7" customFormat="1" outlineLevel="1" x14ac:dyDescent="0.25">
      <c r="A1744" s="248">
        <v>6</v>
      </c>
      <c r="B1744" s="366" t="s">
        <v>452</v>
      </c>
      <c r="C1744" s="242" t="s">
        <v>453</v>
      </c>
      <c r="D1744" s="427">
        <v>380</v>
      </c>
      <c r="E1744" s="246"/>
      <c r="F1744" s="363"/>
      <c r="G1744" s="363"/>
    </row>
    <row r="1745" spans="1:7" s="7" customFormat="1" outlineLevel="1" x14ac:dyDescent="0.25">
      <c r="A1745" s="248">
        <v>7</v>
      </c>
      <c r="B1745" s="366" t="s">
        <v>454</v>
      </c>
      <c r="C1745" s="242" t="s">
        <v>448</v>
      </c>
      <c r="D1745" s="427">
        <v>1</v>
      </c>
      <c r="E1745" s="246"/>
      <c r="F1745" s="363"/>
      <c r="G1745" s="363"/>
    </row>
    <row r="1746" spans="1:7" s="7" customFormat="1" outlineLevel="1" x14ac:dyDescent="0.25">
      <c r="A1746" s="248">
        <v>8</v>
      </c>
      <c r="B1746" s="366" t="s">
        <v>455</v>
      </c>
      <c r="C1746" s="242" t="s">
        <v>448</v>
      </c>
      <c r="D1746" s="427">
        <v>6</v>
      </c>
      <c r="E1746" s="246"/>
      <c r="F1746" s="363"/>
      <c r="G1746" s="363"/>
    </row>
    <row r="1747" spans="1:7" s="7" customFormat="1" outlineLevel="1" x14ac:dyDescent="0.25">
      <c r="A1747" s="248">
        <v>9</v>
      </c>
      <c r="B1747" s="366" t="s">
        <v>456</v>
      </c>
      <c r="C1747" s="242" t="s">
        <v>448</v>
      </c>
      <c r="D1747" s="427">
        <v>6</v>
      </c>
      <c r="E1747" s="246"/>
      <c r="F1747" s="363"/>
      <c r="G1747" s="363"/>
    </row>
    <row r="1748" spans="1:7" s="7" customFormat="1" outlineLevel="1" x14ac:dyDescent="0.25">
      <c r="A1748" s="248">
        <v>10</v>
      </c>
      <c r="B1748" s="366" t="s">
        <v>457</v>
      </c>
      <c r="C1748" s="242" t="s">
        <v>448</v>
      </c>
      <c r="D1748" s="427">
        <v>2</v>
      </c>
      <c r="E1748" s="246"/>
      <c r="F1748" s="363"/>
      <c r="G1748" s="363"/>
    </row>
    <row r="1749" spans="1:7" s="7" customFormat="1" outlineLevel="1" x14ac:dyDescent="0.25">
      <c r="A1749" s="248">
        <v>11</v>
      </c>
      <c r="B1749" s="366" t="s">
        <v>422</v>
      </c>
      <c r="C1749" s="242" t="s">
        <v>458</v>
      </c>
      <c r="D1749" s="427">
        <v>60</v>
      </c>
      <c r="E1749" s="246"/>
      <c r="F1749" s="363"/>
      <c r="G1749" s="363"/>
    </row>
    <row r="1750" spans="1:7" s="7" customFormat="1" outlineLevel="1" x14ac:dyDescent="0.25">
      <c r="A1750" s="248">
        <v>12</v>
      </c>
      <c r="B1750" s="366" t="s">
        <v>459</v>
      </c>
      <c r="C1750" s="242" t="s">
        <v>448</v>
      </c>
      <c r="D1750" s="427">
        <v>4</v>
      </c>
      <c r="E1750" s="246"/>
      <c r="F1750" s="363"/>
      <c r="G1750" s="363"/>
    </row>
    <row r="1751" spans="1:7" s="7" customFormat="1" outlineLevel="1" x14ac:dyDescent="0.25">
      <c r="A1751" s="248">
        <v>13</v>
      </c>
      <c r="B1751" s="366" t="s">
        <v>460</v>
      </c>
      <c r="C1751" s="242" t="s">
        <v>453</v>
      </c>
      <c r="D1751" s="427">
        <v>100</v>
      </c>
      <c r="E1751" s="246"/>
      <c r="F1751" s="363"/>
      <c r="G1751" s="363"/>
    </row>
    <row r="1752" spans="1:7" s="7" customFormat="1" outlineLevel="1" x14ac:dyDescent="0.25">
      <c r="A1752" s="248">
        <v>14</v>
      </c>
      <c r="B1752" s="366" t="s">
        <v>461</v>
      </c>
      <c r="C1752" s="242" t="s">
        <v>462</v>
      </c>
      <c r="D1752" s="427">
        <v>1</v>
      </c>
      <c r="E1752" s="246"/>
      <c r="F1752" s="363"/>
      <c r="G1752" s="363"/>
    </row>
    <row r="1753" spans="1:7" s="7" customFormat="1" outlineLevel="1" x14ac:dyDescent="0.25">
      <c r="A1753" s="240"/>
      <c r="B1753" s="245" t="s">
        <v>475</v>
      </c>
      <c r="C1753" s="242"/>
      <c r="D1753" s="427"/>
      <c r="E1753" s="246"/>
      <c r="F1753" s="363"/>
      <c r="G1753" s="363"/>
    </row>
    <row r="1754" spans="1:7" s="7" customFormat="1" outlineLevel="1" x14ac:dyDescent="0.25">
      <c r="A1754" s="240"/>
      <c r="B1754" s="366" t="s">
        <v>463</v>
      </c>
      <c r="C1754" s="242"/>
      <c r="D1754" s="427"/>
      <c r="E1754" s="246"/>
      <c r="F1754" s="363"/>
      <c r="G1754" s="363"/>
    </row>
    <row r="1755" spans="1:7" s="7" customFormat="1" outlineLevel="1" x14ac:dyDescent="0.25">
      <c r="A1755" s="240"/>
      <c r="B1755" s="366" t="s">
        <v>464</v>
      </c>
      <c r="C1755" s="242" t="s">
        <v>448</v>
      </c>
      <c r="D1755" s="427">
        <v>1</v>
      </c>
      <c r="E1755" s="246"/>
      <c r="F1755" s="363"/>
      <c r="G1755" s="363"/>
    </row>
    <row r="1756" spans="1:7" s="7" customFormat="1" outlineLevel="1" x14ac:dyDescent="0.25">
      <c r="A1756" s="240"/>
      <c r="B1756" s="366" t="s">
        <v>465</v>
      </c>
      <c r="C1756" s="242"/>
      <c r="D1756" s="427"/>
      <c r="E1756" s="246"/>
      <c r="F1756" s="363"/>
      <c r="G1756" s="363"/>
    </row>
    <row r="1757" spans="1:7" s="7" customFormat="1" outlineLevel="1" x14ac:dyDescent="0.25">
      <c r="A1757" s="240"/>
      <c r="B1757" s="496" t="s">
        <v>475</v>
      </c>
      <c r="C1757" s="496"/>
      <c r="D1757" s="496"/>
      <c r="E1757" s="496"/>
      <c r="F1757" s="363"/>
      <c r="G1757" s="363"/>
    </row>
    <row r="1758" spans="1:7" s="7" customFormat="1" ht="18.75" outlineLevel="1" x14ac:dyDescent="0.25">
      <c r="A1758" s="495" t="s">
        <v>491</v>
      </c>
      <c r="B1758" s="495"/>
      <c r="C1758" s="495"/>
      <c r="D1758" s="495"/>
      <c r="E1758" s="495"/>
      <c r="F1758" s="363"/>
      <c r="G1758" s="363"/>
    </row>
    <row r="1759" spans="1:7" s="7" customFormat="1" outlineLevel="1" x14ac:dyDescent="0.25">
      <c r="A1759" s="248">
        <v>1</v>
      </c>
      <c r="B1759" s="367" t="s">
        <v>467</v>
      </c>
      <c r="C1759" s="242" t="s">
        <v>448</v>
      </c>
      <c r="D1759" s="427">
        <v>1</v>
      </c>
      <c r="E1759" s="246"/>
      <c r="F1759" s="363"/>
      <c r="G1759" s="363"/>
    </row>
    <row r="1760" spans="1:7" s="7" customFormat="1" outlineLevel="1" x14ac:dyDescent="0.25">
      <c r="A1760" s="248">
        <v>2</v>
      </c>
      <c r="B1760" s="367" t="s">
        <v>468</v>
      </c>
      <c r="C1760" s="242" t="s">
        <v>448</v>
      </c>
      <c r="D1760" s="427">
        <v>1</v>
      </c>
      <c r="E1760" s="246"/>
      <c r="F1760" s="363"/>
      <c r="G1760" s="363"/>
    </row>
    <row r="1761" spans="1:7" s="7" customFormat="1" outlineLevel="1" x14ac:dyDescent="0.25">
      <c r="A1761" s="248">
        <v>3</v>
      </c>
      <c r="B1761" s="367" t="s">
        <v>450</v>
      </c>
      <c r="C1761" s="242" t="s">
        <v>448</v>
      </c>
      <c r="D1761" s="427">
        <v>1</v>
      </c>
      <c r="E1761" s="246"/>
      <c r="F1761" s="363"/>
      <c r="G1761" s="363"/>
    </row>
    <row r="1762" spans="1:7" s="7" customFormat="1" outlineLevel="1" x14ac:dyDescent="0.25">
      <c r="A1762" s="248">
        <v>4</v>
      </c>
      <c r="B1762" s="367" t="s">
        <v>469</v>
      </c>
      <c r="C1762" s="242" t="s">
        <v>448</v>
      </c>
      <c r="D1762" s="427">
        <v>1</v>
      </c>
      <c r="E1762" s="246"/>
      <c r="F1762" s="363"/>
      <c r="G1762" s="363"/>
    </row>
    <row r="1763" spans="1:7" s="7" customFormat="1" outlineLevel="1" x14ac:dyDescent="0.25">
      <c r="A1763" s="248">
        <v>5</v>
      </c>
      <c r="B1763" s="367" t="s">
        <v>412</v>
      </c>
      <c r="C1763" s="242" t="s">
        <v>448</v>
      </c>
      <c r="D1763" s="427">
        <v>4</v>
      </c>
      <c r="E1763" s="246"/>
      <c r="F1763" s="363"/>
      <c r="G1763" s="363"/>
    </row>
    <row r="1764" spans="1:7" s="7" customFormat="1" outlineLevel="1" x14ac:dyDescent="0.25">
      <c r="A1764" s="248">
        <v>6</v>
      </c>
      <c r="B1764" s="367" t="s">
        <v>451</v>
      </c>
      <c r="C1764" s="242" t="s">
        <v>448</v>
      </c>
      <c r="D1764" s="427">
        <v>3</v>
      </c>
      <c r="E1764" s="246"/>
      <c r="F1764" s="363"/>
      <c r="G1764" s="363"/>
    </row>
    <row r="1765" spans="1:7" s="7" customFormat="1" outlineLevel="1" x14ac:dyDescent="0.25">
      <c r="A1765" s="248">
        <v>7</v>
      </c>
      <c r="B1765" s="367" t="s">
        <v>452</v>
      </c>
      <c r="C1765" s="242" t="s">
        <v>453</v>
      </c>
      <c r="D1765" s="427">
        <v>50</v>
      </c>
      <c r="E1765" s="246"/>
      <c r="F1765" s="363"/>
      <c r="G1765" s="363"/>
    </row>
    <row r="1766" spans="1:7" s="7" customFormat="1" outlineLevel="1" x14ac:dyDescent="0.25">
      <c r="A1766" s="248">
        <v>8</v>
      </c>
      <c r="B1766" s="367" t="s">
        <v>454</v>
      </c>
      <c r="C1766" s="242" t="s">
        <v>448</v>
      </c>
      <c r="D1766" s="427">
        <v>1</v>
      </c>
      <c r="E1766" s="246"/>
      <c r="F1766" s="363"/>
      <c r="G1766" s="363"/>
    </row>
    <row r="1767" spans="1:7" s="7" customFormat="1" outlineLevel="1" x14ac:dyDescent="0.25">
      <c r="A1767" s="248">
        <v>9</v>
      </c>
      <c r="B1767" s="367" t="s">
        <v>466</v>
      </c>
      <c r="C1767" s="242" t="s">
        <v>448</v>
      </c>
      <c r="D1767" s="427">
        <v>6</v>
      </c>
      <c r="E1767" s="246"/>
      <c r="F1767" s="363"/>
      <c r="G1767" s="363"/>
    </row>
    <row r="1768" spans="1:7" s="7" customFormat="1" outlineLevel="1" x14ac:dyDescent="0.25">
      <c r="A1768" s="248">
        <v>10</v>
      </c>
      <c r="B1768" s="367" t="s">
        <v>470</v>
      </c>
      <c r="C1768" s="242" t="s">
        <v>448</v>
      </c>
      <c r="D1768" s="427">
        <v>2</v>
      </c>
      <c r="E1768" s="246"/>
      <c r="F1768" s="363"/>
      <c r="G1768" s="363"/>
    </row>
    <row r="1769" spans="1:7" s="7" customFormat="1" outlineLevel="1" x14ac:dyDescent="0.25">
      <c r="A1769" s="248">
        <v>11</v>
      </c>
      <c r="B1769" s="367" t="s">
        <v>471</v>
      </c>
      <c r="C1769" s="242" t="s">
        <v>448</v>
      </c>
      <c r="D1769" s="427">
        <v>8</v>
      </c>
      <c r="E1769" s="246"/>
      <c r="F1769" s="363"/>
      <c r="G1769" s="363"/>
    </row>
    <row r="1770" spans="1:7" s="7" customFormat="1" outlineLevel="1" x14ac:dyDescent="0.25">
      <c r="A1770" s="248">
        <v>12</v>
      </c>
      <c r="B1770" s="367" t="s">
        <v>422</v>
      </c>
      <c r="C1770" s="242" t="s">
        <v>458</v>
      </c>
      <c r="D1770" s="427">
        <v>40</v>
      </c>
      <c r="E1770" s="246"/>
      <c r="F1770" s="363"/>
      <c r="G1770" s="363"/>
    </row>
    <row r="1771" spans="1:7" s="7" customFormat="1" outlineLevel="1" x14ac:dyDescent="0.25">
      <c r="A1771" s="248">
        <v>13</v>
      </c>
      <c r="B1771" s="367" t="s">
        <v>459</v>
      </c>
      <c r="C1771" s="242" t="s">
        <v>448</v>
      </c>
      <c r="D1771" s="427">
        <v>4</v>
      </c>
      <c r="E1771" s="246"/>
      <c r="F1771" s="363"/>
      <c r="G1771" s="363"/>
    </row>
    <row r="1772" spans="1:7" s="7" customFormat="1" outlineLevel="1" x14ac:dyDescent="0.25">
      <c r="A1772" s="248">
        <v>14</v>
      </c>
      <c r="B1772" s="367" t="s">
        <v>472</v>
      </c>
      <c r="C1772" s="242" t="s">
        <v>453</v>
      </c>
      <c r="D1772" s="427">
        <v>200</v>
      </c>
      <c r="E1772" s="246"/>
      <c r="F1772" s="363"/>
      <c r="G1772" s="363"/>
    </row>
    <row r="1773" spans="1:7" s="7" customFormat="1" outlineLevel="1" x14ac:dyDescent="0.25">
      <c r="A1773" s="240"/>
      <c r="B1773" s="367" t="s">
        <v>461</v>
      </c>
      <c r="C1773" s="242" t="s">
        <v>462</v>
      </c>
      <c r="D1773" s="427">
        <v>1</v>
      </c>
      <c r="E1773" s="246"/>
      <c r="F1773" s="363"/>
      <c r="G1773" s="363"/>
    </row>
    <row r="1774" spans="1:7" s="7" customFormat="1" outlineLevel="1" x14ac:dyDescent="0.25">
      <c r="A1774" s="240"/>
      <c r="B1774" s="245" t="s">
        <v>475</v>
      </c>
      <c r="C1774" s="242"/>
      <c r="D1774" s="427"/>
      <c r="E1774" s="246"/>
      <c r="F1774" s="363"/>
      <c r="G1774" s="363"/>
    </row>
    <row r="1775" spans="1:7" s="7" customFormat="1" outlineLevel="1" x14ac:dyDescent="0.25">
      <c r="A1775" s="240"/>
      <c r="B1775" s="366" t="s">
        <v>463</v>
      </c>
      <c r="C1775" s="242"/>
      <c r="D1775" s="427"/>
      <c r="E1775" s="246"/>
      <c r="F1775" s="363"/>
      <c r="G1775" s="363"/>
    </row>
    <row r="1776" spans="1:7" s="7" customFormat="1" outlineLevel="1" x14ac:dyDescent="0.25">
      <c r="A1776" s="240"/>
      <c r="B1776" s="366" t="s">
        <v>464</v>
      </c>
      <c r="C1776" s="242" t="s">
        <v>448</v>
      </c>
      <c r="D1776" s="427">
        <v>2</v>
      </c>
      <c r="E1776" s="246"/>
      <c r="F1776" s="363"/>
      <c r="G1776" s="363"/>
    </row>
    <row r="1777" spans="1:7" s="7" customFormat="1" outlineLevel="1" x14ac:dyDescent="0.25">
      <c r="A1777" s="240"/>
      <c r="B1777" s="366" t="s">
        <v>465</v>
      </c>
      <c r="C1777" s="242"/>
      <c r="D1777" s="427"/>
      <c r="E1777" s="246"/>
      <c r="F1777" s="363"/>
      <c r="G1777" s="363"/>
    </row>
    <row r="1778" spans="1:7" s="7" customFormat="1" outlineLevel="1" x14ac:dyDescent="0.25">
      <c r="A1778" s="240"/>
      <c r="B1778" s="496" t="s">
        <v>475</v>
      </c>
      <c r="C1778" s="496"/>
      <c r="D1778" s="496"/>
      <c r="E1778" s="496"/>
      <c r="F1778" s="363"/>
      <c r="G1778" s="363"/>
    </row>
    <row r="1779" spans="1:7" s="7" customFormat="1" ht="18.75" outlineLevel="1" x14ac:dyDescent="0.25">
      <c r="A1779" s="495" t="s">
        <v>492</v>
      </c>
      <c r="B1779" s="495"/>
      <c r="C1779" s="495"/>
      <c r="D1779" s="495"/>
      <c r="E1779" s="495"/>
      <c r="F1779" s="363"/>
      <c r="G1779" s="363"/>
    </row>
    <row r="1780" spans="1:7" s="7" customFormat="1" outlineLevel="1" x14ac:dyDescent="0.25">
      <c r="A1780" s="248">
        <v>1</v>
      </c>
      <c r="B1780" s="367" t="s">
        <v>447</v>
      </c>
      <c r="C1780" s="242" t="s">
        <v>448</v>
      </c>
      <c r="D1780" s="427">
        <v>1</v>
      </c>
      <c r="E1780" s="246"/>
      <c r="F1780" s="363"/>
      <c r="G1780" s="363"/>
    </row>
    <row r="1781" spans="1:7" s="7" customFormat="1" outlineLevel="1" x14ac:dyDescent="0.25">
      <c r="A1781" s="248">
        <v>2</v>
      </c>
      <c r="B1781" s="367" t="s">
        <v>449</v>
      </c>
      <c r="C1781" s="242" t="s">
        <v>448</v>
      </c>
      <c r="D1781" s="427">
        <v>1</v>
      </c>
      <c r="E1781" s="246"/>
      <c r="F1781" s="363"/>
      <c r="G1781" s="363"/>
    </row>
    <row r="1782" spans="1:7" s="7" customFormat="1" outlineLevel="1" x14ac:dyDescent="0.25">
      <c r="A1782" s="248">
        <v>3</v>
      </c>
      <c r="B1782" s="367" t="s">
        <v>450</v>
      </c>
      <c r="C1782" s="242" t="s">
        <v>448</v>
      </c>
      <c r="D1782" s="427">
        <v>1</v>
      </c>
      <c r="E1782" s="246"/>
      <c r="F1782" s="363"/>
      <c r="G1782" s="363"/>
    </row>
    <row r="1783" spans="1:7" s="7" customFormat="1" outlineLevel="1" x14ac:dyDescent="0.25">
      <c r="A1783" s="248">
        <v>4</v>
      </c>
      <c r="B1783" s="367" t="s">
        <v>412</v>
      </c>
      <c r="C1783" s="242" t="s">
        <v>448</v>
      </c>
      <c r="D1783" s="427">
        <v>6</v>
      </c>
      <c r="E1783" s="246"/>
      <c r="F1783" s="363"/>
      <c r="G1783" s="363"/>
    </row>
    <row r="1784" spans="1:7" s="7" customFormat="1" outlineLevel="1" x14ac:dyDescent="0.25">
      <c r="A1784" s="248">
        <v>5</v>
      </c>
      <c r="B1784" s="367" t="s">
        <v>451</v>
      </c>
      <c r="C1784" s="242" t="s">
        <v>448</v>
      </c>
      <c r="D1784" s="427">
        <v>3</v>
      </c>
      <c r="E1784" s="246"/>
      <c r="F1784" s="363"/>
      <c r="G1784" s="363"/>
    </row>
    <row r="1785" spans="1:7" s="7" customFormat="1" outlineLevel="1" x14ac:dyDescent="0.25">
      <c r="A1785" s="248">
        <v>6</v>
      </c>
      <c r="B1785" s="367" t="s">
        <v>452</v>
      </c>
      <c r="C1785" s="242" t="s">
        <v>453</v>
      </c>
      <c r="D1785" s="427">
        <v>290</v>
      </c>
      <c r="E1785" s="246"/>
      <c r="F1785" s="363"/>
      <c r="G1785" s="363"/>
    </row>
    <row r="1786" spans="1:7" s="7" customFormat="1" outlineLevel="1" x14ac:dyDescent="0.25">
      <c r="A1786" s="248">
        <v>7</v>
      </c>
      <c r="B1786" s="367" t="s">
        <v>454</v>
      </c>
      <c r="C1786" s="242" t="s">
        <v>448</v>
      </c>
      <c r="D1786" s="427">
        <v>1</v>
      </c>
      <c r="E1786" s="246"/>
      <c r="F1786" s="363"/>
      <c r="G1786" s="363"/>
    </row>
    <row r="1787" spans="1:7" s="7" customFormat="1" outlineLevel="1" x14ac:dyDescent="0.25">
      <c r="A1787" s="248">
        <v>8</v>
      </c>
      <c r="B1787" s="367" t="s">
        <v>455</v>
      </c>
      <c r="C1787" s="242" t="s">
        <v>448</v>
      </c>
      <c r="D1787" s="427">
        <v>6</v>
      </c>
      <c r="E1787" s="246"/>
      <c r="F1787" s="363"/>
      <c r="G1787" s="363"/>
    </row>
    <row r="1788" spans="1:7" s="7" customFormat="1" outlineLevel="1" x14ac:dyDescent="0.25">
      <c r="A1788" s="248">
        <v>9</v>
      </c>
      <c r="B1788" s="367" t="s">
        <v>456</v>
      </c>
      <c r="C1788" s="242" t="s">
        <v>448</v>
      </c>
      <c r="D1788" s="427">
        <v>6</v>
      </c>
      <c r="E1788" s="246"/>
      <c r="F1788" s="363"/>
      <c r="G1788" s="363"/>
    </row>
    <row r="1789" spans="1:7" s="7" customFormat="1" outlineLevel="1" x14ac:dyDescent="0.25">
      <c r="A1789" s="248">
        <v>10</v>
      </c>
      <c r="B1789" s="367" t="s">
        <v>457</v>
      </c>
      <c r="C1789" s="242" t="s">
        <v>448</v>
      </c>
      <c r="D1789" s="427">
        <v>2</v>
      </c>
      <c r="E1789" s="246"/>
      <c r="F1789" s="363"/>
      <c r="G1789" s="363"/>
    </row>
    <row r="1790" spans="1:7" s="7" customFormat="1" outlineLevel="1" x14ac:dyDescent="0.25">
      <c r="A1790" s="248">
        <v>11</v>
      </c>
      <c r="B1790" s="367" t="s">
        <v>422</v>
      </c>
      <c r="C1790" s="242" t="s">
        <v>458</v>
      </c>
      <c r="D1790" s="427">
        <v>60</v>
      </c>
      <c r="E1790" s="246"/>
      <c r="F1790" s="363"/>
      <c r="G1790" s="363"/>
    </row>
    <row r="1791" spans="1:7" s="7" customFormat="1" outlineLevel="1" x14ac:dyDescent="0.25">
      <c r="A1791" s="248">
        <v>12</v>
      </c>
      <c r="B1791" s="367" t="s">
        <v>459</v>
      </c>
      <c r="C1791" s="242" t="s">
        <v>448</v>
      </c>
      <c r="D1791" s="427">
        <v>4</v>
      </c>
      <c r="E1791" s="246"/>
      <c r="F1791" s="363"/>
      <c r="G1791" s="363"/>
    </row>
    <row r="1792" spans="1:7" s="7" customFormat="1" outlineLevel="1" x14ac:dyDescent="0.25">
      <c r="A1792" s="248">
        <v>13</v>
      </c>
      <c r="B1792" s="367" t="s">
        <v>460</v>
      </c>
      <c r="C1792" s="242" t="s">
        <v>453</v>
      </c>
      <c r="D1792" s="427">
        <v>200</v>
      </c>
      <c r="E1792" s="246"/>
      <c r="F1792" s="363"/>
      <c r="G1792" s="363"/>
    </row>
    <row r="1793" spans="1:7" s="7" customFormat="1" outlineLevel="1" x14ac:dyDescent="0.25">
      <c r="A1793" s="248">
        <v>14</v>
      </c>
      <c r="B1793" s="367" t="s">
        <v>461</v>
      </c>
      <c r="C1793" s="242" t="s">
        <v>462</v>
      </c>
      <c r="D1793" s="427">
        <v>1</v>
      </c>
      <c r="E1793" s="246"/>
      <c r="F1793" s="363"/>
      <c r="G1793" s="363"/>
    </row>
    <row r="1794" spans="1:7" s="7" customFormat="1" outlineLevel="1" x14ac:dyDescent="0.25">
      <c r="A1794" s="240"/>
      <c r="B1794" s="245" t="s">
        <v>475</v>
      </c>
      <c r="C1794" s="242"/>
      <c r="D1794" s="427"/>
      <c r="E1794" s="246"/>
      <c r="F1794" s="363"/>
      <c r="G1794" s="363"/>
    </row>
    <row r="1795" spans="1:7" s="7" customFormat="1" outlineLevel="1" x14ac:dyDescent="0.25">
      <c r="A1795" s="240"/>
      <c r="B1795" s="366" t="s">
        <v>463</v>
      </c>
      <c r="C1795" s="242"/>
      <c r="D1795" s="427"/>
      <c r="E1795" s="246"/>
      <c r="F1795" s="363"/>
      <c r="G1795" s="363"/>
    </row>
    <row r="1796" spans="1:7" s="7" customFormat="1" outlineLevel="1" x14ac:dyDescent="0.25">
      <c r="A1796" s="240"/>
      <c r="B1796" s="366" t="s">
        <v>464</v>
      </c>
      <c r="C1796" s="242" t="s">
        <v>448</v>
      </c>
      <c r="D1796" s="427">
        <v>1</v>
      </c>
      <c r="E1796" s="246"/>
      <c r="F1796" s="363"/>
      <c r="G1796" s="363"/>
    </row>
    <row r="1797" spans="1:7" s="7" customFormat="1" outlineLevel="1" x14ac:dyDescent="0.25">
      <c r="A1797" s="240"/>
      <c r="B1797" s="366" t="s">
        <v>465</v>
      </c>
      <c r="C1797" s="242"/>
      <c r="D1797" s="427"/>
      <c r="E1797" s="246"/>
      <c r="F1797" s="363"/>
      <c r="G1797" s="363"/>
    </row>
    <row r="1798" spans="1:7" s="7" customFormat="1" outlineLevel="1" x14ac:dyDescent="0.25">
      <c r="A1798" s="240"/>
      <c r="B1798" s="496" t="s">
        <v>475</v>
      </c>
      <c r="C1798" s="496"/>
      <c r="D1798" s="496"/>
      <c r="E1798" s="496"/>
      <c r="F1798" s="363"/>
      <c r="G1798" s="363"/>
    </row>
    <row r="1799" spans="1:7" s="7" customFormat="1" ht="18.75" outlineLevel="1" x14ac:dyDescent="0.25">
      <c r="A1799" s="495" t="s">
        <v>493</v>
      </c>
      <c r="B1799" s="495"/>
      <c r="C1799" s="495"/>
      <c r="D1799" s="495"/>
      <c r="E1799" s="495"/>
      <c r="F1799" s="363"/>
      <c r="G1799" s="363"/>
    </row>
    <row r="1800" spans="1:7" s="7" customFormat="1" outlineLevel="1" x14ac:dyDescent="0.25">
      <c r="A1800" s="248">
        <v>1</v>
      </c>
      <c r="B1800" s="246" t="s">
        <v>473</v>
      </c>
      <c r="C1800" s="242" t="s">
        <v>448</v>
      </c>
      <c r="D1800" s="427">
        <v>2</v>
      </c>
      <c r="E1800" s="246"/>
      <c r="F1800" s="363"/>
      <c r="G1800" s="363"/>
    </row>
    <row r="1801" spans="1:7" s="7" customFormat="1" outlineLevel="1" x14ac:dyDescent="0.25">
      <c r="A1801" s="248">
        <v>2</v>
      </c>
      <c r="B1801" s="246" t="s">
        <v>468</v>
      </c>
      <c r="C1801" s="242" t="s">
        <v>448</v>
      </c>
      <c r="D1801" s="427">
        <v>5</v>
      </c>
      <c r="E1801" s="246"/>
      <c r="F1801" s="363"/>
      <c r="G1801" s="363"/>
    </row>
    <row r="1802" spans="1:7" s="7" customFormat="1" outlineLevel="1" x14ac:dyDescent="0.25">
      <c r="A1802" s="248">
        <v>3</v>
      </c>
      <c r="B1802" s="246" t="s">
        <v>469</v>
      </c>
      <c r="C1802" s="242" t="s">
        <v>448</v>
      </c>
      <c r="D1802" s="427">
        <v>25</v>
      </c>
      <c r="E1802" s="246"/>
      <c r="F1802" s="363"/>
      <c r="G1802" s="363"/>
    </row>
    <row r="1803" spans="1:7" s="7" customFormat="1" outlineLevel="1" x14ac:dyDescent="0.25">
      <c r="A1803" s="248">
        <v>4</v>
      </c>
      <c r="B1803" s="246" t="s">
        <v>412</v>
      </c>
      <c r="C1803" s="242" t="s">
        <v>448</v>
      </c>
      <c r="D1803" s="427">
        <v>12</v>
      </c>
      <c r="E1803" s="246"/>
      <c r="F1803" s="363"/>
      <c r="G1803" s="363"/>
    </row>
    <row r="1804" spans="1:7" s="7" customFormat="1" outlineLevel="1" x14ac:dyDescent="0.25">
      <c r="A1804" s="248">
        <v>5</v>
      </c>
      <c r="B1804" s="246" t="s">
        <v>451</v>
      </c>
      <c r="C1804" s="242" t="s">
        <v>448</v>
      </c>
      <c r="D1804" s="427">
        <v>9</v>
      </c>
      <c r="E1804" s="246"/>
      <c r="F1804" s="363"/>
      <c r="G1804" s="363"/>
    </row>
    <row r="1805" spans="1:7" s="7" customFormat="1" outlineLevel="1" x14ac:dyDescent="0.25">
      <c r="A1805" s="248">
        <v>6</v>
      </c>
      <c r="B1805" s="246" t="s">
        <v>452</v>
      </c>
      <c r="C1805" s="242" t="s">
        <v>453</v>
      </c>
      <c r="D1805" s="427">
        <v>150</v>
      </c>
      <c r="E1805" s="246"/>
      <c r="F1805" s="363"/>
      <c r="G1805" s="363"/>
    </row>
    <row r="1806" spans="1:7" s="7" customFormat="1" outlineLevel="1" x14ac:dyDescent="0.25">
      <c r="A1806" s="248">
        <v>7</v>
      </c>
      <c r="B1806" s="246" t="s">
        <v>454</v>
      </c>
      <c r="C1806" s="242" t="s">
        <v>448</v>
      </c>
      <c r="D1806" s="427">
        <v>1</v>
      </c>
      <c r="E1806" s="246"/>
      <c r="F1806" s="363"/>
      <c r="G1806" s="363"/>
    </row>
    <row r="1807" spans="1:7" s="7" customFormat="1" outlineLevel="1" x14ac:dyDescent="0.25">
      <c r="A1807" s="248">
        <v>8</v>
      </c>
      <c r="B1807" s="246" t="s">
        <v>466</v>
      </c>
      <c r="C1807" s="242" t="s">
        <v>448</v>
      </c>
      <c r="D1807" s="427">
        <v>8</v>
      </c>
      <c r="E1807" s="246"/>
      <c r="F1807" s="363"/>
      <c r="G1807" s="363"/>
    </row>
    <row r="1808" spans="1:7" s="7" customFormat="1" outlineLevel="1" x14ac:dyDescent="0.25">
      <c r="A1808" s="248">
        <v>9</v>
      </c>
      <c r="B1808" s="246" t="s">
        <v>470</v>
      </c>
      <c r="C1808" s="242" t="s">
        <v>448</v>
      </c>
      <c r="D1808" s="427">
        <v>3</v>
      </c>
      <c r="E1808" s="246"/>
      <c r="F1808" s="363"/>
      <c r="G1808" s="363"/>
    </row>
    <row r="1809" spans="1:7" s="7" customFormat="1" outlineLevel="1" x14ac:dyDescent="0.25">
      <c r="A1809" s="248">
        <v>10</v>
      </c>
      <c r="B1809" s="246" t="s">
        <v>471</v>
      </c>
      <c r="C1809" s="242" t="s">
        <v>448</v>
      </c>
      <c r="D1809" s="427">
        <v>12</v>
      </c>
      <c r="E1809" s="246"/>
      <c r="F1809" s="363"/>
      <c r="G1809" s="363"/>
    </row>
    <row r="1810" spans="1:7" s="7" customFormat="1" outlineLevel="1" x14ac:dyDescent="0.25">
      <c r="A1810" s="248">
        <v>11</v>
      </c>
      <c r="B1810" s="246" t="s">
        <v>422</v>
      </c>
      <c r="C1810" s="242" t="s">
        <v>458</v>
      </c>
      <c r="D1810" s="427">
        <v>150</v>
      </c>
      <c r="E1810" s="246"/>
      <c r="F1810" s="363"/>
      <c r="G1810" s="363"/>
    </row>
    <row r="1811" spans="1:7" s="7" customFormat="1" outlineLevel="1" x14ac:dyDescent="0.25">
      <c r="A1811" s="248">
        <v>12</v>
      </c>
      <c r="B1811" s="246" t="s">
        <v>459</v>
      </c>
      <c r="C1811" s="242" t="s">
        <v>448</v>
      </c>
      <c r="D1811" s="427">
        <v>20</v>
      </c>
      <c r="E1811" s="246"/>
      <c r="F1811" s="363"/>
      <c r="G1811" s="363"/>
    </row>
    <row r="1812" spans="1:7" s="7" customFormat="1" outlineLevel="1" x14ac:dyDescent="0.25">
      <c r="A1812" s="248">
        <v>13</v>
      </c>
      <c r="B1812" s="246" t="s">
        <v>472</v>
      </c>
      <c r="C1812" s="242" t="s">
        <v>453</v>
      </c>
      <c r="D1812" s="427">
        <v>1000</v>
      </c>
      <c r="E1812" s="246"/>
      <c r="F1812" s="363"/>
      <c r="G1812" s="363"/>
    </row>
    <row r="1813" spans="1:7" s="7" customFormat="1" outlineLevel="1" x14ac:dyDescent="0.25">
      <c r="A1813" s="248">
        <v>14</v>
      </c>
      <c r="B1813" s="246" t="s">
        <v>461</v>
      </c>
      <c r="C1813" s="242" t="s">
        <v>462</v>
      </c>
      <c r="D1813" s="427">
        <v>1</v>
      </c>
      <c r="E1813" s="246"/>
      <c r="F1813" s="363"/>
      <c r="G1813" s="363"/>
    </row>
    <row r="1814" spans="1:7" s="7" customFormat="1" outlineLevel="1" x14ac:dyDescent="0.25">
      <c r="A1814" s="242"/>
      <c r="B1814" s="245" t="s">
        <v>475</v>
      </c>
      <c r="C1814" s="242"/>
      <c r="D1814" s="427"/>
      <c r="E1814" s="246"/>
      <c r="F1814" s="363"/>
      <c r="G1814" s="363"/>
    </row>
    <row r="1815" spans="1:7" s="7" customFormat="1" outlineLevel="1" x14ac:dyDescent="0.25">
      <c r="A1815" s="242"/>
      <c r="B1815" s="366" t="s">
        <v>463</v>
      </c>
      <c r="C1815" s="242"/>
      <c r="D1815" s="427"/>
      <c r="E1815" s="246"/>
      <c r="F1815" s="363"/>
      <c r="G1815" s="363"/>
    </row>
    <row r="1816" spans="1:7" s="7" customFormat="1" outlineLevel="1" x14ac:dyDescent="0.25">
      <c r="A1816" s="242"/>
      <c r="B1816" s="366" t="s">
        <v>464</v>
      </c>
      <c r="C1816" s="242" t="s">
        <v>448</v>
      </c>
      <c r="D1816" s="427">
        <v>1</v>
      </c>
      <c r="E1816" s="246"/>
      <c r="F1816" s="363"/>
      <c r="G1816" s="363"/>
    </row>
    <row r="1817" spans="1:7" s="7" customFormat="1" outlineLevel="1" x14ac:dyDescent="0.25">
      <c r="A1817" s="242"/>
      <c r="B1817" s="366" t="s">
        <v>465</v>
      </c>
      <c r="C1817" s="242"/>
      <c r="D1817" s="427"/>
      <c r="E1817" s="246"/>
      <c r="F1817" s="363"/>
      <c r="G1817" s="363"/>
    </row>
    <row r="1818" spans="1:7" s="7" customFormat="1" ht="21" customHeight="1" outlineLevel="1" x14ac:dyDescent="0.25">
      <c r="A1818" s="242"/>
      <c r="B1818" s="496" t="s">
        <v>475</v>
      </c>
      <c r="C1818" s="496"/>
      <c r="D1818" s="496"/>
      <c r="E1818" s="496"/>
      <c r="F1818" s="363"/>
      <c r="G1818" s="363"/>
    </row>
    <row r="1819" spans="1:7" s="7" customFormat="1" ht="19.5" outlineLevel="1" x14ac:dyDescent="0.25">
      <c r="A1819" s="526" t="s">
        <v>494</v>
      </c>
      <c r="B1819" s="527"/>
      <c r="C1819" s="527"/>
      <c r="D1819" s="527"/>
      <c r="E1819" s="527"/>
      <c r="F1819" s="527"/>
      <c r="G1819" s="528"/>
    </row>
    <row r="1820" spans="1:7" s="7" customFormat="1" ht="87.75" customHeight="1" outlineLevel="1" x14ac:dyDescent="0.25">
      <c r="A1820" s="368">
        <v>1</v>
      </c>
      <c r="B1820" s="369" t="s">
        <v>400</v>
      </c>
      <c r="C1820" s="444">
        <v>49390</v>
      </c>
      <c r="D1820" s="427">
        <v>100</v>
      </c>
      <c r="E1820" s="370"/>
      <c r="F1820" s="363"/>
      <c r="G1820" s="363"/>
    </row>
    <row r="1821" spans="1:7" s="7" customFormat="1" ht="63.75" customHeight="1" outlineLevel="1" x14ac:dyDescent="0.25">
      <c r="A1821" s="368">
        <v>2</v>
      </c>
      <c r="B1821" s="369" t="s">
        <v>401</v>
      </c>
      <c r="C1821" s="444">
        <v>2062.9820000000004</v>
      </c>
      <c r="D1821" s="427">
        <v>1000</v>
      </c>
      <c r="E1821" s="370"/>
      <c r="F1821" s="363"/>
      <c r="G1821" s="363"/>
    </row>
    <row r="1822" spans="1:7" s="7" customFormat="1" ht="48" customHeight="1" outlineLevel="1" x14ac:dyDescent="0.25">
      <c r="A1822" s="368">
        <v>2</v>
      </c>
      <c r="B1822" s="369" t="s">
        <v>402</v>
      </c>
      <c r="C1822" s="444">
        <v>515.74550000000011</v>
      </c>
      <c r="D1822" s="427">
        <v>100</v>
      </c>
      <c r="E1822" s="370"/>
      <c r="F1822" s="363"/>
      <c r="G1822" s="363"/>
    </row>
    <row r="1823" spans="1:7" s="7" customFormat="1" ht="30" outlineLevel="1" x14ac:dyDescent="0.25">
      <c r="A1823" s="368">
        <v>3</v>
      </c>
      <c r="B1823" s="369" t="s">
        <v>25</v>
      </c>
      <c r="C1823" s="444">
        <v>745.64550000000008</v>
      </c>
      <c r="D1823" s="427">
        <v>100</v>
      </c>
      <c r="E1823" s="370"/>
      <c r="F1823" s="363"/>
      <c r="G1823" s="363"/>
    </row>
    <row r="1824" spans="1:7" s="7" customFormat="1" ht="46.5" customHeight="1" outlineLevel="1" x14ac:dyDescent="0.25">
      <c r="A1824" s="368">
        <v>4</v>
      </c>
      <c r="B1824" s="369" t="s">
        <v>403</v>
      </c>
      <c r="C1824" s="444">
        <v>427.5</v>
      </c>
      <c r="D1824" s="427">
        <v>100</v>
      </c>
      <c r="E1824" s="370"/>
      <c r="F1824" s="363"/>
      <c r="G1824" s="363"/>
    </row>
    <row r="1825" spans="1:7" s="7" customFormat="1" ht="27" customHeight="1" outlineLevel="1" x14ac:dyDescent="0.25">
      <c r="A1825" s="368">
        <v>5</v>
      </c>
      <c r="B1825" s="369" t="s">
        <v>404</v>
      </c>
      <c r="C1825" s="444">
        <v>1656.5625</v>
      </c>
      <c r="D1825" s="427">
        <v>100</v>
      </c>
      <c r="E1825" s="370"/>
      <c r="F1825" s="363"/>
      <c r="G1825" s="363"/>
    </row>
    <row r="1826" spans="1:7" s="7" customFormat="1" ht="27" customHeight="1" outlineLevel="1" x14ac:dyDescent="0.25">
      <c r="A1826" s="368">
        <v>6</v>
      </c>
      <c r="B1826" s="369" t="s">
        <v>405</v>
      </c>
      <c r="C1826" s="444">
        <v>6225.46875</v>
      </c>
      <c r="D1826" s="427">
        <v>100</v>
      </c>
      <c r="E1826" s="370"/>
      <c r="F1826" s="363"/>
      <c r="G1826" s="363"/>
    </row>
    <row r="1827" spans="1:7" s="7" customFormat="1" ht="132.75" customHeight="1" outlineLevel="1" x14ac:dyDescent="0.25">
      <c r="A1827" s="368">
        <v>7</v>
      </c>
      <c r="B1827" s="369" t="s">
        <v>406</v>
      </c>
      <c r="C1827" s="444">
        <v>6650</v>
      </c>
      <c r="D1827" s="427">
        <v>1</v>
      </c>
      <c r="E1827" s="370"/>
      <c r="F1827" s="363"/>
      <c r="G1827" s="363"/>
    </row>
    <row r="1828" spans="1:7" s="7" customFormat="1" ht="45" outlineLevel="1" x14ac:dyDescent="0.25">
      <c r="A1828" s="368">
        <v>8</v>
      </c>
      <c r="B1828" s="369" t="s">
        <v>407</v>
      </c>
      <c r="C1828" s="444">
        <v>14250</v>
      </c>
      <c r="D1828" s="427">
        <v>1</v>
      </c>
      <c r="E1828" s="370"/>
      <c r="F1828" s="363"/>
      <c r="G1828" s="363"/>
    </row>
    <row r="1829" spans="1:7" s="7" customFormat="1" ht="60" outlineLevel="1" x14ac:dyDescent="0.25">
      <c r="A1829" s="368">
        <v>9</v>
      </c>
      <c r="B1829" s="369" t="s">
        <v>408</v>
      </c>
      <c r="C1829" s="444">
        <v>28500</v>
      </c>
      <c r="D1829" s="427">
        <v>1</v>
      </c>
      <c r="E1829" s="370"/>
      <c r="F1829" s="363"/>
      <c r="G1829" s="363"/>
    </row>
    <row r="1830" spans="1:7" s="7" customFormat="1" ht="21.75" customHeight="1" outlineLevel="1" x14ac:dyDescent="0.25">
      <c r="A1830" s="510" t="s">
        <v>514</v>
      </c>
      <c r="B1830" s="510"/>
      <c r="C1830" s="510"/>
      <c r="D1830" s="510"/>
      <c r="E1830" s="510"/>
      <c r="F1830" s="363"/>
      <c r="G1830" s="363"/>
    </row>
    <row r="1831" spans="1:7" customFormat="1" ht="18" customHeight="1" x14ac:dyDescent="0.25">
      <c r="A1831" s="499" t="s">
        <v>562</v>
      </c>
      <c r="B1831" s="499"/>
      <c r="C1831" s="499"/>
      <c r="D1831" s="499"/>
      <c r="E1831" s="499"/>
      <c r="F1831" s="362"/>
      <c r="G1831" s="362"/>
    </row>
    <row r="1832" spans="1:7" customFormat="1" ht="216.75" outlineLevel="1" x14ac:dyDescent="0.25">
      <c r="A1832" s="368">
        <v>1</v>
      </c>
      <c r="B1832" s="371" t="s">
        <v>495</v>
      </c>
      <c r="C1832" s="271" t="s">
        <v>474</v>
      </c>
      <c r="D1832" s="428">
        <v>37</v>
      </c>
      <c r="E1832" s="372"/>
      <c r="F1832" s="364"/>
      <c r="G1832" s="364"/>
    </row>
    <row r="1833" spans="1:7" customFormat="1" ht="45" outlineLevel="1" x14ac:dyDescent="0.25">
      <c r="A1833" s="373">
        <v>2</v>
      </c>
      <c r="B1833" s="374" t="s">
        <v>553</v>
      </c>
      <c r="C1833" s="373" t="s">
        <v>496</v>
      </c>
      <c r="D1833" s="429">
        <v>8140</v>
      </c>
      <c r="E1833" s="373"/>
      <c r="F1833" s="364"/>
      <c r="G1833" s="364"/>
    </row>
    <row r="1834" spans="1:7" customFormat="1" ht="30" outlineLevel="1" x14ac:dyDescent="0.25">
      <c r="A1834" s="373">
        <v>3</v>
      </c>
      <c r="B1834" s="374" t="s">
        <v>497</v>
      </c>
      <c r="C1834" s="373" t="s">
        <v>498</v>
      </c>
      <c r="D1834" s="429">
        <v>1628</v>
      </c>
      <c r="E1834" s="373"/>
      <c r="F1834" s="364"/>
      <c r="G1834" s="364"/>
    </row>
    <row r="1835" spans="1:7" customFormat="1" ht="27.75" customHeight="1" outlineLevel="1" x14ac:dyDescent="0.25">
      <c r="A1835" s="373">
        <v>4</v>
      </c>
      <c r="B1835" s="374" t="s">
        <v>499</v>
      </c>
      <c r="C1835" s="375" t="s">
        <v>500</v>
      </c>
      <c r="D1835" s="429">
        <v>37</v>
      </c>
      <c r="E1835" s="373"/>
      <c r="F1835" s="364"/>
      <c r="G1835" s="364"/>
    </row>
    <row r="1836" spans="1:7" customFormat="1" ht="60" outlineLevel="1" x14ac:dyDescent="0.25">
      <c r="A1836" s="373">
        <v>5</v>
      </c>
      <c r="B1836" s="374" t="s">
        <v>501</v>
      </c>
      <c r="C1836" s="373" t="s">
        <v>496</v>
      </c>
      <c r="D1836" s="429">
        <v>2590</v>
      </c>
      <c r="E1836" s="373"/>
      <c r="F1836" s="364"/>
      <c r="G1836" s="364"/>
    </row>
    <row r="1837" spans="1:7" customFormat="1" ht="45" outlineLevel="1" x14ac:dyDescent="0.25">
      <c r="A1837" s="373">
        <v>6</v>
      </c>
      <c r="B1837" s="374" t="s">
        <v>502</v>
      </c>
      <c r="C1837" s="373" t="s">
        <v>503</v>
      </c>
      <c r="D1837" s="429">
        <v>74</v>
      </c>
      <c r="E1837" s="373"/>
      <c r="F1837" s="364"/>
      <c r="G1837" s="364"/>
    </row>
    <row r="1838" spans="1:7" customFormat="1" ht="75" outlineLevel="1" x14ac:dyDescent="0.25">
      <c r="A1838" s="373">
        <v>7</v>
      </c>
      <c r="B1838" s="374" t="s">
        <v>554</v>
      </c>
      <c r="C1838" s="373" t="s">
        <v>496</v>
      </c>
      <c r="D1838" s="429">
        <v>4440</v>
      </c>
      <c r="E1838" s="373"/>
      <c r="F1838" s="364"/>
      <c r="G1838" s="364"/>
    </row>
    <row r="1839" spans="1:7" customFormat="1" ht="51" customHeight="1" outlineLevel="1" x14ac:dyDescent="0.25">
      <c r="A1839" s="373">
        <v>8</v>
      </c>
      <c r="B1839" s="374" t="s">
        <v>555</v>
      </c>
      <c r="C1839" s="373" t="s">
        <v>496</v>
      </c>
      <c r="D1839" s="429">
        <v>740</v>
      </c>
      <c r="E1839" s="373"/>
      <c r="F1839" s="364"/>
      <c r="G1839" s="364"/>
    </row>
    <row r="1840" spans="1:7" customFormat="1" ht="90" outlineLevel="1" x14ac:dyDescent="0.25">
      <c r="A1840" s="373">
        <v>9</v>
      </c>
      <c r="B1840" s="374" t="s">
        <v>504</v>
      </c>
      <c r="C1840" s="373" t="s">
        <v>496</v>
      </c>
      <c r="D1840" s="429">
        <v>370</v>
      </c>
      <c r="E1840" s="373"/>
      <c r="F1840" s="364"/>
      <c r="G1840" s="364"/>
    </row>
    <row r="1841" spans="1:7" customFormat="1" ht="30" outlineLevel="1" x14ac:dyDescent="0.25">
      <c r="A1841" s="373">
        <v>10</v>
      </c>
      <c r="B1841" s="374" t="s">
        <v>505</v>
      </c>
      <c r="C1841" s="373" t="s">
        <v>506</v>
      </c>
      <c r="D1841" s="429">
        <v>148</v>
      </c>
      <c r="E1841" s="373"/>
      <c r="F1841" s="364"/>
      <c r="G1841" s="364"/>
    </row>
    <row r="1842" spans="1:7" customFormat="1" ht="30" outlineLevel="1" x14ac:dyDescent="0.25">
      <c r="A1842" s="373">
        <v>11</v>
      </c>
      <c r="B1842" s="374" t="s">
        <v>507</v>
      </c>
      <c r="C1842" s="373" t="s">
        <v>508</v>
      </c>
      <c r="D1842" s="429">
        <v>6520.88</v>
      </c>
      <c r="E1842" s="373"/>
      <c r="F1842" s="364"/>
      <c r="G1842" s="364"/>
    </row>
    <row r="1843" spans="1:7" customFormat="1" ht="45" outlineLevel="1" x14ac:dyDescent="0.25">
      <c r="A1843" s="373">
        <v>12</v>
      </c>
      <c r="B1843" s="374" t="s">
        <v>509</v>
      </c>
      <c r="C1843" s="373" t="s">
        <v>510</v>
      </c>
      <c r="D1843" s="429">
        <v>2664</v>
      </c>
      <c r="E1843" s="373"/>
      <c r="F1843" s="364"/>
      <c r="G1843" s="364"/>
    </row>
    <row r="1844" spans="1:7" customFormat="1" ht="45" outlineLevel="1" x14ac:dyDescent="0.25">
      <c r="A1844" s="373">
        <v>13</v>
      </c>
      <c r="B1844" s="374" t="s">
        <v>511</v>
      </c>
      <c r="C1844" s="373" t="s">
        <v>496</v>
      </c>
      <c r="D1844" s="429">
        <v>1850</v>
      </c>
      <c r="E1844" s="373"/>
      <c r="F1844" s="364"/>
      <c r="G1844" s="364"/>
    </row>
    <row r="1845" spans="1:7" customFormat="1" ht="60" outlineLevel="1" x14ac:dyDescent="0.25">
      <c r="A1845" s="373">
        <v>14</v>
      </c>
      <c r="B1845" s="374" t="s">
        <v>534</v>
      </c>
      <c r="C1845" s="376">
        <v>1000</v>
      </c>
      <c r="D1845" s="429">
        <v>118400</v>
      </c>
      <c r="E1845" s="373"/>
      <c r="F1845" s="364"/>
      <c r="G1845" s="364"/>
    </row>
    <row r="1846" spans="1:7" customFormat="1" ht="27.75" customHeight="1" outlineLevel="1" x14ac:dyDescent="0.25">
      <c r="A1846" s="373">
        <v>15</v>
      </c>
      <c r="B1846" s="374" t="s">
        <v>512</v>
      </c>
      <c r="C1846" s="376">
        <v>1000</v>
      </c>
      <c r="D1846" s="429">
        <v>118400</v>
      </c>
      <c r="E1846" s="373"/>
      <c r="F1846" s="364"/>
      <c r="G1846" s="364"/>
    </row>
    <row r="1847" spans="1:7" customFormat="1" ht="75" outlineLevel="1" x14ac:dyDescent="0.25">
      <c r="A1847" s="373">
        <v>16</v>
      </c>
      <c r="B1847" s="374" t="s">
        <v>535</v>
      </c>
      <c r="C1847" s="373" t="s">
        <v>513</v>
      </c>
      <c r="D1847" s="429">
        <v>14800</v>
      </c>
      <c r="E1847" s="373"/>
      <c r="F1847" s="364"/>
      <c r="G1847" s="364"/>
    </row>
    <row r="1848" spans="1:7" customFormat="1" ht="75" outlineLevel="1" x14ac:dyDescent="0.25">
      <c r="A1848" s="373">
        <v>17</v>
      </c>
      <c r="B1848" s="374" t="s">
        <v>536</v>
      </c>
      <c r="C1848" s="373" t="s">
        <v>513</v>
      </c>
      <c r="D1848" s="429">
        <v>555</v>
      </c>
      <c r="E1848" s="373"/>
      <c r="F1848" s="364"/>
      <c r="G1848" s="364"/>
    </row>
    <row r="1849" spans="1:7" customFormat="1" ht="23.25" customHeight="1" outlineLevel="1" x14ac:dyDescent="0.25">
      <c r="A1849" s="510" t="s">
        <v>514</v>
      </c>
      <c r="B1849" s="510"/>
      <c r="C1849" s="510"/>
      <c r="D1849" s="510"/>
      <c r="E1849" s="510"/>
      <c r="F1849" s="364"/>
      <c r="G1849" s="364"/>
    </row>
    <row r="1850" spans="1:7" customFormat="1" ht="24.75" customHeight="1" x14ac:dyDescent="0.25">
      <c r="A1850" s="499" t="s">
        <v>516</v>
      </c>
      <c r="B1850" s="499"/>
      <c r="C1850" s="499"/>
      <c r="D1850" s="499"/>
      <c r="E1850" s="499"/>
      <c r="F1850" s="499"/>
      <c r="G1850" s="499"/>
    </row>
    <row r="1851" spans="1:7" customFormat="1" ht="319.5" customHeight="1" outlineLevel="1" x14ac:dyDescent="0.25">
      <c r="A1851" s="373">
        <v>1</v>
      </c>
      <c r="B1851" s="377" t="s">
        <v>517</v>
      </c>
      <c r="C1851" s="330" t="s">
        <v>506</v>
      </c>
      <c r="D1851" s="430">
        <v>8</v>
      </c>
      <c r="E1851" s="378"/>
      <c r="F1851" s="364"/>
      <c r="G1851" s="364"/>
    </row>
    <row r="1852" spans="1:7" customFormat="1" ht="291.75" customHeight="1" outlineLevel="1" x14ac:dyDescent="0.25">
      <c r="A1852" s="373">
        <v>2</v>
      </c>
      <c r="B1852" s="379" t="s">
        <v>518</v>
      </c>
      <c r="C1852" s="373" t="s">
        <v>506</v>
      </c>
      <c r="D1852" s="429">
        <v>1</v>
      </c>
      <c r="E1852" s="380"/>
      <c r="F1852" s="364"/>
      <c r="G1852" s="364"/>
    </row>
    <row r="1853" spans="1:7" customFormat="1" ht="71.25" customHeight="1" outlineLevel="1" x14ac:dyDescent="0.25">
      <c r="A1853" s="373">
        <v>3</v>
      </c>
      <c r="B1853" s="374" t="s">
        <v>519</v>
      </c>
      <c r="C1853" s="373" t="s">
        <v>506</v>
      </c>
      <c r="D1853" s="429">
        <v>1</v>
      </c>
      <c r="E1853" s="380"/>
      <c r="F1853" s="364"/>
      <c r="G1853" s="364"/>
    </row>
    <row r="1854" spans="1:7" customFormat="1" ht="21" customHeight="1" outlineLevel="1" x14ac:dyDescent="0.25">
      <c r="A1854" s="510" t="s">
        <v>514</v>
      </c>
      <c r="B1854" s="510"/>
      <c r="C1854" s="510"/>
      <c r="D1854" s="510"/>
      <c r="E1854" s="510"/>
      <c r="F1854" s="364"/>
      <c r="G1854" s="364"/>
    </row>
    <row r="1855" spans="1:7" s="17" customFormat="1" ht="25.5" customHeight="1" x14ac:dyDescent="0.25">
      <c r="A1855" s="361" t="s">
        <v>520</v>
      </c>
      <c r="B1855" s="361"/>
      <c r="C1855" s="417"/>
      <c r="D1855" s="431"/>
      <c r="E1855" s="361"/>
      <c r="F1855" s="381"/>
      <c r="G1855" s="381"/>
    </row>
    <row r="1856" spans="1:7" customFormat="1" ht="18.75" outlineLevel="1" x14ac:dyDescent="0.25">
      <c r="A1856" s="495" t="s">
        <v>522</v>
      </c>
      <c r="B1856" s="495"/>
      <c r="C1856" s="495"/>
      <c r="D1856" s="495"/>
      <c r="E1856" s="495"/>
      <c r="F1856" s="364"/>
      <c r="G1856" s="364"/>
    </row>
    <row r="1857" spans="1:7" customFormat="1" ht="280.5" outlineLevel="1" x14ac:dyDescent="0.25">
      <c r="A1857" s="382">
        <v>1</v>
      </c>
      <c r="B1857" s="383" t="s">
        <v>537</v>
      </c>
      <c r="C1857" s="330" t="s">
        <v>506</v>
      </c>
      <c r="D1857" s="430">
        <v>3</v>
      </c>
      <c r="E1857" s="384"/>
      <c r="F1857" s="364"/>
      <c r="G1857" s="364"/>
    </row>
    <row r="1858" spans="1:7" customFormat="1" ht="290.25" customHeight="1" outlineLevel="1" x14ac:dyDescent="0.25">
      <c r="A1858" s="382">
        <v>2</v>
      </c>
      <c r="B1858" s="385" t="s">
        <v>538</v>
      </c>
      <c r="C1858" s="330" t="s">
        <v>506</v>
      </c>
      <c r="D1858" s="430">
        <v>1</v>
      </c>
      <c r="E1858" s="378"/>
      <c r="F1858" s="364"/>
      <c r="G1858" s="364"/>
    </row>
    <row r="1859" spans="1:7" customFormat="1" ht="61.5" customHeight="1" outlineLevel="1" x14ac:dyDescent="0.25">
      <c r="A1859" s="386">
        <v>3</v>
      </c>
      <c r="B1859" s="385" t="s">
        <v>521</v>
      </c>
      <c r="C1859" s="418" t="s">
        <v>506</v>
      </c>
      <c r="D1859" s="432">
        <v>1</v>
      </c>
      <c r="E1859" s="378"/>
      <c r="F1859" s="364"/>
      <c r="G1859" s="364"/>
    </row>
    <row r="1860" spans="1:7" customFormat="1" ht="15" outlineLevel="1" x14ac:dyDescent="0.25">
      <c r="A1860" s="513" t="s">
        <v>523</v>
      </c>
      <c r="B1860" s="513"/>
      <c r="C1860" s="513"/>
      <c r="D1860" s="513"/>
      <c r="E1860" s="513"/>
      <c r="F1860" s="364"/>
      <c r="G1860" s="364"/>
    </row>
    <row r="1861" spans="1:7" customFormat="1" ht="284.25" customHeight="1" outlineLevel="1" x14ac:dyDescent="0.25">
      <c r="A1861" s="382">
        <v>1</v>
      </c>
      <c r="B1861" s="387" t="s">
        <v>533</v>
      </c>
      <c r="C1861" s="419" t="s">
        <v>506</v>
      </c>
      <c r="D1861" s="432">
        <v>2</v>
      </c>
      <c r="E1861" s="384"/>
      <c r="F1861" s="364"/>
      <c r="G1861" s="364"/>
    </row>
    <row r="1862" spans="1:7" customFormat="1" ht="51" outlineLevel="1" x14ac:dyDescent="0.25">
      <c r="A1862" s="386">
        <v>2</v>
      </c>
      <c r="B1862" s="383" t="s">
        <v>524</v>
      </c>
      <c r="C1862" s="419" t="s">
        <v>506</v>
      </c>
      <c r="D1862" s="432">
        <v>1</v>
      </c>
      <c r="E1862" s="384"/>
      <c r="F1862" s="364"/>
      <c r="G1862" s="364"/>
    </row>
    <row r="1863" spans="1:7" customFormat="1" ht="18.75" outlineLevel="1" x14ac:dyDescent="0.25">
      <c r="A1863" s="495" t="s">
        <v>525</v>
      </c>
      <c r="B1863" s="495"/>
      <c r="C1863" s="495"/>
      <c r="D1863" s="495"/>
      <c r="E1863" s="495"/>
      <c r="F1863" s="364"/>
      <c r="G1863" s="364"/>
    </row>
    <row r="1864" spans="1:7" customFormat="1" ht="292.5" customHeight="1" outlineLevel="1" x14ac:dyDescent="0.25">
      <c r="A1864" s="382">
        <v>1</v>
      </c>
      <c r="B1864" s="387" t="s">
        <v>532</v>
      </c>
      <c r="C1864" s="330" t="s">
        <v>506</v>
      </c>
      <c r="D1864" s="433">
        <v>2</v>
      </c>
      <c r="E1864" s="321"/>
      <c r="F1864" s="364"/>
      <c r="G1864" s="364"/>
    </row>
    <row r="1865" spans="1:7" customFormat="1" ht="57" outlineLevel="1" x14ac:dyDescent="0.25">
      <c r="A1865" s="386">
        <v>2</v>
      </c>
      <c r="B1865" s="388" t="s">
        <v>524</v>
      </c>
      <c r="C1865" s="368" t="s">
        <v>506</v>
      </c>
      <c r="D1865" s="434">
        <v>1</v>
      </c>
      <c r="E1865" s="389"/>
      <c r="F1865" s="364"/>
      <c r="G1865" s="364"/>
    </row>
    <row r="1866" spans="1:7" customFormat="1" ht="23.25" customHeight="1" outlineLevel="1" x14ac:dyDescent="0.25">
      <c r="A1866" s="510" t="s">
        <v>514</v>
      </c>
      <c r="B1866" s="510"/>
      <c r="C1866" s="510"/>
      <c r="D1866" s="510"/>
      <c r="E1866" s="510"/>
      <c r="F1866" s="364"/>
      <c r="G1866" s="364"/>
    </row>
    <row r="1867" spans="1:7" customFormat="1" ht="25.5" customHeight="1" x14ac:dyDescent="0.25">
      <c r="A1867" s="499" t="s">
        <v>559</v>
      </c>
      <c r="B1867" s="499"/>
      <c r="C1867" s="499"/>
      <c r="D1867" s="499"/>
      <c r="E1867" s="499"/>
      <c r="F1867" s="362"/>
      <c r="G1867" s="362"/>
    </row>
    <row r="1868" spans="1:7" customFormat="1" ht="18.75" outlineLevel="1" x14ac:dyDescent="0.25">
      <c r="A1868" s="495" t="s">
        <v>528</v>
      </c>
      <c r="B1868" s="495"/>
      <c r="C1868" s="495"/>
      <c r="D1868" s="495"/>
      <c r="E1868" s="495"/>
      <c r="F1868" s="364"/>
      <c r="G1868" s="364"/>
    </row>
    <row r="1869" spans="1:7" customFormat="1" ht="229.5" outlineLevel="1" x14ac:dyDescent="0.25">
      <c r="A1869" s="373"/>
      <c r="B1869" s="390" t="s">
        <v>526</v>
      </c>
      <c r="C1869" s="420" t="s">
        <v>474</v>
      </c>
      <c r="D1869" s="435">
        <v>3</v>
      </c>
      <c r="E1869" s="391"/>
      <c r="F1869" s="364"/>
      <c r="G1869" s="364"/>
    </row>
    <row r="1870" spans="1:7" customFormat="1" ht="15" customHeight="1" outlineLevel="1" x14ac:dyDescent="0.25">
      <c r="A1870" s="514" t="s">
        <v>529</v>
      </c>
      <c r="B1870" s="514"/>
      <c r="C1870" s="514"/>
      <c r="D1870" s="514"/>
      <c r="E1870" s="514"/>
      <c r="F1870" s="364"/>
      <c r="G1870" s="364"/>
    </row>
    <row r="1871" spans="1:7" customFormat="1" ht="229.5" outlineLevel="1" x14ac:dyDescent="0.25">
      <c r="A1871" s="373"/>
      <c r="B1871" s="390" t="s">
        <v>527</v>
      </c>
      <c r="C1871" s="420" t="s">
        <v>474</v>
      </c>
      <c r="D1871" s="435">
        <v>1</v>
      </c>
      <c r="E1871" s="391"/>
      <c r="F1871" s="364"/>
      <c r="G1871" s="364"/>
    </row>
    <row r="1872" spans="1:7" customFormat="1" ht="15" customHeight="1" outlineLevel="1" x14ac:dyDescent="0.25">
      <c r="A1872" s="514" t="s">
        <v>530</v>
      </c>
      <c r="B1872" s="514"/>
      <c r="C1872" s="514"/>
      <c r="D1872" s="514"/>
      <c r="E1872" s="514"/>
      <c r="F1872" s="364"/>
      <c r="G1872" s="364"/>
    </row>
    <row r="1873" spans="1:7" customFormat="1" ht="229.5" outlineLevel="1" x14ac:dyDescent="0.25">
      <c r="A1873" s="373"/>
      <c r="B1873" s="390" t="s">
        <v>526</v>
      </c>
      <c r="C1873" s="420" t="s">
        <v>474</v>
      </c>
      <c r="D1873" s="435">
        <v>2</v>
      </c>
      <c r="E1873" s="391"/>
      <c r="F1873" s="364"/>
      <c r="G1873" s="364"/>
    </row>
    <row r="1874" spans="1:7" customFormat="1" ht="15" outlineLevel="1" x14ac:dyDescent="0.25">
      <c r="A1874" s="373"/>
      <c r="B1874" s="484" t="s">
        <v>531</v>
      </c>
      <c r="C1874" s="420"/>
      <c r="D1874" s="435"/>
      <c r="E1874" s="391"/>
      <c r="F1874" s="364"/>
      <c r="G1874" s="364"/>
    </row>
    <row r="1875" spans="1:7" customFormat="1" ht="229.5" outlineLevel="1" x14ac:dyDescent="0.25">
      <c r="A1875" s="373"/>
      <c r="B1875" s="390" t="s">
        <v>526</v>
      </c>
      <c r="C1875" s="420" t="s">
        <v>474</v>
      </c>
      <c r="D1875" s="435">
        <v>2</v>
      </c>
      <c r="E1875" s="391"/>
      <c r="F1875" s="364"/>
      <c r="G1875" s="364"/>
    </row>
    <row r="1876" spans="1:7" customFormat="1" ht="23.25" customHeight="1" outlineLevel="1" x14ac:dyDescent="0.25">
      <c r="A1876" s="510" t="s">
        <v>514</v>
      </c>
      <c r="B1876" s="510"/>
      <c r="C1876" s="510"/>
      <c r="D1876" s="510"/>
      <c r="E1876" s="510"/>
      <c r="F1876" s="364"/>
      <c r="G1876" s="364"/>
    </row>
    <row r="1877" spans="1:7" customFormat="1" ht="25.5" customHeight="1" x14ac:dyDescent="0.25">
      <c r="A1877" s="499" t="s">
        <v>560</v>
      </c>
      <c r="B1877" s="499"/>
      <c r="C1877" s="499"/>
      <c r="D1877" s="499"/>
      <c r="E1877" s="499"/>
      <c r="F1877" s="362"/>
      <c r="G1877" s="362"/>
    </row>
    <row r="1878" spans="1:7" customFormat="1" ht="18.75" outlineLevel="1" x14ac:dyDescent="0.25">
      <c r="A1878" s="495" t="s">
        <v>539</v>
      </c>
      <c r="B1878" s="495"/>
      <c r="C1878" s="495"/>
      <c r="D1878" s="495"/>
      <c r="E1878" s="495"/>
      <c r="F1878" s="364"/>
      <c r="G1878" s="364"/>
    </row>
    <row r="1879" spans="1:7" customFormat="1" ht="223.5" customHeight="1" outlineLevel="1" x14ac:dyDescent="0.25">
      <c r="A1879" s="373"/>
      <c r="B1879" s="379" t="s">
        <v>540</v>
      </c>
      <c r="C1879" s="373" t="s">
        <v>474</v>
      </c>
      <c r="D1879" s="429">
        <v>37</v>
      </c>
      <c r="E1879" s="380"/>
      <c r="F1879" s="364"/>
      <c r="G1879" s="364"/>
    </row>
    <row r="1880" spans="1:7" customFormat="1" ht="19.5" outlineLevel="1" x14ac:dyDescent="0.25">
      <c r="A1880" s="512" t="s">
        <v>541</v>
      </c>
      <c r="B1880" s="512"/>
      <c r="C1880" s="512"/>
      <c r="D1880" s="512"/>
      <c r="E1880" s="512"/>
      <c r="F1880" s="364"/>
      <c r="G1880" s="364"/>
    </row>
    <row r="1881" spans="1:7" customFormat="1" ht="219.75" customHeight="1" outlineLevel="1" x14ac:dyDescent="0.25">
      <c r="A1881" s="373"/>
      <c r="B1881" s="395" t="s">
        <v>540</v>
      </c>
      <c r="C1881" s="420" t="s">
        <v>474</v>
      </c>
      <c r="D1881" s="435">
        <v>50</v>
      </c>
      <c r="E1881" s="391"/>
      <c r="F1881" s="364"/>
      <c r="G1881" s="364"/>
    </row>
    <row r="1882" spans="1:7" customFormat="1" ht="23.25" customHeight="1" outlineLevel="1" x14ac:dyDescent="0.25">
      <c r="A1882" s="510" t="s">
        <v>514</v>
      </c>
      <c r="B1882" s="510"/>
      <c r="C1882" s="510"/>
      <c r="D1882" s="510"/>
      <c r="E1882" s="510"/>
      <c r="F1882" s="364"/>
      <c r="G1882" s="364"/>
    </row>
    <row r="1883" spans="1:7" ht="25.5" customHeight="1" x14ac:dyDescent="0.25">
      <c r="A1883" s="499" t="s">
        <v>550</v>
      </c>
      <c r="B1883" s="499"/>
      <c r="C1883" s="499"/>
      <c r="D1883" s="499"/>
      <c r="E1883" s="499"/>
      <c r="F1883" s="362"/>
      <c r="G1883" s="362"/>
    </row>
    <row r="1884" spans="1:7" ht="75.75" outlineLevel="1" x14ac:dyDescent="0.25">
      <c r="A1884" s="293">
        <v>1</v>
      </c>
      <c r="B1884" s="302" t="s">
        <v>311</v>
      </c>
      <c r="C1884" s="273">
        <v>1000</v>
      </c>
      <c r="D1884" s="424">
        <v>72531.663749999992</v>
      </c>
      <c r="E1884" s="269"/>
      <c r="F1884" s="270"/>
      <c r="G1884" s="270"/>
    </row>
    <row r="1885" spans="1:7" ht="24" customHeight="1" outlineLevel="1" x14ac:dyDescent="0.25">
      <c r="A1885" s="293">
        <v>2</v>
      </c>
      <c r="B1885" s="302" t="s">
        <v>312</v>
      </c>
      <c r="C1885" s="278">
        <v>1</v>
      </c>
      <c r="D1885" s="424">
        <v>88776.1875</v>
      </c>
      <c r="E1885" s="295"/>
      <c r="F1885" s="270"/>
      <c r="G1885" s="270"/>
    </row>
    <row r="1886" spans="1:7" ht="45" outlineLevel="1" x14ac:dyDescent="0.25">
      <c r="A1886" s="275">
        <v>3</v>
      </c>
      <c r="B1886" s="311" t="s">
        <v>23</v>
      </c>
      <c r="C1886" s="287"/>
      <c r="D1886" s="441">
        <v>0</v>
      </c>
      <c r="E1886" s="316"/>
      <c r="F1886" s="292"/>
      <c r="G1886" s="292"/>
    </row>
    <row r="1887" spans="1:7" outlineLevel="1" x14ac:dyDescent="0.25">
      <c r="A1887" s="275"/>
      <c r="B1887" s="300" t="s">
        <v>24</v>
      </c>
      <c r="C1887" s="282">
        <v>100</v>
      </c>
      <c r="D1887" s="440">
        <v>11548.92375</v>
      </c>
      <c r="E1887" s="310"/>
      <c r="F1887" s="290"/>
      <c r="G1887" s="290"/>
    </row>
    <row r="1888" spans="1:7" ht="35.25" customHeight="1" outlineLevel="1" x14ac:dyDescent="0.25">
      <c r="A1888" s="275">
        <v>4</v>
      </c>
      <c r="B1888" s="302" t="s">
        <v>25</v>
      </c>
      <c r="C1888" s="273">
        <v>100</v>
      </c>
      <c r="D1888" s="424">
        <v>44360.679999999993</v>
      </c>
      <c r="E1888" s="269"/>
      <c r="F1888" s="270"/>
      <c r="G1888" s="270"/>
    </row>
    <row r="1889" spans="1:7" ht="60" outlineLevel="1" x14ac:dyDescent="0.25">
      <c r="A1889" s="275">
        <v>5</v>
      </c>
      <c r="B1889" s="302" t="s">
        <v>110</v>
      </c>
      <c r="C1889" s="278">
        <v>100</v>
      </c>
      <c r="D1889" s="424">
        <v>8834.109375</v>
      </c>
      <c r="E1889" s="269"/>
      <c r="F1889" s="270"/>
      <c r="G1889" s="270"/>
    </row>
    <row r="1890" spans="1:7" ht="60" outlineLevel="1" x14ac:dyDescent="0.25">
      <c r="A1890" s="275">
        <v>6</v>
      </c>
      <c r="B1890" s="299" t="s">
        <v>111</v>
      </c>
      <c r="C1890" s="278">
        <v>100</v>
      </c>
      <c r="D1890" s="424">
        <v>8771.49</v>
      </c>
      <c r="E1890" s="269"/>
      <c r="F1890" s="270"/>
      <c r="G1890" s="270"/>
    </row>
    <row r="1891" spans="1:7" ht="30" outlineLevel="1" x14ac:dyDescent="0.25">
      <c r="A1891" s="275">
        <v>7</v>
      </c>
      <c r="B1891" s="302" t="s">
        <v>112</v>
      </c>
      <c r="C1891" s="273">
        <v>1000</v>
      </c>
      <c r="D1891" s="424">
        <v>31674.37</v>
      </c>
      <c r="E1891" s="269"/>
      <c r="F1891" s="270"/>
      <c r="G1891" s="270"/>
    </row>
    <row r="1892" spans="1:7" ht="30" outlineLevel="1" x14ac:dyDescent="0.25">
      <c r="A1892" s="275">
        <v>8</v>
      </c>
      <c r="B1892" s="299" t="s">
        <v>313</v>
      </c>
      <c r="C1892" s="273">
        <v>100</v>
      </c>
      <c r="D1892" s="424">
        <v>47794.11</v>
      </c>
      <c r="E1892" s="269"/>
      <c r="F1892" s="270"/>
      <c r="G1892" s="270"/>
    </row>
    <row r="1893" spans="1:7" ht="195.75" outlineLevel="1" x14ac:dyDescent="0.25">
      <c r="A1893" s="326">
        <v>9</v>
      </c>
      <c r="B1893" s="299" t="s">
        <v>314</v>
      </c>
      <c r="C1893" s="273">
        <v>1</v>
      </c>
      <c r="D1893" s="424">
        <v>21724.43</v>
      </c>
      <c r="E1893" s="269"/>
      <c r="F1893" s="270"/>
      <c r="G1893" s="270"/>
    </row>
    <row r="1894" spans="1:7" ht="90" outlineLevel="1" x14ac:dyDescent="0.25">
      <c r="A1894" s="326">
        <v>10</v>
      </c>
      <c r="B1894" s="302" t="s">
        <v>116</v>
      </c>
      <c r="C1894" s="303">
        <v>100</v>
      </c>
      <c r="D1894" s="424">
        <v>65173.289999999994</v>
      </c>
      <c r="E1894" s="269"/>
      <c r="F1894" s="270"/>
      <c r="G1894" s="270"/>
    </row>
    <row r="1895" spans="1:7" ht="180" outlineLevel="1" x14ac:dyDescent="0.25">
      <c r="A1895" s="275">
        <v>11</v>
      </c>
      <c r="B1895" s="302" t="s">
        <v>117</v>
      </c>
      <c r="C1895" s="278">
        <v>1</v>
      </c>
      <c r="D1895" s="424">
        <v>3276</v>
      </c>
      <c r="E1895" s="269"/>
      <c r="F1895" s="270"/>
      <c r="G1895" s="270"/>
    </row>
    <row r="1896" spans="1:7" ht="60" outlineLevel="1" x14ac:dyDescent="0.25">
      <c r="A1896" s="275">
        <v>12</v>
      </c>
      <c r="B1896" s="302" t="s">
        <v>118</v>
      </c>
      <c r="C1896" s="278">
        <v>1</v>
      </c>
      <c r="D1896" s="424">
        <v>3822</v>
      </c>
      <c r="E1896" s="269"/>
      <c r="F1896" s="270"/>
      <c r="G1896" s="270"/>
    </row>
    <row r="1897" spans="1:7" ht="90" outlineLevel="1" x14ac:dyDescent="0.25">
      <c r="A1897" s="275">
        <v>13</v>
      </c>
      <c r="B1897" s="302" t="s">
        <v>315</v>
      </c>
      <c r="C1897" s="278">
        <v>1</v>
      </c>
      <c r="D1897" s="424">
        <v>3822</v>
      </c>
      <c r="E1897" s="269"/>
      <c r="F1897" s="270"/>
      <c r="G1897" s="270"/>
    </row>
    <row r="1898" spans="1:7" ht="75" outlineLevel="1" x14ac:dyDescent="0.25">
      <c r="A1898" s="293">
        <v>14</v>
      </c>
      <c r="B1898" s="302" t="s">
        <v>120</v>
      </c>
      <c r="C1898" s="278">
        <v>100</v>
      </c>
      <c r="D1898" s="424">
        <v>33854.84375</v>
      </c>
      <c r="E1898" s="269"/>
      <c r="F1898" s="270"/>
      <c r="G1898" s="270"/>
    </row>
    <row r="1899" spans="1:7" ht="30" outlineLevel="1" x14ac:dyDescent="0.25">
      <c r="A1899" s="293">
        <v>15</v>
      </c>
      <c r="B1899" s="302" t="s">
        <v>121</v>
      </c>
      <c r="C1899" s="278">
        <v>1</v>
      </c>
      <c r="D1899" s="424">
        <v>34218.84375</v>
      </c>
      <c r="E1899" s="269"/>
      <c r="F1899" s="270"/>
      <c r="G1899" s="270"/>
    </row>
    <row r="1900" spans="1:7" ht="27" customHeight="1" outlineLevel="1" x14ac:dyDescent="0.25">
      <c r="A1900" s="275">
        <v>16</v>
      </c>
      <c r="B1900" s="302" t="s">
        <v>122</v>
      </c>
      <c r="C1900" s="273">
        <v>100</v>
      </c>
      <c r="D1900" s="424">
        <v>7420.14</v>
      </c>
      <c r="E1900" s="295"/>
      <c r="F1900" s="270"/>
      <c r="G1900" s="270"/>
    </row>
    <row r="1901" spans="1:7" ht="45" outlineLevel="1" x14ac:dyDescent="0.25">
      <c r="A1901" s="293">
        <v>17</v>
      </c>
      <c r="B1901" s="302" t="s">
        <v>123</v>
      </c>
      <c r="C1901" s="273">
        <v>100</v>
      </c>
      <c r="D1901" s="424">
        <v>9109.1</v>
      </c>
      <c r="E1901" s="295"/>
      <c r="F1901" s="270"/>
      <c r="G1901" s="270"/>
    </row>
    <row r="1902" spans="1:7" ht="90" outlineLevel="1" x14ac:dyDescent="0.25">
      <c r="A1902" s="293">
        <v>18</v>
      </c>
      <c r="B1902" s="299" t="s">
        <v>234</v>
      </c>
      <c r="C1902" s="278">
        <v>100</v>
      </c>
      <c r="D1902" s="424">
        <v>22325.37125</v>
      </c>
      <c r="E1902" s="295"/>
      <c r="F1902" s="270"/>
      <c r="G1902" s="270"/>
    </row>
    <row r="1903" spans="1:7" ht="75" outlineLevel="1" x14ac:dyDescent="0.25">
      <c r="A1903" s="293">
        <v>19</v>
      </c>
      <c r="B1903" s="299" t="s">
        <v>235</v>
      </c>
      <c r="C1903" s="278">
        <v>100</v>
      </c>
      <c r="D1903" s="424">
        <v>14054.039999999999</v>
      </c>
      <c r="E1903" s="295"/>
      <c r="F1903" s="270"/>
      <c r="G1903" s="270"/>
    </row>
    <row r="1904" spans="1:7" ht="45" outlineLevel="1" x14ac:dyDescent="0.25">
      <c r="A1904" s="293">
        <v>20</v>
      </c>
      <c r="B1904" s="299" t="s">
        <v>236</v>
      </c>
      <c r="C1904" s="323">
        <v>1</v>
      </c>
      <c r="D1904" s="424">
        <v>22750</v>
      </c>
      <c r="E1904" s="295"/>
      <c r="F1904" s="270"/>
      <c r="G1904" s="270"/>
    </row>
    <row r="1905" spans="1:7" ht="45" outlineLevel="1" x14ac:dyDescent="0.25">
      <c r="A1905" s="505">
        <v>21</v>
      </c>
      <c r="B1905" s="447" t="s">
        <v>124</v>
      </c>
      <c r="C1905" s="291"/>
      <c r="D1905" s="441">
        <v>0</v>
      </c>
      <c r="E1905" s="288"/>
      <c r="F1905" s="292"/>
      <c r="G1905" s="292"/>
    </row>
    <row r="1906" spans="1:7" outlineLevel="1" x14ac:dyDescent="0.25">
      <c r="A1906" s="505"/>
      <c r="B1906" s="446" t="s">
        <v>125</v>
      </c>
      <c r="C1906" s="282">
        <v>100</v>
      </c>
      <c r="D1906" s="440">
        <v>1780.1875</v>
      </c>
      <c r="E1906" s="310"/>
      <c r="F1906" s="290"/>
      <c r="G1906" s="290"/>
    </row>
    <row r="1907" spans="1:7" ht="30" outlineLevel="1" x14ac:dyDescent="0.25">
      <c r="A1907" s="275">
        <v>22</v>
      </c>
      <c r="B1907" s="302" t="s">
        <v>126</v>
      </c>
      <c r="C1907" s="278">
        <v>100</v>
      </c>
      <c r="D1907" s="422">
        <v>113184.66250000001</v>
      </c>
      <c r="E1907" s="295"/>
      <c r="F1907" s="270"/>
      <c r="G1907" s="270"/>
    </row>
    <row r="1908" spans="1:7" ht="30" outlineLevel="1" x14ac:dyDescent="0.25">
      <c r="A1908" s="275">
        <v>23</v>
      </c>
      <c r="B1908" s="302" t="s">
        <v>207</v>
      </c>
      <c r="C1908" s="278">
        <v>100</v>
      </c>
      <c r="D1908" s="424">
        <v>21116.55</v>
      </c>
      <c r="E1908" s="295"/>
      <c r="F1908" s="270"/>
      <c r="G1908" s="270"/>
    </row>
    <row r="1909" spans="1:7" ht="24" customHeight="1" outlineLevel="1" x14ac:dyDescent="0.25">
      <c r="A1909" s="275">
        <v>24</v>
      </c>
      <c r="B1909" s="302" t="s">
        <v>132</v>
      </c>
      <c r="C1909" s="278">
        <v>100</v>
      </c>
      <c r="D1909" s="424">
        <v>99928.237500000003</v>
      </c>
      <c r="E1909" s="295"/>
      <c r="F1909" s="270"/>
      <c r="G1909" s="270"/>
    </row>
    <row r="1910" spans="1:7" ht="45" outlineLevel="1" x14ac:dyDescent="0.25">
      <c r="A1910" s="275">
        <v>25</v>
      </c>
      <c r="B1910" s="302" t="s">
        <v>133</v>
      </c>
      <c r="C1910" s="278">
        <v>100</v>
      </c>
      <c r="D1910" s="424">
        <v>31339.945</v>
      </c>
      <c r="E1910" s="295"/>
      <c r="F1910" s="270"/>
      <c r="G1910" s="270"/>
    </row>
    <row r="1911" spans="1:7" ht="60" outlineLevel="1" x14ac:dyDescent="0.25">
      <c r="A1911" s="275">
        <v>26</v>
      </c>
      <c r="B1911" s="302" t="s">
        <v>128</v>
      </c>
      <c r="C1911" s="278">
        <v>100</v>
      </c>
      <c r="D1911" s="424">
        <v>65280.215000000004</v>
      </c>
      <c r="E1911" s="295"/>
      <c r="F1911" s="270"/>
      <c r="G1911" s="270"/>
    </row>
    <row r="1912" spans="1:7" ht="45" outlineLevel="1" x14ac:dyDescent="0.25">
      <c r="A1912" s="275">
        <v>27</v>
      </c>
      <c r="B1912" s="302" t="s">
        <v>129</v>
      </c>
      <c r="C1912" s="323">
        <v>1</v>
      </c>
      <c r="D1912" s="424">
        <v>1183</v>
      </c>
      <c r="E1912" s="295"/>
      <c r="F1912" s="270"/>
      <c r="G1912" s="270"/>
    </row>
    <row r="1913" spans="1:7" ht="30" outlineLevel="1" x14ac:dyDescent="0.25">
      <c r="A1913" s="275">
        <v>28</v>
      </c>
      <c r="B1913" s="302" t="s">
        <v>130</v>
      </c>
      <c r="C1913" s="328">
        <v>1</v>
      </c>
      <c r="D1913" s="424">
        <v>182</v>
      </c>
      <c r="E1913" s="295"/>
      <c r="F1913" s="270"/>
      <c r="G1913" s="270"/>
    </row>
    <row r="1914" spans="1:7" ht="21" customHeight="1" outlineLevel="1" x14ac:dyDescent="0.25">
      <c r="A1914" s="275">
        <v>29</v>
      </c>
      <c r="B1914" s="302" t="s">
        <v>131</v>
      </c>
      <c r="C1914" s="328">
        <v>1</v>
      </c>
      <c r="D1914" s="424">
        <v>91</v>
      </c>
      <c r="E1914" s="295"/>
      <c r="F1914" s="270"/>
      <c r="G1914" s="270"/>
    </row>
    <row r="1915" spans="1:7" ht="30" outlineLevel="1" x14ac:dyDescent="0.25">
      <c r="A1915" s="275">
        <v>30</v>
      </c>
      <c r="B1915" s="302" t="s">
        <v>316</v>
      </c>
      <c r="C1915" s="328">
        <v>1</v>
      </c>
      <c r="D1915" s="424">
        <v>182</v>
      </c>
      <c r="E1915" s="295"/>
      <c r="F1915" s="270"/>
      <c r="G1915" s="270"/>
    </row>
    <row r="1916" spans="1:7" ht="45" outlineLevel="1" x14ac:dyDescent="0.25">
      <c r="A1916" s="275">
        <v>31</v>
      </c>
      <c r="B1916" s="302" t="s">
        <v>317</v>
      </c>
      <c r="C1916" s="278">
        <v>100</v>
      </c>
      <c r="D1916" s="424">
        <v>7644</v>
      </c>
      <c r="E1916" s="295"/>
      <c r="F1916" s="270"/>
      <c r="G1916" s="270"/>
    </row>
    <row r="1917" spans="1:7" ht="30" outlineLevel="1" x14ac:dyDescent="0.25">
      <c r="A1917" s="275">
        <v>32</v>
      </c>
      <c r="B1917" s="302" t="s">
        <v>318</v>
      </c>
      <c r="C1917" s="329">
        <v>1</v>
      </c>
      <c r="D1917" s="424">
        <v>91</v>
      </c>
      <c r="E1917" s="295"/>
      <c r="F1917" s="270"/>
      <c r="G1917" s="270"/>
    </row>
    <row r="1918" spans="1:7" ht="30" outlineLevel="1" x14ac:dyDescent="0.25">
      <c r="A1918" s="275">
        <v>33</v>
      </c>
      <c r="B1918" s="302" t="s">
        <v>319</v>
      </c>
      <c r="C1918" s="329">
        <v>1</v>
      </c>
      <c r="D1918" s="424">
        <v>273</v>
      </c>
      <c r="E1918" s="295"/>
      <c r="F1918" s="270"/>
      <c r="G1918" s="270"/>
    </row>
    <row r="1919" spans="1:7" ht="30" outlineLevel="1" x14ac:dyDescent="0.25">
      <c r="A1919" s="275">
        <v>34</v>
      </c>
      <c r="B1919" s="302" t="s">
        <v>320</v>
      </c>
      <c r="C1919" s="329">
        <v>1</v>
      </c>
      <c r="D1919" s="424">
        <v>364</v>
      </c>
      <c r="E1919" s="295"/>
      <c r="F1919" s="270"/>
      <c r="G1919" s="270"/>
    </row>
    <row r="1920" spans="1:7" ht="45" outlineLevel="1" x14ac:dyDescent="0.25">
      <c r="A1920" s="275">
        <v>35</v>
      </c>
      <c r="B1920" s="302" t="s">
        <v>321</v>
      </c>
      <c r="C1920" s="329">
        <v>1</v>
      </c>
      <c r="D1920" s="424">
        <v>91</v>
      </c>
      <c r="E1920" s="295"/>
      <c r="F1920" s="270"/>
      <c r="G1920" s="270"/>
    </row>
    <row r="1921" spans="1:7" ht="45" outlineLevel="1" x14ac:dyDescent="0.25">
      <c r="A1921" s="275">
        <v>36</v>
      </c>
      <c r="B1921" s="302" t="s">
        <v>129</v>
      </c>
      <c r="C1921" s="323">
        <v>1</v>
      </c>
      <c r="D1921" s="424">
        <v>9100</v>
      </c>
      <c r="E1921" s="295"/>
      <c r="F1921" s="270"/>
      <c r="G1921" s="270"/>
    </row>
    <row r="1922" spans="1:7" ht="30" outlineLevel="1" x14ac:dyDescent="0.25">
      <c r="A1922" s="275">
        <v>37</v>
      </c>
      <c r="B1922" s="302" t="s">
        <v>130</v>
      </c>
      <c r="C1922" s="328">
        <v>1</v>
      </c>
      <c r="D1922" s="424">
        <v>364</v>
      </c>
      <c r="E1922" s="295"/>
      <c r="F1922" s="270"/>
      <c r="G1922" s="270"/>
    </row>
    <row r="1923" spans="1:7" ht="30" outlineLevel="1" x14ac:dyDescent="0.25">
      <c r="A1923" s="275">
        <v>38</v>
      </c>
      <c r="B1923" s="302" t="s">
        <v>322</v>
      </c>
      <c r="C1923" s="328">
        <v>1</v>
      </c>
      <c r="D1923" s="424">
        <v>364</v>
      </c>
      <c r="E1923" s="295"/>
      <c r="F1923" s="270"/>
      <c r="G1923" s="270"/>
    </row>
    <row r="1924" spans="1:7" ht="135" outlineLevel="1" x14ac:dyDescent="0.25">
      <c r="A1924" s="275">
        <v>39</v>
      </c>
      <c r="B1924" s="299" t="s">
        <v>323</v>
      </c>
      <c r="C1924" s="271"/>
      <c r="D1924" s="424"/>
      <c r="E1924" s="295"/>
      <c r="F1924" s="270"/>
      <c r="G1924" s="270"/>
    </row>
    <row r="1925" spans="1:7" outlineLevel="1" x14ac:dyDescent="0.25">
      <c r="A1925" s="275" t="s">
        <v>67</v>
      </c>
      <c r="B1925" s="302" t="s">
        <v>324</v>
      </c>
      <c r="C1925" s="323">
        <v>1</v>
      </c>
      <c r="D1925" s="424">
        <v>9100</v>
      </c>
      <c r="E1925" s="295"/>
      <c r="F1925" s="270"/>
      <c r="G1925" s="270"/>
    </row>
    <row r="1926" spans="1:7" outlineLevel="1" x14ac:dyDescent="0.25">
      <c r="A1926" s="275" t="s">
        <v>41</v>
      </c>
      <c r="B1926" s="302" t="s">
        <v>325</v>
      </c>
      <c r="C1926" s="323">
        <v>1</v>
      </c>
      <c r="D1926" s="424">
        <v>4550</v>
      </c>
      <c r="E1926" s="295"/>
      <c r="F1926" s="270"/>
      <c r="G1926" s="270"/>
    </row>
    <row r="1927" spans="1:7" ht="30" outlineLevel="1" x14ac:dyDescent="0.25">
      <c r="A1927" s="275">
        <v>40</v>
      </c>
      <c r="B1927" s="302" t="s">
        <v>326</v>
      </c>
      <c r="C1927" s="329">
        <v>1</v>
      </c>
      <c r="D1927" s="424">
        <v>91</v>
      </c>
      <c r="E1927" s="295"/>
      <c r="F1927" s="270"/>
      <c r="G1927" s="270"/>
    </row>
    <row r="1928" spans="1:7" ht="45" outlineLevel="1" x14ac:dyDescent="0.25">
      <c r="A1928" s="275">
        <v>41</v>
      </c>
      <c r="B1928" s="302" t="s">
        <v>327</v>
      </c>
      <c r="C1928" s="329">
        <v>1</v>
      </c>
      <c r="D1928" s="424">
        <v>91</v>
      </c>
      <c r="E1928" s="295"/>
      <c r="F1928" s="270"/>
      <c r="G1928" s="270"/>
    </row>
    <row r="1929" spans="1:7" outlineLevel="1" x14ac:dyDescent="0.25">
      <c r="A1929" s="275">
        <v>42</v>
      </c>
      <c r="B1929" s="302" t="s">
        <v>328</v>
      </c>
      <c r="C1929" s="295">
        <v>0</v>
      </c>
      <c r="D1929" s="424">
        <v>0</v>
      </c>
      <c r="E1929" s="269"/>
      <c r="F1929" s="270"/>
      <c r="G1929" s="270"/>
    </row>
    <row r="1930" spans="1:7" outlineLevel="1" x14ac:dyDescent="0.25">
      <c r="A1930" s="275"/>
      <c r="B1930" s="302" t="s">
        <v>329</v>
      </c>
      <c r="C1930" s="329">
        <v>1</v>
      </c>
      <c r="D1930" s="424">
        <v>91</v>
      </c>
      <c r="E1930" s="295"/>
      <c r="F1930" s="270"/>
      <c r="G1930" s="270"/>
    </row>
    <row r="1931" spans="1:7" outlineLevel="1" x14ac:dyDescent="0.25">
      <c r="A1931" s="275"/>
      <c r="B1931" s="302" t="s">
        <v>330</v>
      </c>
      <c r="C1931" s="329">
        <v>1</v>
      </c>
      <c r="D1931" s="424">
        <v>91</v>
      </c>
      <c r="E1931" s="295"/>
      <c r="F1931" s="270"/>
      <c r="G1931" s="270"/>
    </row>
    <row r="1932" spans="1:7" outlineLevel="1" x14ac:dyDescent="0.25">
      <c r="A1932" s="275"/>
      <c r="B1932" s="302" t="s">
        <v>331</v>
      </c>
      <c r="C1932" s="329">
        <v>1</v>
      </c>
      <c r="D1932" s="424">
        <v>91</v>
      </c>
      <c r="E1932" s="295"/>
      <c r="F1932" s="270"/>
      <c r="G1932" s="270"/>
    </row>
    <row r="1933" spans="1:7" ht="30" outlineLevel="1" x14ac:dyDescent="0.25">
      <c r="A1933" s="275">
        <v>43</v>
      </c>
      <c r="B1933" s="302" t="s">
        <v>332</v>
      </c>
      <c r="C1933" s="329">
        <v>1</v>
      </c>
      <c r="D1933" s="424">
        <v>91</v>
      </c>
      <c r="E1933" s="295"/>
      <c r="F1933" s="270"/>
      <c r="G1933" s="270"/>
    </row>
    <row r="1934" spans="1:7" ht="45" outlineLevel="1" x14ac:dyDescent="0.25">
      <c r="A1934" s="275">
        <v>44</v>
      </c>
      <c r="B1934" s="302" t="s">
        <v>136</v>
      </c>
      <c r="C1934" s="271"/>
      <c r="D1934" s="424"/>
      <c r="E1934" s="295"/>
      <c r="F1934" s="270"/>
      <c r="G1934" s="270"/>
    </row>
    <row r="1935" spans="1:7" outlineLevel="1" x14ac:dyDescent="0.25">
      <c r="A1935" s="275"/>
      <c r="B1935" s="302" t="s">
        <v>176</v>
      </c>
      <c r="C1935" s="323">
        <v>1</v>
      </c>
      <c r="D1935" s="424">
        <v>9100</v>
      </c>
      <c r="E1935" s="295"/>
      <c r="F1935" s="270"/>
      <c r="G1935" s="270"/>
    </row>
    <row r="1936" spans="1:7" outlineLevel="1" x14ac:dyDescent="0.25">
      <c r="A1936" s="275"/>
      <c r="B1936" s="302" t="s">
        <v>177</v>
      </c>
      <c r="C1936" s="323">
        <v>1</v>
      </c>
      <c r="D1936" s="424">
        <v>4550</v>
      </c>
      <c r="E1936" s="295"/>
      <c r="F1936" s="270"/>
      <c r="G1936" s="270"/>
    </row>
    <row r="1937" spans="1:7" ht="75" outlineLevel="1" x14ac:dyDescent="0.25">
      <c r="A1937" s="275">
        <v>45</v>
      </c>
      <c r="B1937" s="302" t="s">
        <v>141</v>
      </c>
      <c r="C1937" s="271"/>
      <c r="D1937" s="424"/>
      <c r="E1937" s="295"/>
      <c r="F1937" s="270"/>
      <c r="G1937" s="270"/>
    </row>
    <row r="1938" spans="1:7" outlineLevel="1" x14ac:dyDescent="0.25">
      <c r="A1938" s="275"/>
      <c r="B1938" s="302" t="s">
        <v>180</v>
      </c>
      <c r="C1938" s="323">
        <v>1</v>
      </c>
      <c r="D1938" s="424">
        <v>27300</v>
      </c>
      <c r="E1938" s="295"/>
      <c r="F1938" s="270"/>
      <c r="G1938" s="270"/>
    </row>
    <row r="1939" spans="1:7" outlineLevel="1" x14ac:dyDescent="0.25">
      <c r="A1939" s="275"/>
      <c r="B1939" s="302" t="s">
        <v>181</v>
      </c>
      <c r="C1939" s="323">
        <v>1</v>
      </c>
      <c r="D1939" s="424">
        <v>9100</v>
      </c>
      <c r="E1939" s="295"/>
      <c r="F1939" s="270"/>
      <c r="G1939" s="270"/>
    </row>
    <row r="1940" spans="1:7" ht="75" outlineLevel="1" x14ac:dyDescent="0.25">
      <c r="A1940" s="275">
        <v>46</v>
      </c>
      <c r="B1940" s="302" t="s">
        <v>144</v>
      </c>
      <c r="C1940" s="323">
        <v>1</v>
      </c>
      <c r="D1940" s="424">
        <v>18200</v>
      </c>
      <c r="E1940" s="295"/>
      <c r="F1940" s="270"/>
      <c r="G1940" s="270"/>
    </row>
    <row r="1941" spans="1:7" ht="60" outlineLevel="1" x14ac:dyDescent="0.25">
      <c r="A1941" s="275">
        <v>47</v>
      </c>
      <c r="B1941" s="302" t="s">
        <v>145</v>
      </c>
      <c r="C1941" s="271"/>
      <c r="D1941" s="424"/>
      <c r="E1941" s="295"/>
      <c r="F1941" s="270"/>
      <c r="G1941" s="270"/>
    </row>
    <row r="1942" spans="1:7" outlineLevel="1" x14ac:dyDescent="0.25">
      <c r="A1942" s="275"/>
      <c r="B1942" s="302" t="s">
        <v>183</v>
      </c>
      <c r="C1942" s="329">
        <v>1</v>
      </c>
      <c r="D1942" s="424">
        <v>182</v>
      </c>
      <c r="E1942" s="295"/>
      <c r="F1942" s="270"/>
      <c r="G1942" s="270"/>
    </row>
    <row r="1943" spans="1:7" outlineLevel="1" x14ac:dyDescent="0.25">
      <c r="A1943" s="275"/>
      <c r="B1943" s="302" t="s">
        <v>184</v>
      </c>
      <c r="C1943" s="329">
        <v>1</v>
      </c>
      <c r="D1943" s="424">
        <v>364</v>
      </c>
      <c r="E1943" s="295"/>
      <c r="F1943" s="270"/>
      <c r="G1943" s="270"/>
    </row>
    <row r="1944" spans="1:7" outlineLevel="1" x14ac:dyDescent="0.25">
      <c r="A1944" s="275"/>
      <c r="B1944" s="302" t="s">
        <v>185</v>
      </c>
      <c r="C1944" s="329">
        <v>1</v>
      </c>
      <c r="D1944" s="424">
        <v>91</v>
      </c>
      <c r="E1944" s="295"/>
      <c r="F1944" s="270"/>
      <c r="G1944" s="270"/>
    </row>
    <row r="1945" spans="1:7" ht="30" outlineLevel="1" x14ac:dyDescent="0.25">
      <c r="A1945" s="275">
        <v>48</v>
      </c>
      <c r="B1945" s="302" t="s">
        <v>149</v>
      </c>
      <c r="C1945" s="329">
        <v>1</v>
      </c>
      <c r="D1945" s="424">
        <v>3185</v>
      </c>
      <c r="E1945" s="295"/>
      <c r="F1945" s="270"/>
      <c r="G1945" s="270"/>
    </row>
    <row r="1946" spans="1:7" ht="30" outlineLevel="1" x14ac:dyDescent="0.25">
      <c r="A1946" s="275">
        <v>49</v>
      </c>
      <c r="B1946" s="302" t="s">
        <v>238</v>
      </c>
      <c r="C1946" s="329">
        <v>1</v>
      </c>
      <c r="D1946" s="424">
        <v>546</v>
      </c>
      <c r="E1946" s="295"/>
      <c r="F1946" s="270"/>
      <c r="G1946" s="270"/>
    </row>
    <row r="1947" spans="1:7" ht="21.75" customHeight="1" outlineLevel="1" x14ac:dyDescent="0.25">
      <c r="A1947" s="275">
        <v>50</v>
      </c>
      <c r="B1947" s="302" t="s">
        <v>150</v>
      </c>
      <c r="C1947" s="329">
        <v>1</v>
      </c>
      <c r="D1947" s="424">
        <v>546</v>
      </c>
      <c r="E1947" s="295"/>
      <c r="F1947" s="270"/>
      <c r="G1947" s="270"/>
    </row>
    <row r="1948" spans="1:7" ht="21.75" customHeight="1" outlineLevel="1" x14ac:dyDescent="0.25">
      <c r="A1948" s="275">
        <v>51</v>
      </c>
      <c r="B1948" s="302" t="s">
        <v>151</v>
      </c>
      <c r="C1948" s="329">
        <v>1</v>
      </c>
      <c r="D1948" s="424">
        <v>182</v>
      </c>
      <c r="E1948" s="295"/>
      <c r="F1948" s="270"/>
      <c r="G1948" s="270"/>
    </row>
    <row r="1949" spans="1:7" ht="30" outlineLevel="1" x14ac:dyDescent="0.25">
      <c r="A1949" s="275">
        <v>52</v>
      </c>
      <c r="B1949" s="302" t="s">
        <v>186</v>
      </c>
      <c r="C1949" s="329">
        <v>1</v>
      </c>
      <c r="D1949" s="424">
        <v>182</v>
      </c>
      <c r="E1949" s="295"/>
      <c r="F1949" s="270"/>
      <c r="G1949" s="270"/>
    </row>
    <row r="1950" spans="1:7" ht="135" outlineLevel="1" x14ac:dyDescent="0.25">
      <c r="A1950" s="275">
        <v>53</v>
      </c>
      <c r="B1950" s="299" t="s">
        <v>208</v>
      </c>
      <c r="C1950" s="328">
        <v>1</v>
      </c>
      <c r="D1950" s="424">
        <v>91</v>
      </c>
      <c r="E1950" s="295"/>
      <c r="F1950" s="270"/>
      <c r="G1950" s="270"/>
    </row>
    <row r="1951" spans="1:7" ht="90.75" outlineLevel="1" x14ac:dyDescent="0.25">
      <c r="A1951" s="275">
        <v>54</v>
      </c>
      <c r="B1951" s="302" t="s">
        <v>239</v>
      </c>
      <c r="C1951" s="328">
        <v>1</v>
      </c>
      <c r="D1951" s="424">
        <v>91</v>
      </c>
      <c r="E1951" s="295"/>
      <c r="F1951" s="270"/>
      <c r="G1951" s="270"/>
    </row>
    <row r="1952" spans="1:7" ht="90.75" outlineLevel="1" x14ac:dyDescent="0.25">
      <c r="A1952" s="275">
        <v>55</v>
      </c>
      <c r="B1952" s="302" t="s">
        <v>240</v>
      </c>
      <c r="C1952" s="328">
        <v>1</v>
      </c>
      <c r="D1952" s="424">
        <v>364</v>
      </c>
      <c r="E1952" s="295"/>
      <c r="F1952" s="270"/>
      <c r="G1952" s="270"/>
    </row>
    <row r="1953" spans="1:7" ht="30" outlineLevel="1" x14ac:dyDescent="0.25">
      <c r="A1953" s="275">
        <v>56</v>
      </c>
      <c r="B1953" s="302" t="s">
        <v>333</v>
      </c>
      <c r="C1953" s="329">
        <v>1</v>
      </c>
      <c r="D1953" s="424">
        <v>91</v>
      </c>
      <c r="E1953" s="295"/>
      <c r="F1953" s="270"/>
      <c r="G1953" s="270"/>
    </row>
    <row r="1954" spans="1:7" ht="60" outlineLevel="1" x14ac:dyDescent="0.25">
      <c r="A1954" s="275">
        <v>57</v>
      </c>
      <c r="B1954" s="302" t="s">
        <v>334</v>
      </c>
      <c r="C1954" s="329">
        <v>1</v>
      </c>
      <c r="D1954" s="424">
        <v>91</v>
      </c>
      <c r="E1954" s="295"/>
      <c r="F1954" s="270"/>
      <c r="G1954" s="270"/>
    </row>
    <row r="1955" spans="1:7" ht="60" outlineLevel="1" x14ac:dyDescent="0.25">
      <c r="A1955" s="275">
        <v>58</v>
      </c>
      <c r="B1955" s="302" t="s">
        <v>335</v>
      </c>
      <c r="C1955" s="329">
        <v>1</v>
      </c>
      <c r="D1955" s="424">
        <v>91</v>
      </c>
      <c r="E1955" s="295"/>
      <c r="F1955" s="270"/>
      <c r="G1955" s="270"/>
    </row>
    <row r="1956" spans="1:7" ht="60" outlineLevel="1" x14ac:dyDescent="0.25">
      <c r="A1956" s="275">
        <v>59</v>
      </c>
      <c r="B1956" s="302" t="s">
        <v>157</v>
      </c>
      <c r="C1956" s="328">
        <v>1</v>
      </c>
      <c r="D1956" s="424">
        <v>546</v>
      </c>
      <c r="E1956" s="295"/>
      <c r="F1956" s="270"/>
      <c r="G1956" s="270"/>
    </row>
    <row r="1957" spans="1:7" ht="60" outlineLevel="1" x14ac:dyDescent="0.25">
      <c r="A1957" s="275">
        <v>60</v>
      </c>
      <c r="B1957" s="302" t="s">
        <v>336</v>
      </c>
      <c r="C1957" s="329">
        <v>1</v>
      </c>
      <c r="D1957" s="424">
        <v>91</v>
      </c>
      <c r="E1957" s="295"/>
      <c r="F1957" s="270"/>
      <c r="G1957" s="270"/>
    </row>
    <row r="1958" spans="1:7" ht="75.75" outlineLevel="1" x14ac:dyDescent="0.25">
      <c r="A1958" s="275">
        <v>61</v>
      </c>
      <c r="B1958" s="299" t="s">
        <v>40</v>
      </c>
      <c r="C1958" s="276"/>
      <c r="D1958" s="424"/>
      <c r="E1958" s="298"/>
      <c r="F1958" s="270"/>
      <c r="G1958" s="270"/>
    </row>
    <row r="1959" spans="1:7" outlineLevel="1" x14ac:dyDescent="0.25">
      <c r="A1959" s="275" t="s">
        <v>67</v>
      </c>
      <c r="B1959" s="299" t="s">
        <v>68</v>
      </c>
      <c r="C1959" s="273">
        <v>100</v>
      </c>
      <c r="D1959" s="424">
        <v>11086.966799999998</v>
      </c>
      <c r="E1959" s="298"/>
      <c r="F1959" s="270"/>
      <c r="G1959" s="270"/>
    </row>
    <row r="1960" spans="1:7" outlineLevel="1" x14ac:dyDescent="0.25">
      <c r="A1960" s="275" t="s">
        <v>41</v>
      </c>
      <c r="B1960" s="299" t="s">
        <v>42</v>
      </c>
      <c r="C1960" s="273">
        <v>100</v>
      </c>
      <c r="D1960" s="424">
        <v>1566.5650000000001</v>
      </c>
      <c r="E1960" s="298"/>
      <c r="F1960" s="270"/>
      <c r="G1960" s="270"/>
    </row>
    <row r="1961" spans="1:7" outlineLevel="1" x14ac:dyDescent="0.25">
      <c r="A1961" s="275" t="s">
        <v>70</v>
      </c>
      <c r="B1961" s="299" t="s">
        <v>159</v>
      </c>
      <c r="C1961" s="273">
        <v>100</v>
      </c>
      <c r="D1961" s="424">
        <v>19117.498399999997</v>
      </c>
      <c r="E1961" s="298"/>
      <c r="F1961" s="270"/>
      <c r="G1961" s="270"/>
    </row>
    <row r="1962" spans="1:7" outlineLevel="1" x14ac:dyDescent="0.25">
      <c r="A1962" s="275" t="s">
        <v>160</v>
      </c>
      <c r="B1962" s="299" t="s">
        <v>161</v>
      </c>
      <c r="C1962" s="273">
        <v>100</v>
      </c>
      <c r="D1962" s="424">
        <v>971.75203124999996</v>
      </c>
      <c r="E1962" s="298"/>
      <c r="F1962" s="270"/>
      <c r="G1962" s="270"/>
    </row>
    <row r="1963" spans="1:7" outlineLevel="1" x14ac:dyDescent="0.25">
      <c r="A1963" s="506" t="s">
        <v>83</v>
      </c>
      <c r="B1963" s="506"/>
      <c r="C1963" s="506"/>
      <c r="D1963" s="506"/>
      <c r="E1963" s="506"/>
      <c r="F1963" s="270"/>
      <c r="G1963" s="270"/>
    </row>
    <row r="1964" spans="1:7" ht="25.5" customHeight="1" x14ac:dyDescent="0.25">
      <c r="A1964" s="499" t="s">
        <v>551</v>
      </c>
      <c r="B1964" s="499"/>
      <c r="C1964" s="499"/>
      <c r="D1964" s="499"/>
      <c r="E1964" s="499"/>
      <c r="F1964" s="362"/>
      <c r="G1964" s="362"/>
    </row>
    <row r="1965" spans="1:7" ht="19.5" outlineLevel="1" x14ac:dyDescent="0.25">
      <c r="A1965" s="500" t="s">
        <v>338</v>
      </c>
      <c r="B1965" s="500"/>
      <c r="C1965" s="500"/>
      <c r="D1965" s="500"/>
      <c r="E1965" s="500"/>
      <c r="F1965" s="394"/>
      <c r="G1965" s="394"/>
    </row>
    <row r="1966" spans="1:7" ht="75" outlineLevel="1" x14ac:dyDescent="0.25">
      <c r="A1966" s="330">
        <v>1</v>
      </c>
      <c r="B1966" s="327" t="s">
        <v>10</v>
      </c>
      <c r="C1966" s="273">
        <v>1000</v>
      </c>
      <c r="D1966" s="422">
        <v>4234073.0999999996</v>
      </c>
      <c r="E1966" s="269"/>
      <c r="F1966" s="270"/>
      <c r="G1966" s="270"/>
    </row>
    <row r="1967" spans="1:7" ht="30" outlineLevel="1" x14ac:dyDescent="0.25">
      <c r="A1967" s="330">
        <v>2</v>
      </c>
      <c r="B1967" s="327" t="s">
        <v>11</v>
      </c>
      <c r="C1967" s="273">
        <v>1000</v>
      </c>
      <c r="D1967" s="422">
        <v>1712983.98</v>
      </c>
      <c r="E1967" s="269"/>
      <c r="F1967" s="270"/>
      <c r="G1967" s="270"/>
    </row>
    <row r="1968" spans="1:7" ht="30" outlineLevel="1" x14ac:dyDescent="0.25">
      <c r="A1968" s="330">
        <v>3</v>
      </c>
      <c r="B1968" s="327" t="s">
        <v>211</v>
      </c>
      <c r="C1968" s="330"/>
      <c r="D1968" s="422"/>
      <c r="E1968" s="269"/>
      <c r="F1968" s="270"/>
      <c r="G1968" s="270"/>
    </row>
    <row r="1969" spans="1:7" outlineLevel="1" x14ac:dyDescent="0.25">
      <c r="A1969" s="330"/>
      <c r="B1969" s="327" t="s">
        <v>13</v>
      </c>
      <c r="C1969" s="273">
        <v>1000</v>
      </c>
      <c r="D1969" s="422">
        <v>70005.000000000015</v>
      </c>
      <c r="E1969" s="269"/>
      <c r="F1969" s="270"/>
      <c r="G1969" s="270"/>
    </row>
    <row r="1970" spans="1:7" outlineLevel="1" x14ac:dyDescent="0.25">
      <c r="A1970" s="330"/>
      <c r="B1970" s="327" t="s">
        <v>164</v>
      </c>
      <c r="C1970" s="273">
        <v>1000</v>
      </c>
      <c r="D1970" s="422">
        <v>29937.499999999982</v>
      </c>
      <c r="E1970" s="269"/>
      <c r="F1970" s="270"/>
      <c r="G1970" s="270"/>
    </row>
    <row r="1971" spans="1:7" ht="30" outlineLevel="1" x14ac:dyDescent="0.25">
      <c r="A1971" s="330">
        <v>4</v>
      </c>
      <c r="B1971" s="327" t="s">
        <v>339</v>
      </c>
      <c r="C1971" s="328">
        <v>1</v>
      </c>
      <c r="D1971" s="422">
        <v>5</v>
      </c>
      <c r="E1971" s="298"/>
      <c r="F1971" s="270"/>
      <c r="G1971" s="270"/>
    </row>
    <row r="1972" spans="1:7" ht="24" customHeight="1" outlineLevel="1" x14ac:dyDescent="0.25">
      <c r="A1972" s="330">
        <v>5</v>
      </c>
      <c r="B1972" s="327" t="s">
        <v>20</v>
      </c>
      <c r="C1972" s="278">
        <v>1000</v>
      </c>
      <c r="D1972" s="422">
        <v>1272300</v>
      </c>
      <c r="E1972" s="321"/>
      <c r="F1972" s="270"/>
      <c r="G1972" s="270"/>
    </row>
    <row r="1973" spans="1:7" ht="45" outlineLevel="1" x14ac:dyDescent="0.25">
      <c r="A1973" s="330">
        <v>6</v>
      </c>
      <c r="B1973" s="327" t="s">
        <v>264</v>
      </c>
      <c r="C1973" s="328">
        <v>1</v>
      </c>
      <c r="D1973" s="422">
        <v>260</v>
      </c>
      <c r="E1973" s="321"/>
      <c r="F1973" s="270"/>
      <c r="G1973" s="270"/>
    </row>
    <row r="1974" spans="1:7" ht="19.5" outlineLevel="1" x14ac:dyDescent="0.4">
      <c r="A1974" s="500" t="s">
        <v>192</v>
      </c>
      <c r="B1974" s="500"/>
      <c r="C1974" s="500"/>
      <c r="D1974" s="500"/>
      <c r="E1974" s="500"/>
      <c r="F1974" s="471"/>
      <c r="G1974" s="471"/>
    </row>
    <row r="1975" spans="1:7" ht="69" customHeight="1" outlineLevel="1" x14ac:dyDescent="0.25">
      <c r="A1975" s="271">
        <v>1</v>
      </c>
      <c r="B1975" s="272" t="s">
        <v>22</v>
      </c>
      <c r="C1975" s="273">
        <v>1000</v>
      </c>
      <c r="D1975" s="423">
        <v>98</v>
      </c>
      <c r="E1975" s="274"/>
      <c r="F1975" s="270"/>
      <c r="G1975" s="270"/>
    </row>
    <row r="1976" spans="1:7" s="15" customFormat="1" ht="52.5" customHeight="1" outlineLevel="1" x14ac:dyDescent="0.2">
      <c r="A1976" s="275">
        <v>2</v>
      </c>
      <c r="B1976" s="272" t="s">
        <v>23</v>
      </c>
      <c r="C1976" s="276"/>
      <c r="D1976" s="424"/>
      <c r="E1976" s="295"/>
      <c r="F1976" s="277"/>
      <c r="G1976" s="277"/>
    </row>
    <row r="1977" spans="1:7" s="15" customFormat="1" ht="15" outlineLevel="1" x14ac:dyDescent="0.2">
      <c r="A1977" s="275"/>
      <c r="B1977" s="272" t="s">
        <v>24</v>
      </c>
      <c r="C1977" s="273">
        <v>100</v>
      </c>
      <c r="D1977" s="423">
        <v>24.5</v>
      </c>
      <c r="E1977" s="269"/>
      <c r="F1977" s="277"/>
      <c r="G1977" s="277"/>
    </row>
    <row r="1978" spans="1:7" s="15" customFormat="1" ht="32.25" customHeight="1" outlineLevel="1" x14ac:dyDescent="0.2">
      <c r="A1978" s="275">
        <v>3</v>
      </c>
      <c r="B1978" s="272" t="s">
        <v>25</v>
      </c>
      <c r="C1978" s="273">
        <v>100</v>
      </c>
      <c r="D1978" s="423">
        <v>97.5</v>
      </c>
      <c r="E1978" s="274"/>
      <c r="F1978" s="277"/>
      <c r="G1978" s="277"/>
    </row>
    <row r="1979" spans="1:7" s="15" customFormat="1" ht="49.5" customHeight="1" outlineLevel="1" x14ac:dyDescent="0.2">
      <c r="A1979" s="275">
        <v>4</v>
      </c>
      <c r="B1979" s="272" t="s">
        <v>26</v>
      </c>
      <c r="C1979" s="278">
        <v>100</v>
      </c>
      <c r="D1979" s="423">
        <v>39</v>
      </c>
      <c r="E1979" s="274"/>
      <c r="F1979" s="277"/>
      <c r="G1979" s="277"/>
    </row>
    <row r="1980" spans="1:7" ht="33.75" customHeight="1" outlineLevel="1" x14ac:dyDescent="0.25">
      <c r="A1980" s="271">
        <v>5</v>
      </c>
      <c r="B1980" s="272" t="s">
        <v>27</v>
      </c>
      <c r="C1980" s="273">
        <v>100</v>
      </c>
      <c r="D1980" s="423">
        <v>81.703125</v>
      </c>
      <c r="E1980" s="274"/>
      <c r="F1980" s="270"/>
      <c r="G1980" s="270"/>
    </row>
    <row r="1981" spans="1:7" ht="26.25" customHeight="1" outlineLevel="1" x14ac:dyDescent="0.25">
      <c r="A1981" s="271">
        <v>6</v>
      </c>
      <c r="B1981" s="272" t="s">
        <v>28</v>
      </c>
      <c r="C1981" s="278">
        <v>100</v>
      </c>
      <c r="D1981" s="423">
        <v>230.64999999999998</v>
      </c>
      <c r="E1981" s="274"/>
      <c r="F1981" s="270"/>
      <c r="G1981" s="270"/>
    </row>
    <row r="1982" spans="1:7" ht="51" customHeight="1" outlineLevel="1" x14ac:dyDescent="0.25">
      <c r="A1982" s="271">
        <v>7</v>
      </c>
      <c r="B1982" s="272" t="s">
        <v>29</v>
      </c>
      <c r="C1982" s="278">
        <v>100</v>
      </c>
      <c r="D1982" s="423">
        <v>230.64999999999998</v>
      </c>
      <c r="E1982" s="274"/>
      <c r="F1982" s="270"/>
      <c r="G1982" s="270"/>
    </row>
    <row r="1983" spans="1:7" ht="22.5" customHeight="1" outlineLevel="1" x14ac:dyDescent="0.25">
      <c r="A1983" s="271">
        <v>8</v>
      </c>
      <c r="B1983" s="272" t="s">
        <v>30</v>
      </c>
      <c r="C1983" s="328">
        <v>1</v>
      </c>
      <c r="D1983" s="423">
        <v>500</v>
      </c>
      <c r="E1983" s="274"/>
      <c r="F1983" s="270"/>
      <c r="G1983" s="270"/>
    </row>
    <row r="1984" spans="1:7" ht="75" outlineLevel="1" x14ac:dyDescent="0.25">
      <c r="A1984" s="291">
        <v>9</v>
      </c>
      <c r="B1984" s="286" t="s">
        <v>31</v>
      </c>
      <c r="C1984" s="287"/>
      <c r="D1984" s="489"/>
      <c r="E1984" s="490"/>
      <c r="F1984" s="292"/>
      <c r="G1984" s="292"/>
    </row>
    <row r="1985" spans="1:7" outlineLevel="1" x14ac:dyDescent="0.25">
      <c r="A1985" s="488"/>
      <c r="B1985" s="281" t="s">
        <v>32</v>
      </c>
      <c r="C1985" s="282">
        <v>100</v>
      </c>
      <c r="D1985" s="445">
        <v>4.29</v>
      </c>
      <c r="E1985" s="283"/>
      <c r="F1985" s="290"/>
      <c r="G1985" s="290"/>
    </row>
    <row r="1986" spans="1:7" ht="19.5" outlineLevel="1" x14ac:dyDescent="0.4">
      <c r="A1986" s="500" t="s">
        <v>168</v>
      </c>
      <c r="B1986" s="500"/>
      <c r="C1986" s="500"/>
      <c r="D1986" s="500"/>
      <c r="E1986" s="500"/>
      <c r="F1986" s="471"/>
      <c r="G1986" s="471"/>
    </row>
    <row r="1987" spans="1:7" ht="24.75" customHeight="1" outlineLevel="1" x14ac:dyDescent="0.25">
      <c r="A1987" s="293">
        <v>1</v>
      </c>
      <c r="B1987" s="294" t="s">
        <v>34</v>
      </c>
      <c r="C1987" s="273">
        <v>1</v>
      </c>
      <c r="D1987" s="424">
        <v>44.72</v>
      </c>
      <c r="E1987" s="295"/>
      <c r="F1987" s="270"/>
      <c r="G1987" s="270"/>
    </row>
    <row r="1988" spans="1:7" ht="45" outlineLevel="1" x14ac:dyDescent="0.25">
      <c r="A1988" s="293">
        <v>2</v>
      </c>
      <c r="B1988" s="294" t="s">
        <v>35</v>
      </c>
      <c r="C1988" s="303">
        <v>100</v>
      </c>
      <c r="D1988" s="424">
        <v>102.18</v>
      </c>
      <c r="E1988" s="295"/>
      <c r="F1988" s="270"/>
      <c r="G1988" s="270"/>
    </row>
    <row r="1989" spans="1:7" ht="24" customHeight="1" outlineLevel="1" x14ac:dyDescent="0.25">
      <c r="A1989" s="275">
        <v>3</v>
      </c>
      <c r="B1989" s="294" t="s">
        <v>36</v>
      </c>
      <c r="C1989" s="328">
        <v>1</v>
      </c>
      <c r="D1989" s="424">
        <v>26</v>
      </c>
      <c r="E1989" s="295"/>
      <c r="F1989" s="270"/>
      <c r="G1989" s="270"/>
    </row>
    <row r="1990" spans="1:7" ht="24" customHeight="1" outlineLevel="1" x14ac:dyDescent="0.25">
      <c r="A1990" s="275">
        <v>4</v>
      </c>
      <c r="B1990" s="294" t="s">
        <v>37</v>
      </c>
      <c r="C1990" s="329">
        <v>1</v>
      </c>
      <c r="D1990" s="424">
        <v>26</v>
      </c>
      <c r="E1990" s="295"/>
      <c r="F1990" s="270"/>
      <c r="G1990" s="270"/>
    </row>
    <row r="1991" spans="1:7" ht="24" customHeight="1" outlineLevel="1" x14ac:dyDescent="0.25">
      <c r="A1991" s="275">
        <v>5</v>
      </c>
      <c r="B1991" s="294" t="s">
        <v>38</v>
      </c>
      <c r="C1991" s="278">
        <v>100</v>
      </c>
      <c r="D1991" s="424">
        <v>91</v>
      </c>
      <c r="E1991" s="295"/>
      <c r="F1991" s="270"/>
      <c r="G1991" s="270"/>
    </row>
    <row r="1992" spans="1:7" ht="30" outlineLevel="1" x14ac:dyDescent="0.25">
      <c r="A1992" s="275">
        <v>6</v>
      </c>
      <c r="B1992" s="294" t="s">
        <v>39</v>
      </c>
      <c r="C1992" s="328">
        <v>1</v>
      </c>
      <c r="D1992" s="424">
        <v>260</v>
      </c>
      <c r="E1992" s="295"/>
      <c r="F1992" s="270"/>
      <c r="G1992" s="270"/>
    </row>
    <row r="1993" spans="1:7" ht="75" outlineLevel="1" x14ac:dyDescent="0.25">
      <c r="A1993" s="285">
        <v>7</v>
      </c>
      <c r="B1993" s="463" t="s">
        <v>31</v>
      </c>
      <c r="C1993" s="287"/>
      <c r="D1993" s="441"/>
      <c r="E1993" s="487"/>
      <c r="F1993" s="292"/>
      <c r="G1993" s="292"/>
    </row>
    <row r="1994" spans="1:7" outlineLevel="1" x14ac:dyDescent="0.25">
      <c r="A1994" s="280" t="s">
        <v>41</v>
      </c>
      <c r="B1994" s="300" t="s">
        <v>42</v>
      </c>
      <c r="C1994" s="282">
        <v>100</v>
      </c>
      <c r="D1994" s="440">
        <v>39.3536</v>
      </c>
      <c r="E1994" s="480"/>
      <c r="F1994" s="290"/>
      <c r="G1994" s="290"/>
    </row>
    <row r="1995" spans="1:7" ht="19.5" outlineLevel="1" x14ac:dyDescent="0.4">
      <c r="A1995" s="500" t="s">
        <v>340</v>
      </c>
      <c r="B1995" s="500"/>
      <c r="C1995" s="500"/>
      <c r="D1995" s="500"/>
      <c r="E1995" s="500"/>
      <c r="F1995" s="471"/>
      <c r="G1995" s="471"/>
    </row>
    <row r="1996" spans="1:7" ht="36.75" customHeight="1" outlineLevel="1" x14ac:dyDescent="0.25">
      <c r="A1996" s="271">
        <v>1</v>
      </c>
      <c r="B1996" s="396" t="s">
        <v>341</v>
      </c>
      <c r="C1996" s="273">
        <v>1000</v>
      </c>
      <c r="D1996" s="422">
        <v>245</v>
      </c>
      <c r="E1996" s="357"/>
      <c r="F1996" s="270"/>
      <c r="G1996" s="270"/>
    </row>
    <row r="1997" spans="1:7" ht="46.5" customHeight="1" outlineLevel="1" x14ac:dyDescent="0.25">
      <c r="A1997" s="271">
        <v>2</v>
      </c>
      <c r="B1997" s="396" t="s">
        <v>342</v>
      </c>
      <c r="C1997" s="397">
        <v>100</v>
      </c>
      <c r="D1997" s="422">
        <v>367.5</v>
      </c>
      <c r="E1997" s="357"/>
      <c r="F1997" s="270"/>
      <c r="G1997" s="270"/>
    </row>
    <row r="1998" spans="1:7" ht="60.75" customHeight="1" outlineLevel="1" x14ac:dyDescent="0.25">
      <c r="A1998" s="271">
        <v>3</v>
      </c>
      <c r="B1998" s="415" t="s">
        <v>343</v>
      </c>
      <c r="C1998" s="398">
        <v>1</v>
      </c>
      <c r="D1998" s="422">
        <v>560</v>
      </c>
      <c r="E1998" s="357"/>
      <c r="F1998" s="270"/>
      <c r="G1998" s="270"/>
    </row>
    <row r="1999" spans="1:7" ht="63.75" customHeight="1" outlineLevel="1" x14ac:dyDescent="0.25">
      <c r="A1999" s="271">
        <v>4</v>
      </c>
      <c r="B1999" s="396" t="s">
        <v>344</v>
      </c>
      <c r="C1999" s="399">
        <v>100</v>
      </c>
      <c r="D1999" s="422">
        <v>323.40000000000003</v>
      </c>
      <c r="E1999" s="357"/>
      <c r="F1999" s="270"/>
      <c r="G1999" s="270"/>
    </row>
    <row r="2000" spans="1:7" ht="21" customHeight="1" outlineLevel="1" x14ac:dyDescent="0.25">
      <c r="A2000" s="511" t="s">
        <v>83</v>
      </c>
      <c r="B2000" s="511"/>
      <c r="C2000" s="511"/>
      <c r="D2000" s="511"/>
      <c r="E2000" s="511"/>
      <c r="F2000" s="270"/>
      <c r="G2000" s="270"/>
    </row>
    <row r="2001" spans="1:7" ht="19.5" outlineLevel="1" x14ac:dyDescent="0.4">
      <c r="A2001" s="500" t="s">
        <v>345</v>
      </c>
      <c r="B2001" s="500"/>
      <c r="C2001" s="500"/>
      <c r="D2001" s="500"/>
      <c r="E2001" s="500"/>
      <c r="F2001" s="471"/>
      <c r="G2001" s="471"/>
    </row>
    <row r="2002" spans="1:7" ht="75" outlineLevel="1" x14ac:dyDescent="0.25">
      <c r="A2002" s="330">
        <v>1</v>
      </c>
      <c r="B2002" s="327" t="s">
        <v>10</v>
      </c>
      <c r="C2002" s="273">
        <v>1000</v>
      </c>
      <c r="D2002" s="422">
        <v>3676695</v>
      </c>
      <c r="E2002" s="295"/>
      <c r="F2002" s="270"/>
      <c r="G2002" s="270"/>
    </row>
    <row r="2003" spans="1:7" ht="30" outlineLevel="1" x14ac:dyDescent="0.25">
      <c r="A2003" s="330">
        <v>2</v>
      </c>
      <c r="B2003" s="400" t="s">
        <v>11</v>
      </c>
      <c r="C2003" s="273">
        <v>1000</v>
      </c>
      <c r="D2003" s="422">
        <v>4402362.5</v>
      </c>
      <c r="E2003" s="321"/>
      <c r="F2003" s="270"/>
      <c r="G2003" s="270"/>
    </row>
    <row r="2004" spans="1:7" ht="30" outlineLevel="1" x14ac:dyDescent="0.25">
      <c r="A2004" s="507">
        <v>3</v>
      </c>
      <c r="B2004" s="327" t="s">
        <v>211</v>
      </c>
      <c r="C2004" s="330"/>
      <c r="D2004" s="422"/>
      <c r="E2004" s="298"/>
      <c r="F2004" s="270"/>
      <c r="G2004" s="270"/>
    </row>
    <row r="2005" spans="1:7" outlineLevel="1" x14ac:dyDescent="0.25">
      <c r="A2005" s="507"/>
      <c r="B2005" s="327" t="s">
        <v>346</v>
      </c>
      <c r="C2005" s="273">
        <v>1000</v>
      </c>
      <c r="D2005" s="422">
        <v>137177.5</v>
      </c>
      <c r="E2005" s="298"/>
      <c r="F2005" s="270"/>
      <c r="G2005" s="270"/>
    </row>
    <row r="2006" spans="1:7" outlineLevel="1" x14ac:dyDescent="0.25">
      <c r="A2006" s="507"/>
      <c r="B2006" s="327" t="s">
        <v>347</v>
      </c>
      <c r="C2006" s="273">
        <v>1000</v>
      </c>
      <c r="D2006" s="422">
        <v>898790</v>
      </c>
      <c r="E2006" s="298"/>
      <c r="F2006" s="270"/>
      <c r="G2006" s="270"/>
    </row>
    <row r="2007" spans="1:7" outlineLevel="1" x14ac:dyDescent="0.25">
      <c r="A2007" s="507"/>
      <c r="B2007" s="327" t="s">
        <v>348</v>
      </c>
      <c r="C2007" s="273">
        <v>1000</v>
      </c>
      <c r="D2007" s="422">
        <v>496885</v>
      </c>
      <c r="E2007" s="298"/>
      <c r="F2007" s="270"/>
      <c r="G2007" s="270"/>
    </row>
    <row r="2008" spans="1:7" ht="30" outlineLevel="1" x14ac:dyDescent="0.25">
      <c r="A2008" s="472">
        <v>4</v>
      </c>
      <c r="B2008" s="447" t="s">
        <v>191</v>
      </c>
      <c r="C2008" s="472"/>
      <c r="D2008" s="475"/>
      <c r="E2008" s="487"/>
      <c r="F2008" s="292"/>
      <c r="G2008" s="292"/>
    </row>
    <row r="2009" spans="1:7" outlineLevel="1" x14ac:dyDescent="0.25">
      <c r="A2009" s="477"/>
      <c r="B2009" s="446" t="s">
        <v>349</v>
      </c>
      <c r="C2009" s="282">
        <v>1000</v>
      </c>
      <c r="D2009" s="479">
        <v>1780642.5</v>
      </c>
      <c r="E2009" s="480"/>
      <c r="F2009" s="290"/>
      <c r="G2009" s="290"/>
    </row>
    <row r="2010" spans="1:7" ht="45" outlineLevel="1" x14ac:dyDescent="0.25">
      <c r="A2010" s="330">
        <v>7</v>
      </c>
      <c r="B2010" s="327" t="s">
        <v>264</v>
      </c>
      <c r="C2010" s="328">
        <v>1</v>
      </c>
      <c r="D2010" s="422">
        <v>170</v>
      </c>
      <c r="E2010" s="321"/>
      <c r="F2010" s="270"/>
      <c r="G2010" s="270"/>
    </row>
    <row r="2011" spans="1:7" ht="19.5" outlineLevel="1" x14ac:dyDescent="0.4">
      <c r="A2011" s="500" t="s">
        <v>350</v>
      </c>
      <c r="B2011" s="500"/>
      <c r="C2011" s="500"/>
      <c r="D2011" s="500"/>
      <c r="E2011" s="500"/>
      <c r="F2011" s="471"/>
      <c r="G2011" s="471"/>
    </row>
    <row r="2012" spans="1:7" ht="67.5" customHeight="1" outlineLevel="1" x14ac:dyDescent="0.25">
      <c r="A2012" s="271">
        <v>1</v>
      </c>
      <c r="B2012" s="272" t="s">
        <v>22</v>
      </c>
      <c r="C2012" s="273">
        <v>1000</v>
      </c>
      <c r="D2012" s="423">
        <v>98</v>
      </c>
      <c r="E2012" s="274"/>
      <c r="F2012" s="270"/>
      <c r="G2012" s="270"/>
    </row>
    <row r="2013" spans="1:7" s="15" customFormat="1" ht="49.5" customHeight="1" outlineLevel="1" x14ac:dyDescent="0.2">
      <c r="A2013" s="285">
        <v>2</v>
      </c>
      <c r="B2013" s="286" t="s">
        <v>23</v>
      </c>
      <c r="C2013" s="287"/>
      <c r="D2013" s="441"/>
      <c r="E2013" s="316"/>
      <c r="F2013" s="289"/>
      <c r="G2013" s="289"/>
    </row>
    <row r="2014" spans="1:7" s="15" customFormat="1" ht="22.5" customHeight="1" outlineLevel="1" x14ac:dyDescent="0.2">
      <c r="A2014" s="280"/>
      <c r="B2014" s="281" t="s">
        <v>24</v>
      </c>
      <c r="C2014" s="282">
        <v>100</v>
      </c>
      <c r="D2014" s="445">
        <v>24.5</v>
      </c>
      <c r="E2014" s="310"/>
      <c r="F2014" s="284"/>
      <c r="G2014" s="284"/>
    </row>
    <row r="2015" spans="1:7" s="15" customFormat="1" ht="36.75" customHeight="1" outlineLevel="1" x14ac:dyDescent="0.2">
      <c r="A2015" s="275">
        <v>3</v>
      </c>
      <c r="B2015" s="272" t="s">
        <v>25</v>
      </c>
      <c r="C2015" s="273">
        <v>100</v>
      </c>
      <c r="D2015" s="423">
        <v>97.5</v>
      </c>
      <c r="E2015" s="274"/>
      <c r="F2015" s="277"/>
      <c r="G2015" s="277"/>
    </row>
    <row r="2016" spans="1:7" s="15" customFormat="1" ht="49.5" customHeight="1" outlineLevel="1" x14ac:dyDescent="0.2">
      <c r="A2016" s="275">
        <v>4</v>
      </c>
      <c r="B2016" s="272" t="s">
        <v>26</v>
      </c>
      <c r="C2016" s="278">
        <v>100</v>
      </c>
      <c r="D2016" s="423">
        <v>39</v>
      </c>
      <c r="E2016" s="274"/>
      <c r="F2016" s="277"/>
      <c r="G2016" s="277"/>
    </row>
    <row r="2017" spans="1:7" ht="36" customHeight="1" outlineLevel="1" x14ac:dyDescent="0.25">
      <c r="A2017" s="271">
        <v>5</v>
      </c>
      <c r="B2017" s="272" t="s">
        <v>27</v>
      </c>
      <c r="C2017" s="273">
        <v>100</v>
      </c>
      <c r="D2017" s="423">
        <v>81.703125</v>
      </c>
      <c r="E2017" s="274"/>
      <c r="F2017" s="270"/>
      <c r="G2017" s="270"/>
    </row>
    <row r="2018" spans="1:7" ht="24.75" customHeight="1" outlineLevel="1" x14ac:dyDescent="0.25">
      <c r="A2018" s="271">
        <v>6</v>
      </c>
      <c r="B2018" s="272" t="s">
        <v>28</v>
      </c>
      <c r="C2018" s="278">
        <v>100</v>
      </c>
      <c r="D2018" s="423">
        <v>230.64999999999998</v>
      </c>
      <c r="E2018" s="274"/>
      <c r="F2018" s="270"/>
      <c r="G2018" s="270"/>
    </row>
    <row r="2019" spans="1:7" ht="45" outlineLevel="1" x14ac:dyDescent="0.25">
      <c r="A2019" s="271">
        <v>7</v>
      </c>
      <c r="B2019" s="272" t="s">
        <v>29</v>
      </c>
      <c r="C2019" s="278">
        <v>100</v>
      </c>
      <c r="D2019" s="423">
        <v>230.64999999999998</v>
      </c>
      <c r="E2019" s="274"/>
      <c r="F2019" s="270"/>
      <c r="G2019" s="270"/>
    </row>
    <row r="2020" spans="1:7" ht="21.75" customHeight="1" outlineLevel="1" x14ac:dyDescent="0.25">
      <c r="A2020" s="271">
        <v>8</v>
      </c>
      <c r="B2020" s="272" t="s">
        <v>30</v>
      </c>
      <c r="C2020" s="328">
        <v>1</v>
      </c>
      <c r="D2020" s="423">
        <v>500</v>
      </c>
      <c r="E2020" s="274"/>
      <c r="F2020" s="270"/>
      <c r="G2020" s="270"/>
    </row>
    <row r="2021" spans="1:7" ht="81" customHeight="1" outlineLevel="1" x14ac:dyDescent="0.25">
      <c r="A2021" s="291">
        <v>9</v>
      </c>
      <c r="B2021" s="286" t="s">
        <v>31</v>
      </c>
      <c r="C2021" s="287"/>
      <c r="D2021" s="489"/>
      <c r="E2021" s="490"/>
      <c r="F2021" s="292"/>
      <c r="G2021" s="292"/>
    </row>
    <row r="2022" spans="1:7" outlineLevel="1" x14ac:dyDescent="0.25">
      <c r="A2022" s="488"/>
      <c r="B2022" s="281" t="s">
        <v>32</v>
      </c>
      <c r="C2022" s="282">
        <v>100</v>
      </c>
      <c r="D2022" s="445">
        <v>4.29</v>
      </c>
      <c r="E2022" s="283"/>
      <c r="F2022" s="290"/>
      <c r="G2022" s="290"/>
    </row>
    <row r="2023" spans="1:7" ht="19.5" outlineLevel="1" x14ac:dyDescent="0.4">
      <c r="A2023" s="500" t="s">
        <v>351</v>
      </c>
      <c r="B2023" s="500"/>
      <c r="C2023" s="500"/>
      <c r="D2023" s="500"/>
      <c r="E2023" s="500"/>
      <c r="F2023" s="471"/>
      <c r="G2023" s="471"/>
    </row>
    <row r="2024" spans="1:7" ht="28.5" customHeight="1" outlineLevel="1" x14ac:dyDescent="0.25">
      <c r="A2024" s="293">
        <v>1</v>
      </c>
      <c r="B2024" s="294" t="s">
        <v>34</v>
      </c>
      <c r="C2024" s="273">
        <v>1</v>
      </c>
      <c r="D2024" s="424">
        <v>29.24</v>
      </c>
      <c r="E2024" s="295"/>
      <c r="F2024" s="270"/>
      <c r="G2024" s="270"/>
    </row>
    <row r="2025" spans="1:7" ht="45" outlineLevel="1" x14ac:dyDescent="0.25">
      <c r="A2025" s="293">
        <v>2</v>
      </c>
      <c r="B2025" s="294" t="s">
        <v>35</v>
      </c>
      <c r="C2025" s="303">
        <v>100</v>
      </c>
      <c r="D2025" s="424">
        <v>66.81</v>
      </c>
      <c r="E2025" s="295"/>
      <c r="F2025" s="270"/>
      <c r="G2025" s="270"/>
    </row>
    <row r="2026" spans="1:7" ht="23.25" customHeight="1" outlineLevel="1" x14ac:dyDescent="0.25">
      <c r="A2026" s="275">
        <v>3</v>
      </c>
      <c r="B2026" s="294" t="s">
        <v>36</v>
      </c>
      <c r="C2026" s="328">
        <v>1</v>
      </c>
      <c r="D2026" s="424">
        <v>17</v>
      </c>
      <c r="E2026" s="295"/>
      <c r="F2026" s="270"/>
      <c r="G2026" s="270"/>
    </row>
    <row r="2027" spans="1:7" ht="23.25" customHeight="1" outlineLevel="1" x14ac:dyDescent="0.25">
      <c r="A2027" s="275">
        <v>4</v>
      </c>
      <c r="B2027" s="294" t="s">
        <v>37</v>
      </c>
      <c r="C2027" s="329">
        <v>1</v>
      </c>
      <c r="D2027" s="424">
        <v>17</v>
      </c>
      <c r="E2027" s="295"/>
      <c r="F2027" s="270"/>
      <c r="G2027" s="270"/>
    </row>
    <row r="2028" spans="1:7" ht="23.25" customHeight="1" outlineLevel="1" x14ac:dyDescent="0.25">
      <c r="A2028" s="275">
        <v>5</v>
      </c>
      <c r="B2028" s="294" t="s">
        <v>38</v>
      </c>
      <c r="C2028" s="278">
        <v>100</v>
      </c>
      <c r="D2028" s="424">
        <v>59.5</v>
      </c>
      <c r="E2028" s="295"/>
      <c r="F2028" s="270"/>
      <c r="G2028" s="270"/>
    </row>
    <row r="2029" spans="1:7" ht="30" outlineLevel="1" x14ac:dyDescent="0.25">
      <c r="A2029" s="275">
        <v>6</v>
      </c>
      <c r="B2029" s="294" t="s">
        <v>39</v>
      </c>
      <c r="C2029" s="328">
        <v>1</v>
      </c>
      <c r="D2029" s="424">
        <v>170</v>
      </c>
      <c r="E2029" s="295"/>
      <c r="F2029" s="270"/>
      <c r="G2029" s="270"/>
    </row>
    <row r="2030" spans="1:7" ht="75" outlineLevel="1" x14ac:dyDescent="0.25">
      <c r="A2030" s="285">
        <v>7</v>
      </c>
      <c r="B2030" s="463" t="s">
        <v>31</v>
      </c>
      <c r="C2030" s="287"/>
      <c r="D2030" s="441"/>
      <c r="E2030" s="487"/>
      <c r="F2030" s="292"/>
      <c r="G2030" s="292"/>
    </row>
    <row r="2031" spans="1:7" outlineLevel="1" x14ac:dyDescent="0.25">
      <c r="A2031" s="280" t="s">
        <v>41</v>
      </c>
      <c r="B2031" s="300" t="s">
        <v>42</v>
      </c>
      <c r="C2031" s="282">
        <v>100</v>
      </c>
      <c r="D2031" s="440">
        <v>25.731200000000001</v>
      </c>
      <c r="E2031" s="480"/>
      <c r="F2031" s="290"/>
      <c r="G2031" s="290"/>
    </row>
    <row r="2032" spans="1:7" ht="20.25" customHeight="1" outlineLevel="1" x14ac:dyDescent="0.25">
      <c r="A2032" s="508" t="s">
        <v>83</v>
      </c>
      <c r="B2032" s="508"/>
      <c r="C2032" s="508"/>
      <c r="D2032" s="508"/>
      <c r="E2032" s="508"/>
      <c r="F2032" s="270"/>
      <c r="G2032" s="270"/>
    </row>
    <row r="2033" spans="1:7" ht="19.5" outlineLevel="1" x14ac:dyDescent="0.4">
      <c r="A2033" s="500" t="s">
        <v>352</v>
      </c>
      <c r="B2033" s="500"/>
      <c r="C2033" s="500"/>
      <c r="D2033" s="500"/>
      <c r="E2033" s="500"/>
      <c r="F2033" s="471"/>
      <c r="G2033" s="471"/>
    </row>
    <row r="2034" spans="1:7" ht="75" outlineLevel="1" x14ac:dyDescent="0.25">
      <c r="A2034" s="330">
        <v>1</v>
      </c>
      <c r="B2034" s="327" t="s">
        <v>10</v>
      </c>
      <c r="C2034" s="273">
        <v>1000</v>
      </c>
      <c r="D2034" s="422">
        <v>15402.5</v>
      </c>
      <c r="E2034" s="295"/>
      <c r="F2034" s="270"/>
      <c r="G2034" s="270"/>
    </row>
    <row r="2035" spans="1:7" ht="30" outlineLevel="1" x14ac:dyDescent="0.25">
      <c r="A2035" s="330">
        <v>2</v>
      </c>
      <c r="B2035" s="400" t="s">
        <v>11</v>
      </c>
      <c r="C2035" s="273">
        <v>1000</v>
      </c>
      <c r="D2035" s="422">
        <v>51770</v>
      </c>
      <c r="E2035" s="321"/>
      <c r="F2035" s="270"/>
      <c r="G2035" s="270"/>
    </row>
    <row r="2036" spans="1:7" ht="30" outlineLevel="1" x14ac:dyDescent="0.25">
      <c r="A2036" s="507">
        <v>3</v>
      </c>
      <c r="B2036" s="327" t="s">
        <v>211</v>
      </c>
      <c r="C2036" s="330"/>
      <c r="D2036" s="422"/>
      <c r="E2036" s="298"/>
      <c r="F2036" s="270"/>
      <c r="G2036" s="270"/>
    </row>
    <row r="2037" spans="1:7" outlineLevel="1" x14ac:dyDescent="0.25">
      <c r="A2037" s="507"/>
      <c r="B2037" s="327" t="s">
        <v>346</v>
      </c>
      <c r="C2037" s="273">
        <v>1000</v>
      </c>
      <c r="D2037" s="422">
        <v>1360</v>
      </c>
      <c r="E2037" s="298"/>
      <c r="F2037" s="270"/>
      <c r="G2037" s="270"/>
    </row>
    <row r="2038" spans="1:7" ht="30" outlineLevel="1" x14ac:dyDescent="0.25">
      <c r="A2038" s="330">
        <v>4</v>
      </c>
      <c r="B2038" s="327" t="s">
        <v>191</v>
      </c>
      <c r="C2038" s="330"/>
      <c r="D2038" s="422"/>
      <c r="E2038" s="298"/>
      <c r="F2038" s="270"/>
      <c r="G2038" s="270"/>
    </row>
    <row r="2039" spans="1:7" outlineLevel="1" x14ac:dyDescent="0.25">
      <c r="A2039" s="330"/>
      <c r="B2039" s="327" t="s">
        <v>349</v>
      </c>
      <c r="C2039" s="273">
        <v>1000</v>
      </c>
      <c r="D2039" s="422">
        <v>45770</v>
      </c>
      <c r="E2039" s="298"/>
      <c r="F2039" s="270"/>
      <c r="G2039" s="270"/>
    </row>
    <row r="2040" spans="1:7" ht="45" outlineLevel="1" x14ac:dyDescent="0.25">
      <c r="A2040" s="330">
        <v>5</v>
      </c>
      <c r="B2040" s="327" t="s">
        <v>264</v>
      </c>
      <c r="C2040" s="328">
        <v>1</v>
      </c>
      <c r="D2040" s="422">
        <v>40</v>
      </c>
      <c r="E2040" s="321"/>
      <c r="F2040" s="270"/>
      <c r="G2040" s="270"/>
    </row>
    <row r="2041" spans="1:7" ht="19.5" outlineLevel="1" x14ac:dyDescent="0.4">
      <c r="A2041" s="500" t="s">
        <v>353</v>
      </c>
      <c r="B2041" s="500"/>
      <c r="C2041" s="500"/>
      <c r="D2041" s="500"/>
      <c r="E2041" s="500"/>
      <c r="F2041" s="471"/>
      <c r="G2041" s="471"/>
    </row>
    <row r="2042" spans="1:7" ht="60" outlineLevel="1" x14ac:dyDescent="0.25">
      <c r="A2042" s="271">
        <v>1</v>
      </c>
      <c r="B2042" s="272" t="s">
        <v>22</v>
      </c>
      <c r="C2042" s="273">
        <v>1000</v>
      </c>
      <c r="D2042" s="423">
        <v>49</v>
      </c>
      <c r="E2042" s="274"/>
      <c r="F2042" s="270"/>
      <c r="G2042" s="270"/>
    </row>
    <row r="2043" spans="1:7" ht="45" outlineLevel="1" x14ac:dyDescent="0.25">
      <c r="A2043" s="275">
        <v>2</v>
      </c>
      <c r="B2043" s="272" t="s">
        <v>23</v>
      </c>
      <c r="C2043" s="276"/>
      <c r="D2043" s="424"/>
      <c r="E2043" s="295"/>
      <c r="F2043" s="270"/>
      <c r="G2043" s="270"/>
    </row>
    <row r="2044" spans="1:7" outlineLevel="1" x14ac:dyDescent="0.25">
      <c r="A2044" s="275"/>
      <c r="B2044" s="272" t="s">
        <v>24</v>
      </c>
      <c r="C2044" s="273">
        <v>100</v>
      </c>
      <c r="D2044" s="423">
        <v>12.25</v>
      </c>
      <c r="E2044" s="269"/>
      <c r="F2044" s="270"/>
      <c r="G2044" s="270"/>
    </row>
    <row r="2045" spans="1:7" ht="30" outlineLevel="1" x14ac:dyDescent="0.25">
      <c r="A2045" s="275">
        <v>3</v>
      </c>
      <c r="B2045" s="272" t="s">
        <v>25</v>
      </c>
      <c r="C2045" s="273">
        <v>100</v>
      </c>
      <c r="D2045" s="423">
        <v>48.75</v>
      </c>
      <c r="E2045" s="274"/>
      <c r="F2045" s="270"/>
      <c r="G2045" s="270"/>
    </row>
    <row r="2046" spans="1:7" ht="45" outlineLevel="1" x14ac:dyDescent="0.25">
      <c r="A2046" s="275">
        <v>4</v>
      </c>
      <c r="B2046" s="272" t="s">
        <v>26</v>
      </c>
      <c r="C2046" s="278">
        <v>100</v>
      </c>
      <c r="D2046" s="423">
        <v>19.5</v>
      </c>
      <c r="E2046" s="274"/>
      <c r="F2046" s="270"/>
      <c r="G2046" s="270"/>
    </row>
    <row r="2047" spans="1:7" ht="30" outlineLevel="1" x14ac:dyDescent="0.25">
      <c r="A2047" s="271">
        <v>5</v>
      </c>
      <c r="B2047" s="272" t="s">
        <v>27</v>
      </c>
      <c r="C2047" s="273">
        <v>100</v>
      </c>
      <c r="D2047" s="423">
        <v>40.8515625</v>
      </c>
      <c r="E2047" s="274"/>
      <c r="F2047" s="270"/>
      <c r="G2047" s="270"/>
    </row>
    <row r="2048" spans="1:7" ht="24.75" customHeight="1" outlineLevel="1" x14ac:dyDescent="0.25">
      <c r="A2048" s="271">
        <v>6</v>
      </c>
      <c r="B2048" s="272" t="s">
        <v>28</v>
      </c>
      <c r="C2048" s="278">
        <v>100</v>
      </c>
      <c r="D2048" s="423">
        <v>115.32499999999999</v>
      </c>
      <c r="E2048" s="274"/>
      <c r="F2048" s="270"/>
      <c r="G2048" s="270"/>
    </row>
    <row r="2049" spans="1:7" ht="45" outlineLevel="1" x14ac:dyDescent="0.25">
      <c r="A2049" s="271">
        <v>7</v>
      </c>
      <c r="B2049" s="272" t="s">
        <v>29</v>
      </c>
      <c r="C2049" s="278">
        <v>100</v>
      </c>
      <c r="D2049" s="423">
        <v>115.32499999999999</v>
      </c>
      <c r="E2049" s="274"/>
      <c r="F2049" s="270"/>
      <c r="G2049" s="270"/>
    </row>
    <row r="2050" spans="1:7" ht="24.75" customHeight="1" outlineLevel="1" x14ac:dyDescent="0.25">
      <c r="A2050" s="271">
        <v>8</v>
      </c>
      <c r="B2050" s="272" t="s">
        <v>30</v>
      </c>
      <c r="C2050" s="328">
        <v>1</v>
      </c>
      <c r="D2050" s="423">
        <v>250</v>
      </c>
      <c r="E2050" s="274"/>
      <c r="F2050" s="270"/>
      <c r="G2050" s="270"/>
    </row>
    <row r="2051" spans="1:7" ht="75" outlineLevel="1" x14ac:dyDescent="0.25">
      <c r="A2051" s="291">
        <v>9</v>
      </c>
      <c r="B2051" s="286" t="s">
        <v>31</v>
      </c>
      <c r="C2051" s="287"/>
      <c r="D2051" s="489"/>
      <c r="E2051" s="490"/>
      <c r="F2051" s="292"/>
      <c r="G2051" s="292"/>
    </row>
    <row r="2052" spans="1:7" outlineLevel="1" x14ac:dyDescent="0.25">
      <c r="A2052" s="488"/>
      <c r="B2052" s="281" t="s">
        <v>32</v>
      </c>
      <c r="C2052" s="282">
        <v>100</v>
      </c>
      <c r="D2052" s="445">
        <v>2.145</v>
      </c>
      <c r="E2052" s="283"/>
      <c r="F2052" s="290"/>
      <c r="G2052" s="290"/>
    </row>
    <row r="2053" spans="1:7" ht="19.5" outlineLevel="1" x14ac:dyDescent="0.4">
      <c r="A2053" s="500" t="s">
        <v>354</v>
      </c>
      <c r="B2053" s="500"/>
      <c r="C2053" s="500"/>
      <c r="D2053" s="500"/>
      <c r="E2053" s="500"/>
      <c r="F2053" s="471"/>
      <c r="G2053" s="471"/>
    </row>
    <row r="2054" spans="1:7" ht="22.5" customHeight="1" outlineLevel="1" x14ac:dyDescent="0.25">
      <c r="A2054" s="293">
        <v>1</v>
      </c>
      <c r="B2054" s="294" t="s">
        <v>34</v>
      </c>
      <c r="C2054" s="273">
        <v>1</v>
      </c>
      <c r="D2054" s="424">
        <v>6.88</v>
      </c>
      <c r="E2054" s="295"/>
      <c r="F2054" s="270"/>
      <c r="G2054" s="270"/>
    </row>
    <row r="2055" spans="1:7" ht="45" outlineLevel="1" x14ac:dyDescent="0.25">
      <c r="A2055" s="293">
        <v>2</v>
      </c>
      <c r="B2055" s="294" t="s">
        <v>35</v>
      </c>
      <c r="C2055" s="303">
        <v>100</v>
      </c>
      <c r="D2055" s="424">
        <v>15.72</v>
      </c>
      <c r="E2055" s="295"/>
      <c r="F2055" s="270"/>
      <c r="G2055" s="270"/>
    </row>
    <row r="2056" spans="1:7" ht="21" customHeight="1" outlineLevel="1" x14ac:dyDescent="0.25">
      <c r="A2056" s="275">
        <v>3</v>
      </c>
      <c r="B2056" s="294" t="s">
        <v>36</v>
      </c>
      <c r="C2056" s="328">
        <v>1</v>
      </c>
      <c r="D2056" s="424">
        <v>4</v>
      </c>
      <c r="E2056" s="295"/>
      <c r="F2056" s="270"/>
      <c r="G2056" s="270"/>
    </row>
    <row r="2057" spans="1:7" ht="21" customHeight="1" outlineLevel="1" x14ac:dyDescent="0.25">
      <c r="A2057" s="275">
        <v>4</v>
      </c>
      <c r="B2057" s="294" t="s">
        <v>37</v>
      </c>
      <c r="C2057" s="329">
        <v>1</v>
      </c>
      <c r="D2057" s="424">
        <v>4</v>
      </c>
      <c r="E2057" s="295"/>
      <c r="F2057" s="270"/>
      <c r="G2057" s="270"/>
    </row>
    <row r="2058" spans="1:7" ht="21" customHeight="1" outlineLevel="1" x14ac:dyDescent="0.25">
      <c r="A2058" s="275">
        <v>5</v>
      </c>
      <c r="B2058" s="294" t="s">
        <v>38</v>
      </c>
      <c r="C2058" s="278">
        <v>100</v>
      </c>
      <c r="D2058" s="424">
        <v>14</v>
      </c>
      <c r="E2058" s="295"/>
      <c r="F2058" s="270"/>
      <c r="G2058" s="270"/>
    </row>
    <row r="2059" spans="1:7" ht="30" outlineLevel="1" x14ac:dyDescent="0.25">
      <c r="A2059" s="275">
        <v>6</v>
      </c>
      <c r="B2059" s="294" t="s">
        <v>39</v>
      </c>
      <c r="C2059" s="328">
        <v>1</v>
      </c>
      <c r="D2059" s="424">
        <v>40</v>
      </c>
      <c r="E2059" s="295"/>
      <c r="F2059" s="270"/>
      <c r="G2059" s="270"/>
    </row>
    <row r="2060" spans="1:7" ht="75" outlineLevel="1" x14ac:dyDescent="0.25">
      <c r="A2060" s="285">
        <v>7</v>
      </c>
      <c r="B2060" s="463" t="s">
        <v>31</v>
      </c>
      <c r="C2060" s="287"/>
      <c r="D2060" s="441"/>
      <c r="E2060" s="487"/>
      <c r="F2060" s="292"/>
      <c r="G2060" s="292"/>
    </row>
    <row r="2061" spans="1:7" outlineLevel="1" x14ac:dyDescent="0.25">
      <c r="A2061" s="280" t="s">
        <v>41</v>
      </c>
      <c r="B2061" s="300" t="s">
        <v>42</v>
      </c>
      <c r="C2061" s="282">
        <v>100</v>
      </c>
      <c r="D2061" s="440">
        <v>6.0544000000000002</v>
      </c>
      <c r="E2061" s="480"/>
      <c r="F2061" s="290"/>
      <c r="G2061" s="290"/>
    </row>
    <row r="2062" spans="1:7" ht="20.25" customHeight="1" outlineLevel="1" x14ac:dyDescent="0.25">
      <c r="A2062" s="508" t="s">
        <v>83</v>
      </c>
      <c r="B2062" s="508"/>
      <c r="C2062" s="508"/>
      <c r="D2062" s="508"/>
      <c r="E2062" s="508"/>
      <c r="F2062" s="270"/>
      <c r="G2062" s="270"/>
    </row>
    <row r="2063" spans="1:7" ht="19.5" outlineLevel="1" x14ac:dyDescent="0.4">
      <c r="A2063" s="500" t="s">
        <v>355</v>
      </c>
      <c r="B2063" s="500"/>
      <c r="C2063" s="500"/>
      <c r="D2063" s="500"/>
      <c r="E2063" s="500"/>
      <c r="F2063" s="471"/>
      <c r="G2063" s="471"/>
    </row>
    <row r="2064" spans="1:7" ht="75" outlineLevel="1" x14ac:dyDescent="0.25">
      <c r="A2064" s="330">
        <v>1</v>
      </c>
      <c r="B2064" s="327" t="s">
        <v>10</v>
      </c>
      <c r="C2064" s="273">
        <v>1000</v>
      </c>
      <c r="D2064" s="422">
        <v>4410982.0599999996</v>
      </c>
      <c r="E2064" s="295"/>
      <c r="F2064" s="270"/>
      <c r="G2064" s="270"/>
    </row>
    <row r="2065" spans="1:7" ht="30" outlineLevel="1" x14ac:dyDescent="0.25">
      <c r="A2065" s="330">
        <v>2</v>
      </c>
      <c r="B2065" s="400" t="s">
        <v>11</v>
      </c>
      <c r="C2065" s="273">
        <v>1000</v>
      </c>
      <c r="D2065" s="422">
        <v>1949662.13</v>
      </c>
      <c r="E2065" s="321"/>
      <c r="F2065" s="270"/>
      <c r="G2065" s="270"/>
    </row>
    <row r="2066" spans="1:7" ht="30" outlineLevel="1" x14ac:dyDescent="0.25">
      <c r="A2066" s="330">
        <v>3</v>
      </c>
      <c r="B2066" s="400" t="s">
        <v>356</v>
      </c>
      <c r="C2066" s="273">
        <v>1000</v>
      </c>
      <c r="D2066" s="422">
        <v>910707.77524999995</v>
      </c>
      <c r="E2066" s="321"/>
      <c r="F2066" s="270"/>
      <c r="G2066" s="270"/>
    </row>
    <row r="2067" spans="1:7" ht="30" outlineLevel="1" x14ac:dyDescent="0.25">
      <c r="A2067" s="507">
        <v>4</v>
      </c>
      <c r="B2067" s="327" t="s">
        <v>211</v>
      </c>
      <c r="C2067" s="330"/>
      <c r="D2067" s="422"/>
      <c r="E2067" s="298"/>
      <c r="F2067" s="270"/>
      <c r="G2067" s="270"/>
    </row>
    <row r="2068" spans="1:7" outlineLevel="1" x14ac:dyDescent="0.25">
      <c r="A2068" s="507"/>
      <c r="B2068" s="327" t="s">
        <v>346</v>
      </c>
      <c r="C2068" s="273">
        <v>1000</v>
      </c>
      <c r="D2068" s="422">
        <v>147378.57999999999</v>
      </c>
      <c r="E2068" s="295"/>
      <c r="F2068" s="270"/>
      <c r="G2068" s="270"/>
    </row>
    <row r="2069" spans="1:7" outlineLevel="1" x14ac:dyDescent="0.25">
      <c r="A2069" s="507"/>
      <c r="B2069" s="327" t="s">
        <v>357</v>
      </c>
      <c r="C2069" s="273">
        <v>1000</v>
      </c>
      <c r="D2069" s="422">
        <v>224897.5</v>
      </c>
      <c r="E2069" s="295"/>
      <c r="F2069" s="270"/>
      <c r="G2069" s="270"/>
    </row>
    <row r="2070" spans="1:7" outlineLevel="1" x14ac:dyDescent="0.25">
      <c r="A2070" s="507"/>
      <c r="B2070" s="327" t="s">
        <v>358</v>
      </c>
      <c r="C2070" s="273">
        <v>1000</v>
      </c>
      <c r="D2070" s="422">
        <v>468525</v>
      </c>
      <c r="E2070" s="295"/>
      <c r="F2070" s="270"/>
      <c r="G2070" s="270"/>
    </row>
    <row r="2071" spans="1:7" ht="30" outlineLevel="1" x14ac:dyDescent="0.25">
      <c r="A2071" s="472">
        <v>5</v>
      </c>
      <c r="B2071" s="447" t="s">
        <v>191</v>
      </c>
      <c r="C2071" s="472"/>
      <c r="D2071" s="475"/>
      <c r="E2071" s="487"/>
      <c r="F2071" s="292"/>
      <c r="G2071" s="292"/>
    </row>
    <row r="2072" spans="1:7" outlineLevel="1" x14ac:dyDescent="0.25">
      <c r="A2072" s="477"/>
      <c r="B2072" s="446" t="s">
        <v>359</v>
      </c>
      <c r="C2072" s="282">
        <v>1000</v>
      </c>
      <c r="D2072" s="479">
        <v>140702.28500000003</v>
      </c>
      <c r="E2072" s="480"/>
      <c r="F2072" s="290"/>
      <c r="G2072" s="290"/>
    </row>
    <row r="2073" spans="1:7" ht="19.5" outlineLevel="1" x14ac:dyDescent="0.4">
      <c r="A2073" s="500" t="s">
        <v>360</v>
      </c>
      <c r="B2073" s="500"/>
      <c r="C2073" s="500"/>
      <c r="D2073" s="500"/>
      <c r="E2073" s="500"/>
      <c r="F2073" s="471"/>
      <c r="G2073" s="471"/>
    </row>
    <row r="2074" spans="1:7" ht="60" outlineLevel="1" x14ac:dyDescent="0.25">
      <c r="A2074" s="271">
        <v>1</v>
      </c>
      <c r="B2074" s="272" t="s">
        <v>22</v>
      </c>
      <c r="C2074" s="273">
        <v>1000</v>
      </c>
      <c r="D2074" s="423">
        <v>294</v>
      </c>
      <c r="E2074" s="274"/>
      <c r="F2074" s="270"/>
      <c r="G2074" s="270"/>
    </row>
    <row r="2075" spans="1:7" ht="45" outlineLevel="1" x14ac:dyDescent="0.25">
      <c r="A2075" s="285">
        <v>2</v>
      </c>
      <c r="B2075" s="286" t="s">
        <v>23</v>
      </c>
      <c r="C2075" s="287"/>
      <c r="D2075" s="441"/>
      <c r="E2075" s="316"/>
      <c r="F2075" s="292"/>
      <c r="G2075" s="292"/>
    </row>
    <row r="2076" spans="1:7" outlineLevel="1" x14ac:dyDescent="0.25">
      <c r="A2076" s="280"/>
      <c r="B2076" s="281" t="s">
        <v>24</v>
      </c>
      <c r="C2076" s="282">
        <v>100</v>
      </c>
      <c r="D2076" s="445">
        <v>73.5</v>
      </c>
      <c r="E2076" s="310"/>
      <c r="F2076" s="290"/>
      <c r="G2076" s="290"/>
    </row>
    <row r="2077" spans="1:7" ht="30" outlineLevel="1" x14ac:dyDescent="0.25">
      <c r="A2077" s="275">
        <v>3</v>
      </c>
      <c r="B2077" s="272" t="s">
        <v>25</v>
      </c>
      <c r="C2077" s="273">
        <v>100</v>
      </c>
      <c r="D2077" s="423">
        <v>292.5</v>
      </c>
      <c r="E2077" s="274"/>
      <c r="F2077" s="270"/>
      <c r="G2077" s="270"/>
    </row>
    <row r="2078" spans="1:7" ht="45" outlineLevel="1" x14ac:dyDescent="0.25">
      <c r="A2078" s="275">
        <v>4</v>
      </c>
      <c r="B2078" s="272" t="s">
        <v>26</v>
      </c>
      <c r="C2078" s="278">
        <v>100</v>
      </c>
      <c r="D2078" s="423">
        <v>117</v>
      </c>
      <c r="E2078" s="274"/>
      <c r="F2078" s="270"/>
      <c r="G2078" s="270"/>
    </row>
    <row r="2079" spans="1:7" ht="30" outlineLevel="1" x14ac:dyDescent="0.25">
      <c r="A2079" s="271">
        <v>5</v>
      </c>
      <c r="B2079" s="272" t="s">
        <v>27</v>
      </c>
      <c r="C2079" s="273">
        <v>100</v>
      </c>
      <c r="D2079" s="423">
        <v>245.109375</v>
      </c>
      <c r="E2079" s="274"/>
      <c r="F2079" s="270"/>
      <c r="G2079" s="270"/>
    </row>
    <row r="2080" spans="1:7" ht="24.75" customHeight="1" outlineLevel="1" x14ac:dyDescent="0.25">
      <c r="A2080" s="271">
        <v>6</v>
      </c>
      <c r="B2080" s="272" t="s">
        <v>28</v>
      </c>
      <c r="C2080" s="278">
        <v>100</v>
      </c>
      <c r="D2080" s="423">
        <v>691.94999999999993</v>
      </c>
      <c r="E2080" s="274"/>
      <c r="F2080" s="270"/>
      <c r="G2080" s="270"/>
    </row>
    <row r="2081" spans="1:7" ht="45" outlineLevel="1" x14ac:dyDescent="0.25">
      <c r="A2081" s="271">
        <v>7</v>
      </c>
      <c r="B2081" s="272" t="s">
        <v>29</v>
      </c>
      <c r="C2081" s="278">
        <v>100</v>
      </c>
      <c r="D2081" s="423">
        <v>691.94999999999993</v>
      </c>
      <c r="E2081" s="274"/>
      <c r="F2081" s="270"/>
      <c r="G2081" s="270"/>
    </row>
    <row r="2082" spans="1:7" ht="24" customHeight="1" outlineLevel="1" x14ac:dyDescent="0.25">
      <c r="A2082" s="271">
        <v>8</v>
      </c>
      <c r="B2082" s="272" t="s">
        <v>30</v>
      </c>
      <c r="C2082" s="328">
        <v>1</v>
      </c>
      <c r="D2082" s="423">
        <v>1500</v>
      </c>
      <c r="E2082" s="274"/>
      <c r="F2082" s="270"/>
      <c r="G2082" s="270"/>
    </row>
    <row r="2083" spans="1:7" ht="75" outlineLevel="1" x14ac:dyDescent="0.25">
      <c r="A2083" s="291">
        <v>9</v>
      </c>
      <c r="B2083" s="286" t="s">
        <v>31</v>
      </c>
      <c r="C2083" s="287"/>
      <c r="D2083" s="489"/>
      <c r="E2083" s="490"/>
      <c r="F2083" s="292"/>
      <c r="G2083" s="292"/>
    </row>
    <row r="2084" spans="1:7" outlineLevel="1" x14ac:dyDescent="0.25">
      <c r="A2084" s="488"/>
      <c r="B2084" s="281" t="s">
        <v>32</v>
      </c>
      <c r="C2084" s="282">
        <v>100</v>
      </c>
      <c r="D2084" s="445">
        <v>12.870000000000001</v>
      </c>
      <c r="E2084" s="283"/>
      <c r="F2084" s="290"/>
      <c r="G2084" s="290"/>
    </row>
    <row r="2085" spans="1:7" ht="19.5" outlineLevel="1" x14ac:dyDescent="0.4">
      <c r="A2085" s="500" t="s">
        <v>361</v>
      </c>
      <c r="B2085" s="500"/>
      <c r="C2085" s="500"/>
      <c r="D2085" s="500"/>
      <c r="E2085" s="500"/>
      <c r="F2085" s="471"/>
      <c r="G2085" s="471"/>
    </row>
    <row r="2086" spans="1:7" ht="23.25" customHeight="1" outlineLevel="1" x14ac:dyDescent="0.25">
      <c r="A2086" s="293">
        <v>1</v>
      </c>
      <c r="B2086" s="294" t="s">
        <v>34</v>
      </c>
      <c r="C2086" s="273">
        <v>1</v>
      </c>
      <c r="D2086" s="424">
        <v>20.64</v>
      </c>
      <c r="E2086" s="295"/>
      <c r="F2086" s="270"/>
      <c r="G2086" s="270"/>
    </row>
    <row r="2087" spans="1:7" ht="45" outlineLevel="1" x14ac:dyDescent="0.25">
      <c r="A2087" s="293">
        <v>2</v>
      </c>
      <c r="B2087" s="294" t="s">
        <v>35</v>
      </c>
      <c r="C2087" s="303">
        <v>100</v>
      </c>
      <c r="D2087" s="424">
        <v>47.160000000000004</v>
      </c>
      <c r="E2087" s="295"/>
      <c r="F2087" s="270"/>
      <c r="G2087" s="270"/>
    </row>
    <row r="2088" spans="1:7" ht="22.5" customHeight="1" outlineLevel="1" x14ac:dyDescent="0.25">
      <c r="A2088" s="275">
        <v>3</v>
      </c>
      <c r="B2088" s="294" t="s">
        <v>36</v>
      </c>
      <c r="C2088" s="328">
        <v>1</v>
      </c>
      <c r="D2088" s="424">
        <v>12</v>
      </c>
      <c r="E2088" s="295"/>
      <c r="F2088" s="270"/>
      <c r="G2088" s="270"/>
    </row>
    <row r="2089" spans="1:7" ht="22.5" customHeight="1" outlineLevel="1" x14ac:dyDescent="0.25">
      <c r="A2089" s="275">
        <v>4</v>
      </c>
      <c r="B2089" s="294" t="s">
        <v>37</v>
      </c>
      <c r="C2089" s="329">
        <v>1</v>
      </c>
      <c r="D2089" s="424">
        <v>12</v>
      </c>
      <c r="E2089" s="295"/>
      <c r="F2089" s="270"/>
      <c r="G2089" s="270"/>
    </row>
    <row r="2090" spans="1:7" ht="22.5" customHeight="1" outlineLevel="1" x14ac:dyDescent="0.25">
      <c r="A2090" s="275">
        <v>5</v>
      </c>
      <c r="B2090" s="294" t="s">
        <v>38</v>
      </c>
      <c r="C2090" s="278">
        <v>100</v>
      </c>
      <c r="D2090" s="424">
        <v>42</v>
      </c>
      <c r="E2090" s="295"/>
      <c r="F2090" s="270"/>
      <c r="G2090" s="270"/>
    </row>
    <row r="2091" spans="1:7" ht="30" outlineLevel="1" x14ac:dyDescent="0.25">
      <c r="A2091" s="275">
        <v>6</v>
      </c>
      <c r="B2091" s="294" t="s">
        <v>39</v>
      </c>
      <c r="C2091" s="328">
        <v>1</v>
      </c>
      <c r="D2091" s="424">
        <v>120</v>
      </c>
      <c r="E2091" s="295"/>
      <c r="F2091" s="270"/>
      <c r="G2091" s="270"/>
    </row>
    <row r="2092" spans="1:7" ht="75" outlineLevel="1" x14ac:dyDescent="0.25">
      <c r="A2092" s="285">
        <v>7</v>
      </c>
      <c r="B2092" s="463" t="s">
        <v>31</v>
      </c>
      <c r="C2092" s="287"/>
      <c r="D2092" s="441"/>
      <c r="E2092" s="487"/>
      <c r="F2092" s="292"/>
      <c r="G2092" s="292"/>
    </row>
    <row r="2093" spans="1:7" outlineLevel="1" x14ac:dyDescent="0.25">
      <c r="A2093" s="280" t="s">
        <v>41</v>
      </c>
      <c r="B2093" s="300" t="s">
        <v>42</v>
      </c>
      <c r="C2093" s="282">
        <v>100</v>
      </c>
      <c r="D2093" s="440">
        <v>18.1632</v>
      </c>
      <c r="E2093" s="480"/>
      <c r="F2093" s="290"/>
      <c r="G2093" s="290"/>
    </row>
    <row r="2094" spans="1:7" outlineLevel="1" x14ac:dyDescent="0.25">
      <c r="A2094" s="508" t="s">
        <v>83</v>
      </c>
      <c r="B2094" s="508"/>
      <c r="C2094" s="508"/>
      <c r="D2094" s="508"/>
      <c r="E2094" s="508"/>
      <c r="F2094" s="270"/>
      <c r="G2094" s="270"/>
    </row>
    <row r="2095" spans="1:7" ht="19.5" outlineLevel="1" x14ac:dyDescent="0.4">
      <c r="A2095" s="500" t="s">
        <v>362</v>
      </c>
      <c r="B2095" s="500"/>
      <c r="C2095" s="500"/>
      <c r="D2095" s="500"/>
      <c r="E2095" s="500"/>
      <c r="F2095" s="471"/>
      <c r="G2095" s="471"/>
    </row>
    <row r="2096" spans="1:7" ht="75" outlineLevel="1" x14ac:dyDescent="0.25">
      <c r="A2096" s="293">
        <v>1</v>
      </c>
      <c r="B2096" s="299" t="s">
        <v>45</v>
      </c>
      <c r="C2096" s="273">
        <v>1000</v>
      </c>
      <c r="D2096" s="424">
        <v>125135.84964100001</v>
      </c>
      <c r="E2096" s="269"/>
      <c r="F2096" s="270"/>
      <c r="G2096" s="270"/>
    </row>
    <row r="2097" spans="1:7" ht="25.5" customHeight="1" outlineLevel="1" x14ac:dyDescent="0.25">
      <c r="A2097" s="293">
        <v>2</v>
      </c>
      <c r="B2097" s="299" t="s">
        <v>75</v>
      </c>
      <c r="C2097" s="273">
        <v>1000</v>
      </c>
      <c r="D2097" s="424">
        <v>125135.84964100001</v>
      </c>
      <c r="E2097" s="269"/>
      <c r="F2097" s="270"/>
      <c r="G2097" s="270"/>
    </row>
    <row r="2098" spans="1:7" ht="45" outlineLevel="1" x14ac:dyDescent="0.25">
      <c r="A2098" s="275"/>
      <c r="B2098" s="302" t="s">
        <v>23</v>
      </c>
      <c r="C2098" s="271"/>
      <c r="D2098" s="424"/>
      <c r="E2098" s="295"/>
      <c r="F2098" s="270"/>
      <c r="G2098" s="270"/>
    </row>
    <row r="2099" spans="1:7" outlineLevel="1" x14ac:dyDescent="0.25">
      <c r="A2099" s="275">
        <v>3</v>
      </c>
      <c r="B2099" s="299" t="s">
        <v>24</v>
      </c>
      <c r="C2099" s="273">
        <v>100</v>
      </c>
      <c r="D2099" s="424">
        <v>1808.1333250000002</v>
      </c>
      <c r="E2099" s="269"/>
      <c r="F2099" s="270"/>
      <c r="G2099" s="270"/>
    </row>
    <row r="2100" spans="1:7" outlineLevel="1" x14ac:dyDescent="0.25">
      <c r="A2100" s="275">
        <v>4</v>
      </c>
      <c r="B2100" s="299" t="s">
        <v>125</v>
      </c>
      <c r="C2100" s="273">
        <v>100</v>
      </c>
      <c r="D2100" s="424">
        <v>577.89599999999996</v>
      </c>
      <c r="E2100" s="269"/>
      <c r="F2100" s="270"/>
      <c r="G2100" s="270"/>
    </row>
    <row r="2101" spans="1:7" ht="90" outlineLevel="1" x14ac:dyDescent="0.25">
      <c r="A2101" s="275">
        <v>5</v>
      </c>
      <c r="B2101" s="299" t="s">
        <v>225</v>
      </c>
      <c r="C2101" s="303">
        <v>100</v>
      </c>
      <c r="D2101" s="424">
        <v>129118.00590000002</v>
      </c>
      <c r="E2101" s="304"/>
      <c r="F2101" s="270"/>
      <c r="G2101" s="270"/>
    </row>
    <row r="2102" spans="1:7" ht="120.75" outlineLevel="1" x14ac:dyDescent="0.25">
      <c r="A2102" s="275"/>
      <c r="B2102" s="302" t="s">
        <v>47</v>
      </c>
      <c r="C2102" s="271"/>
      <c r="D2102" s="424"/>
      <c r="E2102" s="295"/>
      <c r="F2102" s="270"/>
      <c r="G2102" s="270"/>
    </row>
    <row r="2103" spans="1:7" ht="75" outlineLevel="1" x14ac:dyDescent="0.25">
      <c r="A2103" s="275">
        <v>6</v>
      </c>
      <c r="B2103" s="302" t="s">
        <v>100</v>
      </c>
      <c r="C2103" s="273">
        <v>1</v>
      </c>
      <c r="D2103" s="424">
        <v>18946.310000000005</v>
      </c>
      <c r="E2103" s="269"/>
      <c r="F2103" s="270"/>
      <c r="G2103" s="270"/>
    </row>
    <row r="2104" spans="1:7" ht="75" outlineLevel="1" x14ac:dyDescent="0.25">
      <c r="A2104" s="275">
        <v>7</v>
      </c>
      <c r="B2104" s="299" t="s">
        <v>100</v>
      </c>
      <c r="C2104" s="273">
        <v>1</v>
      </c>
      <c r="D2104" s="424">
        <v>9746.5802000000003</v>
      </c>
      <c r="E2104" s="269"/>
      <c r="F2104" s="270"/>
      <c r="G2104" s="270"/>
    </row>
    <row r="2105" spans="1:7" ht="30" outlineLevel="1" x14ac:dyDescent="0.25">
      <c r="A2105" s="275">
        <v>8</v>
      </c>
      <c r="B2105" s="299" t="s">
        <v>52</v>
      </c>
      <c r="C2105" s="278">
        <v>100</v>
      </c>
      <c r="D2105" s="424">
        <v>9774.5750000000007</v>
      </c>
      <c r="E2105" s="295"/>
      <c r="F2105" s="270"/>
      <c r="G2105" s="270"/>
    </row>
    <row r="2106" spans="1:7" ht="75" outlineLevel="1" x14ac:dyDescent="0.25">
      <c r="A2106" s="275">
        <v>9</v>
      </c>
      <c r="B2106" s="299" t="s">
        <v>226</v>
      </c>
      <c r="C2106" s="278">
        <v>100</v>
      </c>
      <c r="D2106" s="424">
        <v>1394.2756000000002</v>
      </c>
      <c r="E2106" s="269"/>
      <c r="F2106" s="270"/>
      <c r="G2106" s="270"/>
    </row>
    <row r="2107" spans="1:7" ht="30" outlineLevel="1" x14ac:dyDescent="0.25">
      <c r="A2107" s="275">
        <v>10</v>
      </c>
      <c r="B2107" s="302" t="s">
        <v>121</v>
      </c>
      <c r="C2107" s="278">
        <v>1</v>
      </c>
      <c r="D2107" s="424">
        <v>1394.2756000000002</v>
      </c>
      <c r="E2107" s="269"/>
      <c r="F2107" s="270"/>
      <c r="G2107" s="270"/>
    </row>
    <row r="2108" spans="1:7" ht="45" outlineLevel="1" x14ac:dyDescent="0.25">
      <c r="A2108" s="275">
        <v>11</v>
      </c>
      <c r="B2108" s="302" t="s">
        <v>129</v>
      </c>
      <c r="C2108" s="323">
        <v>1</v>
      </c>
      <c r="D2108" s="424">
        <v>282</v>
      </c>
      <c r="E2108" s="295"/>
      <c r="F2108" s="270"/>
      <c r="G2108" s="270"/>
    </row>
    <row r="2109" spans="1:7" ht="30" outlineLevel="1" x14ac:dyDescent="0.25">
      <c r="A2109" s="275">
        <v>12</v>
      </c>
      <c r="B2109" s="302" t="s">
        <v>130</v>
      </c>
      <c r="C2109" s="328">
        <v>1</v>
      </c>
      <c r="D2109" s="424">
        <v>12</v>
      </c>
      <c r="E2109" s="295"/>
      <c r="F2109" s="270"/>
      <c r="G2109" s="270"/>
    </row>
    <row r="2110" spans="1:7" ht="20.25" customHeight="1" outlineLevel="1" x14ac:dyDescent="0.25">
      <c r="A2110" s="275">
        <v>13</v>
      </c>
      <c r="B2110" s="302" t="s">
        <v>131</v>
      </c>
      <c r="C2110" s="328">
        <v>1</v>
      </c>
      <c r="D2110" s="424">
        <v>6</v>
      </c>
      <c r="E2110" s="295"/>
      <c r="F2110" s="270"/>
      <c r="G2110" s="270"/>
    </row>
    <row r="2111" spans="1:7" ht="180" outlineLevel="1" x14ac:dyDescent="0.25">
      <c r="A2111" s="275">
        <v>14</v>
      </c>
      <c r="B2111" s="299" t="s">
        <v>227</v>
      </c>
      <c r="C2111" s="278">
        <v>1</v>
      </c>
      <c r="D2111" s="424">
        <v>463.92</v>
      </c>
      <c r="E2111" s="269"/>
      <c r="F2111" s="270"/>
      <c r="G2111" s="270"/>
    </row>
    <row r="2112" spans="1:7" ht="45" outlineLevel="1" x14ac:dyDescent="0.25">
      <c r="A2112" s="275">
        <v>15</v>
      </c>
      <c r="B2112" s="299" t="s">
        <v>228</v>
      </c>
      <c r="C2112" s="278">
        <v>1</v>
      </c>
      <c r="D2112" s="424">
        <v>184</v>
      </c>
      <c r="E2112" s="269"/>
      <c r="F2112" s="270"/>
      <c r="G2112" s="270"/>
    </row>
    <row r="2113" spans="1:7" ht="21" customHeight="1" outlineLevel="1" x14ac:dyDescent="0.25">
      <c r="A2113" s="275">
        <v>16</v>
      </c>
      <c r="B2113" s="302" t="s">
        <v>229</v>
      </c>
      <c r="C2113" s="278">
        <v>100</v>
      </c>
      <c r="D2113" s="424">
        <v>4838.8949999999995</v>
      </c>
      <c r="E2113" s="295"/>
      <c r="F2113" s="270"/>
      <c r="G2113" s="270"/>
    </row>
    <row r="2114" spans="1:7" ht="45" outlineLevel="1" x14ac:dyDescent="0.25">
      <c r="A2114" s="275">
        <v>17</v>
      </c>
      <c r="B2114" s="302" t="s">
        <v>133</v>
      </c>
      <c r="C2114" s="278">
        <v>100</v>
      </c>
      <c r="D2114" s="424">
        <v>6169.194300000001</v>
      </c>
      <c r="E2114" s="295"/>
      <c r="F2114" s="270"/>
      <c r="G2114" s="270"/>
    </row>
    <row r="2115" spans="1:7" ht="30" outlineLevel="1" x14ac:dyDescent="0.25">
      <c r="A2115" s="275">
        <v>18</v>
      </c>
      <c r="B2115" s="302" t="s">
        <v>134</v>
      </c>
      <c r="C2115" s="278">
        <v>100</v>
      </c>
      <c r="D2115" s="424">
        <v>344</v>
      </c>
      <c r="E2115" s="295"/>
      <c r="F2115" s="270"/>
      <c r="G2115" s="270"/>
    </row>
    <row r="2116" spans="1:7" ht="45" outlineLevel="1" x14ac:dyDescent="0.25">
      <c r="A2116" s="275">
        <v>19</v>
      </c>
      <c r="B2116" s="299" t="s">
        <v>230</v>
      </c>
      <c r="C2116" s="328">
        <v>1</v>
      </c>
      <c r="D2116" s="424">
        <v>150</v>
      </c>
      <c r="E2116" s="295"/>
      <c r="F2116" s="270"/>
      <c r="G2116" s="270"/>
    </row>
    <row r="2117" spans="1:7" ht="75" outlineLevel="1" x14ac:dyDescent="0.25">
      <c r="A2117" s="275">
        <v>20</v>
      </c>
      <c r="B2117" s="299" t="s">
        <v>272</v>
      </c>
      <c r="C2117" s="323">
        <v>1</v>
      </c>
      <c r="D2117" s="424">
        <v>40</v>
      </c>
      <c r="E2117" s="295"/>
      <c r="F2117" s="270"/>
      <c r="G2117" s="270"/>
    </row>
    <row r="2118" spans="1:7" ht="24" customHeight="1" outlineLevel="1" x14ac:dyDescent="0.25">
      <c r="A2118" s="275">
        <v>21</v>
      </c>
      <c r="B2118" s="299" t="s">
        <v>231</v>
      </c>
      <c r="C2118" s="278">
        <v>1</v>
      </c>
      <c r="D2118" s="424">
        <v>696</v>
      </c>
      <c r="E2118" s="295"/>
      <c r="F2118" s="270"/>
      <c r="G2118" s="270"/>
    </row>
    <row r="2119" spans="1:7" ht="75" outlineLevel="1" x14ac:dyDescent="0.25">
      <c r="A2119" s="275">
        <v>22</v>
      </c>
      <c r="B2119" s="299" t="s">
        <v>232</v>
      </c>
      <c r="C2119" s="278">
        <v>1</v>
      </c>
      <c r="D2119" s="424">
        <v>2220.2250000000004</v>
      </c>
      <c r="E2119" s="295"/>
      <c r="F2119" s="270"/>
      <c r="G2119" s="270"/>
    </row>
    <row r="2120" spans="1:7" ht="30" outlineLevel="1" x14ac:dyDescent="0.25">
      <c r="A2120" s="275">
        <v>23</v>
      </c>
      <c r="B2120" s="299" t="s">
        <v>233</v>
      </c>
      <c r="C2120" s="273">
        <v>100</v>
      </c>
      <c r="D2120" s="424">
        <v>585.6</v>
      </c>
      <c r="E2120" s="295"/>
      <c r="F2120" s="270"/>
      <c r="G2120" s="270"/>
    </row>
    <row r="2121" spans="1:7" ht="90" outlineLevel="1" x14ac:dyDescent="0.25">
      <c r="A2121" s="275">
        <v>24</v>
      </c>
      <c r="B2121" s="299" t="s">
        <v>234</v>
      </c>
      <c r="C2121" s="278">
        <v>100</v>
      </c>
      <c r="D2121" s="424">
        <v>1394.2756000000002</v>
      </c>
      <c r="E2121" s="295"/>
      <c r="F2121" s="270"/>
      <c r="G2121" s="270"/>
    </row>
    <row r="2122" spans="1:7" ht="75" outlineLevel="1" x14ac:dyDescent="0.25">
      <c r="A2122" s="275">
        <v>25</v>
      </c>
      <c r="B2122" s="299" t="s">
        <v>235</v>
      </c>
      <c r="C2122" s="278">
        <v>100</v>
      </c>
      <c r="D2122" s="424">
        <v>93.350000000000009</v>
      </c>
      <c r="E2122" s="295"/>
      <c r="F2122" s="270"/>
      <c r="G2122" s="270"/>
    </row>
    <row r="2123" spans="1:7" ht="45" outlineLevel="1" x14ac:dyDescent="0.25">
      <c r="A2123" s="275">
        <v>26</v>
      </c>
      <c r="B2123" s="299" t="s">
        <v>236</v>
      </c>
      <c r="C2123" s="323">
        <v>1</v>
      </c>
      <c r="D2123" s="424">
        <v>723.40000000000009</v>
      </c>
      <c r="E2123" s="295"/>
      <c r="F2123" s="270"/>
      <c r="G2123" s="270"/>
    </row>
    <row r="2124" spans="1:7" ht="45" outlineLevel="1" x14ac:dyDescent="0.25">
      <c r="A2124" s="275">
        <v>27</v>
      </c>
      <c r="B2124" s="313" t="s">
        <v>80</v>
      </c>
      <c r="C2124" s="323">
        <v>1</v>
      </c>
      <c r="D2124" s="424">
        <v>312.94</v>
      </c>
      <c r="E2124" s="270"/>
      <c r="F2124" s="270"/>
      <c r="G2124" s="270"/>
    </row>
    <row r="2125" spans="1:7" ht="45" outlineLevel="1" x14ac:dyDescent="0.25">
      <c r="A2125" s="275">
        <v>28</v>
      </c>
      <c r="B2125" s="302" t="s">
        <v>136</v>
      </c>
      <c r="C2125" s="271"/>
      <c r="D2125" s="424"/>
      <c r="E2125" s="295"/>
      <c r="F2125" s="270"/>
      <c r="G2125" s="270"/>
    </row>
    <row r="2126" spans="1:7" outlineLevel="1" x14ac:dyDescent="0.25">
      <c r="A2126" s="275"/>
      <c r="B2126" s="302" t="s">
        <v>176</v>
      </c>
      <c r="C2126" s="323">
        <v>1</v>
      </c>
      <c r="D2126" s="424">
        <v>350</v>
      </c>
      <c r="E2126" s="295"/>
      <c r="F2126" s="270"/>
      <c r="G2126" s="270"/>
    </row>
    <row r="2127" spans="1:7" outlineLevel="1" x14ac:dyDescent="0.25">
      <c r="A2127" s="275"/>
      <c r="B2127" s="302" t="s">
        <v>177</v>
      </c>
      <c r="C2127" s="323">
        <v>1</v>
      </c>
      <c r="D2127" s="424">
        <v>250</v>
      </c>
      <c r="E2127" s="295"/>
      <c r="F2127" s="270"/>
      <c r="G2127" s="270"/>
    </row>
    <row r="2128" spans="1:7" ht="75" outlineLevel="1" x14ac:dyDescent="0.25">
      <c r="A2128" s="275">
        <v>29</v>
      </c>
      <c r="B2128" s="302" t="s">
        <v>141</v>
      </c>
      <c r="C2128" s="271"/>
      <c r="D2128" s="424"/>
      <c r="E2128" s="295"/>
      <c r="F2128" s="270"/>
      <c r="G2128" s="270"/>
    </row>
    <row r="2129" spans="1:7" outlineLevel="1" x14ac:dyDescent="0.25">
      <c r="A2129" s="275"/>
      <c r="B2129" s="302" t="s">
        <v>180</v>
      </c>
      <c r="C2129" s="323">
        <v>1</v>
      </c>
      <c r="D2129" s="424">
        <v>1000</v>
      </c>
      <c r="E2129" s="295"/>
      <c r="F2129" s="270"/>
      <c r="G2129" s="270"/>
    </row>
    <row r="2130" spans="1:7" outlineLevel="1" x14ac:dyDescent="0.25">
      <c r="A2130" s="275"/>
      <c r="B2130" s="302" t="s">
        <v>181</v>
      </c>
      <c r="C2130" s="323">
        <v>1</v>
      </c>
      <c r="D2130" s="424">
        <v>500</v>
      </c>
      <c r="E2130" s="295"/>
      <c r="F2130" s="270"/>
      <c r="G2130" s="270"/>
    </row>
    <row r="2131" spans="1:7" ht="60" outlineLevel="1" x14ac:dyDescent="0.25">
      <c r="A2131" s="275">
        <v>30</v>
      </c>
      <c r="B2131" s="302" t="s">
        <v>145</v>
      </c>
      <c r="C2131" s="271"/>
      <c r="D2131" s="424"/>
      <c r="E2131" s="295"/>
      <c r="F2131" s="270"/>
      <c r="G2131" s="270"/>
    </row>
    <row r="2132" spans="1:7" outlineLevel="1" x14ac:dyDescent="0.25">
      <c r="A2132" s="275"/>
      <c r="B2132" s="302" t="s">
        <v>184</v>
      </c>
      <c r="C2132" s="329">
        <v>1</v>
      </c>
      <c r="D2132" s="424">
        <v>10</v>
      </c>
      <c r="E2132" s="295"/>
      <c r="F2132" s="270"/>
      <c r="G2132" s="270"/>
    </row>
    <row r="2133" spans="1:7" ht="22.5" customHeight="1" outlineLevel="1" x14ac:dyDescent="0.25">
      <c r="A2133" s="275">
        <v>31</v>
      </c>
      <c r="B2133" s="302" t="s">
        <v>237</v>
      </c>
      <c r="C2133" s="329">
        <v>1</v>
      </c>
      <c r="D2133" s="424">
        <v>50</v>
      </c>
      <c r="E2133" s="295"/>
      <c r="F2133" s="270"/>
      <c r="G2133" s="270"/>
    </row>
    <row r="2134" spans="1:7" ht="30" outlineLevel="1" x14ac:dyDescent="0.25">
      <c r="A2134" s="275">
        <v>32</v>
      </c>
      <c r="B2134" s="302" t="s">
        <v>238</v>
      </c>
      <c r="C2134" s="329">
        <v>1</v>
      </c>
      <c r="D2134" s="424">
        <v>15</v>
      </c>
      <c r="E2134" s="295"/>
      <c r="F2134" s="270"/>
      <c r="G2134" s="270"/>
    </row>
    <row r="2135" spans="1:7" ht="21.75" customHeight="1" outlineLevel="1" x14ac:dyDescent="0.25">
      <c r="A2135" s="275">
        <v>33</v>
      </c>
      <c r="B2135" s="302" t="s">
        <v>150</v>
      </c>
      <c r="C2135" s="329">
        <v>1</v>
      </c>
      <c r="D2135" s="424">
        <v>15</v>
      </c>
      <c r="E2135" s="295"/>
      <c r="F2135" s="270"/>
      <c r="G2135" s="270"/>
    </row>
    <row r="2136" spans="1:7" ht="90.75" outlineLevel="1" x14ac:dyDescent="0.25">
      <c r="A2136" s="275">
        <v>34</v>
      </c>
      <c r="B2136" s="302" t="s">
        <v>239</v>
      </c>
      <c r="C2136" s="328">
        <v>1</v>
      </c>
      <c r="D2136" s="424">
        <v>1</v>
      </c>
      <c r="E2136" s="295"/>
      <c r="F2136" s="270"/>
      <c r="G2136" s="270"/>
    </row>
    <row r="2137" spans="1:7" ht="90.75" outlineLevel="1" x14ac:dyDescent="0.25">
      <c r="A2137" s="275">
        <v>35</v>
      </c>
      <c r="B2137" s="302" t="s">
        <v>240</v>
      </c>
      <c r="C2137" s="328">
        <v>1</v>
      </c>
      <c r="D2137" s="424">
        <v>10</v>
      </c>
      <c r="E2137" s="295"/>
      <c r="F2137" s="270"/>
      <c r="G2137" s="270"/>
    </row>
    <row r="2138" spans="1:7" ht="75" outlineLevel="1" x14ac:dyDescent="0.25">
      <c r="A2138" s="275">
        <v>36</v>
      </c>
      <c r="B2138" s="299" t="s">
        <v>298</v>
      </c>
      <c r="C2138" s="329">
        <v>1</v>
      </c>
      <c r="D2138" s="424">
        <v>10</v>
      </c>
      <c r="E2138" s="295"/>
      <c r="F2138" s="270"/>
      <c r="G2138" s="270"/>
    </row>
    <row r="2139" spans="1:7" ht="60" outlineLevel="1" x14ac:dyDescent="0.25">
      <c r="A2139" s="275">
        <v>37</v>
      </c>
      <c r="B2139" s="302" t="s">
        <v>157</v>
      </c>
      <c r="C2139" s="328">
        <v>1</v>
      </c>
      <c r="D2139" s="424">
        <v>15</v>
      </c>
      <c r="E2139" s="295"/>
      <c r="F2139" s="270"/>
      <c r="G2139" s="270"/>
    </row>
    <row r="2140" spans="1:7" outlineLevel="1" x14ac:dyDescent="0.25">
      <c r="A2140" s="285"/>
      <c r="B2140" s="442" t="s">
        <v>242</v>
      </c>
      <c r="C2140" s="347"/>
      <c r="D2140" s="441"/>
      <c r="E2140" s="316"/>
      <c r="F2140" s="292"/>
      <c r="G2140" s="292"/>
    </row>
    <row r="2141" spans="1:7" ht="45" outlineLevel="1" x14ac:dyDescent="0.25">
      <c r="A2141" s="280">
        <v>47</v>
      </c>
      <c r="B2141" s="443" t="s">
        <v>243</v>
      </c>
      <c r="C2141" s="282">
        <v>100</v>
      </c>
      <c r="D2141" s="440">
        <v>5141.1399999999994</v>
      </c>
      <c r="E2141" s="301"/>
      <c r="F2141" s="290"/>
      <c r="G2141" s="290"/>
    </row>
    <row r="2142" spans="1:7" ht="30" outlineLevel="1" x14ac:dyDescent="0.25">
      <c r="A2142" s="275">
        <v>48</v>
      </c>
      <c r="B2142" s="299" t="s">
        <v>244</v>
      </c>
      <c r="C2142" s="273">
        <v>100</v>
      </c>
      <c r="D2142" s="424">
        <v>812.42</v>
      </c>
      <c r="E2142" s="295"/>
      <c r="F2142" s="270"/>
      <c r="G2142" s="270"/>
    </row>
    <row r="2143" spans="1:7" ht="30" outlineLevel="1" x14ac:dyDescent="0.25">
      <c r="A2143" s="275">
        <v>49</v>
      </c>
      <c r="B2143" s="299" t="s">
        <v>245</v>
      </c>
      <c r="C2143" s="273">
        <v>100</v>
      </c>
      <c r="D2143" s="424">
        <v>812.42</v>
      </c>
      <c r="E2143" s="295"/>
      <c r="F2143" s="270"/>
      <c r="G2143" s="270"/>
    </row>
    <row r="2144" spans="1:7" ht="30" outlineLevel="1" x14ac:dyDescent="0.25">
      <c r="A2144" s="275">
        <v>50</v>
      </c>
      <c r="B2144" s="299" t="s">
        <v>246</v>
      </c>
      <c r="C2144" s="273">
        <v>100</v>
      </c>
      <c r="D2144" s="424">
        <v>147.4</v>
      </c>
      <c r="E2144" s="295"/>
      <c r="F2144" s="270"/>
      <c r="G2144" s="270"/>
    </row>
    <row r="2145" spans="1:7" ht="30" outlineLevel="1" x14ac:dyDescent="0.25">
      <c r="A2145" s="275">
        <v>51</v>
      </c>
      <c r="B2145" s="299" t="s">
        <v>233</v>
      </c>
      <c r="C2145" s="273">
        <v>100</v>
      </c>
      <c r="D2145" s="424">
        <v>147.4</v>
      </c>
      <c r="E2145" s="295"/>
      <c r="F2145" s="270"/>
      <c r="G2145" s="270"/>
    </row>
    <row r="2146" spans="1:7" ht="30" outlineLevel="1" x14ac:dyDescent="0.25">
      <c r="A2146" s="275">
        <v>52</v>
      </c>
      <c r="B2146" s="299" t="s">
        <v>247</v>
      </c>
      <c r="C2146" s="273">
        <v>100</v>
      </c>
      <c r="D2146" s="424">
        <v>2461.88</v>
      </c>
      <c r="E2146" s="295"/>
      <c r="F2146" s="270"/>
      <c r="G2146" s="270"/>
    </row>
    <row r="2147" spans="1:7" ht="30" outlineLevel="1" x14ac:dyDescent="0.25">
      <c r="A2147" s="275">
        <v>53</v>
      </c>
      <c r="B2147" s="299" t="s">
        <v>248</v>
      </c>
      <c r="C2147" s="273">
        <v>100</v>
      </c>
      <c r="D2147" s="424">
        <v>446.68</v>
      </c>
      <c r="E2147" s="295"/>
      <c r="F2147" s="270"/>
      <c r="G2147" s="270"/>
    </row>
    <row r="2148" spans="1:7" ht="60" outlineLevel="1" x14ac:dyDescent="0.25">
      <c r="A2148" s="275">
        <v>54</v>
      </c>
      <c r="B2148" s="317" t="s">
        <v>363</v>
      </c>
      <c r="C2148" s="273">
        <v>100</v>
      </c>
      <c r="D2148" s="424">
        <v>36777.195240000001</v>
      </c>
      <c r="E2148" s="295"/>
      <c r="F2148" s="270"/>
      <c r="G2148" s="270"/>
    </row>
    <row r="2149" spans="1:7" outlineLevel="1" x14ac:dyDescent="0.25">
      <c r="A2149" s="506" t="s">
        <v>43</v>
      </c>
      <c r="B2149" s="506"/>
      <c r="C2149" s="506"/>
      <c r="D2149" s="506"/>
      <c r="E2149" s="506"/>
      <c r="F2149" s="270"/>
      <c r="G2149" s="270"/>
    </row>
    <row r="2150" spans="1:7" ht="19.5" outlineLevel="1" x14ac:dyDescent="0.4">
      <c r="A2150" s="500" t="s">
        <v>364</v>
      </c>
      <c r="B2150" s="500"/>
      <c r="C2150" s="500"/>
      <c r="D2150" s="500"/>
      <c r="E2150" s="500"/>
      <c r="F2150" s="471"/>
      <c r="G2150" s="471"/>
    </row>
    <row r="2151" spans="1:7" ht="23.25" customHeight="1" outlineLevel="1" x14ac:dyDescent="0.25">
      <c r="A2151" s="275">
        <v>1</v>
      </c>
      <c r="B2151" s="306" t="s">
        <v>365</v>
      </c>
      <c r="C2151" s="273">
        <v>100</v>
      </c>
      <c r="D2151" s="424">
        <v>803.25</v>
      </c>
      <c r="E2151" s="295"/>
      <c r="F2151" s="270"/>
      <c r="G2151" s="270"/>
    </row>
    <row r="2152" spans="1:7" ht="30" outlineLevel="1" x14ac:dyDescent="0.25">
      <c r="A2152" s="293">
        <v>2</v>
      </c>
      <c r="B2152" s="299" t="s">
        <v>85</v>
      </c>
      <c r="C2152" s="273">
        <v>1000</v>
      </c>
      <c r="D2152" s="424">
        <v>8700</v>
      </c>
      <c r="E2152" s="269"/>
      <c r="F2152" s="270"/>
      <c r="G2152" s="270"/>
    </row>
    <row r="2153" spans="1:7" ht="75" outlineLevel="1" x14ac:dyDescent="0.25">
      <c r="A2153" s="293">
        <v>3</v>
      </c>
      <c r="B2153" s="299" t="s">
        <v>45</v>
      </c>
      <c r="C2153" s="273">
        <v>1000</v>
      </c>
      <c r="D2153" s="424">
        <v>6543.0099999999993</v>
      </c>
      <c r="E2153" s="269"/>
      <c r="F2153" s="270"/>
      <c r="G2153" s="270"/>
    </row>
    <row r="2154" spans="1:7" ht="45" outlineLevel="1" x14ac:dyDescent="0.25">
      <c r="A2154" s="285">
        <v>4</v>
      </c>
      <c r="B2154" s="311" t="s">
        <v>23</v>
      </c>
      <c r="C2154" s="291"/>
      <c r="D2154" s="441"/>
      <c r="E2154" s="316"/>
      <c r="F2154" s="292"/>
      <c r="G2154" s="292"/>
    </row>
    <row r="2155" spans="1:7" outlineLevel="1" x14ac:dyDescent="0.25">
      <c r="A2155" s="280"/>
      <c r="B2155" s="300" t="s">
        <v>24</v>
      </c>
      <c r="C2155" s="282">
        <v>100</v>
      </c>
      <c r="D2155" s="440">
        <v>435.94000000000005</v>
      </c>
      <c r="E2155" s="310"/>
      <c r="F2155" s="290"/>
      <c r="G2155" s="290"/>
    </row>
    <row r="2156" spans="1:7" ht="90" outlineLevel="1" x14ac:dyDescent="0.25">
      <c r="A2156" s="275">
        <v>5</v>
      </c>
      <c r="B2156" s="299" t="s">
        <v>225</v>
      </c>
      <c r="C2156" s="303">
        <v>100</v>
      </c>
      <c r="D2156" s="424">
        <v>20607.389095527535</v>
      </c>
      <c r="E2156" s="304"/>
      <c r="F2156" s="270"/>
      <c r="G2156" s="270"/>
    </row>
    <row r="2157" spans="1:7" ht="120.75" outlineLevel="1" x14ac:dyDescent="0.25">
      <c r="A2157" s="275">
        <v>6</v>
      </c>
      <c r="B2157" s="302" t="s">
        <v>47</v>
      </c>
      <c r="C2157" s="271"/>
      <c r="D2157" s="424"/>
      <c r="E2157" s="295"/>
      <c r="F2157" s="270"/>
      <c r="G2157" s="270"/>
    </row>
    <row r="2158" spans="1:7" ht="75" outlineLevel="1" x14ac:dyDescent="0.25">
      <c r="A2158" s="275" t="s">
        <v>58</v>
      </c>
      <c r="B2158" s="302" t="s">
        <v>100</v>
      </c>
      <c r="C2158" s="273">
        <v>1</v>
      </c>
      <c r="D2158" s="424">
        <v>4517.97</v>
      </c>
      <c r="E2158" s="269"/>
      <c r="F2158" s="270"/>
      <c r="G2158" s="270"/>
    </row>
    <row r="2159" spans="1:7" ht="75" outlineLevel="1" x14ac:dyDescent="0.25">
      <c r="A2159" s="275" t="s">
        <v>60</v>
      </c>
      <c r="B2159" s="299" t="s">
        <v>201</v>
      </c>
      <c r="C2159" s="273">
        <v>1</v>
      </c>
      <c r="D2159" s="424">
        <v>1972.18</v>
      </c>
      <c r="E2159" s="269"/>
      <c r="F2159" s="270"/>
      <c r="G2159" s="270"/>
    </row>
    <row r="2160" spans="1:7" ht="30" outlineLevel="1" x14ac:dyDescent="0.25">
      <c r="A2160" s="275">
        <v>7</v>
      </c>
      <c r="B2160" s="299" t="s">
        <v>52</v>
      </c>
      <c r="C2160" s="278">
        <v>100</v>
      </c>
      <c r="D2160" s="424">
        <v>2183.8119999999999</v>
      </c>
      <c r="E2160" s="295"/>
      <c r="F2160" s="270"/>
      <c r="G2160" s="270"/>
    </row>
    <row r="2161" spans="1:7" ht="45" outlineLevel="1" x14ac:dyDescent="0.25">
      <c r="A2161" s="275">
        <v>8</v>
      </c>
      <c r="B2161" s="302" t="s">
        <v>129</v>
      </c>
      <c r="C2161" s="323">
        <v>1</v>
      </c>
      <c r="D2161" s="424">
        <v>6</v>
      </c>
      <c r="E2161" s="295"/>
      <c r="F2161" s="270"/>
      <c r="G2161" s="270"/>
    </row>
    <row r="2162" spans="1:7" ht="60" outlineLevel="1" x14ac:dyDescent="0.25">
      <c r="A2162" s="275">
        <v>9</v>
      </c>
      <c r="B2162" s="299" t="s">
        <v>366</v>
      </c>
      <c r="C2162" s="273">
        <v>1</v>
      </c>
      <c r="D2162" s="424">
        <v>143.55000000000001</v>
      </c>
      <c r="E2162" s="295"/>
      <c r="F2162" s="270"/>
      <c r="G2162" s="270"/>
    </row>
    <row r="2163" spans="1:7" outlineLevel="1" x14ac:dyDescent="0.25">
      <c r="A2163" s="285"/>
      <c r="B2163" s="442" t="s">
        <v>242</v>
      </c>
      <c r="C2163" s="347"/>
      <c r="D2163" s="441"/>
      <c r="E2163" s="316"/>
      <c r="F2163" s="292"/>
      <c r="G2163" s="292"/>
    </row>
    <row r="2164" spans="1:7" ht="30" outlineLevel="1" x14ac:dyDescent="0.25">
      <c r="A2164" s="439">
        <v>1</v>
      </c>
      <c r="B2164" s="300" t="s">
        <v>85</v>
      </c>
      <c r="C2164" s="282">
        <v>1000</v>
      </c>
      <c r="D2164" s="440">
        <v>2700.32</v>
      </c>
      <c r="E2164" s="310"/>
      <c r="F2164" s="290"/>
      <c r="G2164" s="290"/>
    </row>
    <row r="2165" spans="1:7" ht="45" outlineLevel="1" x14ac:dyDescent="0.25">
      <c r="A2165" s="275">
        <v>2</v>
      </c>
      <c r="B2165" s="317" t="s">
        <v>243</v>
      </c>
      <c r="C2165" s="273">
        <v>100</v>
      </c>
      <c r="D2165" s="424">
        <v>2700.32</v>
      </c>
      <c r="E2165" s="295"/>
      <c r="F2165" s="270"/>
      <c r="G2165" s="270"/>
    </row>
    <row r="2166" spans="1:7" ht="23.25" customHeight="1" outlineLevel="1" x14ac:dyDescent="0.25">
      <c r="A2166" s="275">
        <v>3</v>
      </c>
      <c r="B2166" s="317" t="s">
        <v>87</v>
      </c>
      <c r="C2166" s="278">
        <v>100</v>
      </c>
      <c r="D2166" s="424">
        <v>785.33279999999991</v>
      </c>
      <c r="E2166" s="295"/>
      <c r="F2166" s="270"/>
      <c r="G2166" s="270"/>
    </row>
    <row r="2167" spans="1:7" ht="23.25" customHeight="1" outlineLevel="1" x14ac:dyDescent="0.25">
      <c r="A2167" s="275">
        <v>4</v>
      </c>
      <c r="B2167" s="317" t="s">
        <v>88</v>
      </c>
      <c r="C2167" s="278">
        <v>100</v>
      </c>
      <c r="D2167" s="424">
        <v>136</v>
      </c>
      <c r="E2167" s="295"/>
      <c r="F2167" s="270"/>
      <c r="G2167" s="270"/>
    </row>
    <row r="2168" spans="1:7" ht="30" outlineLevel="1" x14ac:dyDescent="0.25">
      <c r="A2168" s="275">
        <v>5</v>
      </c>
      <c r="B2168" s="299" t="s">
        <v>244</v>
      </c>
      <c r="C2168" s="273">
        <v>100</v>
      </c>
      <c r="D2168" s="424">
        <v>259.15982400000001</v>
      </c>
      <c r="E2168" s="295"/>
      <c r="F2168" s="270"/>
      <c r="G2168" s="270"/>
    </row>
    <row r="2169" spans="1:7" ht="30" outlineLevel="1" x14ac:dyDescent="0.25">
      <c r="A2169" s="275">
        <v>6</v>
      </c>
      <c r="B2169" s="299" t="s">
        <v>245</v>
      </c>
      <c r="C2169" s="273">
        <v>100</v>
      </c>
      <c r="D2169" s="424">
        <v>259.15982400000001</v>
      </c>
      <c r="E2169" s="295"/>
      <c r="F2169" s="270"/>
      <c r="G2169" s="270"/>
    </row>
    <row r="2170" spans="1:7" ht="30" outlineLevel="1" x14ac:dyDescent="0.25">
      <c r="A2170" s="275">
        <v>7</v>
      </c>
      <c r="B2170" s="299" t="s">
        <v>246</v>
      </c>
      <c r="C2170" s="273">
        <v>100</v>
      </c>
      <c r="D2170" s="424">
        <v>54.33120000000001</v>
      </c>
      <c r="E2170" s="295"/>
      <c r="F2170" s="270"/>
      <c r="G2170" s="270"/>
    </row>
    <row r="2171" spans="1:7" ht="30" outlineLevel="1" x14ac:dyDescent="0.25">
      <c r="A2171" s="275">
        <v>8</v>
      </c>
      <c r="B2171" s="299" t="s">
        <v>233</v>
      </c>
      <c r="C2171" s="273">
        <v>100</v>
      </c>
      <c r="D2171" s="424">
        <v>54.33120000000001</v>
      </c>
      <c r="E2171" s="295"/>
      <c r="F2171" s="270"/>
      <c r="G2171" s="270"/>
    </row>
    <row r="2172" spans="1:7" ht="30" outlineLevel="1" x14ac:dyDescent="0.25">
      <c r="A2172" s="275">
        <v>9</v>
      </c>
      <c r="B2172" s="299" t="s">
        <v>247</v>
      </c>
      <c r="C2172" s="273">
        <v>100</v>
      </c>
      <c r="D2172" s="424">
        <v>785.33279999999991</v>
      </c>
      <c r="E2172" s="295"/>
      <c r="F2172" s="270"/>
      <c r="G2172" s="270"/>
    </row>
    <row r="2173" spans="1:7" ht="30" outlineLevel="1" x14ac:dyDescent="0.25">
      <c r="A2173" s="275">
        <v>10</v>
      </c>
      <c r="B2173" s="299" t="s">
        <v>248</v>
      </c>
      <c r="C2173" s="273">
        <v>100</v>
      </c>
      <c r="D2173" s="424">
        <v>164.64</v>
      </c>
      <c r="E2173" s="295"/>
      <c r="F2173" s="270"/>
      <c r="G2173" s="270"/>
    </row>
    <row r="2174" spans="1:7" ht="60" outlineLevel="1" x14ac:dyDescent="0.25">
      <c r="A2174" s="275">
        <v>11</v>
      </c>
      <c r="B2174" s="317" t="s">
        <v>363</v>
      </c>
      <c r="C2174" s="273">
        <v>100</v>
      </c>
      <c r="D2174" s="424">
        <v>10655.627760000001</v>
      </c>
      <c r="E2174" s="295"/>
      <c r="F2174" s="270"/>
      <c r="G2174" s="270"/>
    </row>
    <row r="2175" spans="1:7" outlineLevel="1" x14ac:dyDescent="0.25">
      <c r="A2175" s="285">
        <v>12</v>
      </c>
      <c r="B2175" s="485" t="s">
        <v>367</v>
      </c>
      <c r="C2175" s="486"/>
      <c r="D2175" s="441"/>
      <c r="E2175" s="316"/>
      <c r="F2175" s="292"/>
      <c r="G2175" s="292"/>
    </row>
    <row r="2176" spans="1:7" outlineLevel="1" x14ac:dyDescent="0.25">
      <c r="A2176" s="280"/>
      <c r="B2176" s="443" t="s">
        <v>368</v>
      </c>
      <c r="C2176" s="282">
        <v>100</v>
      </c>
      <c r="D2176" s="440">
        <v>803.25</v>
      </c>
      <c r="E2176" s="301"/>
      <c r="F2176" s="290"/>
      <c r="G2176" s="290"/>
    </row>
    <row r="2177" spans="1:7" outlineLevel="1" x14ac:dyDescent="0.25">
      <c r="A2177" s="506" t="s">
        <v>43</v>
      </c>
      <c r="B2177" s="506"/>
      <c r="C2177" s="506"/>
      <c r="D2177" s="506"/>
      <c r="E2177" s="506"/>
      <c r="F2177" s="270"/>
      <c r="G2177" s="270"/>
    </row>
    <row r="2178" spans="1:7" ht="19.5" outlineLevel="1" x14ac:dyDescent="0.4">
      <c r="A2178" s="500" t="s">
        <v>369</v>
      </c>
      <c r="B2178" s="500"/>
      <c r="C2178" s="500"/>
      <c r="D2178" s="500"/>
      <c r="E2178" s="500"/>
      <c r="F2178" s="471"/>
      <c r="G2178" s="471"/>
    </row>
    <row r="2179" spans="1:7" ht="45" outlineLevel="1" x14ac:dyDescent="0.25">
      <c r="A2179" s="275">
        <v>1</v>
      </c>
      <c r="B2179" s="306" t="s">
        <v>64</v>
      </c>
      <c r="C2179" s="273">
        <v>100</v>
      </c>
      <c r="D2179" s="424">
        <v>1155</v>
      </c>
      <c r="E2179" s="295"/>
      <c r="F2179" s="270"/>
      <c r="G2179" s="270"/>
    </row>
    <row r="2180" spans="1:7" outlineLevel="1" x14ac:dyDescent="0.25">
      <c r="A2180" s="275">
        <v>2</v>
      </c>
      <c r="B2180" s="306" t="s">
        <v>365</v>
      </c>
      <c r="C2180" s="273">
        <v>100</v>
      </c>
      <c r="D2180" s="424">
        <v>507.9375</v>
      </c>
      <c r="E2180" s="295"/>
      <c r="F2180" s="270"/>
      <c r="G2180" s="270"/>
    </row>
    <row r="2181" spans="1:7" ht="45" outlineLevel="1" x14ac:dyDescent="0.25">
      <c r="A2181" s="275">
        <v>3</v>
      </c>
      <c r="B2181" s="306" t="s">
        <v>370</v>
      </c>
      <c r="C2181" s="273">
        <v>100</v>
      </c>
      <c r="D2181" s="424">
        <v>422.5</v>
      </c>
      <c r="E2181" s="295"/>
      <c r="F2181" s="270"/>
      <c r="G2181" s="270"/>
    </row>
    <row r="2182" spans="1:7" ht="30" outlineLevel="1" x14ac:dyDescent="0.25">
      <c r="A2182" s="293">
        <v>4</v>
      </c>
      <c r="B2182" s="299" t="s">
        <v>85</v>
      </c>
      <c r="C2182" s="273">
        <v>1000</v>
      </c>
      <c r="D2182" s="424">
        <v>32500</v>
      </c>
      <c r="E2182" s="269"/>
      <c r="F2182" s="270"/>
      <c r="G2182" s="270"/>
    </row>
    <row r="2183" spans="1:7" ht="30" outlineLevel="1" x14ac:dyDescent="0.25">
      <c r="A2183" s="308">
        <v>5</v>
      </c>
      <c r="B2183" s="309" t="s">
        <v>65</v>
      </c>
      <c r="C2183" s="273">
        <v>1000</v>
      </c>
      <c r="D2183" s="424">
        <v>40500</v>
      </c>
      <c r="E2183" s="295"/>
      <c r="F2183" s="270"/>
      <c r="G2183" s="270"/>
    </row>
    <row r="2184" spans="1:7" ht="27.75" customHeight="1" outlineLevel="1" x14ac:dyDescent="0.25">
      <c r="A2184" s="275">
        <v>6</v>
      </c>
      <c r="B2184" s="299" t="s">
        <v>66</v>
      </c>
      <c r="C2184" s="273">
        <v>1000</v>
      </c>
      <c r="D2184" s="424">
        <v>40500</v>
      </c>
      <c r="E2184" s="298"/>
      <c r="F2184" s="270"/>
      <c r="G2184" s="270"/>
    </row>
    <row r="2185" spans="1:7" ht="105" outlineLevel="1" x14ac:dyDescent="0.25">
      <c r="A2185" s="275">
        <v>7</v>
      </c>
      <c r="B2185" s="299" t="s">
        <v>215</v>
      </c>
      <c r="C2185" s="323">
        <v>1</v>
      </c>
      <c r="D2185" s="424">
        <v>112</v>
      </c>
      <c r="E2185" s="298"/>
      <c r="F2185" s="270"/>
      <c r="G2185" s="270"/>
    </row>
    <row r="2186" spans="1:7" ht="75" outlineLevel="1" x14ac:dyDescent="0.25">
      <c r="A2186" s="293">
        <v>8</v>
      </c>
      <c r="B2186" s="299" t="s">
        <v>45</v>
      </c>
      <c r="C2186" s="273">
        <v>1000</v>
      </c>
      <c r="D2186" s="424">
        <v>2658.1</v>
      </c>
      <c r="E2186" s="269"/>
      <c r="F2186" s="270"/>
      <c r="G2186" s="270"/>
    </row>
    <row r="2187" spans="1:7" ht="45" outlineLevel="1" x14ac:dyDescent="0.25">
      <c r="A2187" s="285"/>
      <c r="B2187" s="311" t="s">
        <v>23</v>
      </c>
      <c r="C2187" s="291"/>
      <c r="D2187" s="441"/>
      <c r="E2187" s="316"/>
      <c r="F2187" s="292"/>
      <c r="G2187" s="292"/>
    </row>
    <row r="2188" spans="1:7" outlineLevel="1" x14ac:dyDescent="0.25">
      <c r="A2188" s="280">
        <v>9</v>
      </c>
      <c r="B2188" s="300" t="s">
        <v>24</v>
      </c>
      <c r="C2188" s="282">
        <v>100</v>
      </c>
      <c r="D2188" s="440">
        <v>531.56000000000006</v>
      </c>
      <c r="E2188" s="310"/>
      <c r="F2188" s="290"/>
      <c r="G2188" s="290"/>
    </row>
    <row r="2189" spans="1:7" ht="90" outlineLevel="1" x14ac:dyDescent="0.25">
      <c r="A2189" s="275">
        <v>10</v>
      </c>
      <c r="B2189" s="299" t="s">
        <v>225</v>
      </c>
      <c r="C2189" s="303">
        <v>100</v>
      </c>
      <c r="D2189" s="424">
        <v>27968.819740542498</v>
      </c>
      <c r="E2189" s="304"/>
      <c r="F2189" s="270"/>
      <c r="G2189" s="270"/>
    </row>
    <row r="2190" spans="1:7" ht="120.75" outlineLevel="1" x14ac:dyDescent="0.25">
      <c r="A2190" s="275">
        <v>11</v>
      </c>
      <c r="B2190" s="302" t="s">
        <v>47</v>
      </c>
      <c r="C2190" s="271"/>
      <c r="D2190" s="424"/>
      <c r="E2190" s="295"/>
      <c r="F2190" s="270"/>
      <c r="G2190" s="270"/>
    </row>
    <row r="2191" spans="1:7" ht="75" outlineLevel="1" x14ac:dyDescent="0.25">
      <c r="A2191" s="275" t="s">
        <v>58</v>
      </c>
      <c r="B2191" s="302" t="s">
        <v>100</v>
      </c>
      <c r="C2191" s="273">
        <v>1</v>
      </c>
      <c r="D2191" s="424">
        <v>6010.66</v>
      </c>
      <c r="E2191" s="269"/>
      <c r="F2191" s="270"/>
      <c r="G2191" s="270"/>
    </row>
    <row r="2192" spans="1:7" ht="75" outlineLevel="1" x14ac:dyDescent="0.25">
      <c r="A2192" s="275" t="s">
        <v>60</v>
      </c>
      <c r="B2192" s="299" t="s">
        <v>201</v>
      </c>
      <c r="C2192" s="273">
        <v>1</v>
      </c>
      <c r="D2192" s="424">
        <v>2797.92</v>
      </c>
      <c r="E2192" s="269"/>
      <c r="F2192" s="270"/>
      <c r="G2192" s="270"/>
    </row>
    <row r="2193" spans="1:7" ht="45" outlineLevel="1" x14ac:dyDescent="0.25">
      <c r="A2193" s="275">
        <v>12</v>
      </c>
      <c r="B2193" s="313" t="s">
        <v>80</v>
      </c>
      <c r="C2193" s="323">
        <v>1</v>
      </c>
      <c r="D2193" s="424">
        <v>51.34</v>
      </c>
      <c r="E2193" s="270"/>
      <c r="F2193" s="270"/>
      <c r="G2193" s="270"/>
    </row>
    <row r="2194" spans="1:7" ht="30" outlineLevel="1" x14ac:dyDescent="0.25">
      <c r="A2194" s="275">
        <v>13</v>
      </c>
      <c r="B2194" s="299" t="s">
        <v>52</v>
      </c>
      <c r="C2194" s="278">
        <v>100</v>
      </c>
      <c r="D2194" s="424">
        <v>2047.1232</v>
      </c>
      <c r="E2194" s="295"/>
      <c r="F2194" s="270"/>
      <c r="G2194" s="270"/>
    </row>
    <row r="2195" spans="1:7" ht="45" outlineLevel="1" x14ac:dyDescent="0.25">
      <c r="A2195" s="275">
        <v>14</v>
      </c>
      <c r="B2195" s="302" t="s">
        <v>129</v>
      </c>
      <c r="C2195" s="323">
        <v>1</v>
      </c>
      <c r="D2195" s="424">
        <v>6</v>
      </c>
      <c r="E2195" s="295"/>
      <c r="F2195" s="270"/>
      <c r="G2195" s="270"/>
    </row>
    <row r="2196" spans="1:7" ht="105" outlineLevel="1" x14ac:dyDescent="0.25">
      <c r="A2196" s="275">
        <v>15</v>
      </c>
      <c r="B2196" s="306" t="s">
        <v>54</v>
      </c>
      <c r="C2196" s="273">
        <v>100</v>
      </c>
      <c r="D2196" s="424">
        <v>825</v>
      </c>
      <c r="E2196" s="270"/>
      <c r="F2196" s="270"/>
      <c r="G2196" s="270"/>
    </row>
    <row r="2197" spans="1:7" ht="120" outlineLevel="1" x14ac:dyDescent="0.25">
      <c r="A2197" s="275">
        <v>16</v>
      </c>
      <c r="B2197" s="306" t="s">
        <v>578</v>
      </c>
      <c r="C2197" s="273">
        <v>100</v>
      </c>
      <c r="D2197" s="424">
        <v>825</v>
      </c>
      <c r="E2197" s="270"/>
      <c r="F2197" s="270"/>
      <c r="G2197" s="270"/>
    </row>
    <row r="2198" spans="1:7" ht="24" customHeight="1" outlineLevel="1" x14ac:dyDescent="0.25">
      <c r="A2198" s="275">
        <v>17</v>
      </c>
      <c r="B2198" s="306" t="s">
        <v>268</v>
      </c>
      <c r="C2198" s="323">
        <v>1</v>
      </c>
      <c r="D2198" s="424">
        <v>200</v>
      </c>
      <c r="E2198" s="295"/>
      <c r="F2198" s="270"/>
      <c r="G2198" s="270"/>
    </row>
    <row r="2199" spans="1:7" ht="105" outlineLevel="1" x14ac:dyDescent="0.25">
      <c r="A2199" s="275">
        <v>18</v>
      </c>
      <c r="B2199" s="306" t="s">
        <v>269</v>
      </c>
      <c r="C2199" s="307"/>
      <c r="D2199" s="424"/>
      <c r="E2199" s="295"/>
      <c r="F2199" s="270"/>
      <c r="G2199" s="270"/>
    </row>
    <row r="2200" spans="1:7" ht="45" outlineLevel="1" x14ac:dyDescent="0.25">
      <c r="A2200" s="275" t="s">
        <v>58</v>
      </c>
      <c r="B2200" s="306" t="s">
        <v>59</v>
      </c>
      <c r="C2200" s="278">
        <v>100</v>
      </c>
      <c r="D2200" s="424">
        <v>1650</v>
      </c>
      <c r="E2200" s="295"/>
      <c r="F2200" s="270"/>
      <c r="G2200" s="270"/>
    </row>
    <row r="2201" spans="1:7" ht="45" outlineLevel="1" x14ac:dyDescent="0.25">
      <c r="A2201" s="275" t="s">
        <v>60</v>
      </c>
      <c r="B2201" s="306" t="s">
        <v>61</v>
      </c>
      <c r="C2201" s="278">
        <v>100</v>
      </c>
      <c r="D2201" s="424">
        <v>1650</v>
      </c>
      <c r="E2201" s="295"/>
      <c r="F2201" s="270"/>
      <c r="G2201" s="270"/>
    </row>
    <row r="2202" spans="1:7" ht="45" outlineLevel="1" x14ac:dyDescent="0.25">
      <c r="A2202" s="275" t="s">
        <v>62</v>
      </c>
      <c r="B2202" s="306" t="s">
        <v>63</v>
      </c>
      <c r="C2202" s="278">
        <v>100</v>
      </c>
      <c r="D2202" s="424">
        <v>1650</v>
      </c>
      <c r="E2202" s="295"/>
      <c r="F2202" s="270"/>
      <c r="G2202" s="270"/>
    </row>
    <row r="2203" spans="1:7" outlineLevel="1" x14ac:dyDescent="0.25">
      <c r="A2203" s="285"/>
      <c r="B2203" s="442" t="s">
        <v>242</v>
      </c>
      <c r="C2203" s="347"/>
      <c r="D2203" s="441"/>
      <c r="E2203" s="316"/>
      <c r="F2203" s="292"/>
      <c r="G2203" s="292"/>
    </row>
    <row r="2204" spans="1:7" ht="30" outlineLevel="1" x14ac:dyDescent="0.25">
      <c r="A2204" s="439">
        <v>19</v>
      </c>
      <c r="B2204" s="300" t="s">
        <v>85</v>
      </c>
      <c r="C2204" s="282">
        <v>1000</v>
      </c>
      <c r="D2204" s="440">
        <v>967.12999999999988</v>
      </c>
      <c r="E2204" s="310"/>
      <c r="F2204" s="290"/>
      <c r="G2204" s="290"/>
    </row>
    <row r="2205" spans="1:7" ht="45" outlineLevel="1" x14ac:dyDescent="0.25">
      <c r="A2205" s="275">
        <v>20</v>
      </c>
      <c r="B2205" s="317" t="s">
        <v>243</v>
      </c>
      <c r="C2205" s="273">
        <v>100</v>
      </c>
      <c r="D2205" s="424">
        <v>967.12999999999988</v>
      </c>
      <c r="E2205" s="295"/>
      <c r="F2205" s="270"/>
      <c r="G2205" s="270"/>
    </row>
    <row r="2206" spans="1:7" ht="21" customHeight="1" outlineLevel="1" x14ac:dyDescent="0.25">
      <c r="A2206" s="275">
        <v>21</v>
      </c>
      <c r="B2206" s="317" t="s">
        <v>87</v>
      </c>
      <c r="C2206" s="278">
        <v>100</v>
      </c>
      <c r="D2206" s="424">
        <v>614.72448000000009</v>
      </c>
      <c r="E2206" s="295"/>
      <c r="F2206" s="270"/>
      <c r="G2206" s="270"/>
    </row>
    <row r="2207" spans="1:7" ht="21" customHeight="1" outlineLevel="1" x14ac:dyDescent="0.25">
      <c r="A2207" s="275">
        <v>22</v>
      </c>
      <c r="B2207" s="317" t="s">
        <v>88</v>
      </c>
      <c r="C2207" s="278">
        <v>100</v>
      </c>
      <c r="D2207" s="424">
        <v>96</v>
      </c>
      <c r="E2207" s="295"/>
      <c r="F2207" s="270"/>
      <c r="G2207" s="270"/>
    </row>
    <row r="2208" spans="1:7" ht="30" outlineLevel="1" x14ac:dyDescent="0.25">
      <c r="A2208" s="275">
        <v>23</v>
      </c>
      <c r="B2208" s="299" t="s">
        <v>244</v>
      </c>
      <c r="C2208" s="273">
        <v>100</v>
      </c>
      <c r="D2208" s="424">
        <v>202.85907840000004</v>
      </c>
      <c r="E2208" s="295"/>
      <c r="F2208" s="270"/>
      <c r="G2208" s="270"/>
    </row>
    <row r="2209" spans="1:7" ht="30" outlineLevel="1" x14ac:dyDescent="0.25">
      <c r="A2209" s="275">
        <v>24</v>
      </c>
      <c r="B2209" s="299" t="s">
        <v>245</v>
      </c>
      <c r="C2209" s="273">
        <v>100</v>
      </c>
      <c r="D2209" s="424">
        <v>202.85907840000004</v>
      </c>
      <c r="E2209" s="295"/>
      <c r="F2209" s="270"/>
      <c r="G2209" s="270"/>
    </row>
    <row r="2210" spans="1:7" ht="30" outlineLevel="1" x14ac:dyDescent="0.25">
      <c r="A2210" s="275">
        <v>25</v>
      </c>
      <c r="B2210" s="299" t="s">
        <v>246</v>
      </c>
      <c r="C2210" s="273">
        <v>100</v>
      </c>
      <c r="D2210" s="424">
        <v>31.68</v>
      </c>
      <c r="E2210" s="295"/>
      <c r="F2210" s="270"/>
      <c r="G2210" s="270"/>
    </row>
    <row r="2211" spans="1:7" ht="30" outlineLevel="1" x14ac:dyDescent="0.25">
      <c r="A2211" s="275">
        <v>26</v>
      </c>
      <c r="B2211" s="299" t="s">
        <v>233</v>
      </c>
      <c r="C2211" s="273">
        <v>100</v>
      </c>
      <c r="D2211" s="424">
        <v>31.68</v>
      </c>
      <c r="E2211" s="295"/>
      <c r="F2211" s="270"/>
      <c r="G2211" s="270"/>
    </row>
    <row r="2212" spans="1:7" ht="30" outlineLevel="1" x14ac:dyDescent="0.25">
      <c r="A2212" s="275">
        <v>27</v>
      </c>
      <c r="B2212" s="299" t="s">
        <v>247</v>
      </c>
      <c r="C2212" s="273">
        <v>100</v>
      </c>
      <c r="D2212" s="424">
        <v>614.72448000000009</v>
      </c>
      <c r="E2212" s="295"/>
      <c r="F2212" s="270"/>
      <c r="G2212" s="270"/>
    </row>
    <row r="2213" spans="1:7" ht="30" outlineLevel="1" x14ac:dyDescent="0.25">
      <c r="A2213" s="275">
        <v>28</v>
      </c>
      <c r="B2213" s="299" t="s">
        <v>248</v>
      </c>
      <c r="C2213" s="273">
        <v>100</v>
      </c>
      <c r="D2213" s="424">
        <v>96</v>
      </c>
      <c r="E2213" s="295"/>
      <c r="F2213" s="270"/>
      <c r="G2213" s="270"/>
    </row>
    <row r="2214" spans="1:7" ht="60" outlineLevel="1" x14ac:dyDescent="0.25">
      <c r="A2214" s="275">
        <v>29</v>
      </c>
      <c r="B2214" s="317" t="s">
        <v>363</v>
      </c>
      <c r="C2214" s="273">
        <v>100</v>
      </c>
      <c r="D2214" s="424">
        <v>11198.249675999999</v>
      </c>
      <c r="E2214" s="295"/>
      <c r="F2214" s="270"/>
      <c r="G2214" s="270"/>
    </row>
    <row r="2215" spans="1:7" outlineLevel="1" x14ac:dyDescent="0.25">
      <c r="A2215" s="275">
        <v>30</v>
      </c>
      <c r="B2215" s="317" t="s">
        <v>367</v>
      </c>
      <c r="C2215" s="401"/>
      <c r="D2215" s="424"/>
      <c r="E2215" s="295"/>
      <c r="F2215" s="270"/>
      <c r="G2215" s="270"/>
    </row>
    <row r="2216" spans="1:7" outlineLevel="1" x14ac:dyDescent="0.25">
      <c r="A2216" s="275" t="s">
        <v>58</v>
      </c>
      <c r="B2216" s="317" t="s">
        <v>371</v>
      </c>
      <c r="C2216" s="303">
        <v>1</v>
      </c>
      <c r="D2216" s="424">
        <v>1267.5</v>
      </c>
      <c r="E2216" s="295"/>
      <c r="F2216" s="270"/>
      <c r="G2216" s="270"/>
    </row>
    <row r="2217" spans="1:7" outlineLevel="1" x14ac:dyDescent="0.25">
      <c r="A2217" s="275" t="s">
        <v>60</v>
      </c>
      <c r="B2217" s="317" t="s">
        <v>368</v>
      </c>
      <c r="C2217" s="273">
        <v>100</v>
      </c>
      <c r="D2217" s="424">
        <v>507.94</v>
      </c>
      <c r="E2217" s="295"/>
      <c r="F2217" s="270"/>
      <c r="G2217" s="270"/>
    </row>
    <row r="2218" spans="1:7" outlineLevel="1" x14ac:dyDescent="0.25">
      <c r="A2218" s="506" t="s">
        <v>43</v>
      </c>
      <c r="B2218" s="506"/>
      <c r="C2218" s="506"/>
      <c r="D2218" s="506"/>
      <c r="E2218" s="506"/>
      <c r="F2218" s="270"/>
      <c r="G2218" s="270"/>
    </row>
    <row r="2219" spans="1:7" ht="19.5" outlineLevel="1" x14ac:dyDescent="0.4">
      <c r="A2219" s="500" t="s">
        <v>372</v>
      </c>
      <c r="B2219" s="500"/>
      <c r="C2219" s="500"/>
      <c r="D2219" s="500"/>
      <c r="E2219" s="500"/>
      <c r="F2219" s="471"/>
      <c r="G2219" s="471"/>
    </row>
    <row r="2220" spans="1:7" ht="75" outlineLevel="1" x14ac:dyDescent="0.25">
      <c r="A2220" s="293">
        <v>1</v>
      </c>
      <c r="B2220" s="299" t="s">
        <v>45</v>
      </c>
      <c r="C2220" s="273">
        <v>1000</v>
      </c>
      <c r="D2220" s="424">
        <v>19789.769999999997</v>
      </c>
      <c r="E2220" s="269"/>
      <c r="F2220" s="270"/>
      <c r="G2220" s="270"/>
    </row>
    <row r="2221" spans="1:7" ht="45" outlineLevel="1" x14ac:dyDescent="0.25">
      <c r="A2221" s="275">
        <v>2</v>
      </c>
      <c r="B2221" s="302" t="s">
        <v>23</v>
      </c>
      <c r="C2221" s="276"/>
      <c r="D2221" s="424"/>
      <c r="E2221" s="295"/>
      <c r="F2221" s="270"/>
      <c r="G2221" s="270"/>
    </row>
    <row r="2222" spans="1:7" outlineLevel="1" x14ac:dyDescent="0.25">
      <c r="A2222" s="275"/>
      <c r="B2222" s="299" t="s">
        <v>24</v>
      </c>
      <c r="C2222" s="273">
        <v>100</v>
      </c>
      <c r="D2222" s="424">
        <v>358.89</v>
      </c>
      <c r="E2222" s="269"/>
      <c r="F2222" s="270"/>
      <c r="G2222" s="270"/>
    </row>
    <row r="2223" spans="1:7" outlineLevel="1" x14ac:dyDescent="0.25">
      <c r="A2223" s="275"/>
      <c r="B2223" s="299" t="s">
        <v>125</v>
      </c>
      <c r="C2223" s="273">
        <v>100</v>
      </c>
      <c r="D2223" s="424">
        <v>100.31</v>
      </c>
      <c r="E2223" s="269"/>
      <c r="F2223" s="270"/>
      <c r="G2223" s="270"/>
    </row>
    <row r="2224" spans="1:7" ht="90" outlineLevel="1" x14ac:dyDescent="0.25">
      <c r="A2224" s="275">
        <v>3</v>
      </c>
      <c r="B2224" s="299" t="s">
        <v>225</v>
      </c>
      <c r="C2224" s="303">
        <v>100</v>
      </c>
      <c r="D2224" s="424">
        <v>12287.594121382563</v>
      </c>
      <c r="E2224" s="304"/>
      <c r="F2224" s="270"/>
      <c r="G2224" s="270"/>
    </row>
    <row r="2225" spans="1:7" ht="120.75" outlineLevel="1" x14ac:dyDescent="0.25">
      <c r="A2225" s="275">
        <v>4</v>
      </c>
      <c r="B2225" s="302" t="s">
        <v>47</v>
      </c>
      <c r="C2225" s="271"/>
      <c r="D2225" s="424"/>
      <c r="E2225" s="295"/>
      <c r="F2225" s="270"/>
      <c r="G2225" s="270"/>
    </row>
    <row r="2226" spans="1:7" ht="75" outlineLevel="1" x14ac:dyDescent="0.25">
      <c r="A2226" s="275" t="s">
        <v>58</v>
      </c>
      <c r="B2226" s="302" t="s">
        <v>100</v>
      </c>
      <c r="C2226" s="273">
        <v>1</v>
      </c>
      <c r="D2226" s="424">
        <v>2130.79</v>
      </c>
      <c r="E2226" s="269"/>
      <c r="F2226" s="270"/>
      <c r="G2226" s="270"/>
    </row>
    <row r="2227" spans="1:7" ht="75" outlineLevel="1" x14ac:dyDescent="0.25">
      <c r="A2227" s="275" t="s">
        <v>60</v>
      </c>
      <c r="B2227" s="299" t="s">
        <v>201</v>
      </c>
      <c r="C2227" s="273">
        <v>1</v>
      </c>
      <c r="D2227" s="424">
        <v>1739.1</v>
      </c>
      <c r="E2227" s="269"/>
      <c r="F2227" s="270"/>
      <c r="G2227" s="270"/>
    </row>
    <row r="2228" spans="1:7" ht="30" outlineLevel="1" x14ac:dyDescent="0.25">
      <c r="A2228" s="275">
        <v>5</v>
      </c>
      <c r="B2228" s="299" t="s">
        <v>52</v>
      </c>
      <c r="C2228" s="278">
        <v>100</v>
      </c>
      <c r="D2228" s="424">
        <v>978.12239999999997</v>
      </c>
      <c r="E2228" s="295"/>
      <c r="F2228" s="270"/>
      <c r="G2228" s="270"/>
    </row>
    <row r="2229" spans="1:7" ht="45" outlineLevel="1" x14ac:dyDescent="0.25">
      <c r="A2229" s="275">
        <v>6</v>
      </c>
      <c r="B2229" s="302" t="s">
        <v>129</v>
      </c>
      <c r="C2229" s="323">
        <v>1</v>
      </c>
      <c r="D2229" s="424">
        <v>6</v>
      </c>
      <c r="E2229" s="295"/>
      <c r="F2229" s="270"/>
      <c r="G2229" s="270"/>
    </row>
    <row r="2230" spans="1:7" outlineLevel="1" x14ac:dyDescent="0.25">
      <c r="A2230" s="285"/>
      <c r="B2230" s="346" t="s">
        <v>242</v>
      </c>
      <c r="C2230" s="347"/>
      <c r="D2230" s="441"/>
      <c r="E2230" s="316"/>
      <c r="F2230" s="292"/>
      <c r="G2230" s="292"/>
    </row>
    <row r="2231" spans="1:7" ht="30" outlineLevel="1" x14ac:dyDescent="0.25">
      <c r="A2231" s="439">
        <v>7</v>
      </c>
      <c r="B2231" s="300" t="s">
        <v>85</v>
      </c>
      <c r="C2231" s="282">
        <v>1000</v>
      </c>
      <c r="D2231" s="440">
        <v>967.12999999999988</v>
      </c>
      <c r="E2231" s="310"/>
      <c r="F2231" s="290"/>
      <c r="G2231" s="290"/>
    </row>
    <row r="2232" spans="1:7" ht="45" outlineLevel="1" x14ac:dyDescent="0.25">
      <c r="A2232" s="275">
        <v>8</v>
      </c>
      <c r="B2232" s="317" t="s">
        <v>243</v>
      </c>
      <c r="C2232" s="273">
        <v>100</v>
      </c>
      <c r="D2232" s="424">
        <v>967.12999999999988</v>
      </c>
      <c r="E2232" s="295"/>
      <c r="F2232" s="270"/>
      <c r="G2232" s="270"/>
    </row>
    <row r="2233" spans="1:7" ht="21.75" customHeight="1" outlineLevel="1" x14ac:dyDescent="0.25">
      <c r="A2233" s="275">
        <v>9</v>
      </c>
      <c r="B2233" s="317" t="s">
        <v>87</v>
      </c>
      <c r="C2233" s="278">
        <v>100</v>
      </c>
      <c r="D2233" s="424">
        <v>594.53279999999995</v>
      </c>
      <c r="E2233" s="295"/>
      <c r="F2233" s="270"/>
      <c r="G2233" s="270"/>
    </row>
    <row r="2234" spans="1:7" ht="21.75" customHeight="1" outlineLevel="1" x14ac:dyDescent="0.25">
      <c r="A2234" s="275">
        <v>10</v>
      </c>
      <c r="B2234" s="317" t="s">
        <v>88</v>
      </c>
      <c r="C2234" s="278">
        <v>100</v>
      </c>
      <c r="D2234" s="424">
        <v>96</v>
      </c>
      <c r="E2234" s="295"/>
      <c r="F2234" s="270"/>
      <c r="G2234" s="270"/>
    </row>
    <row r="2235" spans="1:7" ht="30" outlineLevel="1" x14ac:dyDescent="0.25">
      <c r="A2235" s="275">
        <v>11</v>
      </c>
      <c r="B2235" s="299" t="s">
        <v>244</v>
      </c>
      <c r="C2235" s="273">
        <v>100</v>
      </c>
      <c r="D2235" s="424">
        <v>196.19582400000002</v>
      </c>
      <c r="E2235" s="295"/>
      <c r="F2235" s="270"/>
      <c r="G2235" s="270"/>
    </row>
    <row r="2236" spans="1:7" ht="30" outlineLevel="1" x14ac:dyDescent="0.25">
      <c r="A2236" s="275">
        <v>12</v>
      </c>
      <c r="B2236" s="299" t="s">
        <v>245</v>
      </c>
      <c r="C2236" s="273">
        <v>100</v>
      </c>
      <c r="D2236" s="424">
        <v>196.19582400000002</v>
      </c>
      <c r="E2236" s="295"/>
      <c r="F2236" s="270"/>
      <c r="G2236" s="270"/>
    </row>
    <row r="2237" spans="1:7" ht="30" outlineLevel="1" x14ac:dyDescent="0.25">
      <c r="A2237" s="275">
        <v>13</v>
      </c>
      <c r="B2237" s="299" t="s">
        <v>246</v>
      </c>
      <c r="C2237" s="273">
        <v>100</v>
      </c>
      <c r="D2237" s="424">
        <v>31.68</v>
      </c>
      <c r="E2237" s="295"/>
      <c r="F2237" s="270"/>
      <c r="G2237" s="270"/>
    </row>
    <row r="2238" spans="1:7" ht="30" outlineLevel="1" x14ac:dyDescent="0.25">
      <c r="A2238" s="275">
        <v>14</v>
      </c>
      <c r="B2238" s="299" t="s">
        <v>233</v>
      </c>
      <c r="C2238" s="273">
        <v>100</v>
      </c>
      <c r="D2238" s="424">
        <v>31.68</v>
      </c>
      <c r="E2238" s="295"/>
      <c r="F2238" s="270"/>
      <c r="G2238" s="270"/>
    </row>
    <row r="2239" spans="1:7" ht="30" outlineLevel="1" x14ac:dyDescent="0.25">
      <c r="A2239" s="275">
        <v>15</v>
      </c>
      <c r="B2239" s="299" t="s">
        <v>247</v>
      </c>
      <c r="C2239" s="273">
        <v>100</v>
      </c>
      <c r="D2239" s="424">
        <v>594.53279999999995</v>
      </c>
      <c r="E2239" s="295"/>
      <c r="F2239" s="270"/>
      <c r="G2239" s="270"/>
    </row>
    <row r="2240" spans="1:7" ht="30" outlineLevel="1" x14ac:dyDescent="0.25">
      <c r="A2240" s="275">
        <v>16</v>
      </c>
      <c r="B2240" s="299" t="s">
        <v>248</v>
      </c>
      <c r="C2240" s="273">
        <v>100</v>
      </c>
      <c r="D2240" s="424">
        <v>96</v>
      </c>
      <c r="E2240" s="295"/>
      <c r="F2240" s="270"/>
      <c r="G2240" s="270"/>
    </row>
    <row r="2241" spans="1:7" ht="60" outlineLevel="1" x14ac:dyDescent="0.25">
      <c r="A2241" s="275">
        <v>17</v>
      </c>
      <c r="B2241" s="317" t="s">
        <v>363</v>
      </c>
      <c r="C2241" s="273">
        <v>100</v>
      </c>
      <c r="D2241" s="424">
        <v>5817.7796600000001</v>
      </c>
      <c r="E2241" s="295"/>
      <c r="F2241" s="270"/>
      <c r="G2241" s="270"/>
    </row>
    <row r="2242" spans="1:7" outlineLevel="1" x14ac:dyDescent="0.25">
      <c r="A2242" s="506" t="s">
        <v>43</v>
      </c>
      <c r="B2242" s="506"/>
      <c r="C2242" s="506"/>
      <c r="D2242" s="506"/>
      <c r="E2242" s="506"/>
      <c r="F2242" s="270"/>
      <c r="G2242" s="270"/>
    </row>
    <row r="2243" spans="1:7" ht="19.5" outlineLevel="1" x14ac:dyDescent="0.4">
      <c r="A2243" s="500" t="s">
        <v>373</v>
      </c>
      <c r="B2243" s="500"/>
      <c r="C2243" s="500"/>
      <c r="D2243" s="500"/>
      <c r="E2243" s="500"/>
      <c r="F2243" s="471"/>
      <c r="G2243" s="471"/>
    </row>
    <row r="2244" spans="1:7" ht="75" outlineLevel="1" x14ac:dyDescent="0.25">
      <c r="A2244" s="293">
        <v>1</v>
      </c>
      <c r="B2244" s="299" t="s">
        <v>45</v>
      </c>
      <c r="C2244" s="273">
        <v>1000</v>
      </c>
      <c r="D2244" s="424">
        <v>23091.93</v>
      </c>
      <c r="E2244" s="269"/>
      <c r="F2244" s="270"/>
      <c r="G2244" s="270"/>
    </row>
    <row r="2245" spans="1:7" ht="45" outlineLevel="1" x14ac:dyDescent="0.25">
      <c r="A2245" s="275">
        <v>2</v>
      </c>
      <c r="B2245" s="302" t="s">
        <v>23</v>
      </c>
      <c r="C2245" s="276"/>
      <c r="D2245" s="424"/>
      <c r="E2245" s="295"/>
      <c r="F2245" s="270"/>
      <c r="G2245" s="270"/>
    </row>
    <row r="2246" spans="1:7" outlineLevel="1" x14ac:dyDescent="0.25">
      <c r="A2246" s="275"/>
      <c r="B2246" s="299" t="s">
        <v>24</v>
      </c>
      <c r="C2246" s="273">
        <v>100</v>
      </c>
      <c r="D2246" s="424">
        <v>358.89</v>
      </c>
      <c r="E2246" s="269"/>
      <c r="F2246" s="270"/>
      <c r="G2246" s="270"/>
    </row>
    <row r="2247" spans="1:7" outlineLevel="1" x14ac:dyDescent="0.25">
      <c r="A2247" s="275"/>
      <c r="B2247" s="299" t="s">
        <v>125</v>
      </c>
      <c r="C2247" s="273">
        <v>100</v>
      </c>
      <c r="D2247" s="424">
        <v>100.31</v>
      </c>
      <c r="E2247" s="269"/>
      <c r="F2247" s="270"/>
      <c r="G2247" s="270"/>
    </row>
    <row r="2248" spans="1:7" ht="90" outlineLevel="1" x14ac:dyDescent="0.25">
      <c r="A2248" s="275">
        <v>3</v>
      </c>
      <c r="B2248" s="299" t="s">
        <v>225</v>
      </c>
      <c r="C2248" s="303">
        <v>100</v>
      </c>
      <c r="D2248" s="424">
        <v>15546.375759775012</v>
      </c>
      <c r="E2248" s="304"/>
      <c r="F2248" s="270"/>
      <c r="G2248" s="270"/>
    </row>
    <row r="2249" spans="1:7" ht="120.75" outlineLevel="1" x14ac:dyDescent="0.25">
      <c r="A2249" s="275">
        <v>4</v>
      </c>
      <c r="B2249" s="302" t="s">
        <v>47</v>
      </c>
      <c r="C2249" s="271"/>
      <c r="D2249" s="424"/>
      <c r="E2249" s="295"/>
      <c r="F2249" s="270"/>
      <c r="G2249" s="270"/>
    </row>
    <row r="2250" spans="1:7" ht="75" outlineLevel="1" x14ac:dyDescent="0.25">
      <c r="A2250" s="275" t="s">
        <v>58</v>
      </c>
      <c r="B2250" s="302" t="s">
        <v>100</v>
      </c>
      <c r="C2250" s="273">
        <v>1</v>
      </c>
      <c r="D2250" s="424">
        <v>3157.12</v>
      </c>
      <c r="E2250" s="269"/>
      <c r="F2250" s="270"/>
      <c r="G2250" s="270"/>
    </row>
    <row r="2251" spans="1:7" ht="75" outlineLevel="1" x14ac:dyDescent="0.25">
      <c r="A2251" s="275" t="s">
        <v>60</v>
      </c>
      <c r="B2251" s="299" t="s">
        <v>201</v>
      </c>
      <c r="C2251" s="273">
        <v>1</v>
      </c>
      <c r="D2251" s="424">
        <v>1739.1</v>
      </c>
      <c r="E2251" s="269"/>
      <c r="F2251" s="270"/>
      <c r="G2251" s="270"/>
    </row>
    <row r="2252" spans="1:7" ht="30" outlineLevel="1" x14ac:dyDescent="0.25">
      <c r="A2252" s="275">
        <v>5</v>
      </c>
      <c r="B2252" s="299" t="s">
        <v>52</v>
      </c>
      <c r="C2252" s="278">
        <v>100</v>
      </c>
      <c r="D2252" s="424">
        <v>1471.4803999999999</v>
      </c>
      <c r="E2252" s="295"/>
      <c r="F2252" s="270"/>
      <c r="G2252" s="270"/>
    </row>
    <row r="2253" spans="1:7" ht="45" outlineLevel="1" x14ac:dyDescent="0.25">
      <c r="A2253" s="275">
        <v>6</v>
      </c>
      <c r="B2253" s="302" t="s">
        <v>129</v>
      </c>
      <c r="C2253" s="323">
        <v>1</v>
      </c>
      <c r="D2253" s="424">
        <v>6</v>
      </c>
      <c r="E2253" s="295"/>
      <c r="F2253" s="270"/>
      <c r="G2253" s="270"/>
    </row>
    <row r="2254" spans="1:7" outlineLevel="1" x14ac:dyDescent="0.25">
      <c r="A2254" s="285"/>
      <c r="B2254" s="346" t="s">
        <v>242</v>
      </c>
      <c r="C2254" s="347"/>
      <c r="D2254" s="441"/>
      <c r="E2254" s="316"/>
      <c r="F2254" s="292"/>
      <c r="G2254" s="292"/>
    </row>
    <row r="2255" spans="1:7" ht="30" outlineLevel="1" x14ac:dyDescent="0.25">
      <c r="A2255" s="439">
        <v>7</v>
      </c>
      <c r="B2255" s="300" t="s">
        <v>85</v>
      </c>
      <c r="C2255" s="282">
        <v>1000</v>
      </c>
      <c r="D2255" s="440">
        <v>967.12999999999988</v>
      </c>
      <c r="E2255" s="310"/>
      <c r="F2255" s="290"/>
      <c r="G2255" s="290"/>
    </row>
    <row r="2256" spans="1:7" ht="45" outlineLevel="1" x14ac:dyDescent="0.25">
      <c r="A2256" s="275">
        <v>8</v>
      </c>
      <c r="B2256" s="317" t="s">
        <v>243</v>
      </c>
      <c r="C2256" s="273">
        <v>100</v>
      </c>
      <c r="D2256" s="424">
        <v>967.12999999999988</v>
      </c>
      <c r="E2256" s="295"/>
      <c r="F2256" s="270"/>
      <c r="G2256" s="270"/>
    </row>
    <row r="2257" spans="1:7" ht="23.25" customHeight="1" outlineLevel="1" x14ac:dyDescent="0.25">
      <c r="A2257" s="275">
        <v>9</v>
      </c>
      <c r="B2257" s="317" t="s">
        <v>87</v>
      </c>
      <c r="C2257" s="278">
        <v>100</v>
      </c>
      <c r="D2257" s="424">
        <v>594.53279999999995</v>
      </c>
      <c r="E2257" s="295"/>
      <c r="F2257" s="270"/>
      <c r="G2257" s="270"/>
    </row>
    <row r="2258" spans="1:7" ht="23.25" customHeight="1" outlineLevel="1" x14ac:dyDescent="0.25">
      <c r="A2258" s="275">
        <v>10</v>
      </c>
      <c r="B2258" s="317" t="s">
        <v>88</v>
      </c>
      <c r="C2258" s="278">
        <v>100</v>
      </c>
      <c r="D2258" s="424">
        <v>96</v>
      </c>
      <c r="E2258" s="295"/>
      <c r="F2258" s="270"/>
      <c r="G2258" s="270"/>
    </row>
    <row r="2259" spans="1:7" ht="30" outlineLevel="1" x14ac:dyDescent="0.25">
      <c r="A2259" s="275">
        <v>11</v>
      </c>
      <c r="B2259" s="299" t="s">
        <v>244</v>
      </c>
      <c r="C2259" s="273">
        <v>100</v>
      </c>
      <c r="D2259" s="424">
        <v>196.19582400000002</v>
      </c>
      <c r="E2259" s="295"/>
      <c r="F2259" s="270"/>
      <c r="G2259" s="270"/>
    </row>
    <row r="2260" spans="1:7" ht="30" outlineLevel="1" x14ac:dyDescent="0.25">
      <c r="A2260" s="275">
        <v>12</v>
      </c>
      <c r="B2260" s="299" t="s">
        <v>245</v>
      </c>
      <c r="C2260" s="273">
        <v>100</v>
      </c>
      <c r="D2260" s="424">
        <v>196.19582400000002</v>
      </c>
      <c r="E2260" s="295"/>
      <c r="F2260" s="270"/>
      <c r="G2260" s="270"/>
    </row>
    <row r="2261" spans="1:7" ht="30" outlineLevel="1" x14ac:dyDescent="0.25">
      <c r="A2261" s="275">
        <v>13</v>
      </c>
      <c r="B2261" s="299" t="s">
        <v>246</v>
      </c>
      <c r="C2261" s="273">
        <v>100</v>
      </c>
      <c r="D2261" s="424">
        <v>31.68</v>
      </c>
      <c r="E2261" s="295"/>
      <c r="F2261" s="270"/>
      <c r="G2261" s="270"/>
    </row>
    <row r="2262" spans="1:7" ht="30" outlineLevel="1" x14ac:dyDescent="0.25">
      <c r="A2262" s="275">
        <v>14</v>
      </c>
      <c r="B2262" s="299" t="s">
        <v>233</v>
      </c>
      <c r="C2262" s="273">
        <v>100</v>
      </c>
      <c r="D2262" s="424">
        <v>31.68</v>
      </c>
      <c r="E2262" s="295"/>
      <c r="F2262" s="270"/>
      <c r="G2262" s="270"/>
    </row>
    <row r="2263" spans="1:7" ht="30" outlineLevel="1" x14ac:dyDescent="0.25">
      <c r="A2263" s="275">
        <v>15</v>
      </c>
      <c r="B2263" s="299" t="s">
        <v>247</v>
      </c>
      <c r="C2263" s="273">
        <v>100</v>
      </c>
      <c r="D2263" s="424">
        <v>594.53279999999995</v>
      </c>
      <c r="E2263" s="295"/>
      <c r="F2263" s="270"/>
      <c r="G2263" s="270"/>
    </row>
    <row r="2264" spans="1:7" ht="30" outlineLevel="1" x14ac:dyDescent="0.25">
      <c r="A2264" s="275">
        <v>16</v>
      </c>
      <c r="B2264" s="299" t="s">
        <v>248</v>
      </c>
      <c r="C2264" s="273">
        <v>100</v>
      </c>
      <c r="D2264" s="424">
        <v>96</v>
      </c>
      <c r="E2264" s="295"/>
      <c r="F2264" s="270"/>
      <c r="G2264" s="270"/>
    </row>
    <row r="2265" spans="1:7" ht="60" outlineLevel="1" x14ac:dyDescent="0.25">
      <c r="A2265" s="275">
        <v>17</v>
      </c>
      <c r="B2265" s="317" t="s">
        <v>363</v>
      </c>
      <c r="C2265" s="273">
        <v>100</v>
      </c>
      <c r="D2265" s="424">
        <v>6679.8968599999989</v>
      </c>
      <c r="E2265" s="295"/>
      <c r="F2265" s="270"/>
      <c r="G2265" s="270"/>
    </row>
    <row r="2266" spans="1:7" outlineLevel="1" x14ac:dyDescent="0.25">
      <c r="A2266" s="506" t="s">
        <v>43</v>
      </c>
      <c r="B2266" s="506"/>
      <c r="C2266" s="506"/>
      <c r="D2266" s="506"/>
      <c r="E2266" s="506"/>
      <c r="F2266" s="270"/>
      <c r="G2266" s="270"/>
    </row>
    <row r="2267" spans="1:7" ht="19.5" outlineLevel="1" x14ac:dyDescent="0.25">
      <c r="A2267" s="500" t="s">
        <v>375</v>
      </c>
      <c r="B2267" s="500"/>
      <c r="C2267" s="500"/>
      <c r="D2267" s="500"/>
      <c r="E2267" s="500"/>
      <c r="F2267" s="394"/>
      <c r="G2267" s="394"/>
    </row>
    <row r="2268" spans="1:7" ht="27.75" customHeight="1" outlineLevel="1" x14ac:dyDescent="0.25">
      <c r="A2268" s="293">
        <v>1</v>
      </c>
      <c r="B2268" s="299" t="s">
        <v>365</v>
      </c>
      <c r="C2268" s="273">
        <v>100</v>
      </c>
      <c r="D2268" s="424">
        <v>803.25</v>
      </c>
      <c r="E2268" s="269"/>
      <c r="F2268" s="270"/>
      <c r="G2268" s="270"/>
    </row>
    <row r="2269" spans="1:7" ht="36.75" customHeight="1" outlineLevel="1" x14ac:dyDescent="0.25">
      <c r="A2269" s="275">
        <v>2</v>
      </c>
      <c r="B2269" s="302" t="s">
        <v>85</v>
      </c>
      <c r="C2269" s="271">
        <v>1000</v>
      </c>
      <c r="D2269" s="424">
        <v>8700</v>
      </c>
      <c r="E2269" s="269"/>
      <c r="F2269" s="270"/>
      <c r="G2269" s="270"/>
    </row>
    <row r="2270" spans="1:7" ht="75" outlineLevel="1" x14ac:dyDescent="0.25">
      <c r="A2270" s="275">
        <v>3</v>
      </c>
      <c r="B2270" s="299" t="s">
        <v>45</v>
      </c>
      <c r="C2270" s="273">
        <v>1000</v>
      </c>
      <c r="D2270" s="424">
        <v>6543.0099999999993</v>
      </c>
      <c r="E2270" s="269"/>
      <c r="F2270" s="270"/>
      <c r="G2270" s="270"/>
    </row>
    <row r="2271" spans="1:7" ht="45" outlineLevel="1" x14ac:dyDescent="0.25">
      <c r="A2271" s="285">
        <v>4</v>
      </c>
      <c r="B2271" s="463" t="s">
        <v>23</v>
      </c>
      <c r="C2271" s="464"/>
      <c r="D2271" s="441"/>
      <c r="E2271" s="465"/>
      <c r="F2271" s="292"/>
      <c r="G2271" s="292"/>
    </row>
    <row r="2272" spans="1:7" outlineLevel="1" x14ac:dyDescent="0.25">
      <c r="A2272" s="280"/>
      <c r="B2272" s="300" t="s">
        <v>24</v>
      </c>
      <c r="C2272" s="461">
        <v>100</v>
      </c>
      <c r="D2272" s="440">
        <v>435.94000000000005</v>
      </c>
      <c r="E2272" s="462"/>
      <c r="F2272" s="290"/>
      <c r="G2272" s="290"/>
    </row>
    <row r="2273" spans="1:7" ht="90" outlineLevel="1" x14ac:dyDescent="0.25">
      <c r="A2273" s="275">
        <v>5</v>
      </c>
      <c r="B2273" s="299" t="s">
        <v>225</v>
      </c>
      <c r="C2273" s="303">
        <v>100</v>
      </c>
      <c r="D2273" s="424">
        <v>20607.389095527535</v>
      </c>
      <c r="E2273" s="304"/>
      <c r="F2273" s="270"/>
      <c r="G2273" s="270"/>
    </row>
    <row r="2274" spans="1:7" ht="120" outlineLevel="1" x14ac:dyDescent="0.25">
      <c r="A2274" s="275">
        <v>6</v>
      </c>
      <c r="B2274" s="299" t="s">
        <v>99</v>
      </c>
      <c r="C2274" s="303"/>
      <c r="D2274" s="424"/>
      <c r="E2274" s="304"/>
      <c r="F2274" s="270"/>
      <c r="G2274" s="270"/>
    </row>
    <row r="2275" spans="1:7" ht="75" outlineLevel="1" x14ac:dyDescent="0.25">
      <c r="A2275" s="275" t="s">
        <v>58</v>
      </c>
      <c r="B2275" s="299" t="s">
        <v>100</v>
      </c>
      <c r="C2275" s="303">
        <v>1</v>
      </c>
      <c r="D2275" s="424">
        <v>4517.97</v>
      </c>
      <c r="E2275" s="304"/>
      <c r="F2275" s="270"/>
      <c r="G2275" s="270"/>
    </row>
    <row r="2276" spans="1:7" ht="75" outlineLevel="1" x14ac:dyDescent="0.25">
      <c r="A2276" s="275" t="s">
        <v>60</v>
      </c>
      <c r="B2276" s="299" t="s">
        <v>201</v>
      </c>
      <c r="C2276" s="303">
        <v>1</v>
      </c>
      <c r="D2276" s="424">
        <v>1972.18</v>
      </c>
      <c r="E2276" s="304"/>
      <c r="F2276" s="270"/>
      <c r="G2276" s="270"/>
    </row>
    <row r="2277" spans="1:7" ht="30" outlineLevel="1" x14ac:dyDescent="0.25">
      <c r="A2277" s="275">
        <v>7</v>
      </c>
      <c r="B2277" s="299" t="s">
        <v>52</v>
      </c>
      <c r="C2277" s="303">
        <v>100</v>
      </c>
      <c r="D2277" s="424">
        <v>2183.8119999999999</v>
      </c>
      <c r="E2277" s="304"/>
      <c r="F2277" s="270"/>
      <c r="G2277" s="270"/>
    </row>
    <row r="2278" spans="1:7" ht="45" outlineLevel="1" x14ac:dyDescent="0.25">
      <c r="A2278" s="275">
        <v>8</v>
      </c>
      <c r="B2278" s="299" t="s">
        <v>129</v>
      </c>
      <c r="C2278" s="303">
        <v>1</v>
      </c>
      <c r="D2278" s="424">
        <v>6</v>
      </c>
      <c r="E2278" s="304"/>
      <c r="F2278" s="270"/>
      <c r="G2278" s="270"/>
    </row>
    <row r="2279" spans="1:7" ht="60" outlineLevel="1" x14ac:dyDescent="0.25">
      <c r="A2279" s="275">
        <v>9</v>
      </c>
      <c r="B2279" s="299" t="s">
        <v>366</v>
      </c>
      <c r="C2279" s="303">
        <v>1</v>
      </c>
      <c r="D2279" s="424">
        <v>143.55000000000001</v>
      </c>
      <c r="E2279" s="304"/>
      <c r="F2279" s="270"/>
      <c r="G2279" s="270"/>
    </row>
    <row r="2280" spans="1:7" outlineLevel="1" x14ac:dyDescent="0.25">
      <c r="A2280" s="285"/>
      <c r="B2280" s="466" t="s">
        <v>242</v>
      </c>
      <c r="C2280" s="464"/>
      <c r="D2280" s="441"/>
      <c r="E2280" s="465"/>
      <c r="F2280" s="292"/>
      <c r="G2280" s="292"/>
    </row>
    <row r="2281" spans="1:7" ht="30" outlineLevel="1" x14ac:dyDescent="0.25">
      <c r="A2281" s="280">
        <v>9</v>
      </c>
      <c r="B2281" s="300" t="s">
        <v>85</v>
      </c>
      <c r="C2281" s="461">
        <v>1000</v>
      </c>
      <c r="D2281" s="440">
        <v>2700.32</v>
      </c>
      <c r="E2281" s="462"/>
      <c r="F2281" s="290"/>
      <c r="G2281" s="290"/>
    </row>
    <row r="2282" spans="1:7" ht="45" outlineLevel="1" x14ac:dyDescent="0.25">
      <c r="A2282" s="275">
        <v>10</v>
      </c>
      <c r="B2282" s="299" t="s">
        <v>243</v>
      </c>
      <c r="C2282" s="303">
        <v>100</v>
      </c>
      <c r="D2282" s="424">
        <v>2700.32</v>
      </c>
      <c r="E2282" s="304"/>
      <c r="F2282" s="270"/>
      <c r="G2282" s="270"/>
    </row>
    <row r="2283" spans="1:7" ht="22.5" customHeight="1" outlineLevel="1" x14ac:dyDescent="0.25">
      <c r="A2283" s="275">
        <v>11</v>
      </c>
      <c r="B2283" s="299" t="s">
        <v>87</v>
      </c>
      <c r="C2283" s="303">
        <v>100</v>
      </c>
      <c r="D2283" s="424">
        <v>785.33279999999991</v>
      </c>
      <c r="E2283" s="304"/>
      <c r="F2283" s="270"/>
      <c r="G2283" s="270"/>
    </row>
    <row r="2284" spans="1:7" ht="22.5" customHeight="1" outlineLevel="1" x14ac:dyDescent="0.25">
      <c r="A2284" s="275">
        <v>12</v>
      </c>
      <c r="B2284" s="299" t="s">
        <v>88</v>
      </c>
      <c r="C2284" s="303">
        <v>100</v>
      </c>
      <c r="D2284" s="424">
        <v>136</v>
      </c>
      <c r="E2284" s="304"/>
      <c r="F2284" s="270"/>
      <c r="G2284" s="270"/>
    </row>
    <row r="2285" spans="1:7" ht="30" outlineLevel="1" x14ac:dyDescent="0.25">
      <c r="A2285" s="275">
        <v>13</v>
      </c>
      <c r="B2285" s="299" t="s">
        <v>244</v>
      </c>
      <c r="C2285" s="303">
        <v>100</v>
      </c>
      <c r="D2285" s="424">
        <v>259.15982400000001</v>
      </c>
      <c r="E2285" s="304"/>
      <c r="F2285" s="270"/>
      <c r="G2285" s="270"/>
    </row>
    <row r="2286" spans="1:7" ht="30" outlineLevel="1" x14ac:dyDescent="0.25">
      <c r="A2286" s="275">
        <v>14</v>
      </c>
      <c r="B2286" s="299" t="s">
        <v>245</v>
      </c>
      <c r="C2286" s="303">
        <v>100</v>
      </c>
      <c r="D2286" s="424">
        <v>259.15982400000001</v>
      </c>
      <c r="E2286" s="304"/>
      <c r="F2286" s="270"/>
      <c r="G2286" s="270"/>
    </row>
    <row r="2287" spans="1:7" ht="30" outlineLevel="1" x14ac:dyDescent="0.25">
      <c r="A2287" s="275">
        <v>15</v>
      </c>
      <c r="B2287" s="299" t="s">
        <v>246</v>
      </c>
      <c r="C2287" s="303">
        <v>100</v>
      </c>
      <c r="D2287" s="424">
        <v>54.33120000000001</v>
      </c>
      <c r="E2287" s="304"/>
      <c r="F2287" s="270"/>
      <c r="G2287" s="270"/>
    </row>
    <row r="2288" spans="1:7" ht="30" outlineLevel="1" x14ac:dyDescent="0.25">
      <c r="A2288" s="275">
        <v>16</v>
      </c>
      <c r="B2288" s="299" t="s">
        <v>233</v>
      </c>
      <c r="C2288" s="303">
        <v>100</v>
      </c>
      <c r="D2288" s="424">
        <v>54.33120000000001</v>
      </c>
      <c r="E2288" s="304"/>
      <c r="F2288" s="270"/>
      <c r="G2288" s="270"/>
    </row>
    <row r="2289" spans="1:7" ht="30" outlineLevel="1" x14ac:dyDescent="0.25">
      <c r="A2289" s="275">
        <v>17</v>
      </c>
      <c r="B2289" s="299" t="s">
        <v>247</v>
      </c>
      <c r="C2289" s="303">
        <v>100</v>
      </c>
      <c r="D2289" s="424">
        <v>785.33279999999991</v>
      </c>
      <c r="E2289" s="304"/>
      <c r="F2289" s="270"/>
      <c r="G2289" s="270"/>
    </row>
    <row r="2290" spans="1:7" ht="30" outlineLevel="1" x14ac:dyDescent="0.25">
      <c r="A2290" s="275">
        <v>18</v>
      </c>
      <c r="B2290" s="299" t="s">
        <v>248</v>
      </c>
      <c r="C2290" s="303">
        <v>100</v>
      </c>
      <c r="D2290" s="424">
        <v>164.64</v>
      </c>
      <c r="E2290" s="304"/>
      <c r="F2290" s="270"/>
      <c r="G2290" s="270"/>
    </row>
    <row r="2291" spans="1:7" ht="60" outlineLevel="1" x14ac:dyDescent="0.25">
      <c r="A2291" s="275">
        <v>19</v>
      </c>
      <c r="B2291" s="299" t="s">
        <v>363</v>
      </c>
      <c r="C2291" s="303">
        <v>100</v>
      </c>
      <c r="D2291" s="424">
        <v>10655.627760000001</v>
      </c>
      <c r="E2291" s="304"/>
      <c r="F2291" s="270"/>
      <c r="G2291" s="270"/>
    </row>
    <row r="2292" spans="1:7" outlineLevel="1" x14ac:dyDescent="0.25">
      <c r="A2292" s="285">
        <v>20</v>
      </c>
      <c r="B2292" s="468" t="s">
        <v>367</v>
      </c>
      <c r="C2292" s="291"/>
      <c r="D2292" s="441"/>
      <c r="E2292" s="316"/>
      <c r="F2292" s="292"/>
      <c r="G2292" s="292"/>
    </row>
    <row r="2293" spans="1:7" outlineLevel="1" x14ac:dyDescent="0.25">
      <c r="A2293" s="280" t="s">
        <v>58</v>
      </c>
      <c r="B2293" s="467" t="s">
        <v>368</v>
      </c>
      <c r="C2293" s="282">
        <v>100</v>
      </c>
      <c r="D2293" s="440">
        <v>803.25</v>
      </c>
      <c r="E2293" s="310"/>
      <c r="F2293" s="290"/>
      <c r="G2293" s="290"/>
    </row>
    <row r="2294" spans="1:7" ht="19.5" outlineLevel="1" x14ac:dyDescent="0.25">
      <c r="A2294" s="500" t="s">
        <v>376</v>
      </c>
      <c r="B2294" s="500"/>
      <c r="C2294" s="500"/>
      <c r="D2294" s="500"/>
      <c r="E2294" s="500"/>
      <c r="F2294" s="394"/>
      <c r="G2294" s="394"/>
    </row>
    <row r="2295" spans="1:7" ht="75" outlineLevel="1" x14ac:dyDescent="0.25">
      <c r="A2295" s="293">
        <v>1</v>
      </c>
      <c r="B2295" s="299" t="s">
        <v>108</v>
      </c>
      <c r="C2295" s="273">
        <v>1000</v>
      </c>
      <c r="D2295" s="424">
        <v>2724.4595415989997</v>
      </c>
      <c r="E2295" s="269"/>
      <c r="F2295" s="270"/>
      <c r="G2295" s="270"/>
    </row>
    <row r="2296" spans="1:7" ht="105" outlineLevel="1" x14ac:dyDescent="0.25">
      <c r="A2296" s="293">
        <v>2</v>
      </c>
      <c r="B2296" s="318" t="s">
        <v>109</v>
      </c>
      <c r="C2296" s="278">
        <v>1</v>
      </c>
      <c r="D2296" s="424">
        <v>2542.5</v>
      </c>
      <c r="E2296" s="295"/>
      <c r="F2296" s="270"/>
      <c r="G2296" s="270"/>
    </row>
    <row r="2297" spans="1:7" ht="45" outlineLevel="1" x14ac:dyDescent="0.25">
      <c r="A2297" s="285">
        <v>3</v>
      </c>
      <c r="B2297" s="311" t="s">
        <v>23</v>
      </c>
      <c r="C2297" s="287"/>
      <c r="D2297" s="441">
        <v>0</v>
      </c>
      <c r="E2297" s="316"/>
      <c r="F2297" s="292"/>
      <c r="G2297" s="292"/>
    </row>
    <row r="2298" spans="1:7" outlineLevel="1" x14ac:dyDescent="0.25">
      <c r="A2298" s="280"/>
      <c r="B2298" s="300" t="s">
        <v>24</v>
      </c>
      <c r="C2298" s="282">
        <v>100</v>
      </c>
      <c r="D2298" s="440">
        <v>528.06222162400002</v>
      </c>
      <c r="E2298" s="310"/>
      <c r="F2298" s="290"/>
      <c r="G2298" s="290"/>
    </row>
    <row r="2299" spans="1:7" ht="30" outlineLevel="1" x14ac:dyDescent="0.25">
      <c r="A2299" s="275">
        <v>4</v>
      </c>
      <c r="B2299" s="302" t="s">
        <v>25</v>
      </c>
      <c r="C2299" s="273">
        <v>100</v>
      </c>
      <c r="D2299" s="424">
        <v>1575.2</v>
      </c>
      <c r="E2299" s="269"/>
      <c r="F2299" s="270"/>
      <c r="G2299" s="270"/>
    </row>
    <row r="2300" spans="1:7" ht="60" outlineLevel="1" x14ac:dyDescent="0.25">
      <c r="A2300" s="275">
        <v>5</v>
      </c>
      <c r="B2300" s="302" t="s">
        <v>110</v>
      </c>
      <c r="C2300" s="278">
        <v>100</v>
      </c>
      <c r="D2300" s="424">
        <v>322.5</v>
      </c>
      <c r="E2300" s="269"/>
      <c r="F2300" s="270"/>
      <c r="G2300" s="270"/>
    </row>
    <row r="2301" spans="1:7" ht="60" outlineLevel="1" x14ac:dyDescent="0.25">
      <c r="A2301" s="275">
        <v>6</v>
      </c>
      <c r="B2301" s="299" t="s">
        <v>111</v>
      </c>
      <c r="C2301" s="278">
        <v>100</v>
      </c>
      <c r="D2301" s="424">
        <v>600</v>
      </c>
      <c r="E2301" s="269"/>
      <c r="F2301" s="270"/>
      <c r="G2301" s="270"/>
    </row>
    <row r="2302" spans="1:7" ht="30" outlineLevel="1" x14ac:dyDescent="0.25">
      <c r="A2302" s="275">
        <v>7</v>
      </c>
      <c r="B2302" s="302" t="s">
        <v>112</v>
      </c>
      <c r="C2302" s="273">
        <v>1000</v>
      </c>
      <c r="D2302" s="424">
        <v>750</v>
      </c>
      <c r="E2302" s="269"/>
      <c r="F2302" s="270"/>
      <c r="G2302" s="270"/>
    </row>
    <row r="2303" spans="1:7" ht="37.5" customHeight="1" outlineLevel="1" x14ac:dyDescent="0.25">
      <c r="A2303" s="275">
        <v>8</v>
      </c>
      <c r="B2303" s="299" t="s">
        <v>173</v>
      </c>
      <c r="C2303" s="273">
        <v>100</v>
      </c>
      <c r="D2303" s="424">
        <v>1454.5</v>
      </c>
      <c r="E2303" s="269"/>
      <c r="F2303" s="270"/>
      <c r="G2303" s="270"/>
    </row>
    <row r="2304" spans="1:7" ht="120.75" outlineLevel="1" x14ac:dyDescent="0.25">
      <c r="A2304" s="505">
        <v>9</v>
      </c>
      <c r="B2304" s="302" t="s">
        <v>47</v>
      </c>
      <c r="C2304" s="271"/>
      <c r="D2304" s="424">
        <v>0</v>
      </c>
      <c r="E2304" s="269"/>
      <c r="F2304" s="270"/>
      <c r="G2304" s="270"/>
    </row>
    <row r="2305" spans="1:7" ht="75" outlineLevel="1" x14ac:dyDescent="0.25">
      <c r="A2305" s="505"/>
      <c r="B2305" s="302" t="s">
        <v>174</v>
      </c>
      <c r="C2305" s="273">
        <v>1</v>
      </c>
      <c r="D2305" s="424">
        <v>770.82899999999995</v>
      </c>
      <c r="E2305" s="269"/>
      <c r="F2305" s="270"/>
      <c r="G2305" s="270"/>
    </row>
    <row r="2306" spans="1:7" ht="75" outlineLevel="1" x14ac:dyDescent="0.25">
      <c r="A2306" s="334">
        <v>10</v>
      </c>
      <c r="B2306" s="299" t="s">
        <v>175</v>
      </c>
      <c r="C2306" s="273">
        <v>1</v>
      </c>
      <c r="D2306" s="424">
        <v>92.0390625</v>
      </c>
      <c r="E2306" s="269"/>
      <c r="F2306" s="270"/>
      <c r="G2306" s="270"/>
    </row>
    <row r="2307" spans="1:7" ht="90" outlineLevel="1" x14ac:dyDescent="0.25">
      <c r="A2307" s="326">
        <v>11</v>
      </c>
      <c r="B2307" s="302" t="s">
        <v>116</v>
      </c>
      <c r="C2307" s="303">
        <v>100</v>
      </c>
      <c r="D2307" s="424">
        <v>5177.2083750000002</v>
      </c>
      <c r="E2307" s="269"/>
      <c r="F2307" s="270"/>
      <c r="G2307" s="270"/>
    </row>
    <row r="2308" spans="1:7" ht="180" outlineLevel="1" x14ac:dyDescent="0.25">
      <c r="A2308" s="275">
        <v>12</v>
      </c>
      <c r="B2308" s="302" t="s">
        <v>117</v>
      </c>
      <c r="C2308" s="278">
        <v>1</v>
      </c>
      <c r="D2308" s="424">
        <v>160</v>
      </c>
      <c r="E2308" s="269"/>
      <c r="F2308" s="270"/>
      <c r="G2308" s="270"/>
    </row>
    <row r="2309" spans="1:7" ht="60" outlineLevel="1" x14ac:dyDescent="0.25">
      <c r="A2309" s="275">
        <v>13</v>
      </c>
      <c r="B2309" s="302" t="s">
        <v>118</v>
      </c>
      <c r="C2309" s="278">
        <v>1</v>
      </c>
      <c r="D2309" s="424">
        <v>200</v>
      </c>
      <c r="E2309" s="269"/>
      <c r="F2309" s="270"/>
      <c r="G2309" s="270"/>
    </row>
    <row r="2310" spans="1:7" ht="45" outlineLevel="1" x14ac:dyDescent="0.25">
      <c r="A2310" s="275">
        <v>14</v>
      </c>
      <c r="B2310" s="302" t="s">
        <v>119</v>
      </c>
      <c r="C2310" s="278">
        <v>1</v>
      </c>
      <c r="D2310" s="424">
        <v>245</v>
      </c>
      <c r="E2310" s="269"/>
      <c r="F2310" s="270"/>
      <c r="G2310" s="270"/>
    </row>
    <row r="2311" spans="1:7" ht="75" outlineLevel="1" x14ac:dyDescent="0.25">
      <c r="A2311" s="293">
        <v>15</v>
      </c>
      <c r="B2311" s="302" t="s">
        <v>120</v>
      </c>
      <c r="C2311" s="278">
        <v>100</v>
      </c>
      <c r="D2311" s="424">
        <v>477.8125</v>
      </c>
      <c r="E2311" s="269"/>
      <c r="F2311" s="270"/>
      <c r="G2311" s="270"/>
    </row>
    <row r="2312" spans="1:7" ht="30" outlineLevel="1" x14ac:dyDescent="0.25">
      <c r="A2312" s="293">
        <v>16</v>
      </c>
      <c r="B2312" s="302" t="s">
        <v>121</v>
      </c>
      <c r="C2312" s="278">
        <v>1</v>
      </c>
      <c r="D2312" s="424">
        <v>497.8125</v>
      </c>
      <c r="E2312" s="269"/>
      <c r="F2312" s="270"/>
      <c r="G2312" s="270"/>
    </row>
    <row r="2313" spans="1:7" ht="22.5" customHeight="1" outlineLevel="1" x14ac:dyDescent="0.25">
      <c r="A2313" s="275">
        <v>17</v>
      </c>
      <c r="B2313" s="302" t="s">
        <v>122</v>
      </c>
      <c r="C2313" s="273">
        <v>100</v>
      </c>
      <c r="D2313" s="424">
        <v>204.6875</v>
      </c>
      <c r="E2313" s="295"/>
      <c r="F2313" s="270"/>
      <c r="G2313" s="270"/>
    </row>
    <row r="2314" spans="1:7" ht="45" outlineLevel="1" x14ac:dyDescent="0.25">
      <c r="A2314" s="293">
        <v>18</v>
      </c>
      <c r="B2314" s="302" t="s">
        <v>123</v>
      </c>
      <c r="C2314" s="273">
        <v>100</v>
      </c>
      <c r="D2314" s="424">
        <v>244.6875</v>
      </c>
      <c r="E2314" s="295"/>
      <c r="F2314" s="270"/>
      <c r="G2314" s="270"/>
    </row>
    <row r="2315" spans="1:7" ht="45" outlineLevel="1" x14ac:dyDescent="0.25">
      <c r="A2315" s="505">
        <v>19</v>
      </c>
      <c r="B2315" s="447" t="s">
        <v>124</v>
      </c>
      <c r="C2315" s="291"/>
      <c r="D2315" s="441">
        <v>0</v>
      </c>
      <c r="E2315" s="288"/>
      <c r="F2315" s="292"/>
      <c r="G2315" s="292"/>
    </row>
    <row r="2316" spans="1:7" outlineLevel="1" x14ac:dyDescent="0.25">
      <c r="A2316" s="505"/>
      <c r="B2316" s="446" t="s">
        <v>125</v>
      </c>
      <c r="C2316" s="282">
        <v>100</v>
      </c>
      <c r="D2316" s="440">
        <v>229.3</v>
      </c>
      <c r="E2316" s="310"/>
      <c r="F2316" s="290"/>
      <c r="G2316" s="290"/>
    </row>
    <row r="2317" spans="1:7" ht="30" outlineLevel="1" x14ac:dyDescent="0.25">
      <c r="A2317" s="275">
        <v>20</v>
      </c>
      <c r="B2317" s="302" t="s">
        <v>126</v>
      </c>
      <c r="C2317" s="278">
        <v>100</v>
      </c>
      <c r="D2317" s="424">
        <v>2841.5250000000005</v>
      </c>
      <c r="E2317" s="295"/>
      <c r="F2317" s="270"/>
      <c r="G2317" s="270"/>
    </row>
    <row r="2318" spans="1:7" ht="45" outlineLevel="1" x14ac:dyDescent="0.25">
      <c r="A2318" s="275">
        <v>21</v>
      </c>
      <c r="B2318" s="302" t="s">
        <v>127</v>
      </c>
      <c r="C2318" s="278">
        <v>100</v>
      </c>
      <c r="D2318" s="424">
        <v>572.6</v>
      </c>
      <c r="E2318" s="295"/>
      <c r="F2318" s="270"/>
      <c r="G2318" s="270"/>
    </row>
    <row r="2319" spans="1:7" ht="60" outlineLevel="1" x14ac:dyDescent="0.25">
      <c r="A2319" s="275">
        <v>22</v>
      </c>
      <c r="B2319" s="302" t="s">
        <v>128</v>
      </c>
      <c r="C2319" s="278">
        <v>100</v>
      </c>
      <c r="D2319" s="424">
        <v>2449.375</v>
      </c>
      <c r="E2319" s="295"/>
      <c r="F2319" s="270"/>
      <c r="G2319" s="270"/>
    </row>
    <row r="2320" spans="1:7" ht="45" outlineLevel="1" x14ac:dyDescent="0.25">
      <c r="A2320" s="275">
        <v>23</v>
      </c>
      <c r="B2320" s="302" t="s">
        <v>129</v>
      </c>
      <c r="C2320" s="323">
        <v>1</v>
      </c>
      <c r="D2320" s="424">
        <v>65</v>
      </c>
      <c r="E2320" s="295"/>
      <c r="F2320" s="270"/>
      <c r="G2320" s="270"/>
    </row>
    <row r="2321" spans="1:7" ht="30" outlineLevel="1" x14ac:dyDescent="0.25">
      <c r="A2321" s="275">
        <v>24</v>
      </c>
      <c r="B2321" s="302" t="s">
        <v>130</v>
      </c>
      <c r="C2321" s="328">
        <v>1</v>
      </c>
      <c r="D2321" s="424">
        <v>10</v>
      </c>
      <c r="E2321" s="295"/>
      <c r="F2321" s="270"/>
      <c r="G2321" s="270"/>
    </row>
    <row r="2322" spans="1:7" ht="24" customHeight="1" outlineLevel="1" x14ac:dyDescent="0.25">
      <c r="A2322" s="275">
        <v>25</v>
      </c>
      <c r="B2322" s="302" t="s">
        <v>131</v>
      </c>
      <c r="C2322" s="328">
        <v>1</v>
      </c>
      <c r="D2322" s="424">
        <v>5</v>
      </c>
      <c r="E2322" s="295"/>
      <c r="F2322" s="270"/>
      <c r="G2322" s="270"/>
    </row>
    <row r="2323" spans="1:7" ht="24" customHeight="1" outlineLevel="1" x14ac:dyDescent="0.25">
      <c r="A2323" s="275">
        <v>26</v>
      </c>
      <c r="B2323" s="302" t="s">
        <v>132</v>
      </c>
      <c r="C2323" s="278">
        <v>100</v>
      </c>
      <c r="D2323" s="424">
        <v>2551.35</v>
      </c>
      <c r="E2323" s="295"/>
      <c r="F2323" s="270"/>
      <c r="G2323" s="270"/>
    </row>
    <row r="2324" spans="1:7" ht="45" outlineLevel="1" x14ac:dyDescent="0.25">
      <c r="A2324" s="275">
        <v>27</v>
      </c>
      <c r="B2324" s="302" t="s">
        <v>133</v>
      </c>
      <c r="C2324" s="278">
        <v>100</v>
      </c>
      <c r="D2324" s="424">
        <v>862.77500000000009</v>
      </c>
      <c r="E2324" s="295"/>
      <c r="F2324" s="270"/>
      <c r="G2324" s="270"/>
    </row>
    <row r="2325" spans="1:7" ht="30" outlineLevel="1" x14ac:dyDescent="0.25">
      <c r="A2325" s="275">
        <v>28</v>
      </c>
      <c r="B2325" s="302" t="s">
        <v>134</v>
      </c>
      <c r="C2325" s="278">
        <v>100</v>
      </c>
      <c r="D2325" s="424">
        <v>445</v>
      </c>
      <c r="E2325" s="295"/>
      <c r="F2325" s="270"/>
      <c r="G2325" s="270"/>
    </row>
    <row r="2326" spans="1:7" ht="60" outlineLevel="1" x14ac:dyDescent="0.25">
      <c r="A2326" s="275">
        <v>29</v>
      </c>
      <c r="B2326" s="327" t="s">
        <v>135</v>
      </c>
      <c r="C2326" s="303">
        <v>100</v>
      </c>
      <c r="D2326" s="424">
        <v>1674.7936133538963</v>
      </c>
      <c r="E2326" s="269"/>
      <c r="F2326" s="270"/>
      <c r="G2326" s="270"/>
    </row>
    <row r="2327" spans="1:7" ht="45" outlineLevel="1" x14ac:dyDescent="0.25">
      <c r="A2327" s="505">
        <v>30</v>
      </c>
      <c r="B2327" s="302" t="s">
        <v>136</v>
      </c>
      <c r="C2327" s="271"/>
      <c r="D2327" s="424"/>
      <c r="E2327" s="295"/>
      <c r="F2327" s="270"/>
      <c r="G2327" s="270"/>
    </row>
    <row r="2328" spans="1:7" outlineLevel="1" x14ac:dyDescent="0.25">
      <c r="A2328" s="505"/>
      <c r="B2328" s="302" t="s">
        <v>176</v>
      </c>
      <c r="C2328" s="323">
        <v>1</v>
      </c>
      <c r="D2328" s="424">
        <v>300</v>
      </c>
      <c r="E2328" s="295"/>
      <c r="F2328" s="270"/>
      <c r="G2328" s="270"/>
    </row>
    <row r="2329" spans="1:7" outlineLevel="1" x14ac:dyDescent="0.25">
      <c r="A2329" s="505"/>
      <c r="B2329" s="302" t="s">
        <v>177</v>
      </c>
      <c r="C2329" s="323">
        <v>1</v>
      </c>
      <c r="D2329" s="424">
        <v>150</v>
      </c>
      <c r="E2329" s="295"/>
      <c r="F2329" s="270"/>
      <c r="G2329" s="270"/>
    </row>
    <row r="2330" spans="1:7" outlineLevel="1" x14ac:dyDescent="0.25">
      <c r="A2330" s="275"/>
      <c r="B2330" s="302" t="s">
        <v>178</v>
      </c>
      <c r="C2330" s="323">
        <v>1</v>
      </c>
      <c r="D2330" s="424">
        <v>75</v>
      </c>
      <c r="E2330" s="295"/>
      <c r="F2330" s="270"/>
      <c r="G2330" s="270"/>
    </row>
    <row r="2331" spans="1:7" ht="75" outlineLevel="1" x14ac:dyDescent="0.25">
      <c r="A2331" s="505">
        <v>31</v>
      </c>
      <c r="B2331" s="302" t="s">
        <v>141</v>
      </c>
      <c r="C2331" s="271"/>
      <c r="D2331" s="424"/>
      <c r="E2331" s="295"/>
      <c r="F2331" s="270"/>
      <c r="G2331" s="270"/>
    </row>
    <row r="2332" spans="1:7" outlineLevel="1" x14ac:dyDescent="0.25">
      <c r="A2332" s="505"/>
      <c r="B2332" s="302" t="s">
        <v>180</v>
      </c>
      <c r="C2332" s="323">
        <v>1</v>
      </c>
      <c r="D2332" s="424">
        <v>900</v>
      </c>
      <c r="E2332" s="295"/>
      <c r="F2332" s="270"/>
      <c r="G2332" s="270"/>
    </row>
    <row r="2333" spans="1:7" outlineLevel="1" x14ac:dyDescent="0.25">
      <c r="A2333" s="334"/>
      <c r="B2333" s="302" t="s">
        <v>181</v>
      </c>
      <c r="C2333" s="323">
        <v>1</v>
      </c>
      <c r="D2333" s="424">
        <v>300</v>
      </c>
      <c r="E2333" s="295"/>
      <c r="F2333" s="270"/>
      <c r="G2333" s="270"/>
    </row>
    <row r="2334" spans="1:7" ht="75" outlineLevel="1" x14ac:dyDescent="0.25">
      <c r="A2334" s="275">
        <v>32</v>
      </c>
      <c r="B2334" s="302" t="s">
        <v>144</v>
      </c>
      <c r="C2334" s="323">
        <v>1</v>
      </c>
      <c r="D2334" s="424">
        <v>200</v>
      </c>
      <c r="E2334" s="295"/>
      <c r="F2334" s="270"/>
      <c r="G2334" s="270"/>
    </row>
    <row r="2335" spans="1:7" ht="60" outlineLevel="1" x14ac:dyDescent="0.25">
      <c r="A2335" s="505">
        <v>33</v>
      </c>
      <c r="B2335" s="302" t="s">
        <v>145</v>
      </c>
      <c r="C2335" s="271"/>
      <c r="D2335" s="424"/>
      <c r="E2335" s="295"/>
      <c r="F2335" s="270"/>
      <c r="G2335" s="270"/>
    </row>
    <row r="2336" spans="1:7" outlineLevel="1" x14ac:dyDescent="0.25">
      <c r="A2336" s="505"/>
      <c r="B2336" s="302" t="s">
        <v>183</v>
      </c>
      <c r="C2336" s="329">
        <v>1</v>
      </c>
      <c r="D2336" s="424">
        <v>5</v>
      </c>
      <c r="E2336" s="295"/>
      <c r="F2336" s="270"/>
      <c r="G2336" s="270"/>
    </row>
    <row r="2337" spans="1:7" outlineLevel="1" x14ac:dyDescent="0.25">
      <c r="A2337" s="505"/>
      <c r="B2337" s="302" t="s">
        <v>184</v>
      </c>
      <c r="C2337" s="329">
        <v>1</v>
      </c>
      <c r="D2337" s="424">
        <v>5</v>
      </c>
      <c r="E2337" s="295"/>
      <c r="F2337" s="270"/>
      <c r="G2337" s="270"/>
    </row>
    <row r="2338" spans="1:7" outlineLevel="1" x14ac:dyDescent="0.25">
      <c r="A2338" s="505"/>
      <c r="B2338" s="302" t="s">
        <v>185</v>
      </c>
      <c r="C2338" s="329">
        <v>1</v>
      </c>
      <c r="D2338" s="424">
        <v>5</v>
      </c>
      <c r="E2338" s="295"/>
      <c r="F2338" s="270"/>
      <c r="G2338" s="270"/>
    </row>
    <row r="2339" spans="1:7" ht="30" outlineLevel="1" x14ac:dyDescent="0.25">
      <c r="A2339" s="275">
        <v>34</v>
      </c>
      <c r="B2339" s="302" t="s">
        <v>149</v>
      </c>
      <c r="C2339" s="329">
        <v>1</v>
      </c>
      <c r="D2339" s="424">
        <v>100</v>
      </c>
      <c r="E2339" s="295"/>
      <c r="F2339" s="270"/>
      <c r="G2339" s="270"/>
    </row>
    <row r="2340" spans="1:7" ht="18" customHeight="1" outlineLevel="1" x14ac:dyDescent="0.25">
      <c r="A2340" s="275">
        <v>35</v>
      </c>
      <c r="B2340" s="302" t="s">
        <v>150</v>
      </c>
      <c r="C2340" s="329">
        <v>1</v>
      </c>
      <c r="D2340" s="424">
        <v>20</v>
      </c>
      <c r="E2340" s="295"/>
      <c r="F2340" s="270"/>
      <c r="G2340" s="270"/>
    </row>
    <row r="2341" spans="1:7" ht="18" customHeight="1" outlineLevel="1" x14ac:dyDescent="0.25">
      <c r="A2341" s="275">
        <v>36</v>
      </c>
      <c r="B2341" s="302" t="s">
        <v>151</v>
      </c>
      <c r="C2341" s="329">
        <v>1</v>
      </c>
      <c r="D2341" s="424">
        <v>10</v>
      </c>
      <c r="E2341" s="295"/>
      <c r="F2341" s="270"/>
      <c r="G2341" s="270"/>
    </row>
    <row r="2342" spans="1:7" ht="30" outlineLevel="1" x14ac:dyDescent="0.25">
      <c r="A2342" s="275">
        <v>37</v>
      </c>
      <c r="B2342" s="302" t="s">
        <v>186</v>
      </c>
      <c r="C2342" s="329">
        <v>1</v>
      </c>
      <c r="D2342" s="424">
        <v>5</v>
      </c>
      <c r="E2342" s="295"/>
      <c r="F2342" s="270"/>
      <c r="G2342" s="270"/>
    </row>
    <row r="2343" spans="1:7" ht="144.75" customHeight="1" outlineLevel="1" x14ac:dyDescent="0.25">
      <c r="A2343" s="275">
        <v>38</v>
      </c>
      <c r="B2343" s="299" t="s">
        <v>153</v>
      </c>
      <c r="C2343" s="328">
        <v>1</v>
      </c>
      <c r="D2343" s="424">
        <v>5</v>
      </c>
      <c r="E2343" s="295"/>
      <c r="F2343" s="270"/>
      <c r="G2343" s="270"/>
    </row>
    <row r="2344" spans="1:7" ht="90" outlineLevel="1" x14ac:dyDescent="0.25">
      <c r="A2344" s="275">
        <v>39</v>
      </c>
      <c r="B2344" s="302" t="s">
        <v>154</v>
      </c>
      <c r="C2344" s="328">
        <v>1</v>
      </c>
      <c r="D2344" s="424">
        <v>30</v>
      </c>
      <c r="E2344" s="295"/>
      <c r="F2344" s="270"/>
      <c r="G2344" s="270"/>
    </row>
    <row r="2345" spans="1:7" ht="135" outlineLevel="1" x14ac:dyDescent="0.25">
      <c r="A2345" s="275">
        <v>40</v>
      </c>
      <c r="B2345" s="299" t="s">
        <v>155</v>
      </c>
      <c r="C2345" s="328">
        <v>1</v>
      </c>
      <c r="D2345" s="424">
        <v>10</v>
      </c>
      <c r="E2345" s="295"/>
      <c r="F2345" s="270"/>
      <c r="G2345" s="270"/>
    </row>
    <row r="2346" spans="1:7" ht="150" outlineLevel="1" x14ac:dyDescent="0.25">
      <c r="A2346" s="275">
        <v>41</v>
      </c>
      <c r="B2346" s="299" t="s">
        <v>156</v>
      </c>
      <c r="C2346" s="328">
        <v>1</v>
      </c>
      <c r="D2346" s="424">
        <v>5</v>
      </c>
      <c r="E2346" s="295"/>
      <c r="F2346" s="270"/>
      <c r="G2346" s="270"/>
    </row>
    <row r="2347" spans="1:7" ht="60" outlineLevel="1" x14ac:dyDescent="0.25">
      <c r="A2347" s="275">
        <v>42</v>
      </c>
      <c r="B2347" s="302" t="s">
        <v>157</v>
      </c>
      <c r="C2347" s="328">
        <v>1</v>
      </c>
      <c r="D2347" s="424">
        <v>15</v>
      </c>
      <c r="E2347" s="295"/>
      <c r="F2347" s="270"/>
      <c r="G2347" s="270"/>
    </row>
    <row r="2348" spans="1:7" ht="30" outlineLevel="1" x14ac:dyDescent="0.25">
      <c r="A2348" s="275">
        <v>43</v>
      </c>
      <c r="B2348" s="302" t="s">
        <v>158</v>
      </c>
      <c r="C2348" s="328">
        <v>1</v>
      </c>
      <c r="D2348" s="424">
        <v>15</v>
      </c>
      <c r="E2348" s="295"/>
      <c r="F2348" s="270"/>
      <c r="G2348" s="270"/>
    </row>
    <row r="2349" spans="1:7" ht="75.75" outlineLevel="1" x14ac:dyDescent="0.25">
      <c r="A2349" s="275">
        <v>44</v>
      </c>
      <c r="B2349" s="299" t="s">
        <v>40</v>
      </c>
      <c r="C2349" s="276"/>
      <c r="D2349" s="424"/>
      <c r="E2349" s="298"/>
      <c r="F2349" s="270"/>
      <c r="G2349" s="270"/>
    </row>
    <row r="2350" spans="1:7" outlineLevel="1" x14ac:dyDescent="0.25">
      <c r="A2350" s="275" t="s">
        <v>67</v>
      </c>
      <c r="B2350" s="299" t="s">
        <v>68</v>
      </c>
      <c r="C2350" s="273">
        <v>100</v>
      </c>
      <c r="D2350" s="424">
        <v>506.93973275904</v>
      </c>
      <c r="E2350" s="298"/>
      <c r="F2350" s="270"/>
      <c r="G2350" s="270"/>
    </row>
    <row r="2351" spans="1:7" outlineLevel="1" x14ac:dyDescent="0.25">
      <c r="A2351" s="275" t="s">
        <v>41</v>
      </c>
      <c r="B2351" s="299" t="s">
        <v>42</v>
      </c>
      <c r="C2351" s="273">
        <v>100</v>
      </c>
      <c r="D2351" s="424">
        <v>201.78399999999999</v>
      </c>
      <c r="E2351" s="298"/>
      <c r="F2351" s="270"/>
      <c r="G2351" s="270"/>
    </row>
    <row r="2352" spans="1:7" outlineLevel="1" x14ac:dyDescent="0.25">
      <c r="A2352" s="275" t="s">
        <v>70</v>
      </c>
      <c r="B2352" s="299" t="s">
        <v>159</v>
      </c>
      <c r="C2352" s="273">
        <v>100</v>
      </c>
      <c r="D2352" s="424">
        <v>759.32389499999999</v>
      </c>
      <c r="E2352" s="298"/>
      <c r="F2352" s="270"/>
      <c r="G2352" s="270"/>
    </row>
    <row r="2353" spans="1:7" outlineLevel="1" x14ac:dyDescent="0.25">
      <c r="A2353" s="275" t="s">
        <v>160</v>
      </c>
      <c r="B2353" s="299" t="s">
        <v>161</v>
      </c>
      <c r="C2353" s="273">
        <v>100</v>
      </c>
      <c r="D2353" s="424">
        <v>35.475000000000001</v>
      </c>
      <c r="E2353" s="298"/>
      <c r="F2353" s="270"/>
      <c r="G2353" s="270"/>
    </row>
    <row r="2354" spans="1:7" outlineLevel="1" x14ac:dyDescent="0.25">
      <c r="A2354" s="506" t="s">
        <v>83</v>
      </c>
      <c r="B2354" s="506"/>
      <c r="C2354" s="506"/>
      <c r="D2354" s="506"/>
      <c r="E2354" s="506"/>
      <c r="F2354" s="270"/>
      <c r="G2354" s="270"/>
    </row>
    <row r="2355" spans="1:7" customFormat="1" ht="25.5" customHeight="1" x14ac:dyDescent="0.25">
      <c r="A2355" s="499" t="s">
        <v>561</v>
      </c>
      <c r="B2355" s="499"/>
      <c r="C2355" s="499"/>
      <c r="D2355" s="499"/>
      <c r="E2355" s="499"/>
      <c r="F2355" s="362"/>
      <c r="G2355" s="362"/>
    </row>
    <row r="2356" spans="1:7" customFormat="1" ht="291.75" customHeight="1" outlineLevel="1" x14ac:dyDescent="0.25">
      <c r="A2356" s="402">
        <v>1</v>
      </c>
      <c r="B2356" s="383" t="s">
        <v>542</v>
      </c>
      <c r="C2356" s="403" t="s">
        <v>543</v>
      </c>
      <c r="D2356" s="424">
        <v>6</v>
      </c>
      <c r="E2356" s="404"/>
      <c r="F2356" s="364"/>
      <c r="G2356" s="364"/>
    </row>
    <row r="2357" spans="1:7" customFormat="1" ht="58.5" customHeight="1" outlineLevel="1" x14ac:dyDescent="0.25">
      <c r="A2357" s="368">
        <v>2</v>
      </c>
      <c r="B2357" s="383" t="s">
        <v>524</v>
      </c>
      <c r="C2357" s="368" t="s">
        <v>506</v>
      </c>
      <c r="D2357" s="434">
        <v>1</v>
      </c>
      <c r="E2357" s="389"/>
      <c r="F2357" s="364"/>
      <c r="G2357" s="364"/>
    </row>
    <row r="2358" spans="1:7" customFormat="1" ht="31.5" customHeight="1" outlineLevel="1" x14ac:dyDescent="0.25">
      <c r="A2358" s="368">
        <v>3</v>
      </c>
      <c r="B2358" s="405" t="s">
        <v>544</v>
      </c>
      <c r="C2358" s="368" t="s">
        <v>474</v>
      </c>
      <c r="D2358" s="434">
        <v>1</v>
      </c>
      <c r="E2358" s="406"/>
      <c r="F2358" s="364"/>
      <c r="G2358" s="364"/>
    </row>
    <row r="2359" spans="1:7" customFormat="1" ht="89.25" outlineLevel="1" x14ac:dyDescent="0.25">
      <c r="A2359" s="368">
        <v>4</v>
      </c>
      <c r="B2359" s="405" t="s">
        <v>545</v>
      </c>
      <c r="C2359" s="368" t="s">
        <v>474</v>
      </c>
      <c r="D2359" s="434">
        <v>1</v>
      </c>
      <c r="E2359" s="406"/>
      <c r="F2359" s="364"/>
      <c r="G2359" s="364"/>
    </row>
    <row r="2360" spans="1:7" customFormat="1" ht="76.5" outlineLevel="1" x14ac:dyDescent="0.25">
      <c r="A2360" s="368">
        <v>5</v>
      </c>
      <c r="B2360" s="405" t="s">
        <v>546</v>
      </c>
      <c r="C2360" s="368" t="s">
        <v>474</v>
      </c>
      <c r="D2360" s="434">
        <v>1</v>
      </c>
      <c r="E2360" s="368"/>
      <c r="F2360" s="364"/>
      <c r="G2360" s="364"/>
    </row>
    <row r="2361" spans="1:7" customFormat="1" ht="51" outlineLevel="1" x14ac:dyDescent="0.25">
      <c r="A2361" s="368">
        <v>6</v>
      </c>
      <c r="B2361" s="405" t="s">
        <v>547</v>
      </c>
      <c r="C2361" s="368" t="s">
        <v>474</v>
      </c>
      <c r="D2361" s="434">
        <v>4</v>
      </c>
      <c r="E2361" s="368"/>
      <c r="F2361" s="364"/>
      <c r="G2361" s="364"/>
    </row>
    <row r="2362" spans="1:7" customFormat="1" ht="97.5" customHeight="1" outlineLevel="1" x14ac:dyDescent="0.25">
      <c r="A2362" s="368">
        <v>7</v>
      </c>
      <c r="B2362" s="405" t="s">
        <v>548</v>
      </c>
      <c r="C2362" s="368" t="s">
        <v>474</v>
      </c>
      <c r="D2362" s="434">
        <v>2</v>
      </c>
      <c r="E2362" s="368"/>
      <c r="F2362" s="364"/>
      <c r="G2362" s="364"/>
    </row>
    <row r="2363" spans="1:7" customFormat="1" outlineLevel="1" x14ac:dyDescent="0.25">
      <c r="A2363" s="510" t="s">
        <v>475</v>
      </c>
      <c r="B2363" s="510"/>
      <c r="C2363" s="510"/>
      <c r="D2363" s="510"/>
      <c r="E2363" s="510"/>
      <c r="F2363" s="364"/>
      <c r="G2363" s="364"/>
    </row>
    <row r="2364" spans="1:7" customFormat="1" ht="27" customHeight="1" x14ac:dyDescent="0.25">
      <c r="A2364" s="499" t="s">
        <v>572</v>
      </c>
      <c r="B2364" s="499"/>
      <c r="C2364" s="499"/>
      <c r="D2364" s="499"/>
      <c r="E2364" s="499"/>
      <c r="F2364" s="362"/>
      <c r="G2364" s="362"/>
    </row>
    <row r="2365" spans="1:7" customFormat="1" ht="288.75" customHeight="1" outlineLevel="1" x14ac:dyDescent="0.25">
      <c r="A2365" s="373">
        <v>1</v>
      </c>
      <c r="B2365" s="407" t="s">
        <v>549</v>
      </c>
      <c r="C2365" s="420" t="s">
        <v>474</v>
      </c>
      <c r="D2365" s="435">
        <v>6</v>
      </c>
      <c r="E2365" s="408"/>
      <c r="F2365" s="364"/>
      <c r="G2365" s="364"/>
    </row>
    <row r="2366" spans="1:7" customFormat="1" ht="15" outlineLevel="1" x14ac:dyDescent="0.25">
      <c r="A2366" s="509" t="s">
        <v>475</v>
      </c>
      <c r="B2366" s="509"/>
      <c r="C2366" s="509"/>
      <c r="D2366" s="509"/>
      <c r="E2366" s="509"/>
      <c r="F2366" s="364"/>
      <c r="G2366" s="364"/>
    </row>
    <row r="2367" spans="1:7" ht="25.5" customHeight="1" x14ac:dyDescent="0.25">
      <c r="A2367" s="499" t="s">
        <v>573</v>
      </c>
      <c r="B2367" s="499"/>
      <c r="C2367" s="499"/>
      <c r="D2367" s="499"/>
      <c r="E2367" s="499"/>
      <c r="F2367" s="362"/>
      <c r="G2367" s="362"/>
    </row>
    <row r="2368" spans="1:7" ht="20.25" customHeight="1" outlineLevel="1" x14ac:dyDescent="0.25">
      <c r="A2368" s="409">
        <v>1</v>
      </c>
      <c r="B2368" s="410" t="s">
        <v>378</v>
      </c>
      <c r="C2368" s="345"/>
      <c r="D2368" s="436"/>
      <c r="E2368" s="411"/>
      <c r="F2368" s="270"/>
      <c r="G2368" s="270"/>
    </row>
    <row r="2369" spans="1:7" ht="20.25" customHeight="1" outlineLevel="1" x14ac:dyDescent="0.25">
      <c r="A2369" s="271" t="s">
        <v>58</v>
      </c>
      <c r="B2369" s="348" t="s">
        <v>379</v>
      </c>
      <c r="C2369" s="276" t="s">
        <v>380</v>
      </c>
      <c r="D2369" s="424">
        <v>1</v>
      </c>
      <c r="E2369" s="304"/>
      <c r="F2369" s="270"/>
      <c r="G2369" s="270"/>
    </row>
    <row r="2370" spans="1:7" ht="20.25" customHeight="1" outlineLevel="1" x14ac:dyDescent="0.25">
      <c r="A2370" s="271" t="s">
        <v>60</v>
      </c>
      <c r="B2370" s="348" t="s">
        <v>381</v>
      </c>
      <c r="C2370" s="276" t="s">
        <v>380</v>
      </c>
      <c r="D2370" s="424">
        <v>1</v>
      </c>
      <c r="E2370" s="304"/>
      <c r="F2370" s="270"/>
      <c r="G2370" s="270"/>
    </row>
    <row r="2371" spans="1:7" ht="20.25" customHeight="1" outlineLevel="1" x14ac:dyDescent="0.25">
      <c r="A2371" s="271" t="s">
        <v>62</v>
      </c>
      <c r="B2371" s="348" t="s">
        <v>382</v>
      </c>
      <c r="C2371" s="276" t="s">
        <v>380</v>
      </c>
      <c r="D2371" s="424">
        <v>1</v>
      </c>
      <c r="E2371" s="304"/>
      <c r="F2371" s="270"/>
      <c r="G2371" s="270"/>
    </row>
    <row r="2372" spans="1:7" ht="20.25" customHeight="1" outlineLevel="1" x14ac:dyDescent="0.25">
      <c r="A2372" s="409">
        <v>2</v>
      </c>
      <c r="B2372" s="410" t="s">
        <v>383</v>
      </c>
      <c r="C2372" s="345"/>
      <c r="D2372" s="436"/>
      <c r="E2372" s="411"/>
      <c r="F2372" s="270"/>
      <c r="G2372" s="270"/>
    </row>
    <row r="2373" spans="1:7" ht="20.25" customHeight="1" outlineLevel="1" x14ac:dyDescent="0.25">
      <c r="A2373" s="271" t="s">
        <v>58</v>
      </c>
      <c r="B2373" s="348" t="s">
        <v>379</v>
      </c>
      <c r="C2373" s="276" t="s">
        <v>380</v>
      </c>
      <c r="D2373" s="424">
        <v>1</v>
      </c>
      <c r="E2373" s="304"/>
      <c r="F2373" s="270"/>
      <c r="G2373" s="270"/>
    </row>
    <row r="2374" spans="1:7" ht="20.25" customHeight="1" outlineLevel="1" x14ac:dyDescent="0.25">
      <c r="A2374" s="271" t="s">
        <v>60</v>
      </c>
      <c r="B2374" s="348" t="s">
        <v>381</v>
      </c>
      <c r="C2374" s="276" t="s">
        <v>380</v>
      </c>
      <c r="D2374" s="424">
        <v>1</v>
      </c>
      <c r="E2374" s="304"/>
      <c r="F2374" s="270"/>
      <c r="G2374" s="270"/>
    </row>
    <row r="2375" spans="1:7" ht="31.5" outlineLevel="1" x14ac:dyDescent="0.25">
      <c r="A2375" s="409">
        <v>3</v>
      </c>
      <c r="B2375" s="410" t="s">
        <v>384</v>
      </c>
      <c r="C2375" s="345"/>
      <c r="D2375" s="437"/>
      <c r="E2375" s="412"/>
      <c r="F2375" s="270"/>
      <c r="G2375" s="270"/>
    </row>
    <row r="2376" spans="1:7" ht="20.25" customHeight="1" outlineLevel="1" x14ac:dyDescent="0.25">
      <c r="A2376" s="271" t="s">
        <v>58</v>
      </c>
      <c r="B2376" s="413" t="s">
        <v>385</v>
      </c>
      <c r="C2376" s="276" t="s">
        <v>380</v>
      </c>
      <c r="D2376" s="424">
        <v>1</v>
      </c>
      <c r="E2376" s="304"/>
      <c r="F2376" s="270"/>
      <c r="G2376" s="270"/>
    </row>
    <row r="2377" spans="1:7" ht="20.25" customHeight="1" outlineLevel="1" x14ac:dyDescent="0.25">
      <c r="A2377" s="271" t="s">
        <v>60</v>
      </c>
      <c r="B2377" s="413" t="s">
        <v>381</v>
      </c>
      <c r="C2377" s="276" t="s">
        <v>380</v>
      </c>
      <c r="D2377" s="424">
        <v>1</v>
      </c>
      <c r="E2377" s="304"/>
      <c r="F2377" s="270"/>
      <c r="G2377" s="270"/>
    </row>
    <row r="2378" spans="1:7" ht="20.25" customHeight="1" outlineLevel="1" x14ac:dyDescent="0.25">
      <c r="A2378" s="409">
        <v>4</v>
      </c>
      <c r="B2378" s="414" t="s">
        <v>386</v>
      </c>
      <c r="C2378" s="345"/>
      <c r="D2378" s="437"/>
      <c r="E2378" s="412"/>
      <c r="F2378" s="270"/>
      <c r="G2378" s="270"/>
    </row>
    <row r="2379" spans="1:7" ht="20.25" customHeight="1" outlineLevel="1" x14ac:dyDescent="0.25">
      <c r="A2379" s="271" t="s">
        <v>58</v>
      </c>
      <c r="B2379" s="415" t="s">
        <v>387</v>
      </c>
      <c r="C2379" s="276" t="s">
        <v>380</v>
      </c>
      <c r="D2379" s="422">
        <v>5</v>
      </c>
      <c r="E2379" s="341"/>
      <c r="F2379" s="270"/>
      <c r="G2379" s="270"/>
    </row>
    <row r="2380" spans="1:7" ht="20.25" customHeight="1" outlineLevel="1" x14ac:dyDescent="0.25">
      <c r="A2380" s="409">
        <v>5</v>
      </c>
      <c r="B2380" s="410" t="s">
        <v>388</v>
      </c>
      <c r="C2380" s="276" t="s">
        <v>380</v>
      </c>
      <c r="D2380" s="424">
        <v>1</v>
      </c>
      <c r="E2380" s="304"/>
      <c r="F2380" s="270"/>
      <c r="G2380" s="270"/>
    </row>
    <row r="2381" spans="1:7" ht="20.25" customHeight="1" outlineLevel="1" x14ac:dyDescent="0.25">
      <c r="A2381" s="409">
        <v>6</v>
      </c>
      <c r="B2381" s="410" t="s">
        <v>389</v>
      </c>
      <c r="C2381" s="276" t="s">
        <v>380</v>
      </c>
      <c r="D2381" s="422">
        <v>3</v>
      </c>
      <c r="E2381" s="341"/>
      <c r="F2381" s="270"/>
      <c r="G2381" s="270"/>
    </row>
    <row r="2382" spans="1:7" ht="20.25" customHeight="1" outlineLevel="1" x14ac:dyDescent="0.25">
      <c r="A2382" s="409">
        <v>7</v>
      </c>
      <c r="B2382" s="410" t="s">
        <v>390</v>
      </c>
      <c r="C2382" s="276" t="s">
        <v>380</v>
      </c>
      <c r="D2382" s="424">
        <v>1</v>
      </c>
      <c r="E2382" s="304"/>
      <c r="F2382" s="270"/>
      <c r="G2382" s="270"/>
    </row>
    <row r="2383" spans="1:7" ht="20.25" customHeight="1" outlineLevel="1" x14ac:dyDescent="0.25">
      <c r="A2383" s="409">
        <v>8</v>
      </c>
      <c r="B2383" s="410" t="s">
        <v>391</v>
      </c>
      <c r="C2383" s="276"/>
      <c r="D2383" s="436"/>
      <c r="E2383" s="411"/>
      <c r="F2383" s="270"/>
      <c r="G2383" s="270"/>
    </row>
    <row r="2384" spans="1:7" ht="20.25" customHeight="1" outlineLevel="1" x14ac:dyDescent="0.25">
      <c r="A2384" s="271" t="s">
        <v>58</v>
      </c>
      <c r="B2384" s="415" t="s">
        <v>392</v>
      </c>
      <c r="C2384" s="276" t="s">
        <v>380</v>
      </c>
      <c r="D2384" s="422">
        <v>1</v>
      </c>
      <c r="E2384" s="304"/>
      <c r="F2384" s="270"/>
      <c r="G2384" s="270"/>
    </row>
    <row r="2385" spans="1:7" ht="20.25" customHeight="1" outlineLevel="1" x14ac:dyDescent="0.25">
      <c r="A2385" s="271" t="s">
        <v>60</v>
      </c>
      <c r="B2385" s="415" t="s">
        <v>393</v>
      </c>
      <c r="C2385" s="276" t="s">
        <v>380</v>
      </c>
      <c r="D2385" s="422">
        <v>1</v>
      </c>
      <c r="E2385" s="304"/>
      <c r="F2385" s="270"/>
      <c r="G2385" s="270"/>
    </row>
    <row r="2386" spans="1:7" ht="20.25" customHeight="1" outlineLevel="1" x14ac:dyDescent="0.25">
      <c r="A2386" s="271" t="s">
        <v>62</v>
      </c>
      <c r="B2386" s="415" t="s">
        <v>394</v>
      </c>
      <c r="C2386" s="276" t="s">
        <v>380</v>
      </c>
      <c r="D2386" s="422">
        <v>1</v>
      </c>
      <c r="E2386" s="304"/>
      <c r="F2386" s="270"/>
      <c r="G2386" s="270"/>
    </row>
    <row r="2387" spans="1:7" ht="20.25" customHeight="1" outlineLevel="1" x14ac:dyDescent="0.25">
      <c r="A2387" s="271" t="s">
        <v>395</v>
      </c>
      <c r="B2387" s="415" t="s">
        <v>396</v>
      </c>
      <c r="C2387" s="276" t="s">
        <v>380</v>
      </c>
      <c r="D2387" s="422">
        <v>1</v>
      </c>
      <c r="E2387" s="304"/>
      <c r="F2387" s="270"/>
      <c r="G2387" s="270"/>
    </row>
    <row r="2388" spans="1:7" ht="30" outlineLevel="1" x14ac:dyDescent="0.25">
      <c r="A2388" s="271" t="s">
        <v>397</v>
      </c>
      <c r="B2388" s="415" t="s">
        <v>398</v>
      </c>
      <c r="C2388" s="276" t="s">
        <v>380</v>
      </c>
      <c r="D2388" s="422">
        <v>1</v>
      </c>
      <c r="E2388" s="304"/>
      <c r="F2388" s="270"/>
      <c r="G2388" s="270"/>
    </row>
    <row r="2389" spans="1:7" outlineLevel="1" x14ac:dyDescent="0.25">
      <c r="A2389" s="2"/>
      <c r="B2389" s="508" t="s">
        <v>399</v>
      </c>
      <c r="C2389" s="508"/>
      <c r="D2389" s="508"/>
      <c r="E2389" s="508"/>
      <c r="F2389" s="270"/>
      <c r="G2389" s="270"/>
    </row>
    <row r="2390" spans="1:7" x14ac:dyDescent="0.25">
      <c r="A2390" s="18"/>
    </row>
  </sheetData>
  <mergeCells count="291">
    <mergeCell ref="A5:E5"/>
    <mergeCell ref="A1:G1"/>
    <mergeCell ref="A2:G2"/>
    <mergeCell ref="A1421:E1421"/>
    <mergeCell ref="A1579:E1579"/>
    <mergeCell ref="A1831:E1831"/>
    <mergeCell ref="A1877:E1877"/>
    <mergeCell ref="A336:E336"/>
    <mergeCell ref="A339:A342"/>
    <mergeCell ref="A366:E366"/>
    <mergeCell ref="A447:A449"/>
    <mergeCell ref="A451:A452"/>
    <mergeCell ref="A455:A458"/>
    <mergeCell ref="A505:E505"/>
    <mergeCell ref="A522:E522"/>
    <mergeCell ref="A541:E541"/>
    <mergeCell ref="A474:E474"/>
    <mergeCell ref="A1580:G1580"/>
    <mergeCell ref="A1639:G1639"/>
    <mergeCell ref="A1819:G1819"/>
    <mergeCell ref="A132:A133"/>
    <mergeCell ref="A171:E171"/>
    <mergeCell ref="A39:E39"/>
    <mergeCell ref="A40:E40"/>
    <mergeCell ref="A65:E65"/>
    <mergeCell ref="A66:E66"/>
    <mergeCell ref="A85:E85"/>
    <mergeCell ref="A86:E86"/>
    <mergeCell ref="A98:E98"/>
    <mergeCell ref="A99:E99"/>
    <mergeCell ref="A110:E110"/>
    <mergeCell ref="A199:E199"/>
    <mergeCell ref="A208:E208"/>
    <mergeCell ref="A209:E209"/>
    <mergeCell ref="A221:E221"/>
    <mergeCell ref="A222:E222"/>
    <mergeCell ref="A225:E225"/>
    <mergeCell ref="A173:E173"/>
    <mergeCell ref="A185:E185"/>
    <mergeCell ref="A186:E186"/>
    <mergeCell ref="A198:E198"/>
    <mergeCell ref="A172:E172"/>
    <mergeCell ref="A286:E286"/>
    <mergeCell ref="A288:E288"/>
    <mergeCell ref="A291:A295"/>
    <mergeCell ref="A296:A297"/>
    <mergeCell ref="A226:E226"/>
    <mergeCell ref="A236:A237"/>
    <mergeCell ref="A247:A248"/>
    <mergeCell ref="A259:A261"/>
    <mergeCell ref="A263:A264"/>
    <mergeCell ref="A267:A270"/>
    <mergeCell ref="A287:E287"/>
    <mergeCell ref="A660:E660"/>
    <mergeCell ref="A300:E300"/>
    <mergeCell ref="A312:E312"/>
    <mergeCell ref="A321:E321"/>
    <mergeCell ref="A322:E322"/>
    <mergeCell ref="A334:E334"/>
    <mergeCell ref="A424:A425"/>
    <mergeCell ref="A435:A436"/>
    <mergeCell ref="A381:E381"/>
    <mergeCell ref="A401:E401"/>
    <mergeCell ref="A413:E413"/>
    <mergeCell ref="A335:E335"/>
    <mergeCell ref="A884:A885"/>
    <mergeCell ref="A748:E748"/>
    <mergeCell ref="A774:E774"/>
    <mergeCell ref="A844:E844"/>
    <mergeCell ref="A703:A704"/>
    <mergeCell ref="A728:E728"/>
    <mergeCell ref="A695:E695"/>
    <mergeCell ref="A699:E699"/>
    <mergeCell ref="A700:E700"/>
    <mergeCell ref="A925:E925"/>
    <mergeCell ref="A928:A929"/>
    <mergeCell ref="A931:E931"/>
    <mergeCell ref="A943:E943"/>
    <mergeCell ref="A952:E952"/>
    <mergeCell ref="A953:E953"/>
    <mergeCell ref="A896:A898"/>
    <mergeCell ref="A900:A901"/>
    <mergeCell ref="A904:A907"/>
    <mergeCell ref="A923:E923"/>
    <mergeCell ref="A924:E924"/>
    <mergeCell ref="A1014:A1016"/>
    <mergeCell ref="A1029:E1029"/>
    <mergeCell ref="A1030:E1030"/>
    <mergeCell ref="A1051:A1052"/>
    <mergeCell ref="A1063:A1065"/>
    <mergeCell ref="A1067:A1068"/>
    <mergeCell ref="A972:E972"/>
    <mergeCell ref="A973:E973"/>
    <mergeCell ref="A998:E998"/>
    <mergeCell ref="A999:E999"/>
    <mergeCell ref="A1011:E1011"/>
    <mergeCell ref="A1012:E1012"/>
    <mergeCell ref="A1100:E1100"/>
    <mergeCell ref="A1112:E1112"/>
    <mergeCell ref="A1121:E1121"/>
    <mergeCell ref="A1122:E1122"/>
    <mergeCell ref="A1141:E1141"/>
    <mergeCell ref="A1142:E1142"/>
    <mergeCell ref="A1071:A1074"/>
    <mergeCell ref="A1090:E1090"/>
    <mergeCell ref="A1092:E1092"/>
    <mergeCell ref="A1095:A1098"/>
    <mergeCell ref="A1091:E1091"/>
    <mergeCell ref="A1256:E1256"/>
    <mergeCell ref="A1263:A1264"/>
    <mergeCell ref="A1266:E1266"/>
    <mergeCell ref="A1278:E1278"/>
    <mergeCell ref="A1167:E1167"/>
    <mergeCell ref="A1168:E1168"/>
    <mergeCell ref="A1236:E1236"/>
    <mergeCell ref="A1237:E1237"/>
    <mergeCell ref="A1239:A1241"/>
    <mergeCell ref="A1254:E1254"/>
    <mergeCell ref="A1255:E1255"/>
    <mergeCell ref="A1402:E1402"/>
    <mergeCell ref="A1403:E1403"/>
    <mergeCell ref="A1405:A1407"/>
    <mergeCell ref="A1420:E1420"/>
    <mergeCell ref="A1287:E1287"/>
    <mergeCell ref="A1288:E1288"/>
    <mergeCell ref="A1307:E1307"/>
    <mergeCell ref="A1308:E1308"/>
    <mergeCell ref="A1333:E1333"/>
    <mergeCell ref="A1334:E1334"/>
    <mergeCell ref="A1471:E1471"/>
    <mergeCell ref="A1472:E1472"/>
    <mergeCell ref="A1486:E1486"/>
    <mergeCell ref="A1487:E1487"/>
    <mergeCell ref="A1489:A1491"/>
    <mergeCell ref="A1504:E1504"/>
    <mergeCell ref="A1422:E1422"/>
    <mergeCell ref="A1427:A1428"/>
    <mergeCell ref="A1430:E1430"/>
    <mergeCell ref="A1442:E1442"/>
    <mergeCell ref="A1451:E1451"/>
    <mergeCell ref="A1452:E1452"/>
    <mergeCell ref="A1963:E1963"/>
    <mergeCell ref="A1738:E1738"/>
    <mergeCell ref="B1757:E1757"/>
    <mergeCell ref="A1758:E1758"/>
    <mergeCell ref="B1778:E1778"/>
    <mergeCell ref="A1779:E1779"/>
    <mergeCell ref="B1798:E1798"/>
    <mergeCell ref="A1868:E1868"/>
    <mergeCell ref="A1870:E1870"/>
    <mergeCell ref="A1872:E1872"/>
    <mergeCell ref="A1876:E1876"/>
    <mergeCell ref="A1878:E1878"/>
    <mergeCell ref="A1830:E1830"/>
    <mergeCell ref="A1849:E1849"/>
    <mergeCell ref="A1854:E1854"/>
    <mergeCell ref="A1799:E1799"/>
    <mergeCell ref="B1818:E1818"/>
    <mergeCell ref="A1965:E1965"/>
    <mergeCell ref="A1974:E1974"/>
    <mergeCell ref="A1986:E1986"/>
    <mergeCell ref="A1995:E1995"/>
    <mergeCell ref="A1964:E1964"/>
    <mergeCell ref="A1555:A1556"/>
    <mergeCell ref="A1559:A1562"/>
    <mergeCell ref="A1578:E1578"/>
    <mergeCell ref="A1905:A1906"/>
    <mergeCell ref="A1624:E1624"/>
    <mergeCell ref="A1629:E1629"/>
    <mergeCell ref="A1632:E1632"/>
    <mergeCell ref="A1883:E1883"/>
    <mergeCell ref="A1867:E1867"/>
    <mergeCell ref="A1635:E1635"/>
    <mergeCell ref="A1640:E1640"/>
    <mergeCell ref="B1659:E1659"/>
    <mergeCell ref="A1880:E1880"/>
    <mergeCell ref="A1882:E1882"/>
    <mergeCell ref="A1856:E1856"/>
    <mergeCell ref="A1860:E1860"/>
    <mergeCell ref="A1863:E1863"/>
    <mergeCell ref="A1866:E1866"/>
    <mergeCell ref="B1737:E1737"/>
    <mergeCell ref="A2036:A2037"/>
    <mergeCell ref="A2041:E2041"/>
    <mergeCell ref="A2053:E2053"/>
    <mergeCell ref="A2062:E2062"/>
    <mergeCell ref="A2000:E2000"/>
    <mergeCell ref="A2001:E2001"/>
    <mergeCell ref="A2004:A2007"/>
    <mergeCell ref="A2011:E2011"/>
    <mergeCell ref="A2023:E2023"/>
    <mergeCell ref="A2063:E2063"/>
    <mergeCell ref="A2067:A2070"/>
    <mergeCell ref="A2073:E2073"/>
    <mergeCell ref="B1697:E1697"/>
    <mergeCell ref="A1698:E1698"/>
    <mergeCell ref="B1717:E1717"/>
    <mergeCell ref="A1718:E1718"/>
    <mergeCell ref="B2389:E2389"/>
    <mergeCell ref="A2294:E2294"/>
    <mergeCell ref="A2304:A2305"/>
    <mergeCell ref="A2315:A2316"/>
    <mergeCell ref="A2327:A2329"/>
    <mergeCell ref="A2331:A2332"/>
    <mergeCell ref="A2335:A2338"/>
    <mergeCell ref="A2367:E2367"/>
    <mergeCell ref="A2355:E2355"/>
    <mergeCell ref="A2366:E2366"/>
    <mergeCell ref="A2363:E2363"/>
    <mergeCell ref="A2364:E2364"/>
    <mergeCell ref="A2085:E2085"/>
    <mergeCell ref="A2094:E2094"/>
    <mergeCell ref="A2095:E2095"/>
    <mergeCell ref="A2032:E2032"/>
    <mergeCell ref="A2033:E2033"/>
    <mergeCell ref="A2354:E2354"/>
    <mergeCell ref="A2242:E2242"/>
    <mergeCell ref="A2243:E2243"/>
    <mergeCell ref="A2266:E2266"/>
    <mergeCell ref="A2267:E2267"/>
    <mergeCell ref="A2149:E2149"/>
    <mergeCell ref="A2150:E2150"/>
    <mergeCell ref="A2177:E2177"/>
    <mergeCell ref="A2178:E2178"/>
    <mergeCell ref="A2218:E2218"/>
    <mergeCell ref="A2219:E2219"/>
    <mergeCell ref="A1597:E1597"/>
    <mergeCell ref="A1616:E1616"/>
    <mergeCell ref="A1637:E1637"/>
    <mergeCell ref="A1638:E1638"/>
    <mergeCell ref="A1623:E1623"/>
    <mergeCell ref="A1628:E1628"/>
    <mergeCell ref="A1631:E1631"/>
    <mergeCell ref="A1634:E1634"/>
    <mergeCell ref="A1505:E1505"/>
    <mergeCell ref="A1517:E1517"/>
    <mergeCell ref="A1518:E1518"/>
    <mergeCell ref="A1528:A1529"/>
    <mergeCell ref="A1539:A1540"/>
    <mergeCell ref="A1551:A1553"/>
    <mergeCell ref="A1581:E1581"/>
    <mergeCell ref="A1598:E1598"/>
    <mergeCell ref="A1617:E1617"/>
    <mergeCell ref="B3:B4"/>
    <mergeCell ref="A3:A4"/>
    <mergeCell ref="D3:D4"/>
    <mergeCell ref="E3:F3"/>
    <mergeCell ref="A749:G749"/>
    <mergeCell ref="A775:G775"/>
    <mergeCell ref="A845:G845"/>
    <mergeCell ref="A863:G863"/>
    <mergeCell ref="A707:G707"/>
    <mergeCell ref="A719:G719"/>
    <mergeCell ref="A729:G729"/>
    <mergeCell ref="A30:E30"/>
    <mergeCell ref="A111:E111"/>
    <mergeCell ref="A847:A849"/>
    <mergeCell ref="A862:E862"/>
    <mergeCell ref="A475:E475"/>
    <mergeCell ref="A640:A643"/>
    <mergeCell ref="A659:E659"/>
    <mergeCell ref="A664:A671"/>
    <mergeCell ref="A598:E598"/>
    <mergeCell ref="A609:A610"/>
    <mergeCell ref="A620:A621"/>
    <mergeCell ref="A632:A634"/>
    <mergeCell ref="A636:A637"/>
    <mergeCell ref="A1660:E1660"/>
    <mergeCell ref="B1677:E1677"/>
    <mergeCell ref="A1678:E1678"/>
    <mergeCell ref="G3:G4"/>
    <mergeCell ref="A1850:G1850"/>
    <mergeCell ref="A402:G402"/>
    <mergeCell ref="A382:G382"/>
    <mergeCell ref="A367:G367"/>
    <mergeCell ref="A357:G357"/>
    <mergeCell ref="A345:G345"/>
    <mergeCell ref="A414:G414"/>
    <mergeCell ref="A476:G476"/>
    <mergeCell ref="A599:G599"/>
    <mergeCell ref="A542:G542"/>
    <mergeCell ref="A523:G523"/>
    <mergeCell ref="A506:G506"/>
    <mergeCell ref="A496:G496"/>
    <mergeCell ref="A484:G484"/>
    <mergeCell ref="A661:G661"/>
    <mergeCell ref="A674:G674"/>
    <mergeCell ref="A686:G686"/>
    <mergeCell ref="A696:G696"/>
    <mergeCell ref="A701:G701"/>
    <mergeCell ref="C3:C4"/>
  </mergeCells>
  <conditionalFormatting sqref="B50:B57">
    <cfRule type="cellIs" dxfId="332" priority="614" operator="equal">
      <formula>0</formula>
    </cfRule>
  </conditionalFormatting>
  <conditionalFormatting sqref="B78">
    <cfRule type="cellIs" dxfId="331" priority="611" operator="equal">
      <formula>0</formula>
    </cfRule>
  </conditionalFormatting>
  <conditionalFormatting sqref="B394">
    <cfRule type="cellIs" dxfId="330" priority="603" operator="equal">
      <formula>0</formula>
    </cfRule>
  </conditionalFormatting>
  <conditionalFormatting sqref="B570">
    <cfRule type="cellIs" dxfId="329" priority="600" operator="equal">
      <formula>0</formula>
    </cfRule>
  </conditionalFormatting>
  <conditionalFormatting sqref="B741">
    <cfRule type="cellIs" dxfId="328" priority="594" operator="equal">
      <formula>0</formula>
    </cfRule>
  </conditionalFormatting>
  <conditionalFormatting sqref="B804">
    <cfRule type="cellIs" dxfId="327" priority="585" operator="equal">
      <formula>0</formula>
    </cfRule>
  </conditionalFormatting>
  <conditionalFormatting sqref="B1134">
    <cfRule type="cellIs" dxfId="326" priority="558" operator="equal">
      <formula>0</formula>
    </cfRule>
  </conditionalFormatting>
  <conditionalFormatting sqref="B1196">
    <cfRule type="cellIs" dxfId="325" priority="555" operator="equal">
      <formula>0</formula>
    </cfRule>
  </conditionalFormatting>
  <conditionalFormatting sqref="B1300">
    <cfRule type="cellIs" dxfId="324" priority="552" operator="equal">
      <formula>0</formula>
    </cfRule>
  </conditionalFormatting>
  <conditionalFormatting sqref="B1362">
    <cfRule type="cellIs" dxfId="323" priority="549" operator="equal">
      <formula>0</formula>
    </cfRule>
  </conditionalFormatting>
  <conditionalFormatting sqref="B1464">
    <cfRule type="cellIs" dxfId="322" priority="546" operator="equal">
      <formula>0</formula>
    </cfRule>
  </conditionalFormatting>
  <conditionalFormatting sqref="B2124">
    <cfRule type="cellIs" dxfId="321" priority="542" operator="equal">
      <formula>0</formula>
    </cfRule>
  </conditionalFormatting>
  <conditionalFormatting sqref="B2151">
    <cfRule type="cellIs" dxfId="320" priority="541" operator="equal">
      <formula>0</formula>
    </cfRule>
  </conditionalFormatting>
  <conditionalFormatting sqref="B2179:B2181">
    <cfRule type="cellIs" dxfId="319" priority="540" operator="equal">
      <formula>0</formula>
    </cfRule>
  </conditionalFormatting>
  <conditionalFormatting sqref="B2193">
    <cfRule type="cellIs" dxfId="318" priority="538" operator="equal">
      <formula>0</formula>
    </cfRule>
  </conditionalFormatting>
  <conditionalFormatting sqref="B2196:B2202">
    <cfRule type="cellIs" dxfId="317" priority="537" operator="equal">
      <formula>0</formula>
    </cfRule>
  </conditionalFormatting>
  <conditionalFormatting sqref="D50:D52">
    <cfRule type="cellIs" dxfId="316" priority="616" operator="equal">
      <formula>0</formula>
    </cfRule>
  </conditionalFormatting>
  <conditionalFormatting sqref="D759:D761 B759:B766">
    <cfRule type="cellIs" dxfId="315" priority="591" operator="equal">
      <formula>0</formula>
    </cfRule>
  </conditionalFormatting>
  <conditionalFormatting sqref="D983:D985 B983:B990">
    <cfRule type="cellIs" dxfId="314" priority="561" operator="equal">
      <formula>0</formula>
    </cfRule>
  </conditionalFormatting>
  <conditionalFormatting sqref="D1152:D1154 B1152:B1159">
    <cfRule type="cellIs" dxfId="313" priority="557" operator="equal">
      <formula>0</formula>
    </cfRule>
  </conditionalFormatting>
  <conditionalFormatting sqref="D1318:D1320 B1318:B1325">
    <cfRule type="cellIs" dxfId="312" priority="551" operator="equal">
      <formula>0</formula>
    </cfRule>
  </conditionalFormatting>
  <conditionalFormatting sqref="D2196:D2198">
    <cfRule type="cellIs" dxfId="311" priority="536" operator="equal">
      <formula>0</formula>
    </cfRule>
  </conditionalFormatting>
  <printOptions horizontalCentered="1"/>
  <pageMargins left="0.19685039370078741" right="0.19685039370078741" top="0.31496062992125984" bottom="0.23622047244094491" header="3.937007874015748E-2" footer="3.937007874015748E-2"/>
  <pageSetup paperSize="9" scale="80" orientation="landscape" r:id="rId1"/>
  <headerFooter>
    <oddFooter>Page &amp;P of &amp;N</oddFooter>
  </headerFooter>
  <rowBreaks count="2" manualBreakCount="2">
    <brk id="1868" max="6" man="1"/>
    <brk id="1876"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DA213-5A0B-4A2D-AA2F-83843EDCA9BA}">
  <dimension ref="A1:H2410"/>
  <sheetViews>
    <sheetView showGridLines="0" tabSelected="1" zoomScale="60" zoomScaleNormal="60" workbookViewId="0">
      <pane ySplit="3" topLeftCell="A4" activePane="bottomLeft" state="frozen"/>
      <selection pane="bottomLeft" activeCell="B6" sqref="B6"/>
    </sheetView>
  </sheetViews>
  <sheetFormatPr defaultRowHeight="15.75" outlineLevelRow="1" x14ac:dyDescent="0.25"/>
  <cols>
    <col min="1" max="1" width="5.85546875" style="1" bestFit="1" customWidth="1"/>
    <col min="2" max="2" width="63.7109375" style="3" customWidth="1"/>
    <col min="3" max="3" width="17.85546875" style="5" customWidth="1"/>
    <col min="4" max="5" width="17.85546875" style="4" customWidth="1"/>
    <col min="6" max="6" width="24.7109375" style="4" customWidth="1"/>
    <col min="7" max="7" width="20.5703125" style="454" bestFit="1" customWidth="1"/>
    <col min="8" max="8" width="19.7109375" style="1" bestFit="1" customWidth="1"/>
    <col min="9" max="16384" width="9.140625" style="1"/>
  </cols>
  <sheetData>
    <row r="1" spans="1:8" ht="26.25" customHeight="1" x14ac:dyDescent="0.25">
      <c r="A1" s="521" t="s">
        <v>0</v>
      </c>
      <c r="B1" s="521"/>
      <c r="C1" s="521"/>
      <c r="D1" s="521"/>
      <c r="E1" s="521"/>
      <c r="F1" s="521"/>
    </row>
    <row r="2" spans="1:8" ht="18.75" customHeight="1" x14ac:dyDescent="0.25">
      <c r="A2" s="522" t="s">
        <v>1</v>
      </c>
      <c r="B2" s="522"/>
      <c r="C2" s="522"/>
      <c r="D2" s="522"/>
      <c r="E2" s="522"/>
      <c r="F2" s="522"/>
    </row>
    <row r="3" spans="1:8" s="14" customFormat="1" ht="36" x14ac:dyDescent="0.3">
      <c r="A3" s="8" t="s">
        <v>2</v>
      </c>
      <c r="B3" s="9" t="s">
        <v>3</v>
      </c>
      <c r="C3" s="10" t="s">
        <v>4</v>
      </c>
      <c r="D3" s="11" t="s">
        <v>5</v>
      </c>
      <c r="E3" s="12" t="s">
        <v>6</v>
      </c>
      <c r="F3" s="13" t="s">
        <v>7</v>
      </c>
      <c r="G3" s="455"/>
    </row>
    <row r="4" spans="1:8" ht="25.5" customHeight="1" x14ac:dyDescent="0.25">
      <c r="A4" s="529" t="s">
        <v>8</v>
      </c>
      <c r="B4" s="529"/>
      <c r="C4" s="529"/>
      <c r="D4" s="529"/>
      <c r="E4" s="530"/>
      <c r="F4" s="262">
        <f>F171</f>
        <v>24248830.075395808</v>
      </c>
      <c r="G4" s="456">
        <f>H4-F4</f>
        <v>0.98545179888606071</v>
      </c>
      <c r="H4" s="448">
        <v>24248831.060847607</v>
      </c>
    </row>
    <row r="5" spans="1:8" outlineLevel="1" x14ac:dyDescent="0.25">
      <c r="A5" s="531" t="s">
        <v>9</v>
      </c>
      <c r="B5" s="532"/>
      <c r="C5" s="532"/>
      <c r="D5" s="532"/>
      <c r="E5" s="532"/>
      <c r="F5" s="533"/>
    </row>
    <row r="6" spans="1:8" ht="75" outlineLevel="1" x14ac:dyDescent="0.25">
      <c r="A6" s="73">
        <v>1</v>
      </c>
      <c r="B6" s="84" t="s">
        <v>10</v>
      </c>
      <c r="C6" s="75">
        <v>1000</v>
      </c>
      <c r="D6" s="76">
        <v>616487.5</v>
      </c>
      <c r="E6" s="77">
        <v>4640.7</v>
      </c>
      <c r="F6" s="78">
        <f>D6*E6/C6</f>
        <v>2860933.5412499998</v>
      </c>
    </row>
    <row r="7" spans="1:8" ht="36.75" customHeight="1" outlineLevel="1" x14ac:dyDescent="0.25">
      <c r="A7" s="20">
        <v>2</v>
      </c>
      <c r="B7" s="21" t="s">
        <v>11</v>
      </c>
      <c r="C7" s="22">
        <v>1000</v>
      </c>
      <c r="D7" s="23">
        <v>174315</v>
      </c>
      <c r="E7" s="24">
        <v>940.9</v>
      </c>
      <c r="F7" s="25">
        <f>D7*E7/C7</f>
        <v>164012.9835</v>
      </c>
    </row>
    <row r="8" spans="1:8" ht="45" outlineLevel="1" x14ac:dyDescent="0.25">
      <c r="A8" s="20">
        <v>3</v>
      </c>
      <c r="B8" s="21" t="s">
        <v>12</v>
      </c>
      <c r="C8" s="20"/>
      <c r="D8" s="23"/>
      <c r="E8" s="24"/>
      <c r="F8" s="24"/>
    </row>
    <row r="9" spans="1:8" outlineLevel="1" x14ac:dyDescent="0.25">
      <c r="A9" s="20"/>
      <c r="B9" s="21" t="s">
        <v>13</v>
      </c>
      <c r="C9" s="22">
        <v>1000</v>
      </c>
      <c r="D9" s="23">
        <v>20640</v>
      </c>
      <c r="E9" s="24">
        <v>1073.2</v>
      </c>
      <c r="F9" s="25">
        <f t="shared" ref="F9:F16" si="0">D9*E9/C9</f>
        <v>22150.848000000002</v>
      </c>
    </row>
    <row r="10" spans="1:8" outlineLevel="1" x14ac:dyDescent="0.25">
      <c r="A10" s="20"/>
      <c r="B10" s="21" t="s">
        <v>14</v>
      </c>
      <c r="C10" s="22">
        <v>1000</v>
      </c>
      <c r="D10" s="23">
        <v>2970</v>
      </c>
      <c r="E10" s="24">
        <v>2414.6999999999998</v>
      </c>
      <c r="F10" s="25">
        <f t="shared" si="0"/>
        <v>7171.6589999999987</v>
      </c>
    </row>
    <row r="11" spans="1:8" outlineLevel="1" x14ac:dyDescent="0.25">
      <c r="A11" s="20"/>
      <c r="B11" s="21" t="s">
        <v>15</v>
      </c>
      <c r="C11" s="22">
        <v>1000</v>
      </c>
      <c r="D11" s="23">
        <v>8792.5</v>
      </c>
      <c r="E11" s="24">
        <v>6677.8</v>
      </c>
      <c r="F11" s="25">
        <f t="shared" si="0"/>
        <v>58714.556499999999</v>
      </c>
    </row>
    <row r="12" spans="1:8" outlineLevel="1" x14ac:dyDescent="0.25">
      <c r="A12" s="20"/>
      <c r="B12" s="21" t="s">
        <v>16</v>
      </c>
      <c r="C12" s="22">
        <v>1000</v>
      </c>
      <c r="D12" s="23">
        <v>1215</v>
      </c>
      <c r="E12" s="24">
        <v>6751.2</v>
      </c>
      <c r="F12" s="25">
        <f t="shared" si="0"/>
        <v>8202.7080000000005</v>
      </c>
    </row>
    <row r="13" spans="1:8" outlineLevel="1" x14ac:dyDescent="0.25">
      <c r="A13" s="20"/>
      <c r="B13" s="21" t="s">
        <v>17</v>
      </c>
      <c r="C13" s="22">
        <v>1000</v>
      </c>
      <c r="D13" s="23">
        <v>18740</v>
      </c>
      <c r="E13" s="24">
        <v>6824.6</v>
      </c>
      <c r="F13" s="25">
        <f t="shared" si="0"/>
        <v>127893.004</v>
      </c>
    </row>
    <row r="14" spans="1:8" outlineLevel="1" x14ac:dyDescent="0.25">
      <c r="A14" s="20"/>
      <c r="B14" s="21" t="s">
        <v>18</v>
      </c>
      <c r="C14" s="22">
        <v>1000</v>
      </c>
      <c r="D14" s="23">
        <v>54772.5</v>
      </c>
      <c r="E14" s="24">
        <v>7338.4</v>
      </c>
      <c r="F14" s="25">
        <f t="shared" si="0"/>
        <v>401942.51400000002</v>
      </c>
    </row>
    <row r="15" spans="1:8" ht="49.5" customHeight="1" outlineLevel="1" x14ac:dyDescent="0.25">
      <c r="A15" s="20">
        <v>4</v>
      </c>
      <c r="B15" s="21" t="s">
        <v>19</v>
      </c>
      <c r="C15" s="26">
        <v>1</v>
      </c>
      <c r="D15" s="23">
        <v>410</v>
      </c>
      <c r="E15" s="24">
        <v>1935.4</v>
      </c>
      <c r="F15" s="25">
        <f t="shared" si="0"/>
        <v>793514</v>
      </c>
    </row>
    <row r="16" spans="1:8" ht="29.25" customHeight="1" outlineLevel="1" x14ac:dyDescent="0.25">
      <c r="A16" s="85">
        <v>5</v>
      </c>
      <c r="B16" s="86" t="s">
        <v>20</v>
      </c>
      <c r="C16" s="87">
        <v>1000</v>
      </c>
      <c r="D16" s="81">
        <v>315680</v>
      </c>
      <c r="E16" s="69">
        <v>376.2</v>
      </c>
      <c r="F16" s="71">
        <f t="shared" si="0"/>
        <v>118758.81600000001</v>
      </c>
    </row>
    <row r="17" spans="1:7" ht="15" customHeight="1" outlineLevel="1" x14ac:dyDescent="0.25">
      <c r="A17" s="534" t="s">
        <v>21</v>
      </c>
      <c r="B17" s="534"/>
      <c r="C17" s="534"/>
      <c r="D17" s="534"/>
      <c r="E17" s="534"/>
      <c r="F17" s="534"/>
    </row>
    <row r="18" spans="1:7" ht="66.75" customHeight="1" outlineLevel="1" x14ac:dyDescent="0.25">
      <c r="A18" s="88">
        <v>1</v>
      </c>
      <c r="B18" s="89" t="s">
        <v>22</v>
      </c>
      <c r="C18" s="75">
        <v>1000</v>
      </c>
      <c r="D18" s="90">
        <v>98</v>
      </c>
      <c r="E18" s="90">
        <v>15824.15</v>
      </c>
      <c r="F18" s="90">
        <f>D18*E18/C18</f>
        <v>1550.7666999999999</v>
      </c>
    </row>
    <row r="19" spans="1:7" s="15" customFormat="1" ht="54" customHeight="1" outlineLevel="1" x14ac:dyDescent="0.2">
      <c r="A19" s="32">
        <v>2</v>
      </c>
      <c r="B19" s="30" t="s">
        <v>23</v>
      </c>
      <c r="C19" s="33"/>
      <c r="D19" s="24"/>
      <c r="E19" s="24"/>
      <c r="F19" s="24"/>
      <c r="G19" s="457"/>
    </row>
    <row r="20" spans="1:7" s="15" customFormat="1" ht="22.5" customHeight="1" outlineLevel="1" x14ac:dyDescent="0.2">
      <c r="A20" s="32"/>
      <c r="B20" s="30" t="s">
        <v>24</v>
      </c>
      <c r="C20" s="22">
        <v>100</v>
      </c>
      <c r="D20" s="31">
        <v>24.5</v>
      </c>
      <c r="E20" s="31">
        <v>34694.300000000003</v>
      </c>
      <c r="F20" s="31">
        <f t="shared" ref="F20:F26" si="1">D20*E20/C20</f>
        <v>8500.1035000000011</v>
      </c>
      <c r="G20" s="457"/>
    </row>
    <row r="21" spans="1:7" s="15" customFormat="1" ht="40.5" customHeight="1" outlineLevel="1" x14ac:dyDescent="0.2">
      <c r="A21" s="32">
        <v>3</v>
      </c>
      <c r="B21" s="30" t="s">
        <v>25</v>
      </c>
      <c r="C21" s="22">
        <v>100</v>
      </c>
      <c r="D21" s="31">
        <v>97.5</v>
      </c>
      <c r="E21" s="31">
        <v>32675.95</v>
      </c>
      <c r="F21" s="31">
        <f t="shared" si="1"/>
        <v>31859.05125</v>
      </c>
      <c r="G21" s="457"/>
    </row>
    <row r="22" spans="1:7" s="15" customFormat="1" ht="54" customHeight="1" outlineLevel="1" x14ac:dyDescent="0.2">
      <c r="A22" s="32">
        <v>4</v>
      </c>
      <c r="B22" s="30" t="s">
        <v>26</v>
      </c>
      <c r="C22" s="28">
        <v>100</v>
      </c>
      <c r="D22" s="31">
        <v>39</v>
      </c>
      <c r="E22" s="31">
        <v>11851.7</v>
      </c>
      <c r="F22" s="31">
        <f t="shared" si="1"/>
        <v>4622.1630000000005</v>
      </c>
      <c r="G22" s="457"/>
    </row>
    <row r="23" spans="1:7" ht="38.25" customHeight="1" outlineLevel="1" x14ac:dyDescent="0.25">
      <c r="A23" s="29">
        <v>5</v>
      </c>
      <c r="B23" s="30" t="s">
        <v>27</v>
      </c>
      <c r="C23" s="22">
        <v>100</v>
      </c>
      <c r="D23" s="31">
        <v>81.703125</v>
      </c>
      <c r="E23" s="31">
        <v>37620.6</v>
      </c>
      <c r="F23" s="31">
        <f t="shared" si="1"/>
        <v>30737.205843750002</v>
      </c>
    </row>
    <row r="24" spans="1:7" ht="27" customHeight="1" outlineLevel="1" x14ac:dyDescent="0.25">
      <c r="A24" s="29">
        <v>6</v>
      </c>
      <c r="B24" s="30" t="s">
        <v>28</v>
      </c>
      <c r="C24" s="28">
        <v>100</v>
      </c>
      <c r="D24" s="31">
        <v>230.64999999999998</v>
      </c>
      <c r="E24" s="31">
        <v>4334.75</v>
      </c>
      <c r="F24" s="31">
        <f t="shared" si="1"/>
        <v>9998.1008749999983</v>
      </c>
    </row>
    <row r="25" spans="1:7" ht="68.25" customHeight="1" outlineLevel="1" x14ac:dyDescent="0.25">
      <c r="A25" s="29">
        <v>7</v>
      </c>
      <c r="B25" s="30" t="s">
        <v>29</v>
      </c>
      <c r="C25" s="28">
        <v>100</v>
      </c>
      <c r="D25" s="31">
        <v>230.64999999999998</v>
      </c>
      <c r="E25" s="31">
        <v>7379.1</v>
      </c>
      <c r="F25" s="31">
        <f t="shared" si="1"/>
        <v>17019.894149999996</v>
      </c>
    </row>
    <row r="26" spans="1:7" ht="29.25" customHeight="1" outlineLevel="1" x14ac:dyDescent="0.25">
      <c r="A26" s="29">
        <v>8</v>
      </c>
      <c r="B26" s="30" t="s">
        <v>30</v>
      </c>
      <c r="C26" s="34">
        <v>1</v>
      </c>
      <c r="D26" s="31">
        <v>500</v>
      </c>
      <c r="E26" s="31">
        <v>30.5</v>
      </c>
      <c r="F26" s="31">
        <f t="shared" si="1"/>
        <v>15250</v>
      </c>
    </row>
    <row r="27" spans="1:7" ht="84.75" customHeight="1" outlineLevel="1" x14ac:dyDescent="0.25">
      <c r="A27" s="29">
        <v>9</v>
      </c>
      <c r="B27" s="30" t="s">
        <v>31</v>
      </c>
      <c r="C27" s="33"/>
      <c r="D27" s="31"/>
      <c r="E27" s="31"/>
      <c r="F27" s="31"/>
    </row>
    <row r="28" spans="1:7" ht="28.5" customHeight="1" outlineLevel="1" x14ac:dyDescent="0.25">
      <c r="A28" s="91"/>
      <c r="B28" s="92" t="s">
        <v>32</v>
      </c>
      <c r="C28" s="68">
        <v>100</v>
      </c>
      <c r="D28" s="93">
        <v>4.29</v>
      </c>
      <c r="E28" s="93">
        <v>14042.6</v>
      </c>
      <c r="F28" s="93">
        <f>D28*E28/C28</f>
        <v>602.42754000000002</v>
      </c>
    </row>
    <row r="29" spans="1:7" ht="15" customHeight="1" outlineLevel="1" x14ac:dyDescent="0.25">
      <c r="A29" s="534" t="s">
        <v>33</v>
      </c>
      <c r="B29" s="534"/>
      <c r="C29" s="534"/>
      <c r="D29" s="534"/>
      <c r="E29" s="534"/>
      <c r="F29" s="534"/>
    </row>
    <row r="30" spans="1:7" s="15" customFormat="1" ht="24.75" customHeight="1" outlineLevel="1" x14ac:dyDescent="0.2">
      <c r="A30" s="82">
        <v>1</v>
      </c>
      <c r="B30" s="94" t="s">
        <v>34</v>
      </c>
      <c r="C30" s="75">
        <v>1</v>
      </c>
      <c r="D30" s="77">
        <v>55.04</v>
      </c>
      <c r="E30" s="95">
        <v>546.95000000000005</v>
      </c>
      <c r="F30" s="90">
        <f t="shared" ref="F30:F35" si="2">D30*E30/C30</f>
        <v>30104.128000000001</v>
      </c>
      <c r="G30" s="457"/>
    </row>
    <row r="31" spans="1:7" s="15" customFormat="1" ht="51" customHeight="1" outlineLevel="1" x14ac:dyDescent="0.2">
      <c r="A31" s="35">
        <v>2</v>
      </c>
      <c r="B31" s="36" t="s">
        <v>35</v>
      </c>
      <c r="C31" s="38">
        <v>100</v>
      </c>
      <c r="D31" s="24">
        <v>125.76</v>
      </c>
      <c r="E31" s="37">
        <v>30006.1</v>
      </c>
      <c r="F31" s="31">
        <f t="shared" si="2"/>
        <v>37735.67136</v>
      </c>
      <c r="G31" s="457"/>
    </row>
    <row r="32" spans="1:7" s="15" customFormat="1" ht="27.75" customHeight="1" outlineLevel="1" x14ac:dyDescent="0.2">
      <c r="A32" s="32">
        <v>3</v>
      </c>
      <c r="B32" s="36" t="s">
        <v>36</v>
      </c>
      <c r="C32" s="34">
        <v>1</v>
      </c>
      <c r="D32" s="24">
        <v>32</v>
      </c>
      <c r="E32" s="37">
        <v>115.4</v>
      </c>
      <c r="F32" s="31">
        <f t="shared" si="2"/>
        <v>3692.8</v>
      </c>
      <c r="G32" s="457"/>
    </row>
    <row r="33" spans="1:7" s="15" customFormat="1" ht="27.75" customHeight="1" outlineLevel="1" x14ac:dyDescent="0.2">
      <c r="A33" s="32">
        <v>4</v>
      </c>
      <c r="B33" s="36" t="s">
        <v>37</v>
      </c>
      <c r="C33" s="39">
        <v>1</v>
      </c>
      <c r="D33" s="24">
        <v>32</v>
      </c>
      <c r="E33" s="37">
        <v>141.9</v>
      </c>
      <c r="F33" s="31">
        <f t="shared" si="2"/>
        <v>4540.8</v>
      </c>
      <c r="G33" s="457"/>
    </row>
    <row r="34" spans="1:7" s="15" customFormat="1" ht="27.75" customHeight="1" outlineLevel="1" x14ac:dyDescent="0.2">
      <c r="A34" s="32">
        <v>5</v>
      </c>
      <c r="B34" s="36" t="s">
        <v>38</v>
      </c>
      <c r="C34" s="28">
        <v>100</v>
      </c>
      <c r="D34" s="24">
        <v>112</v>
      </c>
      <c r="E34" s="37">
        <v>4307.55</v>
      </c>
      <c r="F34" s="31">
        <f t="shared" si="2"/>
        <v>4824.4560000000001</v>
      </c>
      <c r="G34" s="457"/>
    </row>
    <row r="35" spans="1:7" s="15" customFormat="1" ht="38.25" customHeight="1" outlineLevel="1" x14ac:dyDescent="0.2">
      <c r="A35" s="32">
        <v>6</v>
      </c>
      <c r="B35" s="36" t="s">
        <v>39</v>
      </c>
      <c r="C35" s="34">
        <v>1</v>
      </c>
      <c r="D35" s="24">
        <v>320</v>
      </c>
      <c r="E35" s="37">
        <v>30.5</v>
      </c>
      <c r="F35" s="31">
        <f t="shared" si="2"/>
        <v>9760</v>
      </c>
      <c r="G35" s="457"/>
    </row>
    <row r="36" spans="1:7" s="15" customFormat="1" ht="89.25" customHeight="1" outlineLevel="1" x14ac:dyDescent="0.2">
      <c r="A36" s="32">
        <v>7</v>
      </c>
      <c r="B36" s="36" t="s">
        <v>40</v>
      </c>
      <c r="C36" s="33"/>
      <c r="D36" s="24"/>
      <c r="E36" s="23"/>
      <c r="F36" s="23"/>
      <c r="G36" s="457"/>
    </row>
    <row r="37" spans="1:7" s="15" customFormat="1" ht="15" outlineLevel="1" x14ac:dyDescent="0.2">
      <c r="A37" s="79" t="s">
        <v>41</v>
      </c>
      <c r="B37" s="80" t="s">
        <v>42</v>
      </c>
      <c r="C37" s="68">
        <v>100</v>
      </c>
      <c r="D37" s="70">
        <v>48.435200000000002</v>
      </c>
      <c r="E37" s="70">
        <v>14042.6</v>
      </c>
      <c r="F37" s="93">
        <f>D37*E37/C37</f>
        <v>6801.5613952000012</v>
      </c>
      <c r="G37" s="457"/>
    </row>
    <row r="38" spans="1:7" outlineLevel="1" x14ac:dyDescent="0.25">
      <c r="A38" s="518" t="s">
        <v>43</v>
      </c>
      <c r="B38" s="518"/>
      <c r="C38" s="518"/>
      <c r="D38" s="518"/>
      <c r="E38" s="518"/>
      <c r="F38" s="97">
        <f>SUM(F6:F37)</f>
        <v>4780893.7598639475</v>
      </c>
    </row>
    <row r="39" spans="1:7" outlineLevel="1" x14ac:dyDescent="0.25">
      <c r="A39" s="534" t="s">
        <v>44</v>
      </c>
      <c r="B39" s="534"/>
      <c r="C39" s="534"/>
      <c r="D39" s="534"/>
      <c r="E39" s="534"/>
      <c r="F39" s="534"/>
    </row>
    <row r="40" spans="1:7" ht="75" outlineLevel="1" x14ac:dyDescent="0.25">
      <c r="A40" s="82">
        <v>1</v>
      </c>
      <c r="B40" s="96" t="s">
        <v>45</v>
      </c>
      <c r="C40" s="75">
        <v>1000</v>
      </c>
      <c r="D40" s="77">
        <v>6406.1200000000063</v>
      </c>
      <c r="E40" s="77">
        <v>12735.6</v>
      </c>
      <c r="F40" s="77">
        <f>E40*D40/C40</f>
        <v>81585.78187200008</v>
      </c>
    </row>
    <row r="41" spans="1:7" ht="32.25" customHeight="1" outlineLevel="1" x14ac:dyDescent="0.25">
      <c r="A41" s="32">
        <v>2</v>
      </c>
      <c r="B41" s="41" t="s">
        <v>23</v>
      </c>
      <c r="C41" s="29"/>
      <c r="D41" s="24"/>
      <c r="E41" s="24"/>
      <c r="F41" s="24"/>
    </row>
    <row r="42" spans="1:7" outlineLevel="1" x14ac:dyDescent="0.25">
      <c r="A42" s="32"/>
      <c r="B42" s="40" t="s">
        <v>24</v>
      </c>
      <c r="C42" s="22">
        <v>100</v>
      </c>
      <c r="D42" s="24">
        <v>361</v>
      </c>
      <c r="E42" s="24">
        <v>34694.300000000003</v>
      </c>
      <c r="F42" s="24">
        <f>E42*D42/C42</f>
        <v>125246.42300000001</v>
      </c>
    </row>
    <row r="43" spans="1:7" ht="90" outlineLevel="1" x14ac:dyDescent="0.25">
      <c r="A43" s="32">
        <v>3</v>
      </c>
      <c r="B43" s="40" t="s">
        <v>46</v>
      </c>
      <c r="C43" s="42">
        <v>100</v>
      </c>
      <c r="D43" s="24">
        <v>12000.720000000016</v>
      </c>
      <c r="E43" s="43">
        <v>30376.9</v>
      </c>
      <c r="F43" s="24">
        <f>E43*D43/C43</f>
        <v>3645446.7136800052</v>
      </c>
    </row>
    <row r="44" spans="1:7" ht="130.5" customHeight="1" outlineLevel="1" x14ac:dyDescent="0.25">
      <c r="A44" s="32">
        <v>4</v>
      </c>
      <c r="B44" s="41" t="s">
        <v>47</v>
      </c>
      <c r="C44" s="29"/>
      <c r="D44" s="24"/>
      <c r="E44" s="37"/>
      <c r="F44" s="37"/>
    </row>
    <row r="45" spans="1:7" ht="75" outlineLevel="1" x14ac:dyDescent="0.25">
      <c r="A45" s="32" t="s">
        <v>48</v>
      </c>
      <c r="B45" s="40" t="s">
        <v>49</v>
      </c>
      <c r="C45" s="22">
        <v>1</v>
      </c>
      <c r="D45" s="24">
        <v>2556.2400000000052</v>
      </c>
      <c r="E45" s="24">
        <v>817.55</v>
      </c>
      <c r="F45" s="24">
        <f t="shared" ref="F45:F51" si="3">E45*D45/C45</f>
        <v>2089854.0120000041</v>
      </c>
    </row>
    <row r="46" spans="1:7" ht="75" outlineLevel="1" x14ac:dyDescent="0.25">
      <c r="A46" s="32" t="s">
        <v>50</v>
      </c>
      <c r="B46" s="40" t="s">
        <v>51</v>
      </c>
      <c r="C46" s="22">
        <v>1</v>
      </c>
      <c r="D46" s="24">
        <v>1444</v>
      </c>
      <c r="E46" s="24">
        <v>670.5</v>
      </c>
      <c r="F46" s="24">
        <f t="shared" si="3"/>
        <v>968202</v>
      </c>
    </row>
    <row r="47" spans="1:7" ht="35.25" customHeight="1" outlineLevel="1" x14ac:dyDescent="0.25">
      <c r="A47" s="32">
        <v>5</v>
      </c>
      <c r="B47" s="40" t="s">
        <v>52</v>
      </c>
      <c r="C47" s="28">
        <v>100</v>
      </c>
      <c r="D47" s="24">
        <v>2739.760000000007</v>
      </c>
      <c r="E47" s="37">
        <v>1645.1</v>
      </c>
      <c r="F47" s="24">
        <f t="shared" si="3"/>
        <v>45071.791760000109</v>
      </c>
    </row>
    <row r="48" spans="1:7" ht="45" outlineLevel="1" x14ac:dyDescent="0.25">
      <c r="A48" s="32">
        <v>6</v>
      </c>
      <c r="B48" s="40" t="s">
        <v>53</v>
      </c>
      <c r="C48" s="44">
        <v>1</v>
      </c>
      <c r="D48" s="24">
        <v>13.5</v>
      </c>
      <c r="E48" s="37">
        <v>303.8</v>
      </c>
      <c r="F48" s="24">
        <f t="shared" si="3"/>
        <v>4101.3</v>
      </c>
    </row>
    <row r="49" spans="1:6" ht="114.75" customHeight="1" outlineLevel="1" x14ac:dyDescent="0.25">
      <c r="A49" s="32">
        <v>7</v>
      </c>
      <c r="B49" s="45" t="s">
        <v>54</v>
      </c>
      <c r="C49" s="22">
        <v>100</v>
      </c>
      <c r="D49" s="24">
        <v>480</v>
      </c>
      <c r="E49" s="24">
        <v>10003.5</v>
      </c>
      <c r="F49" s="24">
        <f t="shared" si="3"/>
        <v>48016.800000000003</v>
      </c>
    </row>
    <row r="50" spans="1:6" ht="112.5" customHeight="1" outlineLevel="1" x14ac:dyDescent="0.25">
      <c r="A50" s="32">
        <v>8</v>
      </c>
      <c r="B50" s="45" t="s">
        <v>55</v>
      </c>
      <c r="C50" s="22">
        <v>100</v>
      </c>
      <c r="D50" s="24">
        <v>480</v>
      </c>
      <c r="E50" s="24">
        <v>13527.4</v>
      </c>
      <c r="F50" s="24">
        <f t="shared" si="3"/>
        <v>64931.519999999997</v>
      </c>
    </row>
    <row r="51" spans="1:6" ht="35.25" customHeight="1" outlineLevel="1" x14ac:dyDescent="0.25">
      <c r="A51" s="32">
        <v>9</v>
      </c>
      <c r="B51" s="45" t="s">
        <v>56</v>
      </c>
      <c r="C51" s="44">
        <v>1</v>
      </c>
      <c r="D51" s="24">
        <v>120</v>
      </c>
      <c r="E51" s="24">
        <v>64.2</v>
      </c>
      <c r="F51" s="24">
        <f t="shared" si="3"/>
        <v>7704</v>
      </c>
    </row>
    <row r="52" spans="1:6" ht="105" outlineLevel="1" x14ac:dyDescent="0.25">
      <c r="A52" s="32">
        <v>10</v>
      </c>
      <c r="B52" s="45" t="s">
        <v>57</v>
      </c>
      <c r="C52" s="46"/>
      <c r="D52" s="37"/>
      <c r="E52" s="37"/>
      <c r="F52" s="37"/>
    </row>
    <row r="53" spans="1:6" ht="45" outlineLevel="1" x14ac:dyDescent="0.25">
      <c r="A53" s="32" t="s">
        <v>58</v>
      </c>
      <c r="B53" s="45" t="s">
        <v>59</v>
      </c>
      <c r="C53" s="28">
        <v>100</v>
      </c>
      <c r="D53" s="37">
        <v>960</v>
      </c>
      <c r="E53" s="37">
        <v>4549.95</v>
      </c>
      <c r="F53" s="24">
        <f t="shared" ref="F53:F58" si="4">E53*D53/C53</f>
        <v>43679.519999999997</v>
      </c>
    </row>
    <row r="54" spans="1:6" ht="45" outlineLevel="1" x14ac:dyDescent="0.25">
      <c r="A54" s="32" t="s">
        <v>60</v>
      </c>
      <c r="B54" s="45" t="s">
        <v>61</v>
      </c>
      <c r="C54" s="28">
        <v>100</v>
      </c>
      <c r="D54" s="37">
        <v>960</v>
      </c>
      <c r="E54" s="37">
        <v>2639.45</v>
      </c>
      <c r="F54" s="24">
        <f t="shared" si="4"/>
        <v>25338.720000000001</v>
      </c>
    </row>
    <row r="55" spans="1:6" ht="45" outlineLevel="1" x14ac:dyDescent="0.25">
      <c r="A55" s="32" t="s">
        <v>62</v>
      </c>
      <c r="B55" s="45" t="s">
        <v>63</v>
      </c>
      <c r="C55" s="28">
        <v>100</v>
      </c>
      <c r="D55" s="37">
        <v>960</v>
      </c>
      <c r="E55" s="37">
        <v>1960.75</v>
      </c>
      <c r="F55" s="24">
        <f t="shared" si="4"/>
        <v>18823.2</v>
      </c>
    </row>
    <row r="56" spans="1:6" ht="45" outlineLevel="1" x14ac:dyDescent="0.25">
      <c r="A56" s="32">
        <v>11</v>
      </c>
      <c r="B56" s="45" t="s">
        <v>64</v>
      </c>
      <c r="C56" s="22">
        <v>100</v>
      </c>
      <c r="D56" s="37">
        <v>960</v>
      </c>
      <c r="E56" s="37">
        <v>4017.8</v>
      </c>
      <c r="F56" s="24">
        <f t="shared" si="4"/>
        <v>38570.879999999997</v>
      </c>
    </row>
    <row r="57" spans="1:6" ht="30.75" customHeight="1" outlineLevel="1" x14ac:dyDescent="0.25">
      <c r="A57" s="47">
        <v>12</v>
      </c>
      <c r="B57" s="48" t="s">
        <v>65</v>
      </c>
      <c r="C57" s="22">
        <v>1000</v>
      </c>
      <c r="D57" s="24">
        <v>6480</v>
      </c>
      <c r="E57" s="37">
        <v>10533.6</v>
      </c>
      <c r="F57" s="24">
        <f t="shared" si="4"/>
        <v>68257.728000000003</v>
      </c>
    </row>
    <row r="58" spans="1:6" ht="30.75" customHeight="1" outlineLevel="1" x14ac:dyDescent="0.25">
      <c r="A58" s="32">
        <v>14</v>
      </c>
      <c r="B58" s="40" t="s">
        <v>66</v>
      </c>
      <c r="C58" s="22">
        <v>1000</v>
      </c>
      <c r="D58" s="24">
        <v>6480</v>
      </c>
      <c r="E58" s="23">
        <v>5266.8</v>
      </c>
      <c r="F58" s="24">
        <f t="shared" si="4"/>
        <v>34128.864000000001</v>
      </c>
    </row>
    <row r="59" spans="1:6" ht="75.75" outlineLevel="1" x14ac:dyDescent="0.25">
      <c r="A59" s="32">
        <v>15</v>
      </c>
      <c r="B59" s="40" t="s">
        <v>40</v>
      </c>
      <c r="C59" s="33"/>
      <c r="D59" s="24"/>
      <c r="E59" s="23"/>
      <c r="F59" s="23"/>
    </row>
    <row r="60" spans="1:6" outlineLevel="1" x14ac:dyDescent="0.25">
      <c r="A60" s="32" t="s">
        <v>67</v>
      </c>
      <c r="B60" s="40" t="s">
        <v>68</v>
      </c>
      <c r="C60" s="22">
        <v>100</v>
      </c>
      <c r="D60" s="24">
        <v>346.56</v>
      </c>
      <c r="E60" s="23">
        <v>14042.6</v>
      </c>
      <c r="F60" s="24">
        <f>E60*D60/C60</f>
        <v>48666.03456</v>
      </c>
    </row>
    <row r="61" spans="1:6" outlineLevel="1" x14ac:dyDescent="0.25">
      <c r="A61" s="32" t="s">
        <v>41</v>
      </c>
      <c r="B61" s="40" t="s">
        <v>69</v>
      </c>
      <c r="C61" s="22">
        <v>100</v>
      </c>
      <c r="D61" s="24">
        <v>3360.2016000000044</v>
      </c>
      <c r="E61" s="23">
        <v>14042.6</v>
      </c>
      <c r="F61" s="24">
        <f>E61*D61/C61</f>
        <v>471859.66988160065</v>
      </c>
    </row>
    <row r="62" spans="1:6" outlineLevel="1" x14ac:dyDescent="0.25">
      <c r="A62" s="32" t="s">
        <v>70</v>
      </c>
      <c r="B62" s="40" t="s">
        <v>71</v>
      </c>
      <c r="C62" s="22">
        <v>100</v>
      </c>
      <c r="D62" s="24">
        <v>585.6</v>
      </c>
      <c r="E62" s="23">
        <v>14042.6</v>
      </c>
      <c r="F62" s="24">
        <f>E62*D62/C62</f>
        <v>82233.46560000001</v>
      </c>
    </row>
    <row r="63" spans="1:6" outlineLevel="1" x14ac:dyDescent="0.25">
      <c r="A63" s="79" t="s">
        <v>70</v>
      </c>
      <c r="B63" s="80" t="s">
        <v>72</v>
      </c>
      <c r="C63" s="68">
        <v>100</v>
      </c>
      <c r="D63" s="69">
        <v>72</v>
      </c>
      <c r="E63" s="81">
        <v>14042.6</v>
      </c>
      <c r="F63" s="69">
        <f>E63*D63/C63</f>
        <v>10110.672</v>
      </c>
    </row>
    <row r="64" spans="1:6" outlineLevel="1" x14ac:dyDescent="0.25">
      <c r="A64" s="506" t="s">
        <v>73</v>
      </c>
      <c r="B64" s="506"/>
      <c r="C64" s="506"/>
      <c r="D64" s="506"/>
      <c r="E64" s="506"/>
      <c r="F64" s="19">
        <f>SUM(F40:F63)</f>
        <v>7921829.0963536091</v>
      </c>
    </row>
    <row r="65" spans="1:6" outlineLevel="1" x14ac:dyDescent="0.25">
      <c r="A65" s="534" t="s">
        <v>74</v>
      </c>
      <c r="B65" s="534"/>
      <c r="C65" s="534"/>
      <c r="D65" s="534"/>
      <c r="E65" s="534"/>
      <c r="F65" s="534"/>
    </row>
    <row r="66" spans="1:6" ht="75" outlineLevel="1" x14ac:dyDescent="0.25">
      <c r="A66" s="82">
        <v>1</v>
      </c>
      <c r="B66" s="96" t="s">
        <v>45</v>
      </c>
      <c r="C66" s="75">
        <v>1000</v>
      </c>
      <c r="D66" s="77">
        <v>1867.645</v>
      </c>
      <c r="E66" s="77">
        <v>12735.6</v>
      </c>
      <c r="F66" s="95">
        <f>E66*D66/C66</f>
        <v>23785.579662</v>
      </c>
    </row>
    <row r="67" spans="1:6" ht="24" customHeight="1" outlineLevel="1" x14ac:dyDescent="0.25">
      <c r="A67" s="35">
        <v>2</v>
      </c>
      <c r="B67" s="40" t="s">
        <v>75</v>
      </c>
      <c r="C67" s="22">
        <v>1000</v>
      </c>
      <c r="D67" s="24">
        <v>1867.645</v>
      </c>
      <c r="E67" s="24">
        <v>12038.4</v>
      </c>
      <c r="F67" s="37">
        <f>E67*D67/C67</f>
        <v>22483.457568000002</v>
      </c>
    </row>
    <row r="68" spans="1:6" ht="45" outlineLevel="1" x14ac:dyDescent="0.25">
      <c r="A68" s="32">
        <v>3</v>
      </c>
      <c r="B68" s="41" t="s">
        <v>23</v>
      </c>
      <c r="C68" s="33"/>
      <c r="D68" s="24"/>
      <c r="E68" s="37"/>
      <c r="F68" s="37"/>
    </row>
    <row r="69" spans="1:6" outlineLevel="1" x14ac:dyDescent="0.25">
      <c r="A69" s="32" t="s">
        <v>48</v>
      </c>
      <c r="B69" s="40" t="s">
        <v>76</v>
      </c>
      <c r="C69" s="22">
        <v>100</v>
      </c>
      <c r="D69" s="24">
        <v>257.19499999999999</v>
      </c>
      <c r="E69" s="24">
        <v>34694.300000000003</v>
      </c>
      <c r="F69" s="37">
        <f>E69*D69/C69</f>
        <v>89232.004885000002</v>
      </c>
    </row>
    <row r="70" spans="1:6" outlineLevel="1" x14ac:dyDescent="0.25">
      <c r="A70" s="32" t="s">
        <v>50</v>
      </c>
      <c r="B70" s="40" t="s">
        <v>77</v>
      </c>
      <c r="C70" s="22">
        <v>100</v>
      </c>
      <c r="D70" s="24">
        <v>34</v>
      </c>
      <c r="E70" s="24">
        <v>47135.9</v>
      </c>
      <c r="F70" s="37">
        <f>E70*D70/C70</f>
        <v>16026.206</v>
      </c>
    </row>
    <row r="71" spans="1:6" ht="90" outlineLevel="1" x14ac:dyDescent="0.25">
      <c r="A71" s="32">
        <v>4</v>
      </c>
      <c r="B71" s="40" t="s">
        <v>46</v>
      </c>
      <c r="C71" s="49">
        <v>100</v>
      </c>
      <c r="D71" s="24">
        <v>6108.9827999999998</v>
      </c>
      <c r="E71" s="43">
        <v>30376.9</v>
      </c>
      <c r="F71" s="37">
        <f>E71*D71/C71</f>
        <v>1855719.5961732001</v>
      </c>
    </row>
    <row r="72" spans="1:6" ht="120.75" outlineLevel="1" x14ac:dyDescent="0.25">
      <c r="A72" s="32">
        <v>5</v>
      </c>
      <c r="B72" s="41" t="s">
        <v>78</v>
      </c>
      <c r="C72" s="33"/>
      <c r="D72" s="24"/>
      <c r="E72" s="37"/>
      <c r="F72" s="50"/>
    </row>
    <row r="73" spans="1:6" ht="75" outlineLevel="1" x14ac:dyDescent="0.25">
      <c r="A73" s="32" t="s">
        <v>48</v>
      </c>
      <c r="B73" s="40" t="s">
        <v>49</v>
      </c>
      <c r="C73" s="22">
        <v>1</v>
      </c>
      <c r="D73" s="24">
        <v>1266.9126000000001</v>
      </c>
      <c r="E73" s="24">
        <v>817.55</v>
      </c>
      <c r="F73" s="37">
        <f t="shared" ref="F73:F79" si="5">E73*D73/C73</f>
        <v>1035764.39613</v>
      </c>
    </row>
    <row r="74" spans="1:6" ht="75" outlineLevel="1" x14ac:dyDescent="0.25">
      <c r="A74" s="32" t="s">
        <v>50</v>
      </c>
      <c r="B74" s="40" t="s">
        <v>51</v>
      </c>
      <c r="C74" s="22">
        <v>1</v>
      </c>
      <c r="D74" s="24">
        <v>769.41499999999996</v>
      </c>
      <c r="E74" s="24">
        <v>670.5</v>
      </c>
      <c r="F74" s="37">
        <f t="shared" si="5"/>
        <v>515892.75749999995</v>
      </c>
    </row>
    <row r="75" spans="1:6" ht="33.75" customHeight="1" outlineLevel="1" x14ac:dyDescent="0.25">
      <c r="A75" s="32">
        <v>6</v>
      </c>
      <c r="B75" s="40" t="s">
        <v>52</v>
      </c>
      <c r="C75" s="28">
        <v>100</v>
      </c>
      <c r="D75" s="24">
        <v>751.27499999999998</v>
      </c>
      <c r="E75" s="37">
        <v>1645.1</v>
      </c>
      <c r="F75" s="37">
        <f t="shared" si="5"/>
        <v>12359.225025</v>
      </c>
    </row>
    <row r="76" spans="1:6" ht="33.75" customHeight="1" outlineLevel="1" x14ac:dyDescent="0.25">
      <c r="A76" s="32">
        <v>7</v>
      </c>
      <c r="B76" s="41" t="s">
        <v>79</v>
      </c>
      <c r="C76" s="22">
        <v>100</v>
      </c>
      <c r="D76" s="24">
        <v>80</v>
      </c>
      <c r="E76" s="37">
        <v>35727</v>
      </c>
      <c r="F76" s="37">
        <f t="shared" si="5"/>
        <v>28581.599999999999</v>
      </c>
    </row>
    <row r="77" spans="1:6" ht="60" outlineLevel="1" x14ac:dyDescent="0.25">
      <c r="A77" s="32">
        <v>8</v>
      </c>
      <c r="B77" s="51" t="s">
        <v>80</v>
      </c>
      <c r="C77" s="52">
        <v>1</v>
      </c>
      <c r="D77" s="24">
        <v>189.5</v>
      </c>
      <c r="E77" s="24">
        <v>809.4</v>
      </c>
      <c r="F77" s="37">
        <f t="shared" si="5"/>
        <v>153381.29999999999</v>
      </c>
    </row>
    <row r="78" spans="1:6" ht="30.75" customHeight="1" outlineLevel="1" x14ac:dyDescent="0.25">
      <c r="A78" s="32">
        <v>9</v>
      </c>
      <c r="B78" s="53" t="s">
        <v>81</v>
      </c>
      <c r="C78" s="52">
        <v>1</v>
      </c>
      <c r="D78" s="24">
        <v>70</v>
      </c>
      <c r="E78" s="24">
        <v>1381</v>
      </c>
      <c r="F78" s="37">
        <f t="shared" si="5"/>
        <v>96670</v>
      </c>
    </row>
    <row r="79" spans="1:6" ht="24" customHeight="1" outlineLevel="1" x14ac:dyDescent="0.25">
      <c r="A79" s="32">
        <v>10</v>
      </c>
      <c r="B79" s="40" t="s">
        <v>66</v>
      </c>
      <c r="C79" s="22">
        <v>1000</v>
      </c>
      <c r="D79" s="24">
        <v>4000</v>
      </c>
      <c r="E79" s="23">
        <v>5266.8</v>
      </c>
      <c r="F79" s="37">
        <f t="shared" si="5"/>
        <v>21067.200000000001</v>
      </c>
    </row>
    <row r="80" spans="1:6" ht="75.75" outlineLevel="1" x14ac:dyDescent="0.25">
      <c r="A80" s="32">
        <v>11</v>
      </c>
      <c r="B80" s="40" t="s">
        <v>40</v>
      </c>
      <c r="C80" s="33"/>
      <c r="D80" s="24"/>
      <c r="E80" s="23"/>
      <c r="F80" s="23"/>
    </row>
    <row r="81" spans="1:6" outlineLevel="1" x14ac:dyDescent="0.25">
      <c r="A81" s="32" t="s">
        <v>67</v>
      </c>
      <c r="B81" s="40" t="s">
        <v>68</v>
      </c>
      <c r="C81" s="22">
        <v>100</v>
      </c>
      <c r="D81" s="24">
        <v>246.90719999999999</v>
      </c>
      <c r="E81" s="23">
        <v>14042.6</v>
      </c>
      <c r="F81" s="37">
        <f>E81*D81/C81</f>
        <v>34672.190467200002</v>
      </c>
    </row>
    <row r="82" spans="1:6" outlineLevel="1" x14ac:dyDescent="0.25">
      <c r="A82" s="32" t="s">
        <v>41</v>
      </c>
      <c r="B82" s="40" t="s">
        <v>42</v>
      </c>
      <c r="C82" s="22">
        <v>100</v>
      </c>
      <c r="D82" s="24">
        <v>29.92</v>
      </c>
      <c r="E82" s="23">
        <v>14042.6</v>
      </c>
      <c r="F82" s="37">
        <f>E82*D82/C82</f>
        <v>4201.5459200000005</v>
      </c>
    </row>
    <row r="83" spans="1:6" outlineLevel="1" x14ac:dyDescent="0.25">
      <c r="A83" s="79" t="s">
        <v>70</v>
      </c>
      <c r="B83" s="80" t="s">
        <v>82</v>
      </c>
      <c r="C83" s="68">
        <v>100</v>
      </c>
      <c r="D83" s="69">
        <v>1710.5151840000001</v>
      </c>
      <c r="E83" s="81">
        <v>14042.6</v>
      </c>
      <c r="F83" s="70">
        <f>E83*D83/C83</f>
        <v>240200.80522838404</v>
      </c>
    </row>
    <row r="84" spans="1:6" outlineLevel="1" x14ac:dyDescent="0.25">
      <c r="A84" s="506" t="s">
        <v>83</v>
      </c>
      <c r="B84" s="506"/>
      <c r="C84" s="506"/>
      <c r="D84" s="506"/>
      <c r="E84" s="506"/>
      <c r="F84" s="72">
        <f>SUM(F66:F83)</f>
        <v>4150037.8645587843</v>
      </c>
    </row>
    <row r="85" spans="1:6" outlineLevel="1" x14ac:dyDescent="0.25">
      <c r="A85" s="534" t="s">
        <v>84</v>
      </c>
      <c r="B85" s="534"/>
      <c r="C85" s="534"/>
      <c r="D85" s="534"/>
      <c r="E85" s="534"/>
      <c r="F85" s="534"/>
    </row>
    <row r="86" spans="1:6" ht="51.75" customHeight="1" outlineLevel="1" x14ac:dyDescent="0.25">
      <c r="A86" s="82">
        <v>1</v>
      </c>
      <c r="B86" s="83" t="s">
        <v>85</v>
      </c>
      <c r="C86" s="75">
        <v>1000</v>
      </c>
      <c r="D86" s="77">
        <v>476.44</v>
      </c>
      <c r="E86" s="77">
        <v>4640.7</v>
      </c>
      <c r="F86" s="78">
        <f t="shared" ref="F86:F96" si="6">E86*D86/C86</f>
        <v>2211.0151080000001</v>
      </c>
    </row>
    <row r="87" spans="1:6" ht="47.25" customHeight="1" outlineLevel="1" x14ac:dyDescent="0.25">
      <c r="A87" s="35">
        <v>2</v>
      </c>
      <c r="B87" s="41" t="s">
        <v>86</v>
      </c>
      <c r="C87" s="22">
        <v>100</v>
      </c>
      <c r="D87" s="24">
        <v>476.44</v>
      </c>
      <c r="E87" s="37">
        <v>6849</v>
      </c>
      <c r="F87" s="25">
        <f t="shared" si="6"/>
        <v>32631.375599999999</v>
      </c>
    </row>
    <row r="88" spans="1:6" ht="20.25" customHeight="1" outlineLevel="1" x14ac:dyDescent="0.25">
      <c r="A88" s="32">
        <v>3</v>
      </c>
      <c r="B88" s="27" t="s">
        <v>87</v>
      </c>
      <c r="C88" s="28">
        <v>100</v>
      </c>
      <c r="D88" s="24">
        <v>735.36749999999995</v>
      </c>
      <c r="E88" s="37">
        <v>2265.1</v>
      </c>
      <c r="F88" s="25">
        <f t="shared" si="6"/>
        <v>16656.8092425</v>
      </c>
    </row>
    <row r="89" spans="1:6" ht="20.25" customHeight="1" outlineLevel="1" x14ac:dyDescent="0.25">
      <c r="A89" s="32">
        <v>4</v>
      </c>
      <c r="B89" s="27" t="s">
        <v>88</v>
      </c>
      <c r="C89" s="28">
        <v>100</v>
      </c>
      <c r="D89" s="24">
        <v>130.5</v>
      </c>
      <c r="E89" s="37">
        <v>1660.5</v>
      </c>
      <c r="F89" s="25">
        <f t="shared" si="6"/>
        <v>2166.9524999999999</v>
      </c>
    </row>
    <row r="90" spans="1:6" ht="20.25" customHeight="1" outlineLevel="1" x14ac:dyDescent="0.25">
      <c r="A90" s="35">
        <v>5</v>
      </c>
      <c r="B90" s="41" t="s">
        <v>89</v>
      </c>
      <c r="C90" s="22">
        <v>100</v>
      </c>
      <c r="D90" s="24">
        <v>242.67</v>
      </c>
      <c r="E90" s="37">
        <v>18564.099999999999</v>
      </c>
      <c r="F90" s="25">
        <f t="shared" si="6"/>
        <v>45049.501469999988</v>
      </c>
    </row>
    <row r="91" spans="1:6" ht="20.25" customHeight="1" outlineLevel="1" x14ac:dyDescent="0.25">
      <c r="A91" s="35">
        <v>6</v>
      </c>
      <c r="B91" s="41" t="s">
        <v>90</v>
      </c>
      <c r="C91" s="22">
        <v>100</v>
      </c>
      <c r="D91" s="24">
        <v>242.67</v>
      </c>
      <c r="E91" s="37">
        <v>18564.099999999999</v>
      </c>
      <c r="F91" s="25">
        <f t="shared" si="6"/>
        <v>45049.501469999988</v>
      </c>
    </row>
    <row r="92" spans="1:6" ht="20.25" customHeight="1" outlineLevel="1" x14ac:dyDescent="0.25">
      <c r="A92" s="35">
        <v>7</v>
      </c>
      <c r="B92" s="41" t="s">
        <v>91</v>
      </c>
      <c r="C92" s="22">
        <v>100</v>
      </c>
      <c r="D92" s="24">
        <v>43.07</v>
      </c>
      <c r="E92" s="37">
        <v>18017.599999999999</v>
      </c>
      <c r="F92" s="25">
        <f t="shared" si="6"/>
        <v>7760.1803199999986</v>
      </c>
    </row>
    <row r="93" spans="1:6" ht="20.25" customHeight="1" outlineLevel="1" x14ac:dyDescent="0.25">
      <c r="A93" s="35">
        <v>8</v>
      </c>
      <c r="B93" s="41" t="s">
        <v>92</v>
      </c>
      <c r="C93" s="22">
        <v>100</v>
      </c>
      <c r="D93" s="24">
        <v>43.07</v>
      </c>
      <c r="E93" s="37">
        <v>18017.599999999999</v>
      </c>
      <c r="F93" s="25">
        <f t="shared" si="6"/>
        <v>7760.1803199999986</v>
      </c>
    </row>
    <row r="94" spans="1:6" ht="20.25" customHeight="1" outlineLevel="1" x14ac:dyDescent="0.25">
      <c r="A94" s="35">
        <v>9</v>
      </c>
      <c r="B94" s="41" t="s">
        <v>93</v>
      </c>
      <c r="C94" s="22">
        <v>100</v>
      </c>
      <c r="D94" s="24">
        <v>735.37</v>
      </c>
      <c r="E94" s="37">
        <v>11511</v>
      </c>
      <c r="F94" s="25">
        <f t="shared" si="6"/>
        <v>84648.440700000006</v>
      </c>
    </row>
    <row r="95" spans="1:6" ht="20.25" customHeight="1" outlineLevel="1" x14ac:dyDescent="0.25">
      <c r="A95" s="35">
        <v>10</v>
      </c>
      <c r="B95" s="41" t="s">
        <v>94</v>
      </c>
      <c r="C95" s="22">
        <v>100</v>
      </c>
      <c r="D95" s="24">
        <v>130.5</v>
      </c>
      <c r="E95" s="37">
        <v>10570.5</v>
      </c>
      <c r="F95" s="25">
        <f t="shared" si="6"/>
        <v>13794.502500000001</v>
      </c>
    </row>
    <row r="96" spans="1:6" ht="60" outlineLevel="1" x14ac:dyDescent="0.25">
      <c r="A96" s="66">
        <v>11</v>
      </c>
      <c r="B96" s="98" t="s">
        <v>95</v>
      </c>
      <c r="C96" s="68">
        <v>100</v>
      </c>
      <c r="D96" s="69">
        <v>1682.2379999999998</v>
      </c>
      <c r="E96" s="70">
        <v>14042.6</v>
      </c>
      <c r="F96" s="71">
        <f t="shared" si="6"/>
        <v>236229.95338799999</v>
      </c>
    </row>
    <row r="97" spans="1:6" outlineLevel="1" x14ac:dyDescent="0.25">
      <c r="A97" s="506" t="s">
        <v>43</v>
      </c>
      <c r="B97" s="506"/>
      <c r="C97" s="506"/>
      <c r="D97" s="506"/>
      <c r="E97" s="506"/>
      <c r="F97" s="72">
        <f>SUM(F86:F96)</f>
        <v>493958.41261849995</v>
      </c>
    </row>
    <row r="98" spans="1:6" outlineLevel="1" x14ac:dyDescent="0.25">
      <c r="A98" s="534" t="s">
        <v>96</v>
      </c>
      <c r="B98" s="534"/>
      <c r="C98" s="534"/>
      <c r="D98" s="534"/>
      <c r="E98" s="534"/>
      <c r="F98" s="534"/>
    </row>
    <row r="99" spans="1:6" ht="60" outlineLevel="1" x14ac:dyDescent="0.25">
      <c r="A99" s="99">
        <v>1</v>
      </c>
      <c r="B99" s="100" t="s">
        <v>97</v>
      </c>
      <c r="C99" s="75">
        <v>100</v>
      </c>
      <c r="D99" s="101">
        <v>157.90375</v>
      </c>
      <c r="E99" s="77">
        <v>47135.9</v>
      </c>
      <c r="F99" s="95">
        <f>E99*D99/C99</f>
        <v>74429.353696250007</v>
      </c>
    </row>
    <row r="100" spans="1:6" ht="90" outlineLevel="1" x14ac:dyDescent="0.25">
      <c r="A100" s="55">
        <v>2</v>
      </c>
      <c r="B100" s="56" t="s">
        <v>98</v>
      </c>
      <c r="C100" s="42">
        <v>100</v>
      </c>
      <c r="D100" s="50">
        <v>1999.52</v>
      </c>
      <c r="E100" s="43">
        <v>30376.9</v>
      </c>
      <c r="F100" s="37">
        <f>E100*D100/C100</f>
        <v>607392.19088000001</v>
      </c>
    </row>
    <row r="101" spans="1:6" ht="120" outlineLevel="1" x14ac:dyDescent="0.25">
      <c r="A101" s="55">
        <v>3</v>
      </c>
      <c r="B101" s="56" t="s">
        <v>99</v>
      </c>
      <c r="C101" s="57"/>
      <c r="D101" s="50">
        <v>0</v>
      </c>
      <c r="E101" s="50"/>
      <c r="F101" s="37">
        <v>0</v>
      </c>
    </row>
    <row r="102" spans="1:6" ht="75" outlineLevel="1" x14ac:dyDescent="0.25">
      <c r="A102" s="55" t="s">
        <v>58</v>
      </c>
      <c r="B102" s="56" t="s">
        <v>100</v>
      </c>
      <c r="C102" s="22">
        <v>1</v>
      </c>
      <c r="D102" s="50">
        <v>499.88</v>
      </c>
      <c r="E102" s="24">
        <v>817.55</v>
      </c>
      <c r="F102" s="37">
        <f t="shared" ref="F102:F108" si="7">E102*D102/C102</f>
        <v>408676.89399999997</v>
      </c>
    </row>
    <row r="103" spans="1:6" ht="24" customHeight="1" outlineLevel="1" x14ac:dyDescent="0.25">
      <c r="A103" s="55">
        <v>4</v>
      </c>
      <c r="B103" s="56" t="s">
        <v>101</v>
      </c>
      <c r="C103" s="58">
        <v>1</v>
      </c>
      <c r="D103" s="50">
        <v>12</v>
      </c>
      <c r="E103" s="50">
        <v>378.75</v>
      </c>
      <c r="F103" s="37">
        <f t="shared" si="7"/>
        <v>4545</v>
      </c>
    </row>
    <row r="104" spans="1:6" ht="36" customHeight="1" outlineLevel="1" x14ac:dyDescent="0.25">
      <c r="A104" s="55">
        <v>5</v>
      </c>
      <c r="B104" s="56" t="s">
        <v>102</v>
      </c>
      <c r="C104" s="22">
        <v>1000</v>
      </c>
      <c r="D104" s="50">
        <v>3710</v>
      </c>
      <c r="E104" s="50">
        <v>10533.6</v>
      </c>
      <c r="F104" s="37">
        <f t="shared" si="7"/>
        <v>39079.656000000003</v>
      </c>
    </row>
    <row r="105" spans="1:6" ht="32.25" customHeight="1" outlineLevel="1" x14ac:dyDescent="0.25">
      <c r="A105" s="55">
        <v>6</v>
      </c>
      <c r="B105" s="41" t="s">
        <v>103</v>
      </c>
      <c r="C105" s="28">
        <v>100</v>
      </c>
      <c r="D105" s="50">
        <v>694.5</v>
      </c>
      <c r="E105" s="37">
        <v>4850.3999999999996</v>
      </c>
      <c r="F105" s="37">
        <f t="shared" si="7"/>
        <v>33686.027999999998</v>
      </c>
    </row>
    <row r="106" spans="1:6" ht="105" outlineLevel="1" x14ac:dyDescent="0.25">
      <c r="A106" s="55">
        <v>7</v>
      </c>
      <c r="B106" s="41" t="s">
        <v>104</v>
      </c>
      <c r="C106" s="58">
        <v>1</v>
      </c>
      <c r="D106" s="50">
        <v>96</v>
      </c>
      <c r="E106" s="37">
        <v>2150.35</v>
      </c>
      <c r="F106" s="37">
        <f t="shared" si="7"/>
        <v>206433.59999999998</v>
      </c>
    </row>
    <row r="107" spans="1:6" ht="45" outlineLevel="1" x14ac:dyDescent="0.25">
      <c r="A107" s="55">
        <v>8</v>
      </c>
      <c r="B107" s="59" t="s">
        <v>105</v>
      </c>
      <c r="C107" s="22">
        <v>100</v>
      </c>
      <c r="D107" s="50">
        <v>307</v>
      </c>
      <c r="E107" s="25">
        <v>27086.400000000001</v>
      </c>
      <c r="F107" s="37">
        <f t="shared" si="7"/>
        <v>83155.248000000007</v>
      </c>
    </row>
    <row r="108" spans="1:6" ht="25.5" customHeight="1" outlineLevel="1" x14ac:dyDescent="0.25">
      <c r="A108" s="102">
        <v>9</v>
      </c>
      <c r="B108" s="103" t="s">
        <v>106</v>
      </c>
      <c r="C108" s="104">
        <v>1</v>
      </c>
      <c r="D108" s="71">
        <v>82</v>
      </c>
      <c r="E108" s="105">
        <v>-170</v>
      </c>
      <c r="F108" s="70">
        <f t="shared" si="7"/>
        <v>-13940</v>
      </c>
    </row>
    <row r="109" spans="1:6" outlineLevel="1" x14ac:dyDescent="0.25">
      <c r="A109" s="519" t="s">
        <v>83</v>
      </c>
      <c r="B109" s="519"/>
      <c r="C109" s="519"/>
      <c r="D109" s="519"/>
      <c r="E109" s="519"/>
      <c r="F109" s="106">
        <f>SUM(F99:F108)</f>
        <v>1443457.9705762498</v>
      </c>
    </row>
    <row r="110" spans="1:6" outlineLevel="1" x14ac:dyDescent="0.25">
      <c r="A110" s="535" t="s">
        <v>107</v>
      </c>
      <c r="B110" s="536"/>
      <c r="C110" s="536"/>
      <c r="D110" s="536"/>
      <c r="E110" s="536"/>
      <c r="F110" s="537"/>
    </row>
    <row r="111" spans="1:6" ht="63" customHeight="1" outlineLevel="1" x14ac:dyDescent="0.25">
      <c r="A111" s="82">
        <v>1</v>
      </c>
      <c r="B111" s="96" t="s">
        <v>108</v>
      </c>
      <c r="C111" s="75">
        <v>1000</v>
      </c>
      <c r="D111" s="77">
        <v>2179.5676332792</v>
      </c>
      <c r="E111" s="77">
        <v>15824.15</v>
      </c>
      <c r="F111" s="77">
        <f>E111*D111/C111</f>
        <v>34489.805164155048</v>
      </c>
    </row>
    <row r="112" spans="1:6" ht="105" outlineLevel="1" x14ac:dyDescent="0.25">
      <c r="A112" s="35">
        <v>2</v>
      </c>
      <c r="B112" s="54" t="s">
        <v>109</v>
      </c>
      <c r="C112" s="28">
        <v>1</v>
      </c>
      <c r="D112" s="24">
        <v>2034</v>
      </c>
      <c r="E112" s="37">
        <v>12.55</v>
      </c>
      <c r="F112" s="24">
        <f>E112*D112/C112</f>
        <v>25526.7</v>
      </c>
    </row>
    <row r="113" spans="1:6" ht="45" outlineLevel="1" x14ac:dyDescent="0.25">
      <c r="A113" s="32">
        <v>3</v>
      </c>
      <c r="B113" s="41" t="s">
        <v>23</v>
      </c>
      <c r="C113" s="33"/>
      <c r="D113" s="24"/>
      <c r="E113" s="37">
        <v>0</v>
      </c>
      <c r="F113" s="37"/>
    </row>
    <row r="114" spans="1:6" outlineLevel="1" x14ac:dyDescent="0.25">
      <c r="A114" s="32" t="s">
        <v>48</v>
      </c>
      <c r="B114" s="40" t="s">
        <v>76</v>
      </c>
      <c r="C114" s="22">
        <v>100</v>
      </c>
      <c r="D114" s="24">
        <v>422.44977729920004</v>
      </c>
      <c r="E114" s="24">
        <v>34694.300000000003</v>
      </c>
      <c r="F114" s="24">
        <f t="shared" ref="F114:F119" si="8">E114*D114/C114</f>
        <v>146565.99308551638</v>
      </c>
    </row>
    <row r="115" spans="1:6" ht="30.75" customHeight="1" outlineLevel="1" x14ac:dyDescent="0.25">
      <c r="A115" s="32">
        <v>4</v>
      </c>
      <c r="B115" s="41" t="s">
        <v>25</v>
      </c>
      <c r="C115" s="22">
        <v>100</v>
      </c>
      <c r="D115" s="24">
        <v>1260.1600000000001</v>
      </c>
      <c r="E115" s="24">
        <v>32675.95</v>
      </c>
      <c r="F115" s="24">
        <f t="shared" si="8"/>
        <v>411769.25152000005</v>
      </c>
    </row>
    <row r="116" spans="1:6" ht="60" outlineLevel="1" x14ac:dyDescent="0.25">
      <c r="A116" s="32">
        <v>5</v>
      </c>
      <c r="B116" s="41" t="s">
        <v>110</v>
      </c>
      <c r="C116" s="28">
        <v>100</v>
      </c>
      <c r="D116" s="24">
        <v>258</v>
      </c>
      <c r="E116" s="24">
        <v>11460.2</v>
      </c>
      <c r="F116" s="24">
        <f t="shared" si="8"/>
        <v>29567.316000000003</v>
      </c>
    </row>
    <row r="117" spans="1:6" ht="60" outlineLevel="1" x14ac:dyDescent="0.25">
      <c r="A117" s="32">
        <v>6</v>
      </c>
      <c r="B117" s="40" t="s">
        <v>111</v>
      </c>
      <c r="C117" s="28">
        <v>100</v>
      </c>
      <c r="D117" s="24">
        <v>480</v>
      </c>
      <c r="E117" s="24">
        <v>7607.35</v>
      </c>
      <c r="F117" s="24">
        <f t="shared" si="8"/>
        <v>36515.279999999999</v>
      </c>
    </row>
    <row r="118" spans="1:6" ht="30" outlineLevel="1" x14ac:dyDescent="0.25">
      <c r="A118" s="32">
        <v>7</v>
      </c>
      <c r="B118" s="41" t="s">
        <v>112</v>
      </c>
      <c r="C118" s="22">
        <v>1000</v>
      </c>
      <c r="D118" s="24">
        <v>600</v>
      </c>
      <c r="E118" s="24">
        <v>7547.75</v>
      </c>
      <c r="F118" s="24">
        <f t="shared" si="8"/>
        <v>4528.6499999999996</v>
      </c>
    </row>
    <row r="119" spans="1:6" ht="30" outlineLevel="1" x14ac:dyDescent="0.25">
      <c r="A119" s="32">
        <v>8</v>
      </c>
      <c r="B119" s="40" t="s">
        <v>113</v>
      </c>
      <c r="C119" s="22">
        <v>100</v>
      </c>
      <c r="D119" s="24">
        <v>1163.5999999999999</v>
      </c>
      <c r="E119" s="24">
        <v>35830.6</v>
      </c>
      <c r="F119" s="24">
        <f t="shared" si="8"/>
        <v>416924.86159999995</v>
      </c>
    </row>
    <row r="120" spans="1:6" ht="120.75" outlineLevel="1" x14ac:dyDescent="0.25">
      <c r="A120" s="32">
        <v>9</v>
      </c>
      <c r="B120" s="41" t="s">
        <v>47</v>
      </c>
      <c r="C120" s="29"/>
      <c r="D120" s="24"/>
      <c r="E120" s="24"/>
      <c r="F120" s="50"/>
    </row>
    <row r="121" spans="1:6" ht="75" outlineLevel="1" x14ac:dyDescent="0.25">
      <c r="A121" s="32" t="s">
        <v>48</v>
      </c>
      <c r="B121" s="40" t="s">
        <v>114</v>
      </c>
      <c r="C121" s="22">
        <v>1</v>
      </c>
      <c r="D121" s="24">
        <v>616.66319999999996</v>
      </c>
      <c r="E121" s="24">
        <v>741.85</v>
      </c>
      <c r="F121" s="24">
        <f t="shared" ref="F121:F130" si="9">E121*D121/C121</f>
        <v>457471.59492</v>
      </c>
    </row>
    <row r="122" spans="1:6" ht="75" outlineLevel="1" x14ac:dyDescent="0.25">
      <c r="A122" s="32" t="s">
        <v>50</v>
      </c>
      <c r="B122" s="40" t="s">
        <v>115</v>
      </c>
      <c r="C122" s="22">
        <v>1</v>
      </c>
      <c r="D122" s="24">
        <v>73.631249999999994</v>
      </c>
      <c r="E122" s="24">
        <v>595</v>
      </c>
      <c r="F122" s="24">
        <f t="shared" si="9"/>
        <v>43810.59375</v>
      </c>
    </row>
    <row r="123" spans="1:6" ht="90" outlineLevel="1" x14ac:dyDescent="0.25">
      <c r="A123" s="60">
        <v>11</v>
      </c>
      <c r="B123" s="41" t="s">
        <v>116</v>
      </c>
      <c r="C123" s="42">
        <v>100</v>
      </c>
      <c r="D123" s="24">
        <v>4141.7667000000001</v>
      </c>
      <c r="E123" s="24">
        <v>30376.9</v>
      </c>
      <c r="F123" s="24">
        <f t="shared" si="9"/>
        <v>1258140.3286923002</v>
      </c>
    </row>
    <row r="124" spans="1:6" ht="180" outlineLevel="1" x14ac:dyDescent="0.25">
      <c r="A124" s="32">
        <v>12</v>
      </c>
      <c r="B124" s="41" t="s">
        <v>117</v>
      </c>
      <c r="C124" s="28">
        <v>1</v>
      </c>
      <c r="D124" s="24">
        <v>128</v>
      </c>
      <c r="E124" s="24">
        <v>2180.6999999999998</v>
      </c>
      <c r="F124" s="24">
        <f t="shared" si="9"/>
        <v>279129.59999999998</v>
      </c>
    </row>
    <row r="125" spans="1:6" ht="60" outlineLevel="1" x14ac:dyDescent="0.25">
      <c r="A125" s="32">
        <v>13</v>
      </c>
      <c r="B125" s="41" t="s">
        <v>118</v>
      </c>
      <c r="C125" s="28">
        <v>1</v>
      </c>
      <c r="D125" s="24">
        <v>160</v>
      </c>
      <c r="E125" s="24">
        <v>457.1</v>
      </c>
      <c r="F125" s="24">
        <f t="shared" si="9"/>
        <v>73136</v>
      </c>
    </row>
    <row r="126" spans="1:6" ht="45" outlineLevel="1" x14ac:dyDescent="0.25">
      <c r="A126" s="32">
        <v>14</v>
      </c>
      <c r="B126" s="41" t="s">
        <v>119</v>
      </c>
      <c r="C126" s="28">
        <v>1</v>
      </c>
      <c r="D126" s="24">
        <v>196</v>
      </c>
      <c r="E126" s="24">
        <v>2767</v>
      </c>
      <c r="F126" s="24">
        <f t="shared" si="9"/>
        <v>542332</v>
      </c>
    </row>
    <row r="127" spans="1:6" ht="75" outlineLevel="1" x14ac:dyDescent="0.25">
      <c r="A127" s="35">
        <v>15</v>
      </c>
      <c r="B127" s="41" t="s">
        <v>120</v>
      </c>
      <c r="C127" s="28">
        <v>100</v>
      </c>
      <c r="D127" s="24">
        <v>382.25</v>
      </c>
      <c r="E127" s="24">
        <v>13179.6</v>
      </c>
      <c r="F127" s="24">
        <f t="shared" si="9"/>
        <v>50379.021000000008</v>
      </c>
    </row>
    <row r="128" spans="1:6" ht="30" outlineLevel="1" x14ac:dyDescent="0.25">
      <c r="A128" s="35">
        <v>16</v>
      </c>
      <c r="B128" s="41" t="s">
        <v>121</v>
      </c>
      <c r="C128" s="28">
        <v>1</v>
      </c>
      <c r="D128" s="24">
        <v>398.25</v>
      </c>
      <c r="E128" s="24">
        <v>11</v>
      </c>
      <c r="F128" s="24">
        <f t="shared" si="9"/>
        <v>4380.75</v>
      </c>
    </row>
    <row r="129" spans="1:6" ht="29.25" customHeight="1" outlineLevel="1" x14ac:dyDescent="0.25">
      <c r="A129" s="32">
        <v>17</v>
      </c>
      <c r="B129" s="41" t="s">
        <v>122</v>
      </c>
      <c r="C129" s="22">
        <v>100</v>
      </c>
      <c r="D129" s="24">
        <v>163.75</v>
      </c>
      <c r="E129" s="37">
        <v>3987</v>
      </c>
      <c r="F129" s="24">
        <f t="shared" si="9"/>
        <v>6528.7124999999996</v>
      </c>
    </row>
    <row r="130" spans="1:6" ht="45" outlineLevel="1" x14ac:dyDescent="0.25">
      <c r="A130" s="35">
        <v>18</v>
      </c>
      <c r="B130" s="41" t="s">
        <v>123</v>
      </c>
      <c r="C130" s="22">
        <v>100</v>
      </c>
      <c r="D130" s="24">
        <v>195.75</v>
      </c>
      <c r="E130" s="37">
        <v>12801.2</v>
      </c>
      <c r="F130" s="24">
        <f t="shared" si="9"/>
        <v>25058.349000000002</v>
      </c>
    </row>
    <row r="131" spans="1:6" ht="45" customHeight="1" outlineLevel="1" x14ac:dyDescent="0.25">
      <c r="A131" s="538">
        <v>19</v>
      </c>
      <c r="B131" s="21" t="s">
        <v>124</v>
      </c>
      <c r="C131" s="29"/>
      <c r="D131" s="24"/>
      <c r="E131" s="24"/>
      <c r="F131" s="37"/>
    </row>
    <row r="132" spans="1:6" outlineLevel="1" x14ac:dyDescent="0.25">
      <c r="A132" s="538"/>
      <c r="B132" s="21" t="s">
        <v>125</v>
      </c>
      <c r="C132" s="22">
        <v>100</v>
      </c>
      <c r="D132" s="24">
        <v>183.44</v>
      </c>
      <c r="E132" s="24">
        <v>47135.9</v>
      </c>
      <c r="F132" s="24">
        <f t="shared" ref="F132:F142" si="10">E132*D132/C132</f>
        <v>86466.094959999988</v>
      </c>
    </row>
    <row r="133" spans="1:6" ht="30.75" customHeight="1" outlineLevel="1" x14ac:dyDescent="0.25">
      <c r="A133" s="32">
        <v>20</v>
      </c>
      <c r="B133" s="41" t="s">
        <v>126</v>
      </c>
      <c r="C133" s="28">
        <v>100</v>
      </c>
      <c r="D133" s="24">
        <v>2273.2200000000003</v>
      </c>
      <c r="E133" s="37">
        <v>4614.1000000000004</v>
      </c>
      <c r="F133" s="24">
        <f t="shared" si="10"/>
        <v>104888.64402000002</v>
      </c>
    </row>
    <row r="134" spans="1:6" ht="45" outlineLevel="1" x14ac:dyDescent="0.25">
      <c r="A134" s="32">
        <v>21</v>
      </c>
      <c r="B134" s="41" t="s">
        <v>127</v>
      </c>
      <c r="C134" s="28">
        <v>100</v>
      </c>
      <c r="D134" s="24">
        <v>458.08</v>
      </c>
      <c r="E134" s="37">
        <v>5264.65</v>
      </c>
      <c r="F134" s="24">
        <f t="shared" si="10"/>
        <v>24116.308720000001</v>
      </c>
    </row>
    <row r="135" spans="1:6" ht="61.5" customHeight="1" outlineLevel="1" x14ac:dyDescent="0.25">
      <c r="A135" s="32">
        <v>22</v>
      </c>
      <c r="B135" s="41" t="s">
        <v>128</v>
      </c>
      <c r="C135" s="28">
        <v>100</v>
      </c>
      <c r="D135" s="24">
        <v>1959.5</v>
      </c>
      <c r="E135" s="37">
        <v>5012.6499999999996</v>
      </c>
      <c r="F135" s="24">
        <f t="shared" si="10"/>
        <v>98222.876749999996</v>
      </c>
    </row>
    <row r="136" spans="1:6" ht="45" outlineLevel="1" x14ac:dyDescent="0.25">
      <c r="A136" s="32">
        <v>23</v>
      </c>
      <c r="B136" s="41" t="s">
        <v>129</v>
      </c>
      <c r="C136" s="58">
        <v>1</v>
      </c>
      <c r="D136" s="24">
        <v>52</v>
      </c>
      <c r="E136" s="37">
        <v>514.9</v>
      </c>
      <c r="F136" s="24">
        <f t="shared" si="10"/>
        <v>26774.799999999999</v>
      </c>
    </row>
    <row r="137" spans="1:6" ht="31.5" customHeight="1" outlineLevel="1" x14ac:dyDescent="0.25">
      <c r="A137" s="32">
        <v>24</v>
      </c>
      <c r="B137" s="41" t="s">
        <v>130</v>
      </c>
      <c r="C137" s="61">
        <v>1</v>
      </c>
      <c r="D137" s="24">
        <v>8</v>
      </c>
      <c r="E137" s="37">
        <v>849.7</v>
      </c>
      <c r="F137" s="24">
        <f t="shared" si="10"/>
        <v>6797.6</v>
      </c>
    </row>
    <row r="138" spans="1:6" ht="23.25" customHeight="1" outlineLevel="1" x14ac:dyDescent="0.25">
      <c r="A138" s="32">
        <v>25</v>
      </c>
      <c r="B138" s="41" t="s">
        <v>131</v>
      </c>
      <c r="C138" s="61">
        <v>1</v>
      </c>
      <c r="D138" s="24">
        <v>4</v>
      </c>
      <c r="E138" s="37">
        <v>1159.6500000000001</v>
      </c>
      <c r="F138" s="24">
        <f t="shared" si="10"/>
        <v>4638.6000000000004</v>
      </c>
    </row>
    <row r="139" spans="1:6" ht="23.25" customHeight="1" outlineLevel="1" x14ac:dyDescent="0.25">
      <c r="A139" s="32">
        <v>26</v>
      </c>
      <c r="B139" s="41" t="s">
        <v>132</v>
      </c>
      <c r="C139" s="28">
        <v>100</v>
      </c>
      <c r="D139" s="24">
        <v>2041.08</v>
      </c>
      <c r="E139" s="37">
        <v>1548.2</v>
      </c>
      <c r="F139" s="24">
        <f t="shared" si="10"/>
        <v>31600.00056</v>
      </c>
    </row>
    <row r="140" spans="1:6" ht="45" outlineLevel="1" x14ac:dyDescent="0.25">
      <c r="A140" s="32">
        <v>27</v>
      </c>
      <c r="B140" s="41" t="s">
        <v>133</v>
      </c>
      <c r="C140" s="28">
        <v>100</v>
      </c>
      <c r="D140" s="24">
        <v>690.22</v>
      </c>
      <c r="E140" s="37">
        <v>7379.1</v>
      </c>
      <c r="F140" s="24">
        <f t="shared" si="10"/>
        <v>50932.024020000004</v>
      </c>
    </row>
    <row r="141" spans="1:6" ht="30" outlineLevel="1" x14ac:dyDescent="0.25">
      <c r="A141" s="32">
        <v>28</v>
      </c>
      <c r="B141" s="41" t="s">
        <v>134</v>
      </c>
      <c r="C141" s="28">
        <v>100</v>
      </c>
      <c r="D141" s="24">
        <v>356</v>
      </c>
      <c r="E141" s="37">
        <v>3052.4</v>
      </c>
      <c r="F141" s="24">
        <f t="shared" si="10"/>
        <v>10866.544000000002</v>
      </c>
    </row>
    <row r="142" spans="1:6" ht="60" outlineLevel="1" x14ac:dyDescent="0.25">
      <c r="A142" s="32">
        <v>29</v>
      </c>
      <c r="B142" s="21" t="s">
        <v>135</v>
      </c>
      <c r="C142" s="42">
        <v>100</v>
      </c>
      <c r="D142" s="24">
        <v>1339.834890683117</v>
      </c>
      <c r="E142" s="24">
        <v>37098.85</v>
      </c>
      <c r="F142" s="24">
        <f t="shared" si="10"/>
        <v>497063.33634219354</v>
      </c>
    </row>
    <row r="143" spans="1:6" ht="45" outlineLevel="1" x14ac:dyDescent="0.25">
      <c r="A143" s="32">
        <v>30</v>
      </c>
      <c r="B143" s="41" t="s">
        <v>136</v>
      </c>
      <c r="C143" s="29"/>
      <c r="D143" s="24"/>
      <c r="E143" s="37">
        <v>0</v>
      </c>
      <c r="F143" s="37"/>
    </row>
    <row r="144" spans="1:6" ht="19.5" customHeight="1" outlineLevel="1" x14ac:dyDescent="0.25">
      <c r="A144" s="32" t="s">
        <v>48</v>
      </c>
      <c r="B144" s="41" t="s">
        <v>137</v>
      </c>
      <c r="C144" s="58">
        <v>1</v>
      </c>
      <c r="D144" s="37">
        <v>240</v>
      </c>
      <c r="E144" s="37">
        <v>112.25</v>
      </c>
      <c r="F144" s="24">
        <f>E144*D144/C144</f>
        <v>26940</v>
      </c>
    </row>
    <row r="145" spans="1:6" ht="19.5" customHeight="1" outlineLevel="1" x14ac:dyDescent="0.25">
      <c r="A145" s="32" t="s">
        <v>50</v>
      </c>
      <c r="B145" s="41" t="s">
        <v>138</v>
      </c>
      <c r="C145" s="58">
        <v>1</v>
      </c>
      <c r="D145" s="37">
        <v>120</v>
      </c>
      <c r="E145" s="37">
        <v>133.6</v>
      </c>
      <c r="F145" s="24">
        <f>E145*D145/C145</f>
        <v>16032</v>
      </c>
    </row>
    <row r="146" spans="1:6" ht="19.5" customHeight="1" outlineLevel="1" x14ac:dyDescent="0.25">
      <c r="A146" s="32" t="s">
        <v>139</v>
      </c>
      <c r="B146" s="41" t="s">
        <v>140</v>
      </c>
      <c r="C146" s="58">
        <v>1</v>
      </c>
      <c r="D146" s="37">
        <v>60</v>
      </c>
      <c r="E146" s="37">
        <v>231.55</v>
      </c>
      <c r="F146" s="24">
        <f>E146*D146/C146</f>
        <v>13893</v>
      </c>
    </row>
    <row r="147" spans="1:6" ht="75" outlineLevel="1" x14ac:dyDescent="0.25">
      <c r="A147" s="32">
        <v>31</v>
      </c>
      <c r="B147" s="41" t="s">
        <v>141</v>
      </c>
      <c r="C147" s="29"/>
      <c r="D147" s="37"/>
      <c r="E147" s="37">
        <v>0</v>
      </c>
      <c r="F147" s="37">
        <v>0</v>
      </c>
    </row>
    <row r="148" spans="1:6" ht="16.5" customHeight="1" outlineLevel="1" x14ac:dyDescent="0.25">
      <c r="A148" s="32" t="s">
        <v>48</v>
      </c>
      <c r="B148" s="41" t="s">
        <v>142</v>
      </c>
      <c r="C148" s="58">
        <v>1</v>
      </c>
      <c r="D148" s="37">
        <v>720</v>
      </c>
      <c r="E148" s="37">
        <v>35.700000000000003</v>
      </c>
      <c r="F148" s="24">
        <f>E148*D148/C148</f>
        <v>25704.000000000004</v>
      </c>
    </row>
    <row r="149" spans="1:6" ht="16.5" customHeight="1" outlineLevel="1" x14ac:dyDescent="0.25">
      <c r="A149" s="32" t="s">
        <v>50</v>
      </c>
      <c r="B149" s="41" t="s">
        <v>143</v>
      </c>
      <c r="C149" s="58">
        <v>1</v>
      </c>
      <c r="D149" s="37">
        <v>240</v>
      </c>
      <c r="E149" s="37">
        <v>56.3</v>
      </c>
      <c r="F149" s="24">
        <f>E149*D149/C149</f>
        <v>13512</v>
      </c>
    </row>
    <row r="150" spans="1:6" ht="75" outlineLevel="1" x14ac:dyDescent="0.25">
      <c r="A150" s="32">
        <v>32</v>
      </c>
      <c r="B150" s="41" t="s">
        <v>144</v>
      </c>
      <c r="C150" s="58">
        <v>1</v>
      </c>
      <c r="D150" s="37">
        <v>160</v>
      </c>
      <c r="E150" s="37">
        <v>237.65</v>
      </c>
      <c r="F150" s="24">
        <f>E150*D150/C150</f>
        <v>38024</v>
      </c>
    </row>
    <row r="151" spans="1:6" ht="60" outlineLevel="1" x14ac:dyDescent="0.25">
      <c r="A151" s="32">
        <v>33</v>
      </c>
      <c r="B151" s="41" t="s">
        <v>145</v>
      </c>
      <c r="C151" s="29"/>
      <c r="D151" s="37"/>
      <c r="E151" s="37">
        <v>0</v>
      </c>
      <c r="F151" s="50"/>
    </row>
    <row r="152" spans="1:6" ht="18" customHeight="1" outlineLevel="1" x14ac:dyDescent="0.25">
      <c r="A152" s="32" t="s">
        <v>48</v>
      </c>
      <c r="B152" s="41" t="s">
        <v>146</v>
      </c>
      <c r="C152" s="62">
        <v>1</v>
      </c>
      <c r="D152" s="37">
        <v>4</v>
      </c>
      <c r="E152" s="37">
        <v>382.3</v>
      </c>
      <c r="F152" s="24">
        <f t="shared" ref="F152:F164" si="11">E152*D152/C152</f>
        <v>1529.2</v>
      </c>
    </row>
    <row r="153" spans="1:6" ht="18" customHeight="1" outlineLevel="1" x14ac:dyDescent="0.25">
      <c r="A153" s="32" t="s">
        <v>50</v>
      </c>
      <c r="B153" s="41" t="s">
        <v>147</v>
      </c>
      <c r="C153" s="62">
        <v>1</v>
      </c>
      <c r="D153" s="37">
        <v>4</v>
      </c>
      <c r="E153" s="37">
        <v>522.75</v>
      </c>
      <c r="F153" s="24">
        <f t="shared" si="11"/>
        <v>2091</v>
      </c>
    </row>
    <row r="154" spans="1:6" ht="18" customHeight="1" outlineLevel="1" x14ac:dyDescent="0.25">
      <c r="A154" s="32" t="s">
        <v>139</v>
      </c>
      <c r="B154" s="41" t="s">
        <v>148</v>
      </c>
      <c r="C154" s="62">
        <v>1</v>
      </c>
      <c r="D154" s="37">
        <v>4</v>
      </c>
      <c r="E154" s="37">
        <v>668.8</v>
      </c>
      <c r="F154" s="24">
        <f t="shared" si="11"/>
        <v>2675.2</v>
      </c>
    </row>
    <row r="155" spans="1:6" ht="30" outlineLevel="1" x14ac:dyDescent="0.25">
      <c r="A155" s="32">
        <v>34</v>
      </c>
      <c r="B155" s="41" t="s">
        <v>149</v>
      </c>
      <c r="C155" s="62">
        <v>1</v>
      </c>
      <c r="D155" s="37">
        <v>80</v>
      </c>
      <c r="E155" s="37">
        <v>102.7</v>
      </c>
      <c r="F155" s="24">
        <f t="shared" si="11"/>
        <v>8216</v>
      </c>
    </row>
    <row r="156" spans="1:6" ht="20.25" customHeight="1" outlineLevel="1" x14ac:dyDescent="0.25">
      <c r="A156" s="32">
        <v>35</v>
      </c>
      <c r="B156" s="41" t="s">
        <v>150</v>
      </c>
      <c r="C156" s="62">
        <v>1</v>
      </c>
      <c r="D156" s="37">
        <v>16</v>
      </c>
      <c r="E156" s="37">
        <v>96.3</v>
      </c>
      <c r="F156" s="24">
        <f t="shared" si="11"/>
        <v>1540.8</v>
      </c>
    </row>
    <row r="157" spans="1:6" ht="20.25" customHeight="1" outlineLevel="1" x14ac:dyDescent="0.25">
      <c r="A157" s="32">
        <v>36</v>
      </c>
      <c r="B157" s="41" t="s">
        <v>151</v>
      </c>
      <c r="C157" s="62">
        <v>1</v>
      </c>
      <c r="D157" s="37">
        <v>8</v>
      </c>
      <c r="E157" s="37">
        <v>204.7</v>
      </c>
      <c r="F157" s="24">
        <f t="shared" si="11"/>
        <v>1637.6</v>
      </c>
    </row>
    <row r="158" spans="1:6" ht="45" outlineLevel="1" x14ac:dyDescent="0.25">
      <c r="A158" s="32">
        <v>37</v>
      </c>
      <c r="B158" s="40" t="s">
        <v>152</v>
      </c>
      <c r="C158" s="62">
        <v>1</v>
      </c>
      <c r="D158" s="37">
        <v>4</v>
      </c>
      <c r="E158" s="37">
        <v>213.1</v>
      </c>
      <c r="F158" s="24">
        <f t="shared" si="11"/>
        <v>852.4</v>
      </c>
    </row>
    <row r="159" spans="1:6" ht="150" outlineLevel="1" x14ac:dyDescent="0.25">
      <c r="A159" s="32">
        <v>38</v>
      </c>
      <c r="B159" s="40" t="s">
        <v>153</v>
      </c>
      <c r="C159" s="61">
        <v>1</v>
      </c>
      <c r="D159" s="37">
        <v>4</v>
      </c>
      <c r="E159" s="37">
        <v>24422.65</v>
      </c>
      <c r="F159" s="24">
        <f t="shared" si="11"/>
        <v>97690.6</v>
      </c>
    </row>
    <row r="160" spans="1:6" ht="90" outlineLevel="1" x14ac:dyDescent="0.25">
      <c r="A160" s="32">
        <v>39</v>
      </c>
      <c r="B160" s="41" t="s">
        <v>154</v>
      </c>
      <c r="C160" s="61">
        <v>1</v>
      </c>
      <c r="D160" s="37">
        <v>24</v>
      </c>
      <c r="E160" s="37">
        <v>1453.75</v>
      </c>
      <c r="F160" s="24">
        <f t="shared" si="11"/>
        <v>34890</v>
      </c>
    </row>
    <row r="161" spans="1:8" ht="135" outlineLevel="1" x14ac:dyDescent="0.25">
      <c r="A161" s="32">
        <v>40</v>
      </c>
      <c r="B161" s="40" t="s">
        <v>155</v>
      </c>
      <c r="C161" s="61">
        <v>1</v>
      </c>
      <c r="D161" s="37">
        <v>8</v>
      </c>
      <c r="E161" s="37">
        <v>13796.3</v>
      </c>
      <c r="F161" s="24">
        <f t="shared" si="11"/>
        <v>110370.4</v>
      </c>
    </row>
    <row r="162" spans="1:8" ht="150" outlineLevel="1" x14ac:dyDescent="0.25">
      <c r="A162" s="32">
        <v>41</v>
      </c>
      <c r="B162" s="40" t="s">
        <v>156</v>
      </c>
      <c r="C162" s="61">
        <v>1</v>
      </c>
      <c r="D162" s="37">
        <v>4</v>
      </c>
      <c r="E162" s="37">
        <v>19859.400000000001</v>
      </c>
      <c r="F162" s="24">
        <f t="shared" si="11"/>
        <v>79437.600000000006</v>
      </c>
    </row>
    <row r="163" spans="1:8" ht="60" outlineLevel="1" x14ac:dyDescent="0.25">
      <c r="A163" s="32">
        <v>42</v>
      </c>
      <c r="B163" s="41" t="s">
        <v>157</v>
      </c>
      <c r="C163" s="61">
        <v>1</v>
      </c>
      <c r="D163" s="37">
        <v>12</v>
      </c>
      <c r="E163" s="37">
        <v>1995.3</v>
      </c>
      <c r="F163" s="24">
        <f t="shared" si="11"/>
        <v>23943.599999999999</v>
      </c>
    </row>
    <row r="164" spans="1:8" ht="24.75" customHeight="1" outlineLevel="1" x14ac:dyDescent="0.25">
      <c r="A164" s="32">
        <v>43</v>
      </c>
      <c r="B164" s="41" t="s">
        <v>158</v>
      </c>
      <c r="C164" s="61">
        <v>1</v>
      </c>
      <c r="D164" s="37">
        <v>12</v>
      </c>
      <c r="E164" s="37">
        <v>178.75</v>
      </c>
      <c r="F164" s="24">
        <f t="shared" si="11"/>
        <v>2145</v>
      </c>
    </row>
    <row r="165" spans="1:8" ht="75.75" outlineLevel="1" x14ac:dyDescent="0.25">
      <c r="A165" s="32">
        <v>44</v>
      </c>
      <c r="B165" s="40" t="s">
        <v>40</v>
      </c>
      <c r="C165" s="33"/>
      <c r="D165" s="24"/>
      <c r="E165" s="23"/>
      <c r="F165" s="23"/>
    </row>
    <row r="166" spans="1:8" outlineLevel="1" x14ac:dyDescent="0.25">
      <c r="A166" s="32" t="s">
        <v>67</v>
      </c>
      <c r="B166" s="40" t="s">
        <v>68</v>
      </c>
      <c r="C166" s="22">
        <v>100</v>
      </c>
      <c r="D166" s="24">
        <v>405.551786207232</v>
      </c>
      <c r="E166" s="23">
        <v>14042.6</v>
      </c>
      <c r="F166" s="24">
        <f>E166*D166/C166</f>
        <v>56950.015129936764</v>
      </c>
    </row>
    <row r="167" spans="1:8" outlineLevel="1" x14ac:dyDescent="0.25">
      <c r="A167" s="32" t="s">
        <v>41</v>
      </c>
      <c r="B167" s="40" t="s">
        <v>42</v>
      </c>
      <c r="C167" s="22">
        <v>100</v>
      </c>
      <c r="D167" s="24">
        <v>161.4272</v>
      </c>
      <c r="E167" s="23">
        <v>14042.6</v>
      </c>
      <c r="F167" s="24">
        <f>E167*D167/C167</f>
        <v>22668.575987200002</v>
      </c>
    </row>
    <row r="168" spans="1:8" outlineLevel="1" x14ac:dyDescent="0.25">
      <c r="A168" s="32" t="s">
        <v>70</v>
      </c>
      <c r="B168" s="40" t="s">
        <v>159</v>
      </c>
      <c r="C168" s="22">
        <v>100</v>
      </c>
      <c r="D168" s="24">
        <v>607.45911599999999</v>
      </c>
      <c r="E168" s="23">
        <v>14042.6</v>
      </c>
      <c r="F168" s="24">
        <f>E168*D168/C168</f>
        <v>85303.053823416005</v>
      </c>
    </row>
    <row r="169" spans="1:8" outlineLevel="1" x14ac:dyDescent="0.25">
      <c r="A169" s="79" t="s">
        <v>160</v>
      </c>
      <c r="B169" s="80" t="s">
        <v>161</v>
      </c>
      <c r="C169" s="68">
        <v>100</v>
      </c>
      <c r="D169" s="69">
        <v>28.38</v>
      </c>
      <c r="E169" s="81">
        <v>14042.6</v>
      </c>
      <c r="F169" s="69">
        <f>E169*D169/C169</f>
        <v>3985.2898800000003</v>
      </c>
    </row>
    <row r="170" spans="1:8" outlineLevel="1" x14ac:dyDescent="0.25">
      <c r="A170" s="506" t="s">
        <v>43</v>
      </c>
      <c r="B170" s="506"/>
      <c r="C170" s="506"/>
      <c r="D170" s="506"/>
      <c r="E170" s="506"/>
      <c r="F170" s="72">
        <f>SUM(F111:F169)</f>
        <v>5458652.9714247175</v>
      </c>
    </row>
    <row r="171" spans="1:8" outlineLevel="1" x14ac:dyDescent="0.25">
      <c r="A171" s="539" t="s">
        <v>162</v>
      </c>
      <c r="B171" s="539"/>
      <c r="C171" s="539"/>
      <c r="D171" s="539"/>
      <c r="E171" s="539"/>
      <c r="F171" s="257">
        <f>F170+F109+F97+F84+F64+F38</f>
        <v>24248830.075395808</v>
      </c>
    </row>
    <row r="172" spans="1:8" ht="25.5" customHeight="1" x14ac:dyDescent="0.25">
      <c r="A172" s="540" t="s">
        <v>163</v>
      </c>
      <c r="B172" s="541"/>
      <c r="C172" s="541"/>
      <c r="D172" s="541"/>
      <c r="E172" s="542"/>
      <c r="F172" s="262">
        <f>F287</f>
        <v>7167774.8655429091</v>
      </c>
      <c r="G172" s="456">
        <f>H172-F172</f>
        <v>20.134209914132953</v>
      </c>
      <c r="H172" s="1">
        <v>7167794.9997528233</v>
      </c>
    </row>
    <row r="173" spans="1:8" outlineLevel="1" x14ac:dyDescent="0.25">
      <c r="A173" s="543" t="s">
        <v>9</v>
      </c>
      <c r="B173" s="543"/>
      <c r="C173" s="543"/>
      <c r="D173" s="543"/>
      <c r="E173" s="543"/>
      <c r="F173" s="543"/>
    </row>
    <row r="174" spans="1:8" ht="75" outlineLevel="1" x14ac:dyDescent="0.25">
      <c r="A174" s="73">
        <v>1</v>
      </c>
      <c r="B174" s="84" t="s">
        <v>10</v>
      </c>
      <c r="C174" s="75">
        <v>1000</v>
      </c>
      <c r="D174" s="76">
        <v>590424.88</v>
      </c>
      <c r="E174" s="77">
        <v>4640.7</v>
      </c>
      <c r="F174" s="78">
        <f>E174*D174/C174</f>
        <v>2739984.7406159998</v>
      </c>
    </row>
    <row r="175" spans="1:8" ht="35.25" customHeight="1" outlineLevel="1" x14ac:dyDescent="0.25">
      <c r="A175" s="20">
        <v>2</v>
      </c>
      <c r="B175" s="21" t="s">
        <v>11</v>
      </c>
      <c r="C175" s="22">
        <v>1000</v>
      </c>
      <c r="D175" s="23">
        <v>112011.005</v>
      </c>
      <c r="E175" s="24">
        <v>940.9</v>
      </c>
      <c r="F175" s="25">
        <f>E175*D175/C175</f>
        <v>105391.1546045</v>
      </c>
    </row>
    <row r="176" spans="1:8" ht="45" outlineLevel="1" x14ac:dyDescent="0.25">
      <c r="A176" s="20">
        <v>3</v>
      </c>
      <c r="B176" s="21" t="s">
        <v>12</v>
      </c>
      <c r="C176" s="20"/>
      <c r="D176" s="23"/>
      <c r="E176" s="24"/>
      <c r="F176" s="24"/>
    </row>
    <row r="177" spans="1:7" outlineLevel="1" x14ac:dyDescent="0.25">
      <c r="A177" s="20"/>
      <c r="B177" s="21" t="s">
        <v>13</v>
      </c>
      <c r="C177" s="22">
        <v>1000</v>
      </c>
      <c r="D177" s="23">
        <v>4055.6700000000005</v>
      </c>
      <c r="E177" s="24">
        <v>1073.2</v>
      </c>
      <c r="F177" s="25">
        <f t="shared" ref="F177:F184" si="12">E177*D177/C177</f>
        <v>4352.5450440000004</v>
      </c>
    </row>
    <row r="178" spans="1:7" outlineLevel="1" x14ac:dyDescent="0.25">
      <c r="A178" s="20"/>
      <c r="B178" s="21" t="s">
        <v>164</v>
      </c>
      <c r="C178" s="22">
        <v>1000</v>
      </c>
      <c r="D178" s="23">
        <v>4805</v>
      </c>
      <c r="E178" s="24">
        <v>1743.95</v>
      </c>
      <c r="F178" s="25">
        <f t="shared" si="12"/>
        <v>8379.6797499999993</v>
      </c>
    </row>
    <row r="179" spans="1:7" outlineLevel="1" x14ac:dyDescent="0.25">
      <c r="A179" s="20"/>
      <c r="B179" s="21" t="s">
        <v>15</v>
      </c>
      <c r="C179" s="22">
        <v>1000</v>
      </c>
      <c r="D179" s="23">
        <v>20505</v>
      </c>
      <c r="E179" s="24">
        <v>6677.8</v>
      </c>
      <c r="F179" s="25">
        <f t="shared" si="12"/>
        <v>136928.28899999999</v>
      </c>
    </row>
    <row r="180" spans="1:7" outlineLevel="1" x14ac:dyDescent="0.25">
      <c r="A180" s="20"/>
      <c r="B180" s="21" t="s">
        <v>165</v>
      </c>
      <c r="C180" s="22">
        <v>1000</v>
      </c>
      <c r="D180" s="23">
        <v>1237.5</v>
      </c>
      <c r="E180" s="24">
        <v>7044.8</v>
      </c>
      <c r="F180" s="25">
        <f t="shared" si="12"/>
        <v>8717.94</v>
      </c>
    </row>
    <row r="181" spans="1:7" outlineLevel="1" x14ac:dyDescent="0.25">
      <c r="A181" s="20"/>
      <c r="B181" s="21" t="s">
        <v>166</v>
      </c>
      <c r="C181" s="22">
        <v>1000</v>
      </c>
      <c r="D181" s="23">
        <v>15772.5</v>
      </c>
      <c r="E181" s="24">
        <v>7411.8</v>
      </c>
      <c r="F181" s="25">
        <f t="shared" si="12"/>
        <v>116902.6155</v>
      </c>
    </row>
    <row r="182" spans="1:7" outlineLevel="1" x14ac:dyDescent="0.25">
      <c r="A182" s="20"/>
      <c r="B182" s="21" t="s">
        <v>167</v>
      </c>
      <c r="C182" s="22">
        <v>1000</v>
      </c>
      <c r="D182" s="23">
        <v>4869.33</v>
      </c>
      <c r="E182" s="24">
        <v>7934.1</v>
      </c>
      <c r="F182" s="25">
        <f t="shared" si="12"/>
        <v>38633.751153000005</v>
      </c>
    </row>
    <row r="183" spans="1:7" ht="45" outlineLevel="1" x14ac:dyDescent="0.25">
      <c r="A183" s="20">
        <v>4</v>
      </c>
      <c r="B183" s="21" t="s">
        <v>19</v>
      </c>
      <c r="C183" s="63">
        <v>1</v>
      </c>
      <c r="D183" s="23">
        <v>255</v>
      </c>
      <c r="E183" s="24">
        <v>1935.4</v>
      </c>
      <c r="F183" s="25">
        <f t="shared" si="12"/>
        <v>493527</v>
      </c>
    </row>
    <row r="184" spans="1:7" ht="25.5" customHeight="1" outlineLevel="1" x14ac:dyDescent="0.25">
      <c r="A184" s="85">
        <v>5</v>
      </c>
      <c r="B184" s="86" t="s">
        <v>20</v>
      </c>
      <c r="C184" s="87">
        <v>1000</v>
      </c>
      <c r="D184" s="81">
        <v>180070</v>
      </c>
      <c r="E184" s="107">
        <v>376.2</v>
      </c>
      <c r="F184" s="71">
        <f t="shared" si="12"/>
        <v>67742.334000000003</v>
      </c>
    </row>
    <row r="185" spans="1:7" outlineLevel="1" x14ac:dyDescent="0.25">
      <c r="A185" s="520" t="s">
        <v>83</v>
      </c>
      <c r="B185" s="520"/>
      <c r="C185" s="520"/>
      <c r="D185" s="520"/>
      <c r="E185" s="520"/>
      <c r="F185" s="97">
        <f>SUM(F174:F184)</f>
        <v>3720560.0496674995</v>
      </c>
    </row>
    <row r="186" spans="1:7" ht="21" customHeight="1" outlineLevel="1" x14ac:dyDescent="0.25">
      <c r="A186" s="534" t="s">
        <v>21</v>
      </c>
      <c r="B186" s="534"/>
      <c r="C186" s="534"/>
      <c r="D186" s="534"/>
      <c r="E186" s="534"/>
      <c r="F186" s="534"/>
    </row>
    <row r="187" spans="1:7" ht="67.5" customHeight="1" outlineLevel="1" x14ac:dyDescent="0.25">
      <c r="A187" s="88">
        <v>1</v>
      </c>
      <c r="B187" s="89" t="s">
        <v>22</v>
      </c>
      <c r="C187" s="75">
        <v>1000</v>
      </c>
      <c r="D187" s="90">
        <v>98</v>
      </c>
      <c r="E187" s="90">
        <v>15824.15</v>
      </c>
      <c r="F187" s="78">
        <f>E187*D187/C187</f>
        <v>1550.7666999999999</v>
      </c>
    </row>
    <row r="188" spans="1:7" s="15" customFormat="1" ht="50.25" customHeight="1" outlineLevel="1" x14ac:dyDescent="0.2">
      <c r="A188" s="32">
        <v>2</v>
      </c>
      <c r="B188" s="30" t="s">
        <v>23</v>
      </c>
      <c r="C188" s="33"/>
      <c r="D188" s="24"/>
      <c r="E188" s="37"/>
      <c r="F188" s="37"/>
      <c r="G188" s="457"/>
    </row>
    <row r="189" spans="1:7" s="15" customFormat="1" ht="22.5" customHeight="1" outlineLevel="1" x14ac:dyDescent="0.2">
      <c r="A189" s="32"/>
      <c r="B189" s="30" t="s">
        <v>24</v>
      </c>
      <c r="C189" s="22">
        <v>100</v>
      </c>
      <c r="D189" s="31">
        <v>24.5</v>
      </c>
      <c r="E189" s="24">
        <v>34694.300000000003</v>
      </c>
      <c r="F189" s="25">
        <f t="shared" ref="F189:F195" si="13">E189*D189/C189</f>
        <v>8500.1035000000011</v>
      </c>
      <c r="G189" s="457"/>
    </row>
    <row r="190" spans="1:7" s="15" customFormat="1" ht="35.25" customHeight="1" outlineLevel="1" x14ac:dyDescent="0.2">
      <c r="A190" s="32">
        <v>3</v>
      </c>
      <c r="B190" s="30" t="s">
        <v>25</v>
      </c>
      <c r="C190" s="22">
        <v>100</v>
      </c>
      <c r="D190" s="31">
        <v>97.5</v>
      </c>
      <c r="E190" s="31">
        <v>32675.95</v>
      </c>
      <c r="F190" s="25">
        <f t="shared" si="13"/>
        <v>31859.05125</v>
      </c>
      <c r="G190" s="457"/>
    </row>
    <row r="191" spans="1:7" s="15" customFormat="1" ht="54.75" customHeight="1" outlineLevel="1" x14ac:dyDescent="0.2">
      <c r="A191" s="32">
        <v>4</v>
      </c>
      <c r="B191" s="30" t="s">
        <v>26</v>
      </c>
      <c r="C191" s="28">
        <v>100</v>
      </c>
      <c r="D191" s="31">
        <v>39</v>
      </c>
      <c r="E191" s="31">
        <v>11851.7</v>
      </c>
      <c r="F191" s="25">
        <f t="shared" si="13"/>
        <v>4622.1630000000005</v>
      </c>
      <c r="G191" s="457"/>
    </row>
    <row r="192" spans="1:7" ht="41.25" customHeight="1" outlineLevel="1" x14ac:dyDescent="0.25">
      <c r="A192" s="29">
        <v>5</v>
      </c>
      <c r="B192" s="30" t="s">
        <v>27</v>
      </c>
      <c r="C192" s="22">
        <v>100</v>
      </c>
      <c r="D192" s="31">
        <v>81.703125</v>
      </c>
      <c r="E192" s="31">
        <v>37620.6</v>
      </c>
      <c r="F192" s="25">
        <f t="shared" si="13"/>
        <v>30737.205843750002</v>
      </c>
    </row>
    <row r="193" spans="1:7" ht="24.75" customHeight="1" outlineLevel="1" x14ac:dyDescent="0.25">
      <c r="A193" s="29">
        <v>6</v>
      </c>
      <c r="B193" s="30" t="s">
        <v>28</v>
      </c>
      <c r="C193" s="28">
        <v>100</v>
      </c>
      <c r="D193" s="31">
        <v>230.64999999999998</v>
      </c>
      <c r="E193" s="31">
        <v>4334.75</v>
      </c>
      <c r="F193" s="25">
        <f t="shared" si="13"/>
        <v>9998.1008749999983</v>
      </c>
    </row>
    <row r="194" spans="1:7" ht="63" customHeight="1" outlineLevel="1" x14ac:dyDescent="0.25">
      <c r="A194" s="29">
        <v>7</v>
      </c>
      <c r="B194" s="30" t="s">
        <v>29</v>
      </c>
      <c r="C194" s="28">
        <v>100</v>
      </c>
      <c r="D194" s="31">
        <v>230.64999999999998</v>
      </c>
      <c r="E194" s="31">
        <v>7379.1</v>
      </c>
      <c r="F194" s="25">
        <f t="shared" si="13"/>
        <v>17019.894149999996</v>
      </c>
    </row>
    <row r="195" spans="1:7" ht="32.25" customHeight="1" outlineLevel="1" x14ac:dyDescent="0.25">
      <c r="A195" s="29">
        <v>8</v>
      </c>
      <c r="B195" s="30" t="s">
        <v>30</v>
      </c>
      <c r="C195" s="61">
        <v>1</v>
      </c>
      <c r="D195" s="31">
        <v>500</v>
      </c>
      <c r="E195" s="31">
        <v>30.5</v>
      </c>
      <c r="F195" s="25">
        <f t="shared" si="13"/>
        <v>15250</v>
      </c>
    </row>
    <row r="196" spans="1:7" ht="75" outlineLevel="1" x14ac:dyDescent="0.25">
      <c r="A196" s="29">
        <v>9</v>
      </c>
      <c r="B196" s="30" t="s">
        <v>31</v>
      </c>
      <c r="C196" s="33"/>
      <c r="D196" s="31"/>
      <c r="E196" s="31"/>
      <c r="F196" s="31"/>
    </row>
    <row r="197" spans="1:7" outlineLevel="1" x14ac:dyDescent="0.25">
      <c r="A197" s="91"/>
      <c r="B197" s="92" t="s">
        <v>32</v>
      </c>
      <c r="C197" s="68">
        <v>100</v>
      </c>
      <c r="D197" s="93">
        <v>4.29</v>
      </c>
      <c r="E197" s="93">
        <v>14042.6</v>
      </c>
      <c r="F197" s="71">
        <f>E197*D197/C197</f>
        <v>602.42754000000002</v>
      </c>
    </row>
    <row r="198" spans="1:7" ht="21" customHeight="1" outlineLevel="1" x14ac:dyDescent="0.25">
      <c r="A198" s="520" t="s">
        <v>83</v>
      </c>
      <c r="B198" s="520"/>
      <c r="C198" s="520"/>
      <c r="D198" s="520"/>
      <c r="E198" s="520"/>
      <c r="F198" s="108">
        <f>SUM(F187:F197)</f>
        <v>120139.71285875</v>
      </c>
    </row>
    <row r="199" spans="1:7" outlineLevel="1" x14ac:dyDescent="0.25">
      <c r="A199" s="534" t="s">
        <v>168</v>
      </c>
      <c r="B199" s="534"/>
      <c r="C199" s="534"/>
      <c r="D199" s="534"/>
      <c r="E199" s="534"/>
      <c r="F199" s="534"/>
    </row>
    <row r="200" spans="1:7" ht="25.5" customHeight="1" outlineLevel="1" x14ac:dyDescent="0.25">
      <c r="A200" s="82">
        <v>1</v>
      </c>
      <c r="B200" s="94" t="s">
        <v>34</v>
      </c>
      <c r="C200" s="75">
        <v>1</v>
      </c>
      <c r="D200" s="77">
        <v>30.96</v>
      </c>
      <c r="E200" s="95">
        <v>546.95000000000005</v>
      </c>
      <c r="F200" s="78">
        <f t="shared" ref="F200:F205" si="14">E200*D200/C200</f>
        <v>16933.572</v>
      </c>
    </row>
    <row r="201" spans="1:7" ht="45" outlineLevel="1" x14ac:dyDescent="0.25">
      <c r="A201" s="35">
        <v>2</v>
      </c>
      <c r="B201" s="36" t="s">
        <v>35</v>
      </c>
      <c r="C201" s="42">
        <v>100</v>
      </c>
      <c r="D201" s="24">
        <v>70.740000000000009</v>
      </c>
      <c r="E201" s="37">
        <v>30006.1</v>
      </c>
      <c r="F201" s="25">
        <f t="shared" si="14"/>
        <v>21226.315139999999</v>
      </c>
    </row>
    <row r="202" spans="1:7" s="16" customFormat="1" ht="21.75" customHeight="1" outlineLevel="1" x14ac:dyDescent="0.25">
      <c r="A202" s="32">
        <v>3</v>
      </c>
      <c r="B202" s="36" t="s">
        <v>36</v>
      </c>
      <c r="C202" s="61">
        <v>1</v>
      </c>
      <c r="D202" s="24">
        <v>18</v>
      </c>
      <c r="E202" s="37">
        <v>115.4</v>
      </c>
      <c r="F202" s="25">
        <f t="shared" si="14"/>
        <v>2077.2000000000003</v>
      </c>
      <c r="G202" s="458"/>
    </row>
    <row r="203" spans="1:7" s="16" customFormat="1" ht="21.75" customHeight="1" outlineLevel="1" x14ac:dyDescent="0.25">
      <c r="A203" s="32">
        <v>4</v>
      </c>
      <c r="B203" s="36" t="s">
        <v>37</v>
      </c>
      <c r="C203" s="62">
        <v>1</v>
      </c>
      <c r="D203" s="24">
        <v>18</v>
      </c>
      <c r="E203" s="37">
        <v>141.9</v>
      </c>
      <c r="F203" s="25">
        <f t="shared" si="14"/>
        <v>2554.2000000000003</v>
      </c>
      <c r="G203" s="458"/>
    </row>
    <row r="204" spans="1:7" s="16" customFormat="1" ht="21.75" customHeight="1" outlineLevel="1" x14ac:dyDescent="0.25">
      <c r="A204" s="32">
        <v>5</v>
      </c>
      <c r="B204" s="36" t="s">
        <v>38</v>
      </c>
      <c r="C204" s="28">
        <v>100</v>
      </c>
      <c r="D204" s="24">
        <v>63</v>
      </c>
      <c r="E204" s="37">
        <v>4307.55</v>
      </c>
      <c r="F204" s="25">
        <f t="shared" si="14"/>
        <v>2713.7565000000004</v>
      </c>
      <c r="G204" s="458"/>
    </row>
    <row r="205" spans="1:7" ht="30" outlineLevel="1" x14ac:dyDescent="0.25">
      <c r="A205" s="32">
        <v>6</v>
      </c>
      <c r="B205" s="36" t="s">
        <v>39</v>
      </c>
      <c r="C205" s="61">
        <v>1</v>
      </c>
      <c r="D205" s="24">
        <v>180</v>
      </c>
      <c r="E205" s="37">
        <v>30.5</v>
      </c>
      <c r="F205" s="25">
        <f t="shared" si="14"/>
        <v>5490</v>
      </c>
    </row>
    <row r="206" spans="1:7" ht="81" customHeight="1" outlineLevel="1" x14ac:dyDescent="0.25">
      <c r="A206" s="32">
        <v>7</v>
      </c>
      <c r="B206" s="40" t="s">
        <v>556</v>
      </c>
      <c r="C206" s="33"/>
      <c r="D206" s="24"/>
      <c r="E206" s="23"/>
      <c r="F206" s="23"/>
    </row>
    <row r="207" spans="1:7" outlineLevel="1" x14ac:dyDescent="0.25">
      <c r="A207" s="79" t="s">
        <v>41</v>
      </c>
      <c r="B207" s="80" t="s">
        <v>42</v>
      </c>
      <c r="C207" s="68">
        <v>100</v>
      </c>
      <c r="D207" s="69">
        <v>27.244800000000001</v>
      </c>
      <c r="E207" s="81">
        <v>14042.6</v>
      </c>
      <c r="F207" s="71">
        <f>E207*D207/C207</f>
        <v>3825.8782848000001</v>
      </c>
    </row>
    <row r="208" spans="1:7" outlineLevel="1" x14ac:dyDescent="0.25">
      <c r="A208" s="520" t="s">
        <v>83</v>
      </c>
      <c r="B208" s="520"/>
      <c r="C208" s="520"/>
      <c r="D208" s="520"/>
      <c r="E208" s="520"/>
      <c r="F208" s="72">
        <f>SUM(F200:F207)</f>
        <v>54820.921924799994</v>
      </c>
    </row>
    <row r="209" spans="1:6" outlineLevel="1" x14ac:dyDescent="0.25">
      <c r="A209" s="534" t="s">
        <v>169</v>
      </c>
      <c r="B209" s="534"/>
      <c r="C209" s="534"/>
      <c r="D209" s="534"/>
      <c r="E209" s="534"/>
      <c r="F209" s="534"/>
    </row>
    <row r="210" spans="1:6" ht="75" outlineLevel="1" x14ac:dyDescent="0.25">
      <c r="A210" s="82">
        <v>1</v>
      </c>
      <c r="B210" s="83" t="s">
        <v>10</v>
      </c>
      <c r="C210" s="75">
        <v>1000</v>
      </c>
      <c r="D210" s="77">
        <v>355.5</v>
      </c>
      <c r="E210" s="77">
        <v>4640.7</v>
      </c>
      <c r="F210" s="78">
        <f t="shared" ref="F210:F220" si="15">E210*D210/C210</f>
        <v>1649.7688499999999</v>
      </c>
    </row>
    <row r="211" spans="1:6" ht="30" outlineLevel="1" x14ac:dyDescent="0.25">
      <c r="A211" s="35">
        <v>2</v>
      </c>
      <c r="B211" s="41" t="s">
        <v>86</v>
      </c>
      <c r="C211" s="22">
        <v>100</v>
      </c>
      <c r="D211" s="24">
        <v>355.5</v>
      </c>
      <c r="E211" s="37">
        <v>6849</v>
      </c>
      <c r="F211" s="25">
        <f t="shared" si="15"/>
        <v>24348.195</v>
      </c>
    </row>
    <row r="212" spans="1:6" ht="20.25" customHeight="1" outlineLevel="1" x14ac:dyDescent="0.25">
      <c r="A212" s="32">
        <v>3</v>
      </c>
      <c r="B212" s="27" t="s">
        <v>87</v>
      </c>
      <c r="C212" s="28">
        <v>100</v>
      </c>
      <c r="D212" s="24">
        <v>681.66000000000008</v>
      </c>
      <c r="E212" s="37">
        <v>2265.1</v>
      </c>
      <c r="F212" s="25">
        <f t="shared" si="15"/>
        <v>15440.28066</v>
      </c>
    </row>
    <row r="213" spans="1:6" ht="20.25" customHeight="1" outlineLevel="1" x14ac:dyDescent="0.25">
      <c r="A213" s="32">
        <v>4</v>
      </c>
      <c r="B213" s="27" t="s">
        <v>88</v>
      </c>
      <c r="C213" s="28">
        <v>100</v>
      </c>
      <c r="D213" s="24">
        <v>126</v>
      </c>
      <c r="E213" s="37">
        <v>1660.5</v>
      </c>
      <c r="F213" s="25">
        <f t="shared" si="15"/>
        <v>2092.23</v>
      </c>
    </row>
    <row r="214" spans="1:6" ht="20.25" customHeight="1" outlineLevel="1" x14ac:dyDescent="0.25">
      <c r="A214" s="35">
        <v>5</v>
      </c>
      <c r="B214" s="41" t="s">
        <v>89</v>
      </c>
      <c r="C214" s="22">
        <v>100</v>
      </c>
      <c r="D214" s="24">
        <v>224.94</v>
      </c>
      <c r="E214" s="37">
        <v>18564.099999999999</v>
      </c>
      <c r="F214" s="25">
        <f t="shared" si="15"/>
        <v>41758.086539999997</v>
      </c>
    </row>
    <row r="215" spans="1:6" ht="20.25" customHeight="1" outlineLevel="1" x14ac:dyDescent="0.25">
      <c r="A215" s="35">
        <v>6</v>
      </c>
      <c r="B215" s="41" t="s">
        <v>90</v>
      </c>
      <c r="C215" s="22">
        <v>100</v>
      </c>
      <c r="D215" s="24">
        <v>224.94</v>
      </c>
      <c r="E215" s="37">
        <v>18564.099999999999</v>
      </c>
      <c r="F215" s="25">
        <f t="shared" si="15"/>
        <v>41758.086539999997</v>
      </c>
    </row>
    <row r="216" spans="1:6" ht="20.25" customHeight="1" outlineLevel="1" x14ac:dyDescent="0.25">
      <c r="A216" s="35">
        <v>7</v>
      </c>
      <c r="B216" s="41" t="s">
        <v>91</v>
      </c>
      <c r="C216" s="22">
        <v>100</v>
      </c>
      <c r="D216" s="24">
        <v>41.58</v>
      </c>
      <c r="E216" s="37">
        <v>18017.599999999999</v>
      </c>
      <c r="F216" s="25">
        <f t="shared" si="15"/>
        <v>7491.7180799999996</v>
      </c>
    </row>
    <row r="217" spans="1:6" ht="20.25" customHeight="1" outlineLevel="1" x14ac:dyDescent="0.25">
      <c r="A217" s="35">
        <v>8</v>
      </c>
      <c r="B217" s="41" t="s">
        <v>92</v>
      </c>
      <c r="C217" s="22">
        <v>100</v>
      </c>
      <c r="D217" s="24">
        <v>41.58</v>
      </c>
      <c r="E217" s="37">
        <v>18017.599999999999</v>
      </c>
      <c r="F217" s="25">
        <f t="shared" si="15"/>
        <v>7491.7180799999996</v>
      </c>
    </row>
    <row r="218" spans="1:6" ht="20.25" customHeight="1" outlineLevel="1" x14ac:dyDescent="0.25">
      <c r="A218" s="35">
        <v>9</v>
      </c>
      <c r="B218" s="41" t="s">
        <v>93</v>
      </c>
      <c r="C218" s="22">
        <v>100</v>
      </c>
      <c r="D218" s="24">
        <v>681.66000000000008</v>
      </c>
      <c r="E218" s="37">
        <v>11511</v>
      </c>
      <c r="F218" s="25">
        <f t="shared" si="15"/>
        <v>78465.882600000012</v>
      </c>
    </row>
    <row r="219" spans="1:6" ht="20.25" customHeight="1" outlineLevel="1" x14ac:dyDescent="0.25">
      <c r="A219" s="35">
        <v>10</v>
      </c>
      <c r="B219" s="41" t="s">
        <v>94</v>
      </c>
      <c r="C219" s="22">
        <v>100</v>
      </c>
      <c r="D219" s="24">
        <v>126</v>
      </c>
      <c r="E219" s="37">
        <v>10570.5</v>
      </c>
      <c r="F219" s="25">
        <f t="shared" si="15"/>
        <v>13318.83</v>
      </c>
    </row>
    <row r="220" spans="1:6" ht="60" outlineLevel="1" x14ac:dyDescent="0.25">
      <c r="A220" s="66">
        <v>11</v>
      </c>
      <c r="B220" s="67" t="s">
        <v>95</v>
      </c>
      <c r="C220" s="68">
        <v>100</v>
      </c>
      <c r="D220" s="69">
        <v>1449.117</v>
      </c>
      <c r="E220" s="70">
        <v>14042.6</v>
      </c>
      <c r="F220" s="71">
        <f t="shared" si="15"/>
        <v>203493.70384199999</v>
      </c>
    </row>
    <row r="221" spans="1:6" outlineLevel="1" x14ac:dyDescent="0.25">
      <c r="A221" s="520" t="s">
        <v>83</v>
      </c>
      <c r="B221" s="520"/>
      <c r="C221" s="520"/>
      <c r="D221" s="520"/>
      <c r="E221" s="520"/>
      <c r="F221" s="72">
        <f>SUM(F210:F220)</f>
        <v>437308.50019199995</v>
      </c>
    </row>
    <row r="222" spans="1:6" outlineLevel="1" x14ac:dyDescent="0.25">
      <c r="A222" s="534" t="s">
        <v>170</v>
      </c>
      <c r="B222" s="534"/>
      <c r="C222" s="534"/>
      <c r="D222" s="534"/>
      <c r="E222" s="534"/>
      <c r="F222" s="534"/>
    </row>
    <row r="223" spans="1:6" ht="57.75" customHeight="1" outlineLevel="1" x14ac:dyDescent="0.25">
      <c r="A223" s="99">
        <v>1</v>
      </c>
      <c r="B223" s="100" t="s">
        <v>203</v>
      </c>
      <c r="C223" s="75">
        <v>100</v>
      </c>
      <c r="D223" s="101">
        <v>136.8125</v>
      </c>
      <c r="E223" s="77">
        <v>47135.9</v>
      </c>
      <c r="F223" s="78">
        <f>E223*D223/C223</f>
        <v>64487.803187500009</v>
      </c>
    </row>
    <row r="224" spans="1:6" ht="45" customHeight="1" outlineLevel="1" x14ac:dyDescent="0.25">
      <c r="A224" s="102">
        <v>2</v>
      </c>
      <c r="B224" s="67" t="s">
        <v>103</v>
      </c>
      <c r="C224" s="68">
        <v>100</v>
      </c>
      <c r="D224" s="109">
        <v>848</v>
      </c>
      <c r="E224" s="70">
        <v>4850.3999999999996</v>
      </c>
      <c r="F224" s="71">
        <f>E224*D224/C224</f>
        <v>41131.392</v>
      </c>
    </row>
    <row r="225" spans="1:6" outlineLevel="1" x14ac:dyDescent="0.25">
      <c r="A225" s="520" t="s">
        <v>83</v>
      </c>
      <c r="B225" s="520"/>
      <c r="C225" s="520"/>
      <c r="D225" s="520"/>
      <c r="E225" s="520"/>
      <c r="F225" s="106">
        <f>SUM(F223:F224)</f>
        <v>105619.19518750001</v>
      </c>
    </row>
    <row r="226" spans="1:6" outlineLevel="1" x14ac:dyDescent="0.25">
      <c r="A226" s="534" t="s">
        <v>171</v>
      </c>
      <c r="B226" s="534"/>
      <c r="C226" s="534"/>
      <c r="D226" s="534"/>
      <c r="E226" s="534"/>
      <c r="F226" s="534"/>
    </row>
    <row r="227" spans="1:6" ht="75" outlineLevel="1" x14ac:dyDescent="0.25">
      <c r="A227" s="82">
        <v>1</v>
      </c>
      <c r="B227" s="96" t="s">
        <v>108</v>
      </c>
      <c r="C227" s="75">
        <v>1000</v>
      </c>
      <c r="D227" s="77">
        <v>1089.7838166396</v>
      </c>
      <c r="E227" s="77">
        <v>15824.15</v>
      </c>
      <c r="F227" s="77">
        <f>E227*D227/C227</f>
        <v>17244.902582077524</v>
      </c>
    </row>
    <row r="228" spans="1:6" ht="95.25" customHeight="1" outlineLevel="1" x14ac:dyDescent="0.25">
      <c r="A228" s="35">
        <v>2</v>
      </c>
      <c r="B228" s="54" t="s">
        <v>109</v>
      </c>
      <c r="C228" s="28">
        <v>1</v>
      </c>
      <c r="D228" s="24">
        <v>1017</v>
      </c>
      <c r="E228" s="37">
        <v>12.55</v>
      </c>
      <c r="F228" s="24">
        <f>E228*D228/C228</f>
        <v>12763.35</v>
      </c>
    </row>
    <row r="229" spans="1:6" ht="50.25" customHeight="1" outlineLevel="1" x14ac:dyDescent="0.25">
      <c r="A229" s="32">
        <v>3</v>
      </c>
      <c r="B229" s="41" t="s">
        <v>557</v>
      </c>
      <c r="C229" s="33"/>
      <c r="D229" s="24"/>
      <c r="E229" s="37">
        <v>0</v>
      </c>
      <c r="F229" s="37"/>
    </row>
    <row r="230" spans="1:6" outlineLevel="1" x14ac:dyDescent="0.25">
      <c r="A230" s="32"/>
      <c r="B230" s="40" t="s">
        <v>24</v>
      </c>
      <c r="C230" s="22">
        <v>100</v>
      </c>
      <c r="D230" s="24">
        <v>211.22488864960002</v>
      </c>
      <c r="E230" s="24">
        <v>34694.300000000003</v>
      </c>
      <c r="F230" s="24">
        <f t="shared" ref="F230:F235" si="16">E230*D230/C230</f>
        <v>73282.996542758192</v>
      </c>
    </row>
    <row r="231" spans="1:6" ht="30" outlineLevel="1" x14ac:dyDescent="0.25">
      <c r="A231" s="32">
        <v>4</v>
      </c>
      <c r="B231" s="41" t="s">
        <v>25</v>
      </c>
      <c r="C231" s="22">
        <v>100</v>
      </c>
      <c r="D231" s="24">
        <v>630.08000000000004</v>
      </c>
      <c r="E231" s="24">
        <v>32675.95</v>
      </c>
      <c r="F231" s="24">
        <f t="shared" si="16"/>
        <v>205884.62576000002</v>
      </c>
    </row>
    <row r="232" spans="1:6" ht="68.25" customHeight="1" outlineLevel="1" x14ac:dyDescent="0.25">
      <c r="A232" s="32">
        <v>5</v>
      </c>
      <c r="B232" s="41" t="s">
        <v>110</v>
      </c>
      <c r="C232" s="28">
        <v>100</v>
      </c>
      <c r="D232" s="24">
        <v>129</v>
      </c>
      <c r="E232" s="24">
        <v>11460.2</v>
      </c>
      <c r="F232" s="24">
        <f t="shared" si="16"/>
        <v>14783.658000000001</v>
      </c>
    </row>
    <row r="233" spans="1:6" ht="66.75" customHeight="1" outlineLevel="1" x14ac:dyDescent="0.25">
      <c r="A233" s="32">
        <v>6</v>
      </c>
      <c r="B233" s="40" t="s">
        <v>172</v>
      </c>
      <c r="C233" s="28">
        <v>100</v>
      </c>
      <c r="D233" s="24">
        <v>240</v>
      </c>
      <c r="E233" s="24">
        <v>7607.35</v>
      </c>
      <c r="F233" s="24">
        <f t="shared" si="16"/>
        <v>18257.64</v>
      </c>
    </row>
    <row r="234" spans="1:6" ht="34.5" customHeight="1" outlineLevel="1" x14ac:dyDescent="0.25">
      <c r="A234" s="32">
        <v>7</v>
      </c>
      <c r="B234" s="41" t="s">
        <v>112</v>
      </c>
      <c r="C234" s="22">
        <v>1000</v>
      </c>
      <c r="D234" s="24">
        <v>300</v>
      </c>
      <c r="E234" s="24">
        <v>7547.75</v>
      </c>
      <c r="F234" s="24">
        <f t="shared" si="16"/>
        <v>2264.3249999999998</v>
      </c>
    </row>
    <row r="235" spans="1:6" ht="34.5" customHeight="1" outlineLevel="1" x14ac:dyDescent="0.25">
      <c r="A235" s="32">
        <v>8</v>
      </c>
      <c r="B235" s="40" t="s">
        <v>173</v>
      </c>
      <c r="C235" s="22">
        <v>100</v>
      </c>
      <c r="D235" s="24">
        <v>581.79999999999995</v>
      </c>
      <c r="E235" s="24">
        <v>35830.6</v>
      </c>
      <c r="F235" s="24">
        <f t="shared" si="16"/>
        <v>208462.43079999997</v>
      </c>
    </row>
    <row r="236" spans="1:6" ht="120.75" outlineLevel="1" x14ac:dyDescent="0.25">
      <c r="A236" s="538">
        <v>9</v>
      </c>
      <c r="B236" s="41" t="s">
        <v>47</v>
      </c>
      <c r="C236" s="29"/>
      <c r="D236" s="24"/>
      <c r="E236" s="24"/>
      <c r="F236" s="50"/>
    </row>
    <row r="237" spans="1:6" ht="75" outlineLevel="1" x14ac:dyDescent="0.25">
      <c r="A237" s="538"/>
      <c r="B237" s="41" t="s">
        <v>174</v>
      </c>
      <c r="C237" s="22">
        <v>1</v>
      </c>
      <c r="D237" s="24">
        <v>308.33159999999998</v>
      </c>
      <c r="E237" s="24">
        <v>741.85</v>
      </c>
      <c r="F237" s="24">
        <f t="shared" ref="F237:F246" si="17">E237*D237/C237</f>
        <v>228735.79746</v>
      </c>
    </row>
    <row r="238" spans="1:6" ht="75" outlineLevel="1" x14ac:dyDescent="0.25">
      <c r="A238" s="64">
        <v>10</v>
      </c>
      <c r="B238" s="40" t="s">
        <v>175</v>
      </c>
      <c r="C238" s="22">
        <v>1</v>
      </c>
      <c r="D238" s="24">
        <v>36.815624999999997</v>
      </c>
      <c r="E238" s="24">
        <v>595</v>
      </c>
      <c r="F238" s="24">
        <f t="shared" si="17"/>
        <v>21905.296875</v>
      </c>
    </row>
    <row r="239" spans="1:6" ht="90" outlineLevel="1" x14ac:dyDescent="0.25">
      <c r="A239" s="60">
        <v>11</v>
      </c>
      <c r="B239" s="41" t="s">
        <v>116</v>
      </c>
      <c r="C239" s="42">
        <v>100</v>
      </c>
      <c r="D239" s="24">
        <v>2070.8833500000001</v>
      </c>
      <c r="E239" s="24">
        <v>30376.9</v>
      </c>
      <c r="F239" s="24">
        <f t="shared" si="17"/>
        <v>629070.16434615012</v>
      </c>
    </row>
    <row r="240" spans="1:6" ht="180" outlineLevel="1" x14ac:dyDescent="0.25">
      <c r="A240" s="32">
        <v>12</v>
      </c>
      <c r="B240" s="41" t="s">
        <v>117</v>
      </c>
      <c r="C240" s="28">
        <v>1</v>
      </c>
      <c r="D240" s="24">
        <v>64</v>
      </c>
      <c r="E240" s="24">
        <v>2180.6999999999998</v>
      </c>
      <c r="F240" s="24">
        <f t="shared" si="17"/>
        <v>139564.79999999999</v>
      </c>
    </row>
    <row r="241" spans="1:7" ht="60" outlineLevel="1" x14ac:dyDescent="0.25">
      <c r="A241" s="32">
        <v>13</v>
      </c>
      <c r="B241" s="41" t="s">
        <v>118</v>
      </c>
      <c r="C241" s="28">
        <v>1</v>
      </c>
      <c r="D241" s="24">
        <v>80</v>
      </c>
      <c r="E241" s="24">
        <v>457.1</v>
      </c>
      <c r="F241" s="24">
        <f t="shared" si="17"/>
        <v>36568</v>
      </c>
    </row>
    <row r="242" spans="1:7" ht="45" outlineLevel="1" x14ac:dyDescent="0.25">
      <c r="A242" s="32">
        <v>14</v>
      </c>
      <c r="B242" s="41" t="s">
        <v>119</v>
      </c>
      <c r="C242" s="28">
        <v>1</v>
      </c>
      <c r="D242" s="24">
        <v>98</v>
      </c>
      <c r="E242" s="24">
        <v>2767</v>
      </c>
      <c r="F242" s="24">
        <f t="shared" si="17"/>
        <v>271166</v>
      </c>
    </row>
    <row r="243" spans="1:7" ht="75" outlineLevel="1" x14ac:dyDescent="0.25">
      <c r="A243" s="35">
        <v>15</v>
      </c>
      <c r="B243" s="41" t="s">
        <v>120</v>
      </c>
      <c r="C243" s="28">
        <v>100</v>
      </c>
      <c r="D243" s="24">
        <v>191.125</v>
      </c>
      <c r="E243" s="24">
        <v>13179.6</v>
      </c>
      <c r="F243" s="24">
        <f t="shared" si="17"/>
        <v>25189.510500000004</v>
      </c>
    </row>
    <row r="244" spans="1:7" ht="30" outlineLevel="1" x14ac:dyDescent="0.25">
      <c r="A244" s="35">
        <v>16</v>
      </c>
      <c r="B244" s="41" t="s">
        <v>121</v>
      </c>
      <c r="C244" s="28">
        <v>1</v>
      </c>
      <c r="D244" s="24">
        <v>199.125</v>
      </c>
      <c r="E244" s="24">
        <v>11</v>
      </c>
      <c r="F244" s="24">
        <f t="shared" si="17"/>
        <v>2190.375</v>
      </c>
    </row>
    <row r="245" spans="1:7" ht="24" customHeight="1" outlineLevel="1" x14ac:dyDescent="0.25">
      <c r="A245" s="32">
        <v>17</v>
      </c>
      <c r="B245" s="41" t="s">
        <v>122</v>
      </c>
      <c r="C245" s="22">
        <v>100</v>
      </c>
      <c r="D245" s="24">
        <v>81.875</v>
      </c>
      <c r="E245" s="37">
        <v>3987</v>
      </c>
      <c r="F245" s="24">
        <f t="shared" si="17"/>
        <v>3264.3562499999998</v>
      </c>
    </row>
    <row r="246" spans="1:7" ht="45" outlineLevel="1" x14ac:dyDescent="0.25">
      <c r="A246" s="35">
        <v>18</v>
      </c>
      <c r="B246" s="41" t="s">
        <v>123</v>
      </c>
      <c r="C246" s="22">
        <v>100</v>
      </c>
      <c r="D246" s="24">
        <v>97.875</v>
      </c>
      <c r="E246" s="37">
        <v>12801.2</v>
      </c>
      <c r="F246" s="24">
        <f t="shared" si="17"/>
        <v>12529.174500000001</v>
      </c>
    </row>
    <row r="247" spans="1:7" ht="45" outlineLevel="1" x14ac:dyDescent="0.25">
      <c r="A247" s="538">
        <v>19</v>
      </c>
      <c r="B247" s="21" t="s">
        <v>124</v>
      </c>
      <c r="C247" s="29"/>
      <c r="D247" s="24"/>
      <c r="E247" s="24">
        <v>0</v>
      </c>
      <c r="F247" s="37"/>
    </row>
    <row r="248" spans="1:7" outlineLevel="1" x14ac:dyDescent="0.25">
      <c r="A248" s="538"/>
      <c r="B248" s="21" t="s">
        <v>125</v>
      </c>
      <c r="C248" s="22">
        <v>100</v>
      </c>
      <c r="D248" s="24">
        <v>91.72</v>
      </c>
      <c r="E248" s="24">
        <v>47135.9</v>
      </c>
      <c r="F248" s="24">
        <f t="shared" ref="F248:F258" si="18">E248*D248/C248</f>
        <v>43233.047479999994</v>
      </c>
    </row>
    <row r="249" spans="1:7" ht="30" outlineLevel="1" x14ac:dyDescent="0.25">
      <c r="A249" s="32">
        <v>20</v>
      </c>
      <c r="B249" s="41" t="s">
        <v>126</v>
      </c>
      <c r="C249" s="28">
        <v>100</v>
      </c>
      <c r="D249" s="24">
        <v>1136.6100000000001</v>
      </c>
      <c r="E249" s="37">
        <v>4614.1000000000004</v>
      </c>
      <c r="F249" s="24">
        <f t="shared" si="18"/>
        <v>52444.322010000011</v>
      </c>
    </row>
    <row r="250" spans="1:7" ht="45" outlineLevel="1" x14ac:dyDescent="0.25">
      <c r="A250" s="32">
        <v>21</v>
      </c>
      <c r="B250" s="41" t="s">
        <v>127</v>
      </c>
      <c r="C250" s="28">
        <v>100</v>
      </c>
      <c r="D250" s="24">
        <v>229.04</v>
      </c>
      <c r="E250" s="37">
        <v>5264.65</v>
      </c>
      <c r="F250" s="24">
        <f t="shared" si="18"/>
        <v>12058.15436</v>
      </c>
    </row>
    <row r="251" spans="1:7" ht="60" outlineLevel="1" x14ac:dyDescent="0.25">
      <c r="A251" s="32">
        <v>22</v>
      </c>
      <c r="B251" s="41" t="s">
        <v>128</v>
      </c>
      <c r="C251" s="28">
        <v>100</v>
      </c>
      <c r="D251" s="24">
        <v>979.75</v>
      </c>
      <c r="E251" s="37">
        <v>5012.6499999999996</v>
      </c>
      <c r="F251" s="24">
        <f t="shared" si="18"/>
        <v>49111.438374999998</v>
      </c>
    </row>
    <row r="252" spans="1:7" ht="45" outlineLevel="1" x14ac:dyDescent="0.25">
      <c r="A252" s="32">
        <v>23</v>
      </c>
      <c r="B252" s="41" t="s">
        <v>129</v>
      </c>
      <c r="C252" s="58">
        <v>1</v>
      </c>
      <c r="D252" s="24">
        <v>26</v>
      </c>
      <c r="E252" s="37">
        <v>514.9</v>
      </c>
      <c r="F252" s="24">
        <f t="shared" si="18"/>
        <v>13387.4</v>
      </c>
    </row>
    <row r="253" spans="1:7" ht="30" outlineLevel="1" x14ac:dyDescent="0.25">
      <c r="A253" s="32">
        <v>24</v>
      </c>
      <c r="B253" s="41" t="s">
        <v>130</v>
      </c>
      <c r="C253" s="61">
        <v>1</v>
      </c>
      <c r="D253" s="24">
        <v>4</v>
      </c>
      <c r="E253" s="37">
        <v>849.7</v>
      </c>
      <c r="F253" s="24">
        <f t="shared" si="18"/>
        <v>3398.8</v>
      </c>
    </row>
    <row r="254" spans="1:7" s="16" customFormat="1" ht="24" customHeight="1" outlineLevel="1" x14ac:dyDescent="0.25">
      <c r="A254" s="32">
        <v>25</v>
      </c>
      <c r="B254" s="41" t="s">
        <v>131</v>
      </c>
      <c r="C254" s="61">
        <v>1</v>
      </c>
      <c r="D254" s="24">
        <v>2</v>
      </c>
      <c r="E254" s="37">
        <v>1159.6500000000001</v>
      </c>
      <c r="F254" s="24">
        <f t="shared" si="18"/>
        <v>2319.3000000000002</v>
      </c>
      <c r="G254" s="458"/>
    </row>
    <row r="255" spans="1:7" s="16" customFormat="1" ht="24" customHeight="1" outlineLevel="1" x14ac:dyDescent="0.25">
      <c r="A255" s="32">
        <v>26</v>
      </c>
      <c r="B255" s="41" t="s">
        <v>132</v>
      </c>
      <c r="C255" s="28">
        <v>100</v>
      </c>
      <c r="D255" s="24">
        <v>1020.54</v>
      </c>
      <c r="E255" s="37">
        <v>1548.2</v>
      </c>
      <c r="F255" s="24">
        <f t="shared" si="18"/>
        <v>15800.00028</v>
      </c>
      <c r="G255" s="458"/>
    </row>
    <row r="256" spans="1:7" ht="51" customHeight="1" outlineLevel="1" x14ac:dyDescent="0.25">
      <c r="A256" s="32">
        <v>27</v>
      </c>
      <c r="B256" s="41" t="s">
        <v>133</v>
      </c>
      <c r="C256" s="28">
        <v>100</v>
      </c>
      <c r="D256" s="24">
        <v>345.11</v>
      </c>
      <c r="E256" s="37">
        <v>7379.1</v>
      </c>
      <c r="F256" s="24">
        <f t="shared" si="18"/>
        <v>25466.012010000002</v>
      </c>
    </row>
    <row r="257" spans="1:6" ht="35.25" customHeight="1" outlineLevel="1" x14ac:dyDescent="0.25">
      <c r="A257" s="32">
        <v>28</v>
      </c>
      <c r="B257" s="41" t="s">
        <v>134</v>
      </c>
      <c r="C257" s="28">
        <v>100</v>
      </c>
      <c r="D257" s="24">
        <v>178</v>
      </c>
      <c r="E257" s="37">
        <v>3052.4</v>
      </c>
      <c r="F257" s="24">
        <f t="shared" si="18"/>
        <v>5433.2720000000008</v>
      </c>
    </row>
    <row r="258" spans="1:6" ht="66.75" customHeight="1" outlineLevel="1" x14ac:dyDescent="0.25">
      <c r="A258" s="32">
        <v>29</v>
      </c>
      <c r="B258" s="21" t="s">
        <v>135</v>
      </c>
      <c r="C258" s="42">
        <v>100</v>
      </c>
      <c r="D258" s="24">
        <v>669.9174453415585</v>
      </c>
      <c r="E258" s="24">
        <v>37098.85</v>
      </c>
      <c r="F258" s="24">
        <f t="shared" si="18"/>
        <v>248531.66817109677</v>
      </c>
    </row>
    <row r="259" spans="1:6" ht="54" customHeight="1" outlineLevel="1" x14ac:dyDescent="0.25">
      <c r="A259" s="538">
        <v>30</v>
      </c>
      <c r="B259" s="41" t="s">
        <v>136</v>
      </c>
      <c r="C259" s="29"/>
      <c r="D259" s="24"/>
      <c r="E259" s="37">
        <v>0</v>
      </c>
      <c r="F259" s="37"/>
    </row>
    <row r="260" spans="1:6" outlineLevel="1" x14ac:dyDescent="0.25">
      <c r="A260" s="538"/>
      <c r="B260" s="41" t="s">
        <v>176</v>
      </c>
      <c r="C260" s="58">
        <v>1</v>
      </c>
      <c r="D260" s="24">
        <v>120</v>
      </c>
      <c r="E260" s="37">
        <v>112.25</v>
      </c>
      <c r="F260" s="24">
        <f>E260*D260/C260</f>
        <v>13470</v>
      </c>
    </row>
    <row r="261" spans="1:6" outlineLevel="1" x14ac:dyDescent="0.25">
      <c r="A261" s="538"/>
      <c r="B261" s="41" t="s">
        <v>177</v>
      </c>
      <c r="C261" s="58">
        <v>1</v>
      </c>
      <c r="D261" s="24">
        <v>60</v>
      </c>
      <c r="E261" s="37">
        <v>133.6</v>
      </c>
      <c r="F261" s="24">
        <f>E261*D261/C261</f>
        <v>8016</v>
      </c>
    </row>
    <row r="262" spans="1:6" outlineLevel="1" x14ac:dyDescent="0.25">
      <c r="A262" s="32"/>
      <c r="B262" s="41" t="s">
        <v>178</v>
      </c>
      <c r="C262" s="58">
        <v>1</v>
      </c>
      <c r="D262" s="24">
        <v>30</v>
      </c>
      <c r="E262" s="37">
        <v>231.55</v>
      </c>
      <c r="F262" s="24">
        <f>E262*D262/C262</f>
        <v>6946.5</v>
      </c>
    </row>
    <row r="263" spans="1:6" ht="75" outlineLevel="1" x14ac:dyDescent="0.25">
      <c r="A263" s="538">
        <v>31</v>
      </c>
      <c r="B263" s="41" t="s">
        <v>179</v>
      </c>
      <c r="C263" s="29"/>
      <c r="D263" s="24"/>
      <c r="E263" s="37">
        <v>0</v>
      </c>
      <c r="F263" s="50"/>
    </row>
    <row r="264" spans="1:6" outlineLevel="1" x14ac:dyDescent="0.25">
      <c r="A264" s="538"/>
      <c r="B264" s="41" t="s">
        <v>180</v>
      </c>
      <c r="C264" s="58">
        <v>1</v>
      </c>
      <c r="D264" s="24">
        <v>360</v>
      </c>
      <c r="E264" s="37">
        <v>35.700000000000003</v>
      </c>
      <c r="F264" s="24">
        <f>E264*D264/C264</f>
        <v>12852.000000000002</v>
      </c>
    </row>
    <row r="265" spans="1:6" outlineLevel="1" x14ac:dyDescent="0.25">
      <c r="A265" s="64"/>
      <c r="B265" s="41" t="s">
        <v>181</v>
      </c>
      <c r="C265" s="58">
        <v>1</v>
      </c>
      <c r="D265" s="24">
        <v>120</v>
      </c>
      <c r="E265" s="37">
        <v>56.3</v>
      </c>
      <c r="F265" s="24">
        <f>E265*D265/C265</f>
        <v>6756</v>
      </c>
    </row>
    <row r="266" spans="1:6" ht="60" outlineLevel="1" x14ac:dyDescent="0.25">
      <c r="A266" s="32">
        <v>32</v>
      </c>
      <c r="B266" s="41" t="s">
        <v>182</v>
      </c>
      <c r="C266" s="58">
        <v>1</v>
      </c>
      <c r="D266" s="24">
        <v>80</v>
      </c>
      <c r="E266" s="37">
        <v>237.65</v>
      </c>
      <c r="F266" s="24">
        <f>E266*D266/C266</f>
        <v>19012</v>
      </c>
    </row>
    <row r="267" spans="1:6" ht="60" outlineLevel="1" x14ac:dyDescent="0.25">
      <c r="A267" s="538">
        <v>33</v>
      </c>
      <c r="B267" s="41" t="s">
        <v>145</v>
      </c>
      <c r="C267" s="29"/>
      <c r="D267" s="24"/>
      <c r="E267" s="37">
        <v>0</v>
      </c>
      <c r="F267" s="50"/>
    </row>
    <row r="268" spans="1:6" ht="19.5" customHeight="1" outlineLevel="1" x14ac:dyDescent="0.25">
      <c r="A268" s="538"/>
      <c r="B268" s="41" t="s">
        <v>183</v>
      </c>
      <c r="C268" s="62">
        <v>1</v>
      </c>
      <c r="D268" s="24">
        <v>2</v>
      </c>
      <c r="E268" s="37">
        <v>382.3</v>
      </c>
      <c r="F268" s="24">
        <f t="shared" ref="F268:F276" si="19">E268*D268/C268</f>
        <v>764.6</v>
      </c>
    </row>
    <row r="269" spans="1:6" ht="19.5" customHeight="1" outlineLevel="1" x14ac:dyDescent="0.25">
      <c r="A269" s="538"/>
      <c r="B269" s="41" t="s">
        <v>184</v>
      </c>
      <c r="C269" s="62">
        <v>1</v>
      </c>
      <c r="D269" s="24">
        <v>2</v>
      </c>
      <c r="E269" s="37">
        <v>522.75</v>
      </c>
      <c r="F269" s="24">
        <f t="shared" si="19"/>
        <v>1045.5</v>
      </c>
    </row>
    <row r="270" spans="1:6" ht="19.5" customHeight="1" outlineLevel="1" x14ac:dyDescent="0.25">
      <c r="A270" s="538"/>
      <c r="B270" s="41" t="s">
        <v>185</v>
      </c>
      <c r="C270" s="62">
        <v>1</v>
      </c>
      <c r="D270" s="24">
        <v>2</v>
      </c>
      <c r="E270" s="37">
        <v>668.8</v>
      </c>
      <c r="F270" s="24">
        <f t="shared" si="19"/>
        <v>1337.6</v>
      </c>
    </row>
    <row r="271" spans="1:6" ht="39" customHeight="1" outlineLevel="1" x14ac:dyDescent="0.25">
      <c r="A271" s="32">
        <v>34</v>
      </c>
      <c r="B271" s="41" t="s">
        <v>149</v>
      </c>
      <c r="C271" s="62">
        <v>1</v>
      </c>
      <c r="D271" s="24">
        <v>40</v>
      </c>
      <c r="E271" s="37">
        <v>102.7</v>
      </c>
      <c r="F271" s="24">
        <f t="shared" si="19"/>
        <v>4108</v>
      </c>
    </row>
    <row r="272" spans="1:6" ht="24.75" customHeight="1" outlineLevel="1" x14ac:dyDescent="0.25">
      <c r="A272" s="32">
        <v>35</v>
      </c>
      <c r="B272" s="41" t="s">
        <v>150</v>
      </c>
      <c r="C272" s="62">
        <v>1</v>
      </c>
      <c r="D272" s="24">
        <v>8</v>
      </c>
      <c r="E272" s="37">
        <v>96.3</v>
      </c>
      <c r="F272" s="24">
        <f t="shared" si="19"/>
        <v>770.4</v>
      </c>
    </row>
    <row r="273" spans="1:8" ht="24.75" customHeight="1" outlineLevel="1" x14ac:dyDescent="0.25">
      <c r="A273" s="32">
        <v>36</v>
      </c>
      <c r="B273" s="41" t="s">
        <v>151</v>
      </c>
      <c r="C273" s="62">
        <v>1</v>
      </c>
      <c r="D273" s="24">
        <v>4</v>
      </c>
      <c r="E273" s="37">
        <v>204.7</v>
      </c>
      <c r="F273" s="24">
        <f t="shared" si="19"/>
        <v>818.8</v>
      </c>
    </row>
    <row r="274" spans="1:8" ht="30" outlineLevel="1" x14ac:dyDescent="0.25">
      <c r="A274" s="32">
        <v>37</v>
      </c>
      <c r="B274" s="41" t="s">
        <v>186</v>
      </c>
      <c r="C274" s="62">
        <v>1</v>
      </c>
      <c r="D274" s="24">
        <v>2</v>
      </c>
      <c r="E274" s="37">
        <v>213.1</v>
      </c>
      <c r="F274" s="24">
        <f t="shared" si="19"/>
        <v>426.2</v>
      </c>
    </row>
    <row r="275" spans="1:8" ht="150" outlineLevel="1" x14ac:dyDescent="0.25">
      <c r="A275" s="32">
        <v>38</v>
      </c>
      <c r="B275" s="40" t="s">
        <v>153</v>
      </c>
      <c r="C275" s="61">
        <v>1</v>
      </c>
      <c r="D275" s="24">
        <v>2</v>
      </c>
      <c r="E275" s="37">
        <v>24422.65</v>
      </c>
      <c r="F275" s="24">
        <f t="shared" si="19"/>
        <v>48845.3</v>
      </c>
    </row>
    <row r="276" spans="1:8" ht="90" outlineLevel="1" x14ac:dyDescent="0.25">
      <c r="A276" s="32">
        <v>39</v>
      </c>
      <c r="B276" s="41" t="s">
        <v>154</v>
      </c>
      <c r="C276" s="61">
        <v>1</v>
      </c>
      <c r="D276" s="24">
        <v>12</v>
      </c>
      <c r="E276" s="37">
        <v>1453.75</v>
      </c>
      <c r="F276" s="24">
        <f t="shared" si="19"/>
        <v>17445</v>
      </c>
    </row>
    <row r="277" spans="1:8" ht="135" outlineLevel="1" x14ac:dyDescent="0.25">
      <c r="A277" s="32">
        <v>40</v>
      </c>
      <c r="B277" s="40" t="s">
        <v>155</v>
      </c>
      <c r="C277" s="61">
        <v>1</v>
      </c>
      <c r="D277" s="24">
        <v>4</v>
      </c>
      <c r="E277" s="37">
        <v>13796.3</v>
      </c>
      <c r="F277" s="24">
        <f t="shared" ref="F277" si="20">D277*E277</f>
        <v>55185.2</v>
      </c>
    </row>
    <row r="278" spans="1:8" ht="150" outlineLevel="1" x14ac:dyDescent="0.25">
      <c r="A278" s="32">
        <v>41</v>
      </c>
      <c r="B278" s="40" t="s">
        <v>156</v>
      </c>
      <c r="C278" s="61">
        <v>1</v>
      </c>
      <c r="D278" s="24">
        <v>2</v>
      </c>
      <c r="E278" s="37">
        <v>19859.400000000001</v>
      </c>
      <c r="F278" s="24">
        <f>E278*D278/C278</f>
        <v>39718.800000000003</v>
      </c>
    </row>
    <row r="279" spans="1:8" ht="60" outlineLevel="1" x14ac:dyDescent="0.25">
      <c r="A279" s="32">
        <v>42</v>
      </c>
      <c r="B279" s="41" t="s">
        <v>157</v>
      </c>
      <c r="C279" s="61">
        <v>1</v>
      </c>
      <c r="D279" s="24">
        <v>6</v>
      </c>
      <c r="E279" s="37">
        <v>1995.3</v>
      </c>
      <c r="F279" s="24">
        <f>E279*D279/C279</f>
        <v>11971.8</v>
      </c>
    </row>
    <row r="280" spans="1:8" ht="30" outlineLevel="1" x14ac:dyDescent="0.25">
      <c r="A280" s="32">
        <v>43</v>
      </c>
      <c r="B280" s="41" t="s">
        <v>158</v>
      </c>
      <c r="C280" s="61">
        <v>1</v>
      </c>
      <c r="D280" s="24">
        <v>6</v>
      </c>
      <c r="E280" s="37">
        <v>178.75</v>
      </c>
      <c r="F280" s="24">
        <f>E280*D280/C280</f>
        <v>1072.5</v>
      </c>
    </row>
    <row r="281" spans="1:8" ht="75.75" outlineLevel="1" x14ac:dyDescent="0.25">
      <c r="A281" s="32">
        <v>44</v>
      </c>
      <c r="B281" s="40" t="s">
        <v>40</v>
      </c>
      <c r="C281" s="33"/>
      <c r="D281" s="24"/>
      <c r="E281" s="23"/>
      <c r="F281" s="23"/>
    </row>
    <row r="282" spans="1:8" outlineLevel="1" x14ac:dyDescent="0.25">
      <c r="A282" s="32" t="s">
        <v>67</v>
      </c>
      <c r="B282" s="40" t="s">
        <v>68</v>
      </c>
      <c r="C282" s="22">
        <v>100</v>
      </c>
      <c r="D282" s="24">
        <v>202.775893103616</v>
      </c>
      <c r="E282" s="23">
        <v>14042.6</v>
      </c>
      <c r="F282" s="24">
        <f>E282*D282/C282</f>
        <v>28475.007564968382</v>
      </c>
    </row>
    <row r="283" spans="1:8" outlineLevel="1" x14ac:dyDescent="0.25">
      <c r="A283" s="32" t="s">
        <v>41</v>
      </c>
      <c r="B283" s="40" t="s">
        <v>42</v>
      </c>
      <c r="C283" s="22">
        <v>100</v>
      </c>
      <c r="D283" s="24">
        <v>80.7136</v>
      </c>
      <c r="E283" s="23">
        <v>14042.6</v>
      </c>
      <c r="F283" s="24">
        <f>E283*D283/C283</f>
        <v>11334.287993600001</v>
      </c>
    </row>
    <row r="284" spans="1:8" outlineLevel="1" x14ac:dyDescent="0.25">
      <c r="A284" s="32" t="s">
        <v>70</v>
      </c>
      <c r="B284" s="40" t="s">
        <v>159</v>
      </c>
      <c r="C284" s="22">
        <v>100</v>
      </c>
      <c r="D284" s="24">
        <v>303.729558</v>
      </c>
      <c r="E284" s="23">
        <v>14042.6</v>
      </c>
      <c r="F284" s="24">
        <f>E284*D284/C284</f>
        <v>42651.526911708002</v>
      </c>
    </row>
    <row r="285" spans="1:8" outlineLevel="1" x14ac:dyDescent="0.25">
      <c r="A285" s="79" t="s">
        <v>160</v>
      </c>
      <c r="B285" s="80" t="s">
        <v>161</v>
      </c>
      <c r="C285" s="68">
        <v>100</v>
      </c>
      <c r="D285" s="69">
        <v>14.19</v>
      </c>
      <c r="E285" s="81">
        <v>14042.6</v>
      </c>
      <c r="F285" s="69">
        <f>E285*D285/C285</f>
        <v>1992.6449400000001</v>
      </c>
    </row>
    <row r="286" spans="1:8" outlineLevel="1" x14ac:dyDescent="0.25">
      <c r="A286" s="520" t="s">
        <v>83</v>
      </c>
      <c r="B286" s="520"/>
      <c r="C286" s="520"/>
      <c r="D286" s="520"/>
      <c r="E286" s="520"/>
      <c r="F286" s="72">
        <f>SUM(F227:F285)</f>
        <v>2729326.4857123587</v>
      </c>
    </row>
    <row r="287" spans="1:8" outlineLevel="1" x14ac:dyDescent="0.25">
      <c r="A287" s="539" t="s">
        <v>187</v>
      </c>
      <c r="B287" s="539"/>
      <c r="C287" s="539"/>
      <c r="D287" s="539"/>
      <c r="E287" s="539"/>
      <c r="F287" s="257">
        <f>F286+F225+F221+F208+F198+F185</f>
        <v>7167774.8655429091</v>
      </c>
    </row>
    <row r="288" spans="1:8" ht="25.5" customHeight="1" x14ac:dyDescent="0.25">
      <c r="A288" s="540" t="s">
        <v>188</v>
      </c>
      <c r="B288" s="541"/>
      <c r="C288" s="541"/>
      <c r="D288" s="541"/>
      <c r="E288" s="542"/>
      <c r="F288" s="262">
        <f>F336</f>
        <v>4272820.0465830509</v>
      </c>
      <c r="G288" s="456">
        <f>H288-F288</f>
        <v>0.24002444930374622</v>
      </c>
      <c r="H288" s="1">
        <v>4272820.2866075002</v>
      </c>
    </row>
    <row r="289" spans="1:7" outlineLevel="1" x14ac:dyDescent="0.25">
      <c r="A289" s="543" t="s">
        <v>9</v>
      </c>
      <c r="B289" s="543"/>
      <c r="C289" s="543"/>
      <c r="D289" s="543"/>
      <c r="E289" s="543"/>
      <c r="F289" s="543"/>
    </row>
    <row r="290" spans="1:7" ht="75" outlineLevel="1" x14ac:dyDescent="0.25">
      <c r="A290" s="73">
        <v>1</v>
      </c>
      <c r="B290" s="74" t="s">
        <v>10</v>
      </c>
      <c r="C290" s="75">
        <v>1000</v>
      </c>
      <c r="D290" s="76">
        <v>203524.5</v>
      </c>
      <c r="E290" s="77">
        <v>4640.7</v>
      </c>
      <c r="F290" s="78">
        <f>E290*D290/C290</f>
        <v>944496.14714999998</v>
      </c>
    </row>
    <row r="291" spans="1:7" ht="34.5" customHeight="1" outlineLevel="1" x14ac:dyDescent="0.25">
      <c r="A291" s="20">
        <v>2</v>
      </c>
      <c r="B291" s="65" t="s">
        <v>11</v>
      </c>
      <c r="C291" s="22">
        <v>1000</v>
      </c>
      <c r="D291" s="23">
        <v>262075.5</v>
      </c>
      <c r="E291" s="24">
        <v>940.9</v>
      </c>
      <c r="F291" s="25">
        <f>E291*D291/C291</f>
        <v>246586.83794999999</v>
      </c>
    </row>
    <row r="292" spans="1:7" ht="45" outlineLevel="1" x14ac:dyDescent="0.25">
      <c r="A292" s="544">
        <v>3</v>
      </c>
      <c r="B292" s="65" t="s">
        <v>12</v>
      </c>
      <c r="C292" s="20"/>
      <c r="D292" s="23"/>
      <c r="E292" s="24"/>
      <c r="F292" s="24"/>
    </row>
    <row r="293" spans="1:7" outlineLevel="1" x14ac:dyDescent="0.25">
      <c r="A293" s="544"/>
      <c r="B293" s="65" t="s">
        <v>13</v>
      </c>
      <c r="C293" s="22">
        <v>1000</v>
      </c>
      <c r="D293" s="23">
        <v>3727.5</v>
      </c>
      <c r="E293" s="24">
        <v>1073.2</v>
      </c>
      <c r="F293" s="25">
        <f>E293*D293/C293</f>
        <v>4000.3530000000001</v>
      </c>
    </row>
    <row r="294" spans="1:7" outlineLevel="1" x14ac:dyDescent="0.25">
      <c r="A294" s="544"/>
      <c r="B294" s="65" t="s">
        <v>164</v>
      </c>
      <c r="C294" s="22">
        <v>1000</v>
      </c>
      <c r="D294" s="23">
        <v>5270</v>
      </c>
      <c r="E294" s="24">
        <v>1743.95</v>
      </c>
      <c r="F294" s="25">
        <f>E294*D294/C294</f>
        <v>9190.6165000000001</v>
      </c>
    </row>
    <row r="295" spans="1:7" outlineLevel="1" x14ac:dyDescent="0.25">
      <c r="A295" s="544"/>
      <c r="B295" s="65" t="s">
        <v>189</v>
      </c>
      <c r="C295" s="22">
        <v>1000</v>
      </c>
      <c r="D295" s="23">
        <v>109947.5</v>
      </c>
      <c r="E295" s="24">
        <v>7411.8</v>
      </c>
      <c r="F295" s="25">
        <f>E295*D295/C295</f>
        <v>814908.88049999997</v>
      </c>
    </row>
    <row r="296" spans="1:7" outlineLevel="1" x14ac:dyDescent="0.25">
      <c r="A296" s="544"/>
      <c r="B296" s="65" t="s">
        <v>190</v>
      </c>
      <c r="C296" s="22">
        <v>1000</v>
      </c>
      <c r="D296" s="23">
        <v>70367.5</v>
      </c>
      <c r="E296" s="24">
        <v>7558.6</v>
      </c>
      <c r="F296" s="25">
        <f>E296*D296/C296</f>
        <v>531879.7855</v>
      </c>
    </row>
    <row r="297" spans="1:7" ht="30" outlineLevel="1" x14ac:dyDescent="0.25">
      <c r="A297" s="544">
        <v>4</v>
      </c>
      <c r="B297" s="65" t="s">
        <v>191</v>
      </c>
      <c r="C297" s="20"/>
      <c r="D297" s="23"/>
      <c r="E297" s="24"/>
      <c r="F297" s="24"/>
    </row>
    <row r="298" spans="1:7" outlineLevel="1" x14ac:dyDescent="0.25">
      <c r="A298" s="544"/>
      <c r="B298" s="65" t="s">
        <v>13</v>
      </c>
      <c r="C298" s="22">
        <v>1000</v>
      </c>
      <c r="D298" s="23">
        <v>60633</v>
      </c>
      <c r="E298" s="24">
        <v>11606.8</v>
      </c>
      <c r="F298" s="25">
        <f>E298*D298/C298</f>
        <v>703755.10439999995</v>
      </c>
    </row>
    <row r="299" spans="1:7" ht="45" outlineLevel="1" x14ac:dyDescent="0.25">
      <c r="A299" s="20">
        <v>5</v>
      </c>
      <c r="B299" s="65" t="s">
        <v>19</v>
      </c>
      <c r="C299" s="63">
        <v>1</v>
      </c>
      <c r="D299" s="23">
        <v>215</v>
      </c>
      <c r="E299" s="24">
        <v>1935.4</v>
      </c>
      <c r="F299" s="25">
        <f>E299*D299/C299</f>
        <v>416111</v>
      </c>
    </row>
    <row r="300" spans="1:7" ht="21.75" customHeight="1" outlineLevel="1" x14ac:dyDescent="0.25">
      <c r="A300" s="85">
        <v>6</v>
      </c>
      <c r="B300" s="110" t="s">
        <v>20</v>
      </c>
      <c r="C300" s="87">
        <v>1000</v>
      </c>
      <c r="D300" s="81">
        <v>177000</v>
      </c>
      <c r="E300" s="107">
        <v>376.2</v>
      </c>
      <c r="F300" s="71">
        <f>E300*D300/C300</f>
        <v>66587.399999999994</v>
      </c>
    </row>
    <row r="301" spans="1:7" ht="23.25" customHeight="1" outlineLevel="1" x14ac:dyDescent="0.25">
      <c r="A301" s="534" t="s">
        <v>192</v>
      </c>
      <c r="B301" s="534"/>
      <c r="C301" s="534"/>
      <c r="D301" s="534"/>
      <c r="E301" s="534"/>
      <c r="F301" s="534"/>
    </row>
    <row r="302" spans="1:7" ht="66.75" customHeight="1" outlineLevel="1" x14ac:dyDescent="0.25">
      <c r="A302" s="88">
        <v>1</v>
      </c>
      <c r="B302" s="89" t="s">
        <v>22</v>
      </c>
      <c r="C302" s="75">
        <v>1000</v>
      </c>
      <c r="D302" s="90">
        <v>98</v>
      </c>
      <c r="E302" s="90">
        <v>15824.15</v>
      </c>
      <c r="F302" s="78">
        <f>E302*D302/C302</f>
        <v>1550.7666999999999</v>
      </c>
    </row>
    <row r="303" spans="1:7" s="15" customFormat="1" ht="52.5" customHeight="1" outlineLevel="1" x14ac:dyDescent="0.2">
      <c r="A303" s="32">
        <v>2</v>
      </c>
      <c r="B303" s="30" t="s">
        <v>23</v>
      </c>
      <c r="C303" s="33"/>
      <c r="D303" s="24"/>
      <c r="E303" s="37">
        <v>0</v>
      </c>
      <c r="F303" s="37">
        <v>0</v>
      </c>
      <c r="G303" s="457"/>
    </row>
    <row r="304" spans="1:7" s="15" customFormat="1" ht="22.5" customHeight="1" outlineLevel="1" x14ac:dyDescent="0.2">
      <c r="A304" s="32"/>
      <c r="B304" s="30" t="s">
        <v>24</v>
      </c>
      <c r="C304" s="22">
        <v>100</v>
      </c>
      <c r="D304" s="31">
        <v>24.5</v>
      </c>
      <c r="E304" s="24">
        <v>34694.300000000003</v>
      </c>
      <c r="F304" s="25">
        <f t="shared" ref="F304:F310" si="21">E304*D304/C304</f>
        <v>8500.1035000000011</v>
      </c>
      <c r="G304" s="457"/>
    </row>
    <row r="305" spans="1:7" s="15" customFormat="1" ht="36.75" customHeight="1" outlineLevel="1" x14ac:dyDescent="0.2">
      <c r="A305" s="32">
        <v>3</v>
      </c>
      <c r="B305" s="30" t="s">
        <v>25</v>
      </c>
      <c r="C305" s="22">
        <v>100</v>
      </c>
      <c r="D305" s="31">
        <v>97.5</v>
      </c>
      <c r="E305" s="31">
        <v>32675.95</v>
      </c>
      <c r="F305" s="25">
        <f t="shared" si="21"/>
        <v>31859.05125</v>
      </c>
      <c r="G305" s="457"/>
    </row>
    <row r="306" spans="1:7" s="15" customFormat="1" ht="54.75" customHeight="1" outlineLevel="1" x14ac:dyDescent="0.2">
      <c r="A306" s="32">
        <v>4</v>
      </c>
      <c r="B306" s="30" t="s">
        <v>26</v>
      </c>
      <c r="C306" s="28">
        <v>100</v>
      </c>
      <c r="D306" s="31">
        <v>39</v>
      </c>
      <c r="E306" s="31">
        <v>11851.7</v>
      </c>
      <c r="F306" s="25">
        <f t="shared" si="21"/>
        <v>4622.1630000000005</v>
      </c>
      <c r="G306" s="457"/>
    </row>
    <row r="307" spans="1:7" ht="36.75" customHeight="1" outlineLevel="1" x14ac:dyDescent="0.25">
      <c r="A307" s="29">
        <v>5</v>
      </c>
      <c r="B307" s="30" t="s">
        <v>27</v>
      </c>
      <c r="C307" s="22">
        <v>100</v>
      </c>
      <c r="D307" s="31">
        <v>81.703125</v>
      </c>
      <c r="E307" s="31">
        <v>37620.6</v>
      </c>
      <c r="F307" s="25">
        <f t="shared" si="21"/>
        <v>30737.205843750002</v>
      </c>
    </row>
    <row r="308" spans="1:7" s="16" customFormat="1" ht="29.25" customHeight="1" outlineLevel="1" x14ac:dyDescent="0.25">
      <c r="A308" s="29">
        <v>6</v>
      </c>
      <c r="B308" s="30" t="s">
        <v>28</v>
      </c>
      <c r="C308" s="28">
        <v>100</v>
      </c>
      <c r="D308" s="31">
        <v>230.64999999999998</v>
      </c>
      <c r="E308" s="31">
        <v>4334.75</v>
      </c>
      <c r="F308" s="25">
        <f t="shared" si="21"/>
        <v>9998.1008749999983</v>
      </c>
      <c r="G308" s="458"/>
    </row>
    <row r="309" spans="1:7" ht="63" customHeight="1" outlineLevel="1" x14ac:dyDescent="0.25">
      <c r="A309" s="29">
        <v>7</v>
      </c>
      <c r="B309" s="30" t="s">
        <v>29</v>
      </c>
      <c r="C309" s="28">
        <v>100</v>
      </c>
      <c r="D309" s="31">
        <v>230.64999999999998</v>
      </c>
      <c r="E309" s="31">
        <v>7379.1</v>
      </c>
      <c r="F309" s="25">
        <f t="shared" si="21"/>
        <v>17019.894149999996</v>
      </c>
    </row>
    <row r="310" spans="1:7" s="16" customFormat="1" ht="29.25" customHeight="1" outlineLevel="1" x14ac:dyDescent="0.25">
      <c r="A310" s="29">
        <v>8</v>
      </c>
      <c r="B310" s="30" t="s">
        <v>30</v>
      </c>
      <c r="C310" s="61">
        <v>1</v>
      </c>
      <c r="D310" s="31">
        <v>500</v>
      </c>
      <c r="E310" s="31">
        <v>30.5</v>
      </c>
      <c r="F310" s="25">
        <f t="shared" si="21"/>
        <v>15250</v>
      </c>
      <c r="G310" s="458"/>
    </row>
    <row r="311" spans="1:7" ht="81.75" customHeight="1" outlineLevel="1" x14ac:dyDescent="0.25">
      <c r="A311" s="29">
        <v>9</v>
      </c>
      <c r="B311" s="30" t="s">
        <v>31</v>
      </c>
      <c r="C311" s="33"/>
      <c r="D311" s="31"/>
      <c r="E311" s="31"/>
      <c r="F311" s="31"/>
    </row>
    <row r="312" spans="1:7" outlineLevel="1" x14ac:dyDescent="0.25">
      <c r="A312" s="91"/>
      <c r="B312" s="92" t="s">
        <v>32</v>
      </c>
      <c r="C312" s="68">
        <v>100</v>
      </c>
      <c r="D312" s="93">
        <v>4.29</v>
      </c>
      <c r="E312" s="93">
        <v>14042.6</v>
      </c>
      <c r="F312" s="71">
        <f>E312*D312/C312</f>
        <v>602.42754000000002</v>
      </c>
    </row>
    <row r="313" spans="1:7" ht="23.25" customHeight="1" outlineLevel="1" x14ac:dyDescent="0.25">
      <c r="A313" s="534" t="s">
        <v>168</v>
      </c>
      <c r="B313" s="534"/>
      <c r="C313" s="534"/>
      <c r="D313" s="534"/>
      <c r="E313" s="534"/>
      <c r="F313" s="534"/>
    </row>
    <row r="314" spans="1:7" ht="24" customHeight="1" outlineLevel="1" x14ac:dyDescent="0.25">
      <c r="A314" s="82">
        <v>1</v>
      </c>
      <c r="B314" s="94" t="s">
        <v>34</v>
      </c>
      <c r="C314" s="75">
        <v>1</v>
      </c>
      <c r="D314" s="77">
        <v>30.96</v>
      </c>
      <c r="E314" s="95">
        <v>546.95000000000005</v>
      </c>
      <c r="F314" s="78">
        <f t="shared" ref="F314:F319" si="22">E314*D314/C314</f>
        <v>16933.572</v>
      </c>
    </row>
    <row r="315" spans="1:7" ht="45" outlineLevel="1" x14ac:dyDescent="0.25">
      <c r="A315" s="35">
        <v>2</v>
      </c>
      <c r="B315" s="36" t="s">
        <v>35</v>
      </c>
      <c r="C315" s="42">
        <v>100</v>
      </c>
      <c r="D315" s="24">
        <v>70.740000000000009</v>
      </c>
      <c r="E315" s="37">
        <v>30006.1</v>
      </c>
      <c r="F315" s="25">
        <f t="shared" si="22"/>
        <v>21226.315139999999</v>
      </c>
    </row>
    <row r="316" spans="1:7" ht="21" customHeight="1" outlineLevel="1" x14ac:dyDescent="0.25">
      <c r="A316" s="32">
        <v>3</v>
      </c>
      <c r="B316" s="36" t="s">
        <v>36</v>
      </c>
      <c r="C316" s="61">
        <v>1</v>
      </c>
      <c r="D316" s="24">
        <v>18</v>
      </c>
      <c r="E316" s="37">
        <v>115.4</v>
      </c>
      <c r="F316" s="25">
        <f t="shared" si="22"/>
        <v>2077.2000000000003</v>
      </c>
    </row>
    <row r="317" spans="1:7" ht="21.75" customHeight="1" outlineLevel="1" x14ac:dyDescent="0.25">
      <c r="A317" s="32">
        <v>4</v>
      </c>
      <c r="B317" s="36" t="s">
        <v>37</v>
      </c>
      <c r="C317" s="62">
        <v>1</v>
      </c>
      <c r="D317" s="24">
        <v>18</v>
      </c>
      <c r="E317" s="37">
        <v>141.9</v>
      </c>
      <c r="F317" s="25">
        <f t="shared" si="22"/>
        <v>2554.2000000000003</v>
      </c>
    </row>
    <row r="318" spans="1:7" ht="21.75" customHeight="1" outlineLevel="1" x14ac:dyDescent="0.25">
      <c r="A318" s="32">
        <v>5</v>
      </c>
      <c r="B318" s="36" t="s">
        <v>38</v>
      </c>
      <c r="C318" s="28">
        <v>100</v>
      </c>
      <c r="D318" s="24">
        <v>63</v>
      </c>
      <c r="E318" s="37">
        <v>4307.55</v>
      </c>
      <c r="F318" s="25">
        <f t="shared" si="22"/>
        <v>2713.7565000000004</v>
      </c>
    </row>
    <row r="319" spans="1:7" ht="34.5" customHeight="1" outlineLevel="1" x14ac:dyDescent="0.25">
      <c r="A319" s="32">
        <v>6</v>
      </c>
      <c r="B319" s="36" t="s">
        <v>39</v>
      </c>
      <c r="C319" s="61">
        <v>1</v>
      </c>
      <c r="D319" s="24">
        <v>180</v>
      </c>
      <c r="E319" s="37">
        <v>30.5</v>
      </c>
      <c r="F319" s="25">
        <f t="shared" si="22"/>
        <v>5490</v>
      </c>
    </row>
    <row r="320" spans="1:7" ht="75" outlineLevel="1" x14ac:dyDescent="0.25">
      <c r="A320" s="32">
        <v>7</v>
      </c>
      <c r="B320" s="40" t="s">
        <v>31</v>
      </c>
      <c r="C320" s="33"/>
      <c r="D320" s="24"/>
      <c r="E320" s="23"/>
      <c r="F320" s="23"/>
    </row>
    <row r="321" spans="1:6" ht="21" customHeight="1" outlineLevel="1" x14ac:dyDescent="0.25">
      <c r="A321" s="79" t="s">
        <v>41</v>
      </c>
      <c r="B321" s="80" t="s">
        <v>42</v>
      </c>
      <c r="C321" s="68">
        <v>100</v>
      </c>
      <c r="D321" s="69">
        <v>27.244800000000001</v>
      </c>
      <c r="E321" s="81">
        <v>14042.6</v>
      </c>
      <c r="F321" s="71">
        <f>E321*D321/C321</f>
        <v>3825.8782848000001</v>
      </c>
    </row>
    <row r="322" spans="1:6" outlineLevel="1" x14ac:dyDescent="0.25">
      <c r="A322" s="508" t="s">
        <v>83</v>
      </c>
      <c r="B322" s="508"/>
      <c r="C322" s="508"/>
      <c r="D322" s="508"/>
      <c r="E322" s="508"/>
      <c r="F322" s="72">
        <f>SUM(F290:F321)</f>
        <v>3912476.7597835511</v>
      </c>
    </row>
    <row r="323" spans="1:6" outlineLevel="1" x14ac:dyDescent="0.25">
      <c r="A323" s="534" t="s">
        <v>169</v>
      </c>
      <c r="B323" s="534"/>
      <c r="C323" s="534"/>
      <c r="D323" s="534"/>
      <c r="E323" s="534"/>
      <c r="F323" s="534"/>
    </row>
    <row r="324" spans="1:6" ht="81.75" customHeight="1" outlineLevel="1" x14ac:dyDescent="0.25">
      <c r="A324" s="82">
        <v>1</v>
      </c>
      <c r="B324" s="83" t="s">
        <v>10</v>
      </c>
      <c r="C324" s="75">
        <v>1000</v>
      </c>
      <c r="D324" s="77">
        <v>312.56</v>
      </c>
      <c r="E324" s="77">
        <v>4640.7</v>
      </c>
      <c r="F324" s="78">
        <f t="shared" ref="F324:F334" si="23">E324*D324/C324</f>
        <v>1450.497192</v>
      </c>
    </row>
    <row r="325" spans="1:6" ht="50.25" customHeight="1" outlineLevel="1" x14ac:dyDescent="0.25">
      <c r="A325" s="35">
        <v>2</v>
      </c>
      <c r="B325" s="41" t="s">
        <v>86</v>
      </c>
      <c r="C325" s="22">
        <v>100</v>
      </c>
      <c r="D325" s="24">
        <v>312.56</v>
      </c>
      <c r="E325" s="37">
        <v>6849</v>
      </c>
      <c r="F325" s="25">
        <f t="shared" si="23"/>
        <v>21407.234400000001</v>
      </c>
    </row>
    <row r="326" spans="1:6" ht="19.5" customHeight="1" outlineLevel="1" x14ac:dyDescent="0.25">
      <c r="A326" s="32">
        <v>3</v>
      </c>
      <c r="B326" s="27" t="s">
        <v>87</v>
      </c>
      <c r="C326" s="28">
        <v>100</v>
      </c>
      <c r="D326" s="24">
        <v>525.12249999999995</v>
      </c>
      <c r="E326" s="37">
        <v>2265.1</v>
      </c>
      <c r="F326" s="25">
        <f t="shared" si="23"/>
        <v>11894.549747499997</v>
      </c>
    </row>
    <row r="327" spans="1:6" ht="19.5" customHeight="1" outlineLevel="1" x14ac:dyDescent="0.25">
      <c r="A327" s="32">
        <v>4</v>
      </c>
      <c r="B327" s="27" t="s">
        <v>88</v>
      </c>
      <c r="C327" s="28">
        <v>100</v>
      </c>
      <c r="D327" s="24">
        <v>129.5</v>
      </c>
      <c r="E327" s="37">
        <v>1660.5</v>
      </c>
      <c r="F327" s="25">
        <f t="shared" si="23"/>
        <v>2150.3474999999999</v>
      </c>
    </row>
    <row r="328" spans="1:6" ht="19.5" customHeight="1" outlineLevel="1" x14ac:dyDescent="0.25">
      <c r="A328" s="35">
        <v>5</v>
      </c>
      <c r="B328" s="41" t="s">
        <v>89</v>
      </c>
      <c r="C328" s="22">
        <v>100</v>
      </c>
      <c r="D328" s="24">
        <v>173.29</v>
      </c>
      <c r="E328" s="37">
        <v>18564.099999999999</v>
      </c>
      <c r="F328" s="25">
        <f t="shared" si="23"/>
        <v>32169.728889999995</v>
      </c>
    </row>
    <row r="329" spans="1:6" ht="19.5" customHeight="1" outlineLevel="1" x14ac:dyDescent="0.25">
      <c r="A329" s="35">
        <v>6</v>
      </c>
      <c r="B329" s="41" t="s">
        <v>90</v>
      </c>
      <c r="C329" s="22">
        <v>100</v>
      </c>
      <c r="D329" s="24">
        <v>173.29</v>
      </c>
      <c r="E329" s="37">
        <v>18564.099999999999</v>
      </c>
      <c r="F329" s="25">
        <f t="shared" si="23"/>
        <v>32169.728889999995</v>
      </c>
    </row>
    <row r="330" spans="1:6" ht="19.5" customHeight="1" outlineLevel="1" x14ac:dyDescent="0.25">
      <c r="A330" s="35">
        <v>7</v>
      </c>
      <c r="B330" s="41" t="s">
        <v>91</v>
      </c>
      <c r="C330" s="22">
        <v>100</v>
      </c>
      <c r="D330" s="24">
        <v>42.739999999999995</v>
      </c>
      <c r="E330" s="37">
        <v>18017.599999999999</v>
      </c>
      <c r="F330" s="25">
        <f t="shared" si="23"/>
        <v>7700.7222399999982</v>
      </c>
    </row>
    <row r="331" spans="1:6" ht="19.5" customHeight="1" outlineLevel="1" x14ac:dyDescent="0.25">
      <c r="A331" s="35">
        <v>8</v>
      </c>
      <c r="B331" s="41" t="s">
        <v>92</v>
      </c>
      <c r="C331" s="22">
        <v>100</v>
      </c>
      <c r="D331" s="24">
        <v>42.739999999999995</v>
      </c>
      <c r="E331" s="37">
        <v>18017.599999999999</v>
      </c>
      <c r="F331" s="25">
        <f t="shared" si="23"/>
        <v>7700.7222399999982</v>
      </c>
    </row>
    <row r="332" spans="1:6" ht="19.5" customHeight="1" outlineLevel="1" x14ac:dyDescent="0.25">
      <c r="A332" s="35">
        <v>9</v>
      </c>
      <c r="B332" s="41" t="s">
        <v>93</v>
      </c>
      <c r="C332" s="22">
        <v>100</v>
      </c>
      <c r="D332" s="24">
        <v>525.12</v>
      </c>
      <c r="E332" s="37">
        <v>11511</v>
      </c>
      <c r="F332" s="25">
        <f t="shared" si="23"/>
        <v>60446.563200000004</v>
      </c>
    </row>
    <row r="333" spans="1:6" ht="19.5" customHeight="1" outlineLevel="1" x14ac:dyDescent="0.25">
      <c r="A333" s="35">
        <v>10</v>
      </c>
      <c r="B333" s="41" t="s">
        <v>94</v>
      </c>
      <c r="C333" s="22">
        <v>100</v>
      </c>
      <c r="D333" s="24">
        <v>129.5</v>
      </c>
      <c r="E333" s="37">
        <v>10570.5</v>
      </c>
      <c r="F333" s="25">
        <f t="shared" si="23"/>
        <v>13688.797500000001</v>
      </c>
    </row>
    <row r="334" spans="1:6" ht="60" outlineLevel="1" x14ac:dyDescent="0.25">
      <c r="A334" s="66">
        <v>11</v>
      </c>
      <c r="B334" s="67" t="s">
        <v>95</v>
      </c>
      <c r="C334" s="68">
        <v>100</v>
      </c>
      <c r="D334" s="69">
        <v>1207.5</v>
      </c>
      <c r="E334" s="70">
        <v>14042.6</v>
      </c>
      <c r="F334" s="71">
        <f t="shared" si="23"/>
        <v>169564.39499999999</v>
      </c>
    </row>
    <row r="335" spans="1:6" outlineLevel="1" x14ac:dyDescent="0.25">
      <c r="A335" s="506" t="s">
        <v>43</v>
      </c>
      <c r="B335" s="506"/>
      <c r="C335" s="506"/>
      <c r="D335" s="506"/>
      <c r="E335" s="506"/>
      <c r="F335" s="72">
        <f>SUM(F324:F334)</f>
        <v>360343.2867995</v>
      </c>
    </row>
    <row r="336" spans="1:6" outlineLevel="1" x14ac:dyDescent="0.25">
      <c r="A336" s="539" t="s">
        <v>193</v>
      </c>
      <c r="B336" s="539"/>
      <c r="C336" s="539"/>
      <c r="D336" s="539"/>
      <c r="E336" s="539"/>
      <c r="F336" s="257">
        <f>F335+F322</f>
        <v>4272820.0465830509</v>
      </c>
    </row>
    <row r="337" spans="1:8" ht="25.5" customHeight="1" x14ac:dyDescent="0.25">
      <c r="A337" s="529" t="s">
        <v>194</v>
      </c>
      <c r="B337" s="529"/>
      <c r="C337" s="529"/>
      <c r="D337" s="529"/>
      <c r="E337" s="530"/>
      <c r="F337" s="262">
        <f>F477</f>
        <v>80014634.407644674</v>
      </c>
      <c r="G337" s="456">
        <f>H337-F337</f>
        <v>1.433124452829361</v>
      </c>
      <c r="H337" s="1">
        <v>80014635.840769127</v>
      </c>
    </row>
    <row r="338" spans="1:8" outlineLevel="1" x14ac:dyDescent="0.25">
      <c r="A338" s="543" t="s">
        <v>9</v>
      </c>
      <c r="B338" s="543"/>
      <c r="C338" s="543"/>
      <c r="D338" s="543"/>
      <c r="E338" s="543"/>
      <c r="F338" s="543"/>
    </row>
    <row r="339" spans="1:8" ht="75" outlineLevel="1" x14ac:dyDescent="0.25">
      <c r="A339" s="111">
        <v>1</v>
      </c>
      <c r="B339" s="112" t="s">
        <v>10</v>
      </c>
      <c r="C339" s="113">
        <v>1000</v>
      </c>
      <c r="D339" s="114">
        <v>2110200</v>
      </c>
      <c r="E339" s="115">
        <v>4640.7</v>
      </c>
      <c r="F339" s="116">
        <f>E339*D339/C339</f>
        <v>9792805.1400000006</v>
      </c>
    </row>
    <row r="340" spans="1:8" ht="33.75" customHeight="1" outlineLevel="1" x14ac:dyDescent="0.25">
      <c r="A340" s="111">
        <v>2</v>
      </c>
      <c r="B340" s="112" t="s">
        <v>11</v>
      </c>
      <c r="C340" s="113">
        <v>1000</v>
      </c>
      <c r="D340" s="114">
        <v>680530</v>
      </c>
      <c r="E340" s="117">
        <v>940.9</v>
      </c>
      <c r="F340" s="116">
        <f>E340*D340/C340</f>
        <v>640310.67700000003</v>
      </c>
    </row>
    <row r="341" spans="1:8" ht="45" outlineLevel="1" x14ac:dyDescent="0.25">
      <c r="A341" s="545">
        <v>3</v>
      </c>
      <c r="B341" s="112" t="s">
        <v>12</v>
      </c>
      <c r="C341" s="111"/>
      <c r="D341" s="114"/>
      <c r="E341" s="117"/>
      <c r="F341" s="117"/>
    </row>
    <row r="342" spans="1:8" outlineLevel="1" x14ac:dyDescent="0.25">
      <c r="A342" s="545"/>
      <c r="B342" s="112" t="s">
        <v>195</v>
      </c>
      <c r="C342" s="113">
        <v>1000</v>
      </c>
      <c r="D342" s="114">
        <v>8217.5000000000036</v>
      </c>
      <c r="E342" s="117">
        <v>1073.2</v>
      </c>
      <c r="F342" s="116">
        <f>E342*D342/C342</f>
        <v>8819.0210000000043</v>
      </c>
    </row>
    <row r="343" spans="1:8" outlineLevel="1" x14ac:dyDescent="0.25">
      <c r="A343" s="545"/>
      <c r="B343" s="112" t="s">
        <v>196</v>
      </c>
      <c r="C343" s="113">
        <v>1000</v>
      </c>
      <c r="D343" s="114">
        <v>58687.5</v>
      </c>
      <c r="E343" s="117">
        <v>6751.2</v>
      </c>
      <c r="F343" s="116">
        <f>E343*D343/C343</f>
        <v>396211.05</v>
      </c>
    </row>
    <row r="344" spans="1:8" outlineLevel="1" x14ac:dyDescent="0.25">
      <c r="A344" s="545"/>
      <c r="B344" s="112" t="s">
        <v>197</v>
      </c>
      <c r="C344" s="113">
        <v>1000</v>
      </c>
      <c r="D344" s="114">
        <v>75040</v>
      </c>
      <c r="E344" s="117">
        <v>6971.4</v>
      </c>
      <c r="F344" s="116">
        <f>E344*D344/C344</f>
        <v>523133.85600000003</v>
      </c>
    </row>
    <row r="345" spans="1:8" ht="45" outlineLevel="1" x14ac:dyDescent="0.25">
      <c r="A345" s="111">
        <v>4</v>
      </c>
      <c r="B345" s="112" t="s">
        <v>198</v>
      </c>
      <c r="C345" s="118">
        <v>1</v>
      </c>
      <c r="D345" s="114">
        <v>95</v>
      </c>
      <c r="E345" s="117">
        <v>1935.4</v>
      </c>
      <c r="F345" s="116">
        <f>E345*D345/C345</f>
        <v>183863</v>
      </c>
    </row>
    <row r="346" spans="1:8" ht="26.25" customHeight="1" outlineLevel="1" x14ac:dyDescent="0.25">
      <c r="A346" s="111">
        <v>6</v>
      </c>
      <c r="B346" s="119" t="s">
        <v>20</v>
      </c>
      <c r="C346" s="120">
        <v>1000</v>
      </c>
      <c r="D346" s="114">
        <v>460000</v>
      </c>
      <c r="E346" s="121">
        <v>376.2</v>
      </c>
      <c r="F346" s="116">
        <f>E346*D346/C346</f>
        <v>173052</v>
      </c>
    </row>
    <row r="347" spans="1:8" outlineLevel="1" x14ac:dyDescent="0.25">
      <c r="A347" s="534" t="s">
        <v>21</v>
      </c>
      <c r="B347" s="534"/>
      <c r="C347" s="534"/>
      <c r="D347" s="534"/>
      <c r="E347" s="534"/>
      <c r="F347" s="534"/>
    </row>
    <row r="348" spans="1:8" ht="66" customHeight="1" outlineLevel="1" x14ac:dyDescent="0.25">
      <c r="A348" s="122">
        <v>1</v>
      </c>
      <c r="B348" s="123" t="s">
        <v>22</v>
      </c>
      <c r="C348" s="113">
        <v>1000</v>
      </c>
      <c r="D348" s="124">
        <v>98</v>
      </c>
      <c r="E348" s="124">
        <v>15824.15</v>
      </c>
      <c r="F348" s="116">
        <f>E348*D348/C348</f>
        <v>1550.7666999999999</v>
      </c>
    </row>
    <row r="349" spans="1:8" s="15" customFormat="1" ht="49.5" customHeight="1" outlineLevel="1" x14ac:dyDescent="0.2">
      <c r="A349" s="125">
        <v>2</v>
      </c>
      <c r="B349" s="123" t="s">
        <v>23</v>
      </c>
      <c r="C349" s="126"/>
      <c r="D349" s="115"/>
      <c r="E349" s="127">
        <v>0</v>
      </c>
      <c r="F349" s="127">
        <v>0</v>
      </c>
      <c r="G349" s="457"/>
    </row>
    <row r="350" spans="1:8" s="15" customFormat="1" ht="22.5" customHeight="1" outlineLevel="1" x14ac:dyDescent="0.2">
      <c r="A350" s="125"/>
      <c r="B350" s="123" t="s">
        <v>24</v>
      </c>
      <c r="C350" s="113">
        <v>100</v>
      </c>
      <c r="D350" s="124">
        <v>24.5</v>
      </c>
      <c r="E350" s="115">
        <v>34694.300000000003</v>
      </c>
      <c r="F350" s="116">
        <f t="shared" ref="F350:F356" si="24">E350*D350/C350</f>
        <v>8500.1035000000011</v>
      </c>
      <c r="G350" s="457"/>
    </row>
    <row r="351" spans="1:8" s="15" customFormat="1" ht="36" customHeight="1" outlineLevel="1" x14ac:dyDescent="0.2">
      <c r="A351" s="125">
        <v>3</v>
      </c>
      <c r="B351" s="123" t="s">
        <v>25</v>
      </c>
      <c r="C351" s="113">
        <v>100</v>
      </c>
      <c r="D351" s="124">
        <v>97.5</v>
      </c>
      <c r="E351" s="124">
        <v>32675.95</v>
      </c>
      <c r="F351" s="116">
        <f t="shared" si="24"/>
        <v>31859.05125</v>
      </c>
      <c r="G351" s="457"/>
    </row>
    <row r="352" spans="1:8" s="15" customFormat="1" ht="48" customHeight="1" outlineLevel="1" x14ac:dyDescent="0.2">
      <c r="A352" s="125">
        <v>4</v>
      </c>
      <c r="B352" s="123" t="s">
        <v>26</v>
      </c>
      <c r="C352" s="120">
        <v>100</v>
      </c>
      <c r="D352" s="124">
        <v>39</v>
      </c>
      <c r="E352" s="124">
        <v>11851.7</v>
      </c>
      <c r="F352" s="116">
        <f t="shared" si="24"/>
        <v>4622.1630000000005</v>
      </c>
      <c r="G352" s="457"/>
    </row>
    <row r="353" spans="1:7" ht="35.25" customHeight="1" outlineLevel="1" x14ac:dyDescent="0.25">
      <c r="A353" s="122">
        <v>5</v>
      </c>
      <c r="B353" s="123" t="s">
        <v>27</v>
      </c>
      <c r="C353" s="113">
        <v>100</v>
      </c>
      <c r="D353" s="124">
        <v>81.703125</v>
      </c>
      <c r="E353" s="124">
        <v>37620.6</v>
      </c>
      <c r="F353" s="116">
        <f t="shared" si="24"/>
        <v>30737.205843750002</v>
      </c>
    </row>
    <row r="354" spans="1:7" ht="27.75" customHeight="1" outlineLevel="1" x14ac:dyDescent="0.25">
      <c r="A354" s="122">
        <v>6</v>
      </c>
      <c r="B354" s="123" t="s">
        <v>28</v>
      </c>
      <c r="C354" s="120">
        <v>100</v>
      </c>
      <c r="D354" s="124">
        <v>230.64999999999998</v>
      </c>
      <c r="E354" s="124">
        <v>4334.75</v>
      </c>
      <c r="F354" s="116">
        <f t="shared" si="24"/>
        <v>9998.1008749999983</v>
      </c>
    </row>
    <row r="355" spans="1:7" ht="63" customHeight="1" outlineLevel="1" x14ac:dyDescent="0.25">
      <c r="A355" s="122">
        <v>7</v>
      </c>
      <c r="B355" s="123" t="s">
        <v>29</v>
      </c>
      <c r="C355" s="120">
        <v>100</v>
      </c>
      <c r="D355" s="124">
        <v>230.64999999999998</v>
      </c>
      <c r="E355" s="124">
        <v>7379.1</v>
      </c>
      <c r="F355" s="116">
        <f t="shared" si="24"/>
        <v>17019.894149999996</v>
      </c>
    </row>
    <row r="356" spans="1:7" ht="28.5" customHeight="1" outlineLevel="1" x14ac:dyDescent="0.25">
      <c r="A356" s="122">
        <v>8</v>
      </c>
      <c r="B356" s="123" t="s">
        <v>30</v>
      </c>
      <c r="C356" s="128">
        <v>1</v>
      </c>
      <c r="D356" s="124">
        <v>500</v>
      </c>
      <c r="E356" s="124">
        <v>30.5</v>
      </c>
      <c r="F356" s="116">
        <f t="shared" si="24"/>
        <v>15250</v>
      </c>
    </row>
    <row r="357" spans="1:7" ht="81" customHeight="1" outlineLevel="1" x14ac:dyDescent="0.25">
      <c r="A357" s="122">
        <v>9</v>
      </c>
      <c r="B357" s="123" t="s">
        <v>31</v>
      </c>
      <c r="C357" s="126"/>
      <c r="D357" s="124"/>
      <c r="E357" s="124"/>
      <c r="F357" s="124"/>
    </row>
    <row r="358" spans="1:7" outlineLevel="1" x14ac:dyDescent="0.25">
      <c r="A358" s="122"/>
      <c r="B358" s="123" t="s">
        <v>32</v>
      </c>
      <c r="C358" s="113">
        <v>100</v>
      </c>
      <c r="D358" s="124">
        <v>4.29</v>
      </c>
      <c r="E358" s="124">
        <v>14042.6</v>
      </c>
      <c r="F358" s="116">
        <f>E358*D358/C358</f>
        <v>602.42754000000002</v>
      </c>
    </row>
    <row r="359" spans="1:7" outlineLevel="1" x14ac:dyDescent="0.25">
      <c r="A359" s="534" t="s">
        <v>33</v>
      </c>
      <c r="B359" s="534"/>
      <c r="C359" s="534"/>
      <c r="D359" s="534"/>
      <c r="E359" s="534"/>
      <c r="F359" s="534"/>
    </row>
    <row r="360" spans="1:7" ht="24" customHeight="1" outlineLevel="1" x14ac:dyDescent="0.25">
      <c r="A360" s="129">
        <v>1</v>
      </c>
      <c r="B360" s="130" t="s">
        <v>34</v>
      </c>
      <c r="C360" s="113">
        <v>1</v>
      </c>
      <c r="D360" s="115">
        <v>39.56</v>
      </c>
      <c r="E360" s="127">
        <v>546.95000000000005</v>
      </c>
      <c r="F360" s="116">
        <f t="shared" ref="F360:F365" si="25">E360*D360/C360</f>
        <v>21637.342000000004</v>
      </c>
    </row>
    <row r="361" spans="1:7" ht="45" outlineLevel="1" x14ac:dyDescent="0.25">
      <c r="A361" s="129">
        <v>2</v>
      </c>
      <c r="B361" s="130" t="s">
        <v>35</v>
      </c>
      <c r="C361" s="131">
        <v>100</v>
      </c>
      <c r="D361" s="115">
        <v>90.39</v>
      </c>
      <c r="E361" s="127">
        <v>30006.1</v>
      </c>
      <c r="F361" s="116">
        <f t="shared" si="25"/>
        <v>27122.513789999997</v>
      </c>
    </row>
    <row r="362" spans="1:7" s="16" customFormat="1" ht="22.5" customHeight="1" outlineLevel="1" x14ac:dyDescent="0.25">
      <c r="A362" s="125">
        <v>3</v>
      </c>
      <c r="B362" s="130" t="s">
        <v>36</v>
      </c>
      <c r="C362" s="128">
        <v>1</v>
      </c>
      <c r="D362" s="115">
        <v>23</v>
      </c>
      <c r="E362" s="127">
        <v>115.4</v>
      </c>
      <c r="F362" s="116">
        <f t="shared" si="25"/>
        <v>2654.2000000000003</v>
      </c>
      <c r="G362" s="458"/>
    </row>
    <row r="363" spans="1:7" s="16" customFormat="1" ht="22.5" customHeight="1" outlineLevel="1" x14ac:dyDescent="0.25">
      <c r="A363" s="125">
        <v>4</v>
      </c>
      <c r="B363" s="130" t="s">
        <v>37</v>
      </c>
      <c r="C363" s="132">
        <v>1</v>
      </c>
      <c r="D363" s="115">
        <v>23</v>
      </c>
      <c r="E363" s="127">
        <v>141.9</v>
      </c>
      <c r="F363" s="116">
        <f t="shared" si="25"/>
        <v>3263.7000000000003</v>
      </c>
      <c r="G363" s="458"/>
    </row>
    <row r="364" spans="1:7" s="16" customFormat="1" ht="22.5" customHeight="1" outlineLevel="1" x14ac:dyDescent="0.25">
      <c r="A364" s="125">
        <v>5</v>
      </c>
      <c r="B364" s="130" t="s">
        <v>38</v>
      </c>
      <c r="C364" s="120">
        <v>100</v>
      </c>
      <c r="D364" s="115">
        <v>80.5</v>
      </c>
      <c r="E364" s="127">
        <v>4307.55</v>
      </c>
      <c r="F364" s="116">
        <f t="shared" si="25"/>
        <v>3467.5777500000004</v>
      </c>
      <c r="G364" s="458"/>
    </row>
    <row r="365" spans="1:7" ht="31.5" customHeight="1" outlineLevel="1" x14ac:dyDescent="0.25">
      <c r="A365" s="125">
        <v>6</v>
      </c>
      <c r="B365" s="130" t="s">
        <v>39</v>
      </c>
      <c r="C365" s="128">
        <v>1</v>
      </c>
      <c r="D365" s="115">
        <v>230</v>
      </c>
      <c r="E365" s="127">
        <v>30.5</v>
      </c>
      <c r="F365" s="116">
        <f t="shared" si="25"/>
        <v>7015</v>
      </c>
    </row>
    <row r="366" spans="1:7" ht="75" outlineLevel="1" x14ac:dyDescent="0.25">
      <c r="A366" s="125">
        <v>7</v>
      </c>
      <c r="B366" s="133" t="s">
        <v>31</v>
      </c>
      <c r="C366" s="126"/>
      <c r="D366" s="115"/>
      <c r="E366" s="114"/>
      <c r="F366" s="114"/>
    </row>
    <row r="367" spans="1:7" outlineLevel="1" x14ac:dyDescent="0.25">
      <c r="A367" s="125" t="s">
        <v>41</v>
      </c>
      <c r="B367" s="133" t="s">
        <v>42</v>
      </c>
      <c r="C367" s="113">
        <v>100</v>
      </c>
      <c r="D367" s="115">
        <v>34.812800000000003</v>
      </c>
      <c r="E367" s="114">
        <v>14042.6</v>
      </c>
      <c r="F367" s="116">
        <f>E367*D367/C367</f>
        <v>4888.6222528000008</v>
      </c>
    </row>
    <row r="368" spans="1:7" outlineLevel="1" x14ac:dyDescent="0.25">
      <c r="A368" s="518" t="s">
        <v>43</v>
      </c>
      <c r="B368" s="518"/>
      <c r="C368" s="518"/>
      <c r="D368" s="518"/>
      <c r="E368" s="518"/>
      <c r="F368" s="106">
        <f>SUM(F339:F367)</f>
        <v>11908383.412651548</v>
      </c>
    </row>
    <row r="369" spans="1:7" outlineLevel="1" x14ac:dyDescent="0.25">
      <c r="A369" s="534" t="s">
        <v>169</v>
      </c>
      <c r="B369" s="534"/>
      <c r="C369" s="534"/>
      <c r="D369" s="534"/>
      <c r="E369" s="534"/>
      <c r="F369" s="534"/>
    </row>
    <row r="370" spans="1:7" ht="30" outlineLevel="1" x14ac:dyDescent="0.25">
      <c r="A370" s="134">
        <v>1</v>
      </c>
      <c r="B370" s="135" t="s">
        <v>199</v>
      </c>
      <c r="C370" s="113">
        <v>100</v>
      </c>
      <c r="D370" s="115">
        <v>93240</v>
      </c>
      <c r="E370" s="127">
        <v>3762</v>
      </c>
      <c r="F370" s="116">
        <f t="shared" ref="F370:F382" si="26">E370*D370/C370</f>
        <v>3507688.8</v>
      </c>
    </row>
    <row r="371" spans="1:7" ht="75" outlineLevel="1" x14ac:dyDescent="0.25">
      <c r="A371" s="129">
        <v>2</v>
      </c>
      <c r="B371" s="135" t="s">
        <v>10</v>
      </c>
      <c r="C371" s="113">
        <v>1000</v>
      </c>
      <c r="D371" s="115">
        <v>129745.5</v>
      </c>
      <c r="E371" s="115">
        <v>4640.7</v>
      </c>
      <c r="F371" s="116">
        <f t="shared" si="26"/>
        <v>602109.94185000006</v>
      </c>
    </row>
    <row r="372" spans="1:7" ht="36" customHeight="1" outlineLevel="1" x14ac:dyDescent="0.25">
      <c r="A372" s="129">
        <v>3</v>
      </c>
      <c r="B372" s="135" t="s">
        <v>200</v>
      </c>
      <c r="C372" s="113">
        <v>100</v>
      </c>
      <c r="D372" s="115">
        <v>126000</v>
      </c>
      <c r="E372" s="127">
        <v>4743.75</v>
      </c>
      <c r="F372" s="116">
        <f t="shared" si="26"/>
        <v>5977125</v>
      </c>
    </row>
    <row r="373" spans="1:7" ht="34.5" customHeight="1" outlineLevel="1" x14ac:dyDescent="0.25">
      <c r="A373" s="129">
        <v>4</v>
      </c>
      <c r="B373" s="135" t="s">
        <v>86</v>
      </c>
      <c r="C373" s="113">
        <v>100</v>
      </c>
      <c r="D373" s="115">
        <v>3745.5</v>
      </c>
      <c r="E373" s="127">
        <v>6849</v>
      </c>
      <c r="F373" s="116">
        <f t="shared" si="26"/>
        <v>256529.29500000001</v>
      </c>
    </row>
    <row r="374" spans="1:7" s="16" customFormat="1" ht="21.75" customHeight="1" outlineLevel="1" x14ac:dyDescent="0.25">
      <c r="A374" s="125">
        <v>3</v>
      </c>
      <c r="B374" s="119" t="s">
        <v>87</v>
      </c>
      <c r="C374" s="120">
        <v>100</v>
      </c>
      <c r="D374" s="115">
        <v>72754.37000000001</v>
      </c>
      <c r="E374" s="127">
        <v>2265.1</v>
      </c>
      <c r="F374" s="116">
        <f t="shared" si="26"/>
        <v>1647959.2348700003</v>
      </c>
      <c r="G374" s="458"/>
    </row>
    <row r="375" spans="1:7" s="16" customFormat="1" ht="21.75" customHeight="1" outlineLevel="1" x14ac:dyDescent="0.25">
      <c r="A375" s="125">
        <v>4</v>
      </c>
      <c r="B375" s="119" t="s">
        <v>88</v>
      </c>
      <c r="C375" s="120">
        <v>100</v>
      </c>
      <c r="D375" s="115">
        <v>12167</v>
      </c>
      <c r="E375" s="127">
        <v>1660.5</v>
      </c>
      <c r="F375" s="116">
        <f t="shared" si="26"/>
        <v>202033.035</v>
      </c>
      <c r="G375" s="458"/>
    </row>
    <row r="376" spans="1:7" s="16" customFormat="1" ht="21.75" customHeight="1" outlineLevel="1" x14ac:dyDescent="0.25">
      <c r="A376" s="129">
        <v>4</v>
      </c>
      <c r="B376" s="135" t="s">
        <v>89</v>
      </c>
      <c r="C376" s="113">
        <v>100</v>
      </c>
      <c r="D376" s="115">
        <v>24008.94</v>
      </c>
      <c r="E376" s="127">
        <v>18564.099999999999</v>
      </c>
      <c r="F376" s="116">
        <f t="shared" si="26"/>
        <v>4457043.6305399993</v>
      </c>
      <c r="G376" s="458"/>
    </row>
    <row r="377" spans="1:7" s="16" customFormat="1" ht="21.75" customHeight="1" outlineLevel="1" x14ac:dyDescent="0.25">
      <c r="A377" s="129">
        <v>5</v>
      </c>
      <c r="B377" s="135" t="s">
        <v>90</v>
      </c>
      <c r="C377" s="113">
        <v>100</v>
      </c>
      <c r="D377" s="115">
        <v>24008.94</v>
      </c>
      <c r="E377" s="127">
        <v>18564.099999999999</v>
      </c>
      <c r="F377" s="116">
        <f t="shared" si="26"/>
        <v>4457043.6305399993</v>
      </c>
      <c r="G377" s="458"/>
    </row>
    <row r="378" spans="1:7" s="16" customFormat="1" ht="21.75" customHeight="1" outlineLevel="1" x14ac:dyDescent="0.25">
      <c r="A378" s="129">
        <v>6</v>
      </c>
      <c r="B378" s="135" t="s">
        <v>91</v>
      </c>
      <c r="C378" s="113">
        <v>100</v>
      </c>
      <c r="D378" s="115">
        <v>4015.11</v>
      </c>
      <c r="E378" s="127">
        <v>18017.599999999999</v>
      </c>
      <c r="F378" s="116">
        <f t="shared" si="26"/>
        <v>723426.45935999986</v>
      </c>
      <c r="G378" s="458"/>
    </row>
    <row r="379" spans="1:7" s="16" customFormat="1" ht="21.75" customHeight="1" outlineLevel="1" x14ac:dyDescent="0.25">
      <c r="A379" s="129">
        <v>7</v>
      </c>
      <c r="B379" s="135" t="s">
        <v>92</v>
      </c>
      <c r="C379" s="113">
        <v>100</v>
      </c>
      <c r="D379" s="115">
        <v>4015.11</v>
      </c>
      <c r="E379" s="127">
        <v>18017.599999999999</v>
      </c>
      <c r="F379" s="116">
        <f t="shared" si="26"/>
        <v>723426.45935999986</v>
      </c>
      <c r="G379" s="458"/>
    </row>
    <row r="380" spans="1:7" s="16" customFormat="1" ht="21.75" customHeight="1" outlineLevel="1" x14ac:dyDescent="0.25">
      <c r="A380" s="129">
        <v>8</v>
      </c>
      <c r="B380" s="135" t="s">
        <v>93</v>
      </c>
      <c r="C380" s="113">
        <v>100</v>
      </c>
      <c r="D380" s="115">
        <v>72754.37000000001</v>
      </c>
      <c r="E380" s="127">
        <v>11511</v>
      </c>
      <c r="F380" s="116">
        <f t="shared" si="26"/>
        <v>8374755.5307000019</v>
      </c>
      <c r="G380" s="458"/>
    </row>
    <row r="381" spans="1:7" s="16" customFormat="1" ht="21.75" customHeight="1" outlineLevel="1" x14ac:dyDescent="0.25">
      <c r="A381" s="129">
        <v>9</v>
      </c>
      <c r="B381" s="135" t="s">
        <v>94</v>
      </c>
      <c r="C381" s="113">
        <v>100</v>
      </c>
      <c r="D381" s="115">
        <v>12167</v>
      </c>
      <c r="E381" s="127">
        <v>10570.5</v>
      </c>
      <c r="F381" s="116">
        <f t="shared" si="26"/>
        <v>1286112.7350000001</v>
      </c>
      <c r="G381" s="458"/>
    </row>
    <row r="382" spans="1:7" ht="60" outlineLevel="1" x14ac:dyDescent="0.25">
      <c r="A382" s="129">
        <v>10</v>
      </c>
      <c r="B382" s="135" t="s">
        <v>95</v>
      </c>
      <c r="C382" s="113">
        <v>100</v>
      </c>
      <c r="D382" s="115">
        <v>152322.06900000002</v>
      </c>
      <c r="E382" s="127">
        <v>14042.6</v>
      </c>
      <c r="F382" s="116">
        <f t="shared" si="26"/>
        <v>21389978.861394003</v>
      </c>
    </row>
    <row r="383" spans="1:7" outlineLevel="1" x14ac:dyDescent="0.25">
      <c r="A383" s="506" t="s">
        <v>43</v>
      </c>
      <c r="B383" s="506"/>
      <c r="C383" s="506"/>
      <c r="D383" s="506"/>
      <c r="E383" s="506"/>
      <c r="F383" s="72">
        <f>SUM(F370:F382)</f>
        <v>53605232.613614</v>
      </c>
    </row>
    <row r="384" spans="1:7" outlineLevel="1" x14ac:dyDescent="0.25">
      <c r="A384" s="534" t="s">
        <v>74</v>
      </c>
      <c r="B384" s="534"/>
      <c r="C384" s="534"/>
      <c r="D384" s="534"/>
      <c r="E384" s="534"/>
      <c r="F384" s="534"/>
    </row>
    <row r="385" spans="1:6" ht="75" outlineLevel="1" x14ac:dyDescent="0.25">
      <c r="A385" s="129">
        <v>1</v>
      </c>
      <c r="B385" s="133" t="s">
        <v>45</v>
      </c>
      <c r="C385" s="113">
        <v>1000</v>
      </c>
      <c r="D385" s="115">
        <v>1417.9529000000011</v>
      </c>
      <c r="E385" s="115">
        <v>12735.6</v>
      </c>
      <c r="F385" s="116">
        <f>E385*D385/C385</f>
        <v>18058.480953240014</v>
      </c>
    </row>
    <row r="386" spans="1:6" ht="28.5" customHeight="1" outlineLevel="1" x14ac:dyDescent="0.25">
      <c r="A386" s="129">
        <v>2</v>
      </c>
      <c r="B386" s="133" t="s">
        <v>75</v>
      </c>
      <c r="C386" s="113">
        <v>1000</v>
      </c>
      <c r="D386" s="115">
        <v>1417.9529000000011</v>
      </c>
      <c r="E386" s="115">
        <v>12038.4</v>
      </c>
      <c r="F386" s="116">
        <f>E386*D386/C386</f>
        <v>17069.884191360012</v>
      </c>
    </row>
    <row r="387" spans="1:6" ht="45" outlineLevel="1" x14ac:dyDescent="0.25">
      <c r="A387" s="125">
        <v>3</v>
      </c>
      <c r="B387" s="135" t="s">
        <v>23</v>
      </c>
      <c r="C387" s="126"/>
      <c r="D387" s="115"/>
      <c r="E387" s="127">
        <v>0</v>
      </c>
      <c r="F387" s="127"/>
    </row>
    <row r="388" spans="1:6" outlineLevel="1" x14ac:dyDescent="0.25">
      <c r="A388" s="125"/>
      <c r="B388" s="133" t="s">
        <v>24</v>
      </c>
      <c r="C388" s="113">
        <v>100</v>
      </c>
      <c r="D388" s="115">
        <v>140.10249999999999</v>
      </c>
      <c r="E388" s="115">
        <v>34694.300000000003</v>
      </c>
      <c r="F388" s="116">
        <f>E388*D388/C388</f>
        <v>48607.581657499999</v>
      </c>
    </row>
    <row r="389" spans="1:6" outlineLevel="1" x14ac:dyDescent="0.25">
      <c r="A389" s="125"/>
      <c r="B389" s="133" t="s">
        <v>125</v>
      </c>
      <c r="C389" s="113">
        <v>100</v>
      </c>
      <c r="D389" s="115">
        <v>17</v>
      </c>
      <c r="E389" s="115">
        <v>47135.9</v>
      </c>
      <c r="F389" s="116">
        <f>E389*D389/C389</f>
        <v>8013.1030000000001</v>
      </c>
    </row>
    <row r="390" spans="1:6" ht="90" outlineLevel="1" x14ac:dyDescent="0.25">
      <c r="A390" s="125">
        <v>4</v>
      </c>
      <c r="B390" s="133" t="s">
        <v>46</v>
      </c>
      <c r="C390" s="131">
        <v>100</v>
      </c>
      <c r="D390" s="115">
        <v>4515.8106000000043</v>
      </c>
      <c r="E390" s="136">
        <v>30376.9</v>
      </c>
      <c r="F390" s="116">
        <f>E390*D390/C390</f>
        <v>1371763.2701514014</v>
      </c>
    </row>
    <row r="391" spans="1:6" ht="120.75" outlineLevel="1" x14ac:dyDescent="0.25">
      <c r="A391" s="125">
        <v>5</v>
      </c>
      <c r="B391" s="135" t="s">
        <v>78</v>
      </c>
      <c r="C391" s="126"/>
      <c r="D391" s="115"/>
      <c r="E391" s="127"/>
      <c r="F391" s="137"/>
    </row>
    <row r="392" spans="1:6" ht="75" outlineLevel="1" x14ac:dyDescent="0.25">
      <c r="A392" s="125"/>
      <c r="B392" s="135" t="s">
        <v>100</v>
      </c>
      <c r="C392" s="113">
        <v>1</v>
      </c>
      <c r="D392" s="115">
        <v>1063.0377000000012</v>
      </c>
      <c r="E392" s="115">
        <v>817.55</v>
      </c>
      <c r="F392" s="116">
        <f t="shared" ref="F392:F398" si="27">E392*D392/C392</f>
        <v>869086.4716350009</v>
      </c>
    </row>
    <row r="393" spans="1:6" ht="75" outlineLevel="1" x14ac:dyDescent="0.25">
      <c r="A393" s="125"/>
      <c r="B393" s="135" t="s">
        <v>201</v>
      </c>
      <c r="C393" s="113">
        <v>1</v>
      </c>
      <c r="D393" s="115">
        <v>442.23249999999996</v>
      </c>
      <c r="E393" s="115">
        <v>670.5</v>
      </c>
      <c r="F393" s="116">
        <f t="shared" si="27"/>
        <v>296516.89124999999</v>
      </c>
    </row>
    <row r="394" spans="1:6" ht="30" outlineLevel="1" x14ac:dyDescent="0.25">
      <c r="A394" s="125">
        <v>6</v>
      </c>
      <c r="B394" s="133" t="s">
        <v>52</v>
      </c>
      <c r="C394" s="120">
        <v>100</v>
      </c>
      <c r="D394" s="115">
        <v>551.0106000000003</v>
      </c>
      <c r="E394" s="127">
        <v>1645.1</v>
      </c>
      <c r="F394" s="116">
        <f t="shared" si="27"/>
        <v>9064.6753806000033</v>
      </c>
    </row>
    <row r="395" spans="1:6" ht="30" outlineLevel="1" x14ac:dyDescent="0.25">
      <c r="A395" s="125">
        <v>7</v>
      </c>
      <c r="B395" s="135" t="s">
        <v>79</v>
      </c>
      <c r="C395" s="113">
        <v>100</v>
      </c>
      <c r="D395" s="115">
        <v>40</v>
      </c>
      <c r="E395" s="127">
        <v>35727</v>
      </c>
      <c r="F395" s="116">
        <f t="shared" si="27"/>
        <v>14290.8</v>
      </c>
    </row>
    <row r="396" spans="1:6" ht="60" outlineLevel="1" x14ac:dyDescent="0.25">
      <c r="A396" s="125">
        <v>8</v>
      </c>
      <c r="B396" s="138" t="s">
        <v>80</v>
      </c>
      <c r="C396" s="139">
        <v>1</v>
      </c>
      <c r="D396" s="115">
        <v>180.20000000000016</v>
      </c>
      <c r="E396" s="115">
        <v>809.4</v>
      </c>
      <c r="F396" s="116">
        <f t="shared" si="27"/>
        <v>145853.88000000012</v>
      </c>
    </row>
    <row r="397" spans="1:6" ht="30" outlineLevel="1" x14ac:dyDescent="0.25">
      <c r="A397" s="125">
        <v>9</v>
      </c>
      <c r="B397" s="140" t="s">
        <v>81</v>
      </c>
      <c r="C397" s="139">
        <v>1</v>
      </c>
      <c r="D397" s="115">
        <v>50</v>
      </c>
      <c r="E397" s="115">
        <v>1381</v>
      </c>
      <c r="F397" s="116">
        <f t="shared" si="27"/>
        <v>69050</v>
      </c>
    </row>
    <row r="398" spans="1:6" ht="20.25" customHeight="1" outlineLevel="1" x14ac:dyDescent="0.25">
      <c r="A398" s="125">
        <v>10</v>
      </c>
      <c r="B398" s="133" t="s">
        <v>66</v>
      </c>
      <c r="C398" s="113">
        <v>1000</v>
      </c>
      <c r="D398" s="115">
        <v>2000</v>
      </c>
      <c r="E398" s="114">
        <v>5266.8</v>
      </c>
      <c r="F398" s="116">
        <f t="shared" si="27"/>
        <v>10533.6</v>
      </c>
    </row>
    <row r="399" spans="1:6" ht="75.75" outlineLevel="1" x14ac:dyDescent="0.25">
      <c r="A399" s="125">
        <v>11</v>
      </c>
      <c r="B399" s="133" t="s">
        <v>40</v>
      </c>
      <c r="C399" s="126"/>
      <c r="D399" s="115"/>
      <c r="E399" s="114"/>
      <c r="F399" s="114"/>
    </row>
    <row r="400" spans="1:6" outlineLevel="1" x14ac:dyDescent="0.25">
      <c r="A400" s="125" t="s">
        <v>67</v>
      </c>
      <c r="B400" s="133" t="s">
        <v>68</v>
      </c>
      <c r="C400" s="113">
        <v>100</v>
      </c>
      <c r="D400" s="115">
        <v>134.49839999999998</v>
      </c>
      <c r="E400" s="114">
        <v>14042.6</v>
      </c>
      <c r="F400" s="116">
        <f>E400*D400/C400</f>
        <v>18887.072318399998</v>
      </c>
    </row>
    <row r="401" spans="1:6" outlineLevel="1" x14ac:dyDescent="0.25">
      <c r="A401" s="125" t="s">
        <v>41</v>
      </c>
      <c r="B401" s="133" t="s">
        <v>42</v>
      </c>
      <c r="C401" s="113">
        <v>100</v>
      </c>
      <c r="D401" s="115">
        <v>14.96</v>
      </c>
      <c r="E401" s="114">
        <v>14042.6</v>
      </c>
      <c r="F401" s="116">
        <f>E401*D401/C401</f>
        <v>2100.7729600000002</v>
      </c>
    </row>
    <row r="402" spans="1:6" outlineLevel="1" x14ac:dyDescent="0.25">
      <c r="A402" s="125" t="s">
        <v>70</v>
      </c>
      <c r="B402" s="133" t="s">
        <v>82</v>
      </c>
      <c r="C402" s="113">
        <v>100</v>
      </c>
      <c r="D402" s="115">
        <v>1264.4269680000011</v>
      </c>
      <c r="E402" s="114">
        <v>14042.6</v>
      </c>
      <c r="F402" s="116">
        <f>E402*D402/C402</f>
        <v>177558.42140836816</v>
      </c>
    </row>
    <row r="403" spans="1:6" outlineLevel="1" x14ac:dyDescent="0.25">
      <c r="A403" s="506" t="s">
        <v>83</v>
      </c>
      <c r="B403" s="506"/>
      <c r="C403" s="506"/>
      <c r="D403" s="506"/>
      <c r="E403" s="506"/>
      <c r="F403" s="72">
        <f>SUM(F385:F402)</f>
        <v>3076454.904905871</v>
      </c>
    </row>
    <row r="404" spans="1:6" outlineLevel="1" x14ac:dyDescent="0.25">
      <c r="A404" s="534" t="s">
        <v>202</v>
      </c>
      <c r="B404" s="534"/>
      <c r="C404" s="534"/>
      <c r="D404" s="534"/>
      <c r="E404" s="534"/>
      <c r="F404" s="534"/>
    </row>
    <row r="405" spans="1:6" ht="50.25" customHeight="1" outlineLevel="1" x14ac:dyDescent="0.25">
      <c r="A405" s="141">
        <v>1</v>
      </c>
      <c r="B405" s="142" t="s">
        <v>203</v>
      </c>
      <c r="C405" s="113">
        <v>100</v>
      </c>
      <c r="D405" s="137">
        <v>966.72</v>
      </c>
      <c r="E405" s="115">
        <v>47135.9</v>
      </c>
      <c r="F405" s="116">
        <f>E405*D405/C405</f>
        <v>455672.17248000001</v>
      </c>
    </row>
    <row r="406" spans="1:6" ht="75" outlineLevel="1" x14ac:dyDescent="0.25">
      <c r="A406" s="141">
        <v>2</v>
      </c>
      <c r="B406" s="142" t="s">
        <v>204</v>
      </c>
      <c r="C406" s="131">
        <v>100</v>
      </c>
      <c r="D406" s="137">
        <v>2080</v>
      </c>
      <c r="E406" s="136">
        <v>30376.9</v>
      </c>
      <c r="F406" s="116">
        <f>E406*D406/C406</f>
        <v>631839.52</v>
      </c>
    </row>
    <row r="407" spans="1:6" ht="120" outlineLevel="1" x14ac:dyDescent="0.25">
      <c r="A407" s="141">
        <v>3</v>
      </c>
      <c r="B407" s="142" t="s">
        <v>99</v>
      </c>
      <c r="C407" s="143"/>
      <c r="D407" s="137"/>
      <c r="E407" s="137"/>
      <c r="F407" s="137"/>
    </row>
    <row r="408" spans="1:6" ht="60" outlineLevel="1" x14ac:dyDescent="0.25">
      <c r="A408" s="141" t="s">
        <v>58</v>
      </c>
      <c r="B408" s="142" t="s">
        <v>205</v>
      </c>
      <c r="C408" s="113">
        <v>1</v>
      </c>
      <c r="D408" s="137">
        <v>520</v>
      </c>
      <c r="E408" s="115">
        <v>817.55</v>
      </c>
      <c r="F408" s="116">
        <f t="shared" ref="F408:F414" si="28">E408*D408/C408</f>
        <v>425126</v>
      </c>
    </row>
    <row r="409" spans="1:6" ht="25.5" customHeight="1" outlineLevel="1" x14ac:dyDescent="0.25">
      <c r="A409" s="141">
        <v>4</v>
      </c>
      <c r="B409" s="142" t="s">
        <v>101</v>
      </c>
      <c r="C409" s="139">
        <v>1</v>
      </c>
      <c r="D409" s="137">
        <v>6</v>
      </c>
      <c r="E409" s="137">
        <v>378.75</v>
      </c>
      <c r="F409" s="116">
        <f t="shared" si="28"/>
        <v>2272.5</v>
      </c>
    </row>
    <row r="410" spans="1:6" ht="30" outlineLevel="1" x14ac:dyDescent="0.25">
      <c r="A410" s="141">
        <v>5</v>
      </c>
      <c r="B410" s="142" t="s">
        <v>102</v>
      </c>
      <c r="C410" s="113">
        <v>1000</v>
      </c>
      <c r="D410" s="137">
        <v>8490</v>
      </c>
      <c r="E410" s="137">
        <v>10533.6</v>
      </c>
      <c r="F410" s="116">
        <f t="shared" si="28"/>
        <v>89430.263999999996</v>
      </c>
    </row>
    <row r="411" spans="1:6" ht="30" outlineLevel="1" x14ac:dyDescent="0.25">
      <c r="A411" s="141">
        <v>6</v>
      </c>
      <c r="B411" s="135" t="s">
        <v>103</v>
      </c>
      <c r="C411" s="113">
        <v>100</v>
      </c>
      <c r="D411" s="137">
        <v>3936</v>
      </c>
      <c r="E411" s="127">
        <v>4850.3999999999996</v>
      </c>
      <c r="F411" s="116">
        <f t="shared" si="28"/>
        <v>190911.74399999998</v>
      </c>
    </row>
    <row r="412" spans="1:6" ht="105" outlineLevel="1" x14ac:dyDescent="0.25">
      <c r="A412" s="141">
        <v>7</v>
      </c>
      <c r="B412" s="135" t="s">
        <v>104</v>
      </c>
      <c r="C412" s="139">
        <v>1</v>
      </c>
      <c r="D412" s="137">
        <v>48</v>
      </c>
      <c r="E412" s="127">
        <v>2150.35</v>
      </c>
      <c r="F412" s="116">
        <f t="shared" si="28"/>
        <v>103216.79999999999</v>
      </c>
    </row>
    <row r="413" spans="1:6" ht="45" outlineLevel="1" x14ac:dyDescent="0.25">
      <c r="A413" s="141">
        <v>8</v>
      </c>
      <c r="B413" s="144" t="s">
        <v>105</v>
      </c>
      <c r="C413" s="113">
        <v>100</v>
      </c>
      <c r="D413" s="137">
        <v>384</v>
      </c>
      <c r="E413" s="116">
        <v>27086.400000000001</v>
      </c>
      <c r="F413" s="116">
        <f t="shared" si="28"/>
        <v>104011.77600000001</v>
      </c>
    </row>
    <row r="414" spans="1:6" ht="21.75" customHeight="1" outlineLevel="1" x14ac:dyDescent="0.25">
      <c r="A414" s="141">
        <v>9</v>
      </c>
      <c r="B414" s="144" t="s">
        <v>106</v>
      </c>
      <c r="C414" s="131">
        <v>1</v>
      </c>
      <c r="D414" s="116">
        <v>768</v>
      </c>
      <c r="E414" s="136">
        <v>-170</v>
      </c>
      <c r="F414" s="116">
        <f t="shared" si="28"/>
        <v>-130560</v>
      </c>
    </row>
    <row r="415" spans="1:6" ht="21.75" customHeight="1" outlineLevel="1" x14ac:dyDescent="0.25">
      <c r="A415" s="519" t="s">
        <v>83</v>
      </c>
      <c r="B415" s="519"/>
      <c r="C415" s="519"/>
      <c r="D415" s="519"/>
      <c r="E415" s="519"/>
      <c r="F415" s="106">
        <f>SUM(F405:F414)</f>
        <v>1871920.77648</v>
      </c>
    </row>
    <row r="416" spans="1:6" outlineLevel="1" x14ac:dyDescent="0.25">
      <c r="A416" s="534" t="s">
        <v>206</v>
      </c>
      <c r="B416" s="534"/>
      <c r="C416" s="534"/>
      <c r="D416" s="534"/>
      <c r="E416" s="534"/>
      <c r="F416" s="534"/>
    </row>
    <row r="417" spans="1:6" ht="75" outlineLevel="1" x14ac:dyDescent="0.25">
      <c r="A417" s="129">
        <v>1</v>
      </c>
      <c r="B417" s="133" t="s">
        <v>108</v>
      </c>
      <c r="C417" s="113">
        <v>1000</v>
      </c>
      <c r="D417" s="115">
        <v>3814.2433582386002</v>
      </c>
      <c r="E417" s="115">
        <v>15824.15</v>
      </c>
      <c r="F417" s="116">
        <f>E417*D417/C417</f>
        <v>60357.15903727134</v>
      </c>
    </row>
    <row r="418" spans="1:6" ht="105" outlineLevel="1" x14ac:dyDescent="0.25">
      <c r="A418" s="129">
        <v>2</v>
      </c>
      <c r="B418" s="145" t="s">
        <v>109</v>
      </c>
      <c r="C418" s="120">
        <v>1</v>
      </c>
      <c r="D418" s="115">
        <v>3559.5</v>
      </c>
      <c r="E418" s="127">
        <v>12.55</v>
      </c>
      <c r="F418" s="116">
        <f>E418*D418/C418</f>
        <v>44671.725000000006</v>
      </c>
    </row>
    <row r="419" spans="1:6" ht="45" outlineLevel="1" x14ac:dyDescent="0.25">
      <c r="A419" s="125">
        <v>3</v>
      </c>
      <c r="B419" s="135" t="s">
        <v>23</v>
      </c>
      <c r="C419" s="126"/>
      <c r="D419" s="115">
        <v>0</v>
      </c>
      <c r="E419" s="127"/>
      <c r="F419" s="127"/>
    </row>
    <row r="420" spans="1:6" outlineLevel="1" x14ac:dyDescent="0.25">
      <c r="A420" s="125"/>
      <c r="B420" s="133" t="s">
        <v>24</v>
      </c>
      <c r="C420" s="113">
        <v>100</v>
      </c>
      <c r="D420" s="115">
        <v>739.28711027360009</v>
      </c>
      <c r="E420" s="115">
        <v>34694.300000000003</v>
      </c>
      <c r="F420" s="116">
        <f t="shared" ref="F420:F425" si="29">E420*D420/C420</f>
        <v>256490.48789965364</v>
      </c>
    </row>
    <row r="421" spans="1:6" ht="34.5" customHeight="1" outlineLevel="1" x14ac:dyDescent="0.25">
      <c r="A421" s="125">
        <v>4</v>
      </c>
      <c r="B421" s="135" t="s">
        <v>25</v>
      </c>
      <c r="C421" s="113">
        <v>100</v>
      </c>
      <c r="D421" s="115">
        <v>2205.2800000000002</v>
      </c>
      <c r="E421" s="115">
        <v>32675.95</v>
      </c>
      <c r="F421" s="116">
        <f t="shared" si="29"/>
        <v>720596.19016</v>
      </c>
    </row>
    <row r="422" spans="1:6" ht="60" outlineLevel="1" x14ac:dyDescent="0.25">
      <c r="A422" s="125">
        <v>5</v>
      </c>
      <c r="B422" s="135" t="s">
        <v>110</v>
      </c>
      <c r="C422" s="120">
        <v>100</v>
      </c>
      <c r="D422" s="115">
        <v>451.5</v>
      </c>
      <c r="E422" s="115">
        <v>11460.2</v>
      </c>
      <c r="F422" s="116">
        <f t="shared" si="29"/>
        <v>51742.803000000007</v>
      </c>
    </row>
    <row r="423" spans="1:6" ht="60" outlineLevel="1" x14ac:dyDescent="0.25">
      <c r="A423" s="125">
        <v>6</v>
      </c>
      <c r="B423" s="133" t="s">
        <v>111</v>
      </c>
      <c r="C423" s="120">
        <v>100</v>
      </c>
      <c r="D423" s="115">
        <v>840</v>
      </c>
      <c r="E423" s="115">
        <v>7607.35</v>
      </c>
      <c r="F423" s="116">
        <f t="shared" si="29"/>
        <v>63901.74</v>
      </c>
    </row>
    <row r="424" spans="1:6" ht="30" outlineLevel="1" x14ac:dyDescent="0.25">
      <c r="A424" s="125">
        <v>7</v>
      </c>
      <c r="B424" s="135" t="s">
        <v>112</v>
      </c>
      <c r="C424" s="113">
        <v>1000</v>
      </c>
      <c r="D424" s="115">
        <v>1050</v>
      </c>
      <c r="E424" s="115">
        <v>7547.75</v>
      </c>
      <c r="F424" s="116">
        <f t="shared" si="29"/>
        <v>7925.1374999999998</v>
      </c>
    </row>
    <row r="425" spans="1:6" ht="33.75" customHeight="1" outlineLevel="1" x14ac:dyDescent="0.25">
      <c r="A425" s="125">
        <v>8</v>
      </c>
      <c r="B425" s="133" t="s">
        <v>173</v>
      </c>
      <c r="C425" s="113">
        <v>100</v>
      </c>
      <c r="D425" s="115">
        <v>2036.2999999999997</v>
      </c>
      <c r="E425" s="115">
        <v>35830.6</v>
      </c>
      <c r="F425" s="116">
        <f t="shared" si="29"/>
        <v>729618.5077999999</v>
      </c>
    </row>
    <row r="426" spans="1:6" ht="120.75" outlineLevel="1" x14ac:dyDescent="0.25">
      <c r="A426" s="546">
        <v>9</v>
      </c>
      <c r="B426" s="135" t="s">
        <v>47</v>
      </c>
      <c r="C426" s="122"/>
      <c r="D426" s="115"/>
      <c r="E426" s="115"/>
      <c r="F426" s="115"/>
    </row>
    <row r="427" spans="1:6" ht="75" outlineLevel="1" x14ac:dyDescent="0.25">
      <c r="A427" s="546"/>
      <c r="B427" s="135" t="s">
        <v>174</v>
      </c>
      <c r="C427" s="113">
        <v>1</v>
      </c>
      <c r="D427" s="115">
        <v>1079.1605999999999</v>
      </c>
      <c r="E427" s="115">
        <v>741.85</v>
      </c>
      <c r="F427" s="116">
        <f t="shared" ref="F427:F436" si="30">E427*D427/C427</f>
        <v>800575.29110999999</v>
      </c>
    </row>
    <row r="428" spans="1:6" ht="75" outlineLevel="1" x14ac:dyDescent="0.25">
      <c r="A428" s="146">
        <v>10</v>
      </c>
      <c r="B428" s="133" t="s">
        <v>175</v>
      </c>
      <c r="C428" s="113">
        <v>1</v>
      </c>
      <c r="D428" s="115">
        <v>128.85468749999998</v>
      </c>
      <c r="E428" s="115">
        <v>595</v>
      </c>
      <c r="F428" s="116">
        <f t="shared" si="30"/>
        <v>76668.539062499985</v>
      </c>
    </row>
    <row r="429" spans="1:6" ht="90" outlineLevel="1" x14ac:dyDescent="0.25">
      <c r="A429" s="147">
        <v>11</v>
      </c>
      <c r="B429" s="135" t="s">
        <v>116</v>
      </c>
      <c r="C429" s="131">
        <v>100</v>
      </c>
      <c r="D429" s="115">
        <v>7248.0917250000002</v>
      </c>
      <c r="E429" s="115">
        <v>30376.9</v>
      </c>
      <c r="F429" s="116">
        <f t="shared" si="30"/>
        <v>2201745.5752115254</v>
      </c>
    </row>
    <row r="430" spans="1:6" ht="180" outlineLevel="1" x14ac:dyDescent="0.25">
      <c r="A430" s="125">
        <v>12</v>
      </c>
      <c r="B430" s="135" t="s">
        <v>117</v>
      </c>
      <c r="C430" s="120">
        <v>1</v>
      </c>
      <c r="D430" s="115">
        <v>224</v>
      </c>
      <c r="E430" s="115">
        <v>2180.6999999999998</v>
      </c>
      <c r="F430" s="116">
        <f t="shared" si="30"/>
        <v>488476.79999999993</v>
      </c>
    </row>
    <row r="431" spans="1:6" ht="60" outlineLevel="1" x14ac:dyDescent="0.25">
      <c r="A431" s="125">
        <v>13</v>
      </c>
      <c r="B431" s="135" t="s">
        <v>118</v>
      </c>
      <c r="C431" s="120">
        <v>1</v>
      </c>
      <c r="D431" s="115">
        <v>280</v>
      </c>
      <c r="E431" s="115">
        <v>457.1</v>
      </c>
      <c r="F431" s="116">
        <f t="shared" si="30"/>
        <v>127988</v>
      </c>
    </row>
    <row r="432" spans="1:6" ht="45" outlineLevel="1" x14ac:dyDescent="0.25">
      <c r="A432" s="125">
        <v>14</v>
      </c>
      <c r="B432" s="135" t="s">
        <v>119</v>
      </c>
      <c r="C432" s="120">
        <v>1</v>
      </c>
      <c r="D432" s="115">
        <v>343</v>
      </c>
      <c r="E432" s="115">
        <v>2767</v>
      </c>
      <c r="F432" s="116">
        <f t="shared" si="30"/>
        <v>949081</v>
      </c>
    </row>
    <row r="433" spans="1:6" ht="75" outlineLevel="1" x14ac:dyDescent="0.25">
      <c r="A433" s="129">
        <v>15</v>
      </c>
      <c r="B433" s="135" t="s">
        <v>120</v>
      </c>
      <c r="C433" s="120">
        <v>100</v>
      </c>
      <c r="D433" s="115">
        <v>668.9375</v>
      </c>
      <c r="E433" s="115">
        <v>13179.6</v>
      </c>
      <c r="F433" s="116">
        <f t="shared" si="30"/>
        <v>88163.286750000014</v>
      </c>
    </row>
    <row r="434" spans="1:6" ht="30" outlineLevel="1" x14ac:dyDescent="0.25">
      <c r="A434" s="129">
        <v>16</v>
      </c>
      <c r="B434" s="135" t="s">
        <v>121</v>
      </c>
      <c r="C434" s="120">
        <v>1</v>
      </c>
      <c r="D434" s="115">
        <v>696.9375</v>
      </c>
      <c r="E434" s="115">
        <v>11</v>
      </c>
      <c r="F434" s="116">
        <f t="shared" si="30"/>
        <v>7666.3125</v>
      </c>
    </row>
    <row r="435" spans="1:6" ht="21.75" customHeight="1" outlineLevel="1" x14ac:dyDescent="0.25">
      <c r="A435" s="125">
        <v>17</v>
      </c>
      <c r="B435" s="135" t="s">
        <v>122</v>
      </c>
      <c r="C435" s="113">
        <v>100</v>
      </c>
      <c r="D435" s="115">
        <v>286.5625</v>
      </c>
      <c r="E435" s="127">
        <v>3987</v>
      </c>
      <c r="F435" s="116">
        <f t="shared" si="30"/>
        <v>11425.246875000001</v>
      </c>
    </row>
    <row r="436" spans="1:6" ht="45" outlineLevel="1" x14ac:dyDescent="0.25">
      <c r="A436" s="129">
        <v>18</v>
      </c>
      <c r="B436" s="135" t="s">
        <v>123</v>
      </c>
      <c r="C436" s="113">
        <v>100</v>
      </c>
      <c r="D436" s="115">
        <v>342.5625</v>
      </c>
      <c r="E436" s="127">
        <v>12801.2</v>
      </c>
      <c r="F436" s="116">
        <f t="shared" si="30"/>
        <v>43852.11075</v>
      </c>
    </row>
    <row r="437" spans="1:6" ht="45" outlineLevel="1" x14ac:dyDescent="0.25">
      <c r="A437" s="546">
        <v>19</v>
      </c>
      <c r="B437" s="112" t="s">
        <v>124</v>
      </c>
      <c r="C437" s="122"/>
      <c r="D437" s="115"/>
      <c r="E437" s="115">
        <v>0</v>
      </c>
      <c r="F437" s="127"/>
    </row>
    <row r="438" spans="1:6" ht="19.5" customHeight="1" outlineLevel="1" x14ac:dyDescent="0.25">
      <c r="A438" s="546"/>
      <c r="B438" s="112" t="s">
        <v>125</v>
      </c>
      <c r="C438" s="113">
        <v>100</v>
      </c>
      <c r="D438" s="115">
        <v>321.02</v>
      </c>
      <c r="E438" s="115">
        <v>47135.9</v>
      </c>
      <c r="F438" s="116">
        <f t="shared" ref="F438:F448" si="31">E438*D438/C438</f>
        <v>151315.66618</v>
      </c>
    </row>
    <row r="439" spans="1:6" ht="30" outlineLevel="1" x14ac:dyDescent="0.25">
      <c r="A439" s="125">
        <v>20</v>
      </c>
      <c r="B439" s="135" t="s">
        <v>126</v>
      </c>
      <c r="C439" s="120">
        <v>100</v>
      </c>
      <c r="D439" s="115">
        <v>3978.1350000000002</v>
      </c>
      <c r="E439" s="127">
        <v>4614.1000000000004</v>
      </c>
      <c r="F439" s="116">
        <f t="shared" si="31"/>
        <v>183555.12703500001</v>
      </c>
    </row>
    <row r="440" spans="1:6" ht="30" outlineLevel="1" x14ac:dyDescent="0.25">
      <c r="A440" s="125">
        <v>21</v>
      </c>
      <c r="B440" s="135" t="s">
        <v>207</v>
      </c>
      <c r="C440" s="120">
        <v>100</v>
      </c>
      <c r="D440" s="115">
        <v>801.64</v>
      </c>
      <c r="E440" s="127">
        <v>5264.65</v>
      </c>
      <c r="F440" s="116">
        <f t="shared" si="31"/>
        <v>42203.540259999994</v>
      </c>
    </row>
    <row r="441" spans="1:6" ht="60" outlineLevel="1" x14ac:dyDescent="0.25">
      <c r="A441" s="125">
        <v>22</v>
      </c>
      <c r="B441" s="135" t="s">
        <v>128</v>
      </c>
      <c r="C441" s="120">
        <v>100</v>
      </c>
      <c r="D441" s="115">
        <v>3429.125</v>
      </c>
      <c r="E441" s="127">
        <v>5012.6499999999996</v>
      </c>
      <c r="F441" s="116">
        <f t="shared" si="31"/>
        <v>171890.03431249998</v>
      </c>
    </row>
    <row r="442" spans="1:6" ht="45" outlineLevel="1" x14ac:dyDescent="0.25">
      <c r="A442" s="125">
        <v>23</v>
      </c>
      <c r="B442" s="135" t="s">
        <v>129</v>
      </c>
      <c r="C442" s="139">
        <v>1</v>
      </c>
      <c r="D442" s="115">
        <v>91</v>
      </c>
      <c r="E442" s="127">
        <v>514.9</v>
      </c>
      <c r="F442" s="116">
        <f t="shared" si="31"/>
        <v>46855.9</v>
      </c>
    </row>
    <row r="443" spans="1:6" ht="30" outlineLevel="1" x14ac:dyDescent="0.25">
      <c r="A443" s="125">
        <v>24</v>
      </c>
      <c r="B443" s="135" t="s">
        <v>130</v>
      </c>
      <c r="C443" s="128">
        <v>1</v>
      </c>
      <c r="D443" s="115">
        <v>14</v>
      </c>
      <c r="E443" s="127">
        <v>849.7</v>
      </c>
      <c r="F443" s="116">
        <f t="shared" si="31"/>
        <v>11895.800000000001</v>
      </c>
    </row>
    <row r="444" spans="1:6" ht="21" customHeight="1" outlineLevel="1" x14ac:dyDescent="0.25">
      <c r="A444" s="125">
        <v>25</v>
      </c>
      <c r="B444" s="135" t="s">
        <v>131</v>
      </c>
      <c r="C444" s="128">
        <v>1</v>
      </c>
      <c r="D444" s="115">
        <v>7</v>
      </c>
      <c r="E444" s="127">
        <v>1159.6500000000001</v>
      </c>
      <c r="F444" s="116">
        <f t="shared" si="31"/>
        <v>8117.5500000000011</v>
      </c>
    </row>
    <row r="445" spans="1:6" ht="21" customHeight="1" outlineLevel="1" x14ac:dyDescent="0.25">
      <c r="A445" s="125">
        <v>26</v>
      </c>
      <c r="B445" s="135" t="s">
        <v>132</v>
      </c>
      <c r="C445" s="120">
        <v>100</v>
      </c>
      <c r="D445" s="115">
        <v>3571.89</v>
      </c>
      <c r="E445" s="127">
        <v>1548.2</v>
      </c>
      <c r="F445" s="116">
        <f t="shared" si="31"/>
        <v>55300.000980000004</v>
      </c>
    </row>
    <row r="446" spans="1:6" ht="45" outlineLevel="1" x14ac:dyDescent="0.25">
      <c r="A446" s="125">
        <v>27</v>
      </c>
      <c r="B446" s="135" t="s">
        <v>133</v>
      </c>
      <c r="C446" s="120">
        <v>100</v>
      </c>
      <c r="D446" s="115">
        <v>1207.885</v>
      </c>
      <c r="E446" s="127">
        <v>7379.1</v>
      </c>
      <c r="F446" s="116">
        <f t="shared" si="31"/>
        <v>89131.042035000006</v>
      </c>
    </row>
    <row r="447" spans="1:6" ht="30" outlineLevel="1" x14ac:dyDescent="0.25">
      <c r="A447" s="125">
        <v>28</v>
      </c>
      <c r="B447" s="135" t="s">
        <v>134</v>
      </c>
      <c r="C447" s="120">
        <v>100</v>
      </c>
      <c r="D447" s="115">
        <v>623</v>
      </c>
      <c r="E447" s="127">
        <v>3052.4</v>
      </c>
      <c r="F447" s="116">
        <f t="shared" si="31"/>
        <v>19016.452000000001</v>
      </c>
    </row>
    <row r="448" spans="1:6" ht="60" outlineLevel="1" x14ac:dyDescent="0.25">
      <c r="A448" s="125">
        <v>29</v>
      </c>
      <c r="B448" s="112" t="s">
        <v>135</v>
      </c>
      <c r="C448" s="131">
        <v>100</v>
      </c>
      <c r="D448" s="115">
        <v>2344.711058695455</v>
      </c>
      <c r="E448" s="115">
        <v>37098.85</v>
      </c>
      <c r="F448" s="116">
        <f t="shared" si="31"/>
        <v>869860.83859883877</v>
      </c>
    </row>
    <row r="449" spans="1:6" ht="45" outlineLevel="1" x14ac:dyDescent="0.25">
      <c r="A449" s="546">
        <v>30</v>
      </c>
      <c r="B449" s="135" t="s">
        <v>136</v>
      </c>
      <c r="C449" s="122"/>
      <c r="D449" s="115"/>
      <c r="E449" s="127">
        <v>0</v>
      </c>
      <c r="F449" s="127"/>
    </row>
    <row r="450" spans="1:6" outlineLevel="1" x14ac:dyDescent="0.25">
      <c r="A450" s="546"/>
      <c r="B450" s="135" t="s">
        <v>176</v>
      </c>
      <c r="C450" s="139">
        <v>1</v>
      </c>
      <c r="D450" s="115">
        <v>420</v>
      </c>
      <c r="E450" s="127">
        <v>112.25</v>
      </c>
      <c r="F450" s="116">
        <f>E450*D450/C450</f>
        <v>47145</v>
      </c>
    </row>
    <row r="451" spans="1:6" outlineLevel="1" x14ac:dyDescent="0.25">
      <c r="A451" s="546"/>
      <c r="B451" s="135" t="s">
        <v>177</v>
      </c>
      <c r="C451" s="139">
        <v>1</v>
      </c>
      <c r="D451" s="115">
        <v>210</v>
      </c>
      <c r="E451" s="127">
        <v>133.6</v>
      </c>
      <c r="F451" s="116">
        <f>E451*D451/C451</f>
        <v>28056</v>
      </c>
    </row>
    <row r="452" spans="1:6" outlineLevel="1" x14ac:dyDescent="0.25">
      <c r="A452" s="125"/>
      <c r="B452" s="135" t="s">
        <v>178</v>
      </c>
      <c r="C452" s="139">
        <v>1</v>
      </c>
      <c r="D452" s="115">
        <v>105</v>
      </c>
      <c r="E452" s="127">
        <v>231.55</v>
      </c>
      <c r="F452" s="116">
        <f>E452*D452/C452</f>
        <v>24312.75</v>
      </c>
    </row>
    <row r="453" spans="1:6" ht="75" outlineLevel="1" x14ac:dyDescent="0.25">
      <c r="A453" s="546">
        <v>31</v>
      </c>
      <c r="B453" s="135" t="s">
        <v>141</v>
      </c>
      <c r="C453" s="122"/>
      <c r="D453" s="115"/>
      <c r="E453" s="127">
        <v>0</v>
      </c>
      <c r="F453" s="137"/>
    </row>
    <row r="454" spans="1:6" outlineLevel="1" x14ac:dyDescent="0.25">
      <c r="A454" s="546"/>
      <c r="B454" s="135" t="s">
        <v>180</v>
      </c>
      <c r="C454" s="139">
        <v>1</v>
      </c>
      <c r="D454" s="115">
        <v>1260</v>
      </c>
      <c r="E454" s="127">
        <v>35.700000000000003</v>
      </c>
      <c r="F454" s="116">
        <f>E454*D454/C454</f>
        <v>44982</v>
      </c>
    </row>
    <row r="455" spans="1:6" outlineLevel="1" x14ac:dyDescent="0.25">
      <c r="A455" s="146"/>
      <c r="B455" s="135" t="s">
        <v>181</v>
      </c>
      <c r="C455" s="139">
        <v>1</v>
      </c>
      <c r="D455" s="115">
        <v>420</v>
      </c>
      <c r="E455" s="127">
        <v>56.3</v>
      </c>
      <c r="F455" s="116">
        <f>E455*D455/C455</f>
        <v>23646</v>
      </c>
    </row>
    <row r="456" spans="1:6" ht="75" outlineLevel="1" x14ac:dyDescent="0.25">
      <c r="A456" s="125">
        <v>32</v>
      </c>
      <c r="B456" s="135" t="s">
        <v>144</v>
      </c>
      <c r="C456" s="139">
        <v>1</v>
      </c>
      <c r="D456" s="115">
        <v>280</v>
      </c>
      <c r="E456" s="127">
        <v>237.65</v>
      </c>
      <c r="F456" s="116">
        <f>E456*D456/C456</f>
        <v>66542</v>
      </c>
    </row>
    <row r="457" spans="1:6" ht="60" outlineLevel="1" x14ac:dyDescent="0.25">
      <c r="A457" s="546">
        <v>33</v>
      </c>
      <c r="B457" s="135" t="s">
        <v>145</v>
      </c>
      <c r="C457" s="122"/>
      <c r="D457" s="115"/>
      <c r="E457" s="127">
        <v>0</v>
      </c>
      <c r="F457" s="137"/>
    </row>
    <row r="458" spans="1:6" outlineLevel="1" x14ac:dyDescent="0.25">
      <c r="A458" s="546"/>
      <c r="B458" s="135" t="s">
        <v>183</v>
      </c>
      <c r="C458" s="132">
        <v>1</v>
      </c>
      <c r="D458" s="115">
        <v>7</v>
      </c>
      <c r="E458" s="127">
        <v>382.3</v>
      </c>
      <c r="F458" s="116">
        <f t="shared" ref="F458:F470" si="32">E458*D458/C458</f>
        <v>2676.1</v>
      </c>
    </row>
    <row r="459" spans="1:6" outlineLevel="1" x14ac:dyDescent="0.25">
      <c r="A459" s="546"/>
      <c r="B459" s="135" t="s">
        <v>184</v>
      </c>
      <c r="C459" s="132">
        <v>1</v>
      </c>
      <c r="D459" s="115">
        <v>7</v>
      </c>
      <c r="E459" s="127">
        <v>522.75</v>
      </c>
      <c r="F459" s="116">
        <f t="shared" si="32"/>
        <v>3659.25</v>
      </c>
    </row>
    <row r="460" spans="1:6" outlineLevel="1" x14ac:dyDescent="0.25">
      <c r="A460" s="546"/>
      <c r="B460" s="135" t="s">
        <v>185</v>
      </c>
      <c r="C460" s="132">
        <v>1</v>
      </c>
      <c r="D460" s="115">
        <v>7</v>
      </c>
      <c r="E460" s="127">
        <v>668.8</v>
      </c>
      <c r="F460" s="116">
        <f t="shared" si="32"/>
        <v>4681.5999999999995</v>
      </c>
    </row>
    <row r="461" spans="1:6" ht="30" outlineLevel="1" x14ac:dyDescent="0.25">
      <c r="A461" s="125">
        <v>34</v>
      </c>
      <c r="B461" s="135" t="s">
        <v>149</v>
      </c>
      <c r="C461" s="132">
        <v>1</v>
      </c>
      <c r="D461" s="115">
        <v>140</v>
      </c>
      <c r="E461" s="127">
        <v>102.7</v>
      </c>
      <c r="F461" s="116">
        <f t="shared" si="32"/>
        <v>14378</v>
      </c>
    </row>
    <row r="462" spans="1:6" ht="20.25" customHeight="1" outlineLevel="1" x14ac:dyDescent="0.25">
      <c r="A462" s="125">
        <v>35</v>
      </c>
      <c r="B462" s="135" t="s">
        <v>150</v>
      </c>
      <c r="C462" s="132">
        <v>1</v>
      </c>
      <c r="D462" s="115">
        <v>28</v>
      </c>
      <c r="E462" s="127">
        <v>96.3</v>
      </c>
      <c r="F462" s="116">
        <f t="shared" si="32"/>
        <v>2696.4</v>
      </c>
    </row>
    <row r="463" spans="1:6" ht="20.25" customHeight="1" outlineLevel="1" x14ac:dyDescent="0.25">
      <c r="A463" s="125">
        <v>36</v>
      </c>
      <c r="B463" s="135" t="s">
        <v>151</v>
      </c>
      <c r="C463" s="132">
        <v>1</v>
      </c>
      <c r="D463" s="115">
        <v>14</v>
      </c>
      <c r="E463" s="127">
        <v>204.7</v>
      </c>
      <c r="F463" s="116">
        <f t="shared" si="32"/>
        <v>2865.7999999999997</v>
      </c>
    </row>
    <row r="464" spans="1:6" ht="33.75" customHeight="1" outlineLevel="1" x14ac:dyDescent="0.25">
      <c r="A464" s="125">
        <v>37</v>
      </c>
      <c r="B464" s="135" t="s">
        <v>186</v>
      </c>
      <c r="C464" s="132">
        <v>1</v>
      </c>
      <c r="D464" s="115">
        <v>7</v>
      </c>
      <c r="E464" s="127">
        <v>213.1</v>
      </c>
      <c r="F464" s="116">
        <f t="shared" si="32"/>
        <v>1491.7</v>
      </c>
    </row>
    <row r="465" spans="1:8" ht="135" outlineLevel="1" x14ac:dyDescent="0.25">
      <c r="A465" s="125">
        <v>38</v>
      </c>
      <c r="B465" s="133" t="s">
        <v>208</v>
      </c>
      <c r="C465" s="128">
        <v>1</v>
      </c>
      <c r="D465" s="115">
        <v>7</v>
      </c>
      <c r="E465" s="127">
        <v>24422.65</v>
      </c>
      <c r="F465" s="116">
        <f t="shared" si="32"/>
        <v>170958.55000000002</v>
      </c>
    </row>
    <row r="466" spans="1:8" ht="90" outlineLevel="1" x14ac:dyDescent="0.25">
      <c r="A466" s="125">
        <v>39</v>
      </c>
      <c r="B466" s="135" t="s">
        <v>154</v>
      </c>
      <c r="C466" s="128">
        <v>1</v>
      </c>
      <c r="D466" s="115">
        <v>42</v>
      </c>
      <c r="E466" s="127">
        <v>1453.75</v>
      </c>
      <c r="F466" s="116">
        <f t="shared" si="32"/>
        <v>61057.5</v>
      </c>
    </row>
    <row r="467" spans="1:8" ht="135" outlineLevel="1" x14ac:dyDescent="0.25">
      <c r="A467" s="125">
        <v>40</v>
      </c>
      <c r="B467" s="133" t="s">
        <v>155</v>
      </c>
      <c r="C467" s="128">
        <v>1</v>
      </c>
      <c r="D467" s="115">
        <v>14</v>
      </c>
      <c r="E467" s="127">
        <v>13796.3</v>
      </c>
      <c r="F467" s="116">
        <f t="shared" si="32"/>
        <v>193148.19999999998</v>
      </c>
    </row>
    <row r="468" spans="1:8" ht="150" outlineLevel="1" x14ac:dyDescent="0.25">
      <c r="A468" s="125">
        <v>41</v>
      </c>
      <c r="B468" s="133" t="s">
        <v>156</v>
      </c>
      <c r="C468" s="122">
        <v>1</v>
      </c>
      <c r="D468" s="115">
        <v>7</v>
      </c>
      <c r="E468" s="127">
        <v>19859.400000000001</v>
      </c>
      <c r="F468" s="116">
        <f t="shared" si="32"/>
        <v>139015.80000000002</v>
      </c>
    </row>
    <row r="469" spans="1:8" ht="60" outlineLevel="1" x14ac:dyDescent="0.25">
      <c r="A469" s="125">
        <v>42</v>
      </c>
      <c r="B469" s="135" t="s">
        <v>157</v>
      </c>
      <c r="C469" s="122">
        <v>1</v>
      </c>
      <c r="D469" s="115">
        <v>21</v>
      </c>
      <c r="E469" s="127">
        <v>1995.3</v>
      </c>
      <c r="F469" s="116">
        <f t="shared" si="32"/>
        <v>41901.299999999996</v>
      </c>
    </row>
    <row r="470" spans="1:8" ht="30" outlineLevel="1" x14ac:dyDescent="0.25">
      <c r="A470" s="125">
        <v>43</v>
      </c>
      <c r="B470" s="135" t="s">
        <v>158</v>
      </c>
      <c r="C470" s="122">
        <v>1</v>
      </c>
      <c r="D470" s="115">
        <v>21</v>
      </c>
      <c r="E470" s="127">
        <v>178.75</v>
      </c>
      <c r="F470" s="116">
        <f t="shared" si="32"/>
        <v>3753.75</v>
      </c>
    </row>
    <row r="471" spans="1:8" ht="75.75" outlineLevel="1" x14ac:dyDescent="0.25">
      <c r="A471" s="125">
        <v>44</v>
      </c>
      <c r="B471" s="133" t="s">
        <v>40</v>
      </c>
      <c r="C471" s="126"/>
      <c r="D471" s="115"/>
      <c r="E471" s="114"/>
      <c r="F471" s="114"/>
    </row>
    <row r="472" spans="1:8" outlineLevel="1" x14ac:dyDescent="0.25">
      <c r="A472" s="125" t="s">
        <v>67</v>
      </c>
      <c r="B472" s="133" t="s">
        <v>68</v>
      </c>
      <c r="C472" s="113">
        <v>100</v>
      </c>
      <c r="D472" s="115">
        <v>709.715625862656</v>
      </c>
      <c r="E472" s="114">
        <v>14042.6</v>
      </c>
      <c r="F472" s="116">
        <f>E472*D472/C472</f>
        <v>99662.526477389329</v>
      </c>
    </row>
    <row r="473" spans="1:8" outlineLevel="1" x14ac:dyDescent="0.25">
      <c r="A473" s="125" t="s">
        <v>41</v>
      </c>
      <c r="B473" s="133" t="s">
        <v>42</v>
      </c>
      <c r="C473" s="113">
        <v>100</v>
      </c>
      <c r="D473" s="115">
        <v>282.49759999999998</v>
      </c>
      <c r="E473" s="114">
        <v>14042.6</v>
      </c>
      <c r="F473" s="116">
        <f>E473*D473/C473</f>
        <v>39670.007977599998</v>
      </c>
    </row>
    <row r="474" spans="1:8" outlineLevel="1" x14ac:dyDescent="0.25">
      <c r="A474" s="125" t="s">
        <v>70</v>
      </c>
      <c r="B474" s="133" t="s">
        <v>159</v>
      </c>
      <c r="C474" s="113">
        <v>100</v>
      </c>
      <c r="D474" s="115">
        <v>1063.053453</v>
      </c>
      <c r="E474" s="114">
        <v>14042.6</v>
      </c>
      <c r="F474" s="116">
        <f>E474*D474/C474</f>
        <v>149280.34419097801</v>
      </c>
    </row>
    <row r="475" spans="1:8" outlineLevel="1" x14ac:dyDescent="0.25">
      <c r="A475" s="125" t="s">
        <v>160</v>
      </c>
      <c r="B475" s="133" t="s">
        <v>161</v>
      </c>
      <c r="C475" s="113">
        <v>100</v>
      </c>
      <c r="D475" s="115">
        <v>49.664999999999999</v>
      </c>
      <c r="E475" s="114">
        <v>14042.6</v>
      </c>
      <c r="F475" s="116">
        <f>E475*D475/C475</f>
        <v>6974.2572900000005</v>
      </c>
    </row>
    <row r="476" spans="1:8" outlineLevel="1" x14ac:dyDescent="0.25">
      <c r="A476" s="506" t="s">
        <v>83</v>
      </c>
      <c r="B476" s="506"/>
      <c r="C476" s="506"/>
      <c r="D476" s="506"/>
      <c r="E476" s="506"/>
      <c r="F476" s="72">
        <f>SUM(F417:F475)</f>
        <v>9552642.6999932565</v>
      </c>
    </row>
    <row r="477" spans="1:8" outlineLevel="1" x14ac:dyDescent="0.25">
      <c r="A477" s="539" t="s">
        <v>209</v>
      </c>
      <c r="B477" s="539"/>
      <c r="C477" s="539"/>
      <c r="D477" s="539"/>
      <c r="E477" s="539"/>
      <c r="F477" s="257">
        <f>F476+F415+F403+F383+F368</f>
        <v>80014634.407644674</v>
      </c>
    </row>
    <row r="478" spans="1:8" ht="25.5" customHeight="1" x14ac:dyDescent="0.25">
      <c r="A478" s="547" t="s">
        <v>210</v>
      </c>
      <c r="B478" s="548"/>
      <c r="C478" s="548"/>
      <c r="D478" s="548"/>
      <c r="E478" s="549"/>
      <c r="F478" s="262">
        <f>F663</f>
        <v>191236611.39074099</v>
      </c>
      <c r="G478" s="456">
        <f>H478-F478</f>
        <v>-8.9249998331069946E-2</v>
      </c>
      <c r="H478" s="1">
        <v>191236611.30149099</v>
      </c>
    </row>
    <row r="479" spans="1:8" outlineLevel="1" x14ac:dyDescent="0.25">
      <c r="A479" s="543" t="s">
        <v>9</v>
      </c>
      <c r="B479" s="543"/>
      <c r="C479" s="543"/>
      <c r="D479" s="543"/>
      <c r="E479" s="543"/>
      <c r="F479" s="543"/>
    </row>
    <row r="480" spans="1:8" ht="75" outlineLevel="1" x14ac:dyDescent="0.25">
      <c r="A480" s="111">
        <v>1</v>
      </c>
      <c r="B480" s="112" t="s">
        <v>10</v>
      </c>
      <c r="C480" s="113">
        <v>1000</v>
      </c>
      <c r="D480" s="114">
        <v>15023937.5</v>
      </c>
      <c r="E480" s="115">
        <v>4640.7</v>
      </c>
      <c r="F480" s="116">
        <f>E480*D480/C480</f>
        <v>69721586.756249994</v>
      </c>
    </row>
    <row r="481" spans="1:7" ht="30" outlineLevel="1" x14ac:dyDescent="0.25">
      <c r="A481" s="111">
        <v>2</v>
      </c>
      <c r="B481" s="148" t="s">
        <v>211</v>
      </c>
      <c r="C481" s="149"/>
      <c r="D481" s="114"/>
      <c r="E481" s="114"/>
      <c r="F481" s="114"/>
    </row>
    <row r="482" spans="1:7" outlineLevel="1" x14ac:dyDescent="0.25">
      <c r="A482" s="111"/>
      <c r="B482" s="112" t="s">
        <v>212</v>
      </c>
      <c r="C482" s="113">
        <v>1000</v>
      </c>
      <c r="D482" s="114">
        <v>12747.499999999998</v>
      </c>
      <c r="E482" s="114">
        <v>1073.2</v>
      </c>
      <c r="F482" s="116">
        <f>E482*D482/C482</f>
        <v>13680.616999999998</v>
      </c>
    </row>
    <row r="483" spans="1:7" outlineLevel="1" x14ac:dyDescent="0.25">
      <c r="A483" s="111"/>
      <c r="B483" s="112" t="s">
        <v>213</v>
      </c>
      <c r="C483" s="113">
        <v>1000</v>
      </c>
      <c r="D483" s="114">
        <v>5975.0000000000018</v>
      </c>
      <c r="E483" s="114">
        <v>2414.6999999999998</v>
      </c>
      <c r="F483" s="116">
        <f>E483*D483/C483</f>
        <v>14427.832500000004</v>
      </c>
    </row>
    <row r="484" spans="1:7" ht="30" outlineLevel="1" x14ac:dyDescent="0.25">
      <c r="A484" s="111">
        <v>3</v>
      </c>
      <c r="B484" s="112" t="s">
        <v>11</v>
      </c>
      <c r="C484" s="113">
        <v>1000</v>
      </c>
      <c r="D484" s="114">
        <v>2113837.5</v>
      </c>
      <c r="E484" s="137">
        <v>940.9</v>
      </c>
      <c r="F484" s="116">
        <f>E484*D484/C484</f>
        <v>1988909.7037500001</v>
      </c>
    </row>
    <row r="485" spans="1:7" ht="45" outlineLevel="1" x14ac:dyDescent="0.25">
      <c r="A485" s="111">
        <v>4</v>
      </c>
      <c r="B485" s="112" t="s">
        <v>19</v>
      </c>
      <c r="C485" s="118">
        <v>1</v>
      </c>
      <c r="D485" s="114">
        <v>720</v>
      </c>
      <c r="E485" s="127">
        <v>1935.4</v>
      </c>
      <c r="F485" s="116">
        <f>E485*D485/C485</f>
        <v>1393488</v>
      </c>
    </row>
    <row r="486" spans="1:7" ht="24" customHeight="1" outlineLevel="1" x14ac:dyDescent="0.25">
      <c r="A486" s="111">
        <v>6</v>
      </c>
      <c r="B486" s="119" t="s">
        <v>20</v>
      </c>
      <c r="C486" s="120">
        <v>1000</v>
      </c>
      <c r="D486" s="114">
        <v>2800000</v>
      </c>
      <c r="E486" s="121">
        <v>376.2</v>
      </c>
      <c r="F486" s="116">
        <f>E486*D486/C486</f>
        <v>1053360</v>
      </c>
    </row>
    <row r="487" spans="1:7" outlineLevel="1" x14ac:dyDescent="0.25">
      <c r="A487" s="534" t="s">
        <v>21</v>
      </c>
      <c r="B487" s="534"/>
      <c r="C487" s="534"/>
      <c r="D487" s="534"/>
      <c r="E487" s="534"/>
      <c r="F487" s="534"/>
    </row>
    <row r="488" spans="1:7" ht="68.25" customHeight="1" outlineLevel="1" x14ac:dyDescent="0.25">
      <c r="A488" s="122">
        <v>1</v>
      </c>
      <c r="B488" s="123" t="s">
        <v>22</v>
      </c>
      <c r="C488" s="113">
        <v>1000</v>
      </c>
      <c r="D488" s="124">
        <v>98</v>
      </c>
      <c r="E488" s="124">
        <v>15824.15</v>
      </c>
      <c r="F488" s="116">
        <f>E488*D488/C488</f>
        <v>1550.7666999999999</v>
      </c>
    </row>
    <row r="489" spans="1:7" s="15" customFormat="1" ht="54" customHeight="1" outlineLevel="1" x14ac:dyDescent="0.2">
      <c r="A489" s="125">
        <v>2</v>
      </c>
      <c r="B489" s="123" t="s">
        <v>23</v>
      </c>
      <c r="C489" s="126"/>
      <c r="D489" s="115"/>
      <c r="E489" s="127">
        <v>0</v>
      </c>
      <c r="F489" s="127">
        <v>0</v>
      </c>
      <c r="G489" s="457"/>
    </row>
    <row r="490" spans="1:7" s="15" customFormat="1" ht="22.5" customHeight="1" outlineLevel="1" x14ac:dyDescent="0.2">
      <c r="A490" s="125"/>
      <c r="B490" s="123" t="s">
        <v>24</v>
      </c>
      <c r="C490" s="113">
        <v>100</v>
      </c>
      <c r="D490" s="124">
        <v>24.5</v>
      </c>
      <c r="E490" s="115">
        <v>34694.300000000003</v>
      </c>
      <c r="F490" s="116">
        <f t="shared" ref="F490:F496" si="33">E490*D490/C490</f>
        <v>8500.1035000000011</v>
      </c>
      <c r="G490" s="457"/>
    </row>
    <row r="491" spans="1:7" s="15" customFormat="1" ht="36" customHeight="1" outlineLevel="1" x14ac:dyDescent="0.2">
      <c r="A491" s="125">
        <v>3</v>
      </c>
      <c r="B491" s="123" t="s">
        <v>25</v>
      </c>
      <c r="C491" s="113">
        <v>100</v>
      </c>
      <c r="D491" s="124">
        <v>97.5</v>
      </c>
      <c r="E491" s="124">
        <v>32675.95</v>
      </c>
      <c r="F491" s="116">
        <f t="shared" si="33"/>
        <v>31859.05125</v>
      </c>
      <c r="G491" s="457"/>
    </row>
    <row r="492" spans="1:7" s="15" customFormat="1" ht="50.25" customHeight="1" outlineLevel="1" x14ac:dyDescent="0.2">
      <c r="A492" s="125">
        <v>4</v>
      </c>
      <c r="B492" s="123" t="s">
        <v>26</v>
      </c>
      <c r="C492" s="120">
        <v>100</v>
      </c>
      <c r="D492" s="124">
        <v>39</v>
      </c>
      <c r="E492" s="124">
        <v>11851.7</v>
      </c>
      <c r="F492" s="116">
        <f t="shared" si="33"/>
        <v>4622.1630000000005</v>
      </c>
      <c r="G492" s="457"/>
    </row>
    <row r="493" spans="1:7" ht="36" customHeight="1" outlineLevel="1" x14ac:dyDescent="0.25">
      <c r="A493" s="122">
        <v>5</v>
      </c>
      <c r="B493" s="123" t="s">
        <v>27</v>
      </c>
      <c r="C493" s="113">
        <v>100</v>
      </c>
      <c r="D493" s="124">
        <v>81.703125</v>
      </c>
      <c r="E493" s="124">
        <v>37620.6</v>
      </c>
      <c r="F493" s="116">
        <f t="shared" si="33"/>
        <v>30737.205843750002</v>
      </c>
    </row>
    <row r="494" spans="1:7" ht="27" customHeight="1" outlineLevel="1" x14ac:dyDescent="0.25">
      <c r="A494" s="122">
        <v>6</v>
      </c>
      <c r="B494" s="123" t="s">
        <v>28</v>
      </c>
      <c r="C494" s="120">
        <v>100</v>
      </c>
      <c r="D494" s="124">
        <v>230.64999999999998</v>
      </c>
      <c r="E494" s="124">
        <v>4334.75</v>
      </c>
      <c r="F494" s="116">
        <f t="shared" si="33"/>
        <v>9998.1008749999983</v>
      </c>
    </row>
    <row r="495" spans="1:7" ht="45" outlineLevel="1" x14ac:dyDescent="0.25">
      <c r="A495" s="122">
        <v>7</v>
      </c>
      <c r="B495" s="123" t="s">
        <v>29</v>
      </c>
      <c r="C495" s="120">
        <v>100</v>
      </c>
      <c r="D495" s="124">
        <v>230.64999999999998</v>
      </c>
      <c r="E495" s="124">
        <v>7379.1</v>
      </c>
      <c r="F495" s="116">
        <f t="shared" si="33"/>
        <v>17019.894149999996</v>
      </c>
    </row>
    <row r="496" spans="1:7" ht="26.25" customHeight="1" outlineLevel="1" x14ac:dyDescent="0.25">
      <c r="A496" s="122">
        <v>8</v>
      </c>
      <c r="B496" s="123" t="s">
        <v>30</v>
      </c>
      <c r="C496" s="128">
        <v>1</v>
      </c>
      <c r="D496" s="124">
        <v>500</v>
      </c>
      <c r="E496" s="124">
        <v>30.5</v>
      </c>
      <c r="F496" s="116">
        <f t="shared" si="33"/>
        <v>15250</v>
      </c>
    </row>
    <row r="497" spans="1:6" ht="82.5" customHeight="1" outlineLevel="1" x14ac:dyDescent="0.25">
      <c r="A497" s="122">
        <v>9</v>
      </c>
      <c r="B497" s="123" t="s">
        <v>31</v>
      </c>
      <c r="C497" s="126"/>
      <c r="D497" s="124"/>
      <c r="E497" s="124"/>
      <c r="F497" s="124"/>
    </row>
    <row r="498" spans="1:6" outlineLevel="1" x14ac:dyDescent="0.25">
      <c r="A498" s="122"/>
      <c r="B498" s="123" t="s">
        <v>32</v>
      </c>
      <c r="C498" s="113">
        <v>100</v>
      </c>
      <c r="D498" s="124">
        <v>4.29</v>
      </c>
      <c r="E498" s="124">
        <v>14042.6</v>
      </c>
      <c r="F498" s="116">
        <f>E498*D498/C498</f>
        <v>602.42754000000002</v>
      </c>
    </row>
    <row r="499" spans="1:6" outlineLevel="1" x14ac:dyDescent="0.25">
      <c r="A499" s="534" t="s">
        <v>33</v>
      </c>
      <c r="B499" s="534"/>
      <c r="C499" s="534"/>
      <c r="D499" s="534"/>
      <c r="E499" s="534"/>
      <c r="F499" s="534"/>
    </row>
    <row r="500" spans="1:6" ht="24" customHeight="1" outlineLevel="1" x14ac:dyDescent="0.25">
      <c r="A500" s="129">
        <v>1</v>
      </c>
      <c r="B500" s="130" t="s">
        <v>34</v>
      </c>
      <c r="C500" s="113">
        <v>1</v>
      </c>
      <c r="D500" s="115">
        <v>242.52</v>
      </c>
      <c r="E500" s="127">
        <v>546.95000000000005</v>
      </c>
      <c r="F500" s="116">
        <f t="shared" ref="F500:F505" si="34">E500*D500/C500</f>
        <v>132646.31400000001</v>
      </c>
    </row>
    <row r="501" spans="1:6" ht="45" outlineLevel="1" x14ac:dyDescent="0.25">
      <c r="A501" s="129">
        <v>2</v>
      </c>
      <c r="B501" s="130" t="s">
        <v>35</v>
      </c>
      <c r="C501" s="131">
        <v>100</v>
      </c>
      <c r="D501" s="115">
        <v>554.13</v>
      </c>
      <c r="E501" s="127">
        <v>30006.1</v>
      </c>
      <c r="F501" s="116">
        <f t="shared" si="34"/>
        <v>166272.80192999999</v>
      </c>
    </row>
    <row r="502" spans="1:6" ht="20.25" customHeight="1" outlineLevel="1" x14ac:dyDescent="0.25">
      <c r="A502" s="125">
        <v>3</v>
      </c>
      <c r="B502" s="130" t="s">
        <v>36</v>
      </c>
      <c r="C502" s="128">
        <v>1</v>
      </c>
      <c r="D502" s="115">
        <v>141</v>
      </c>
      <c r="E502" s="127">
        <v>115.4</v>
      </c>
      <c r="F502" s="116">
        <f t="shared" si="34"/>
        <v>16271.400000000001</v>
      </c>
    </row>
    <row r="503" spans="1:6" ht="20.25" customHeight="1" outlineLevel="1" x14ac:dyDescent="0.25">
      <c r="A503" s="125">
        <v>4</v>
      </c>
      <c r="B503" s="130" t="s">
        <v>37</v>
      </c>
      <c r="C503" s="132">
        <v>1</v>
      </c>
      <c r="D503" s="115">
        <v>141</v>
      </c>
      <c r="E503" s="127">
        <v>141.9</v>
      </c>
      <c r="F503" s="116">
        <f t="shared" si="34"/>
        <v>20007.900000000001</v>
      </c>
    </row>
    <row r="504" spans="1:6" ht="20.25" customHeight="1" outlineLevel="1" x14ac:dyDescent="0.25">
      <c r="A504" s="125">
        <v>5</v>
      </c>
      <c r="B504" s="130" t="s">
        <v>38</v>
      </c>
      <c r="C504" s="120">
        <v>100</v>
      </c>
      <c r="D504" s="115">
        <v>493.5</v>
      </c>
      <c r="E504" s="127">
        <v>4307.55</v>
      </c>
      <c r="F504" s="116">
        <f t="shared" si="34"/>
        <v>21257.759250000003</v>
      </c>
    </row>
    <row r="505" spans="1:6" ht="30" outlineLevel="1" x14ac:dyDescent="0.25">
      <c r="A505" s="125">
        <v>6</v>
      </c>
      <c r="B505" s="130" t="s">
        <v>39</v>
      </c>
      <c r="C505" s="128">
        <v>1</v>
      </c>
      <c r="D505" s="115">
        <v>1410</v>
      </c>
      <c r="E505" s="127">
        <v>30.5</v>
      </c>
      <c r="F505" s="116">
        <f t="shared" si="34"/>
        <v>43005</v>
      </c>
    </row>
    <row r="506" spans="1:6" ht="75" outlineLevel="1" x14ac:dyDescent="0.25">
      <c r="A506" s="125">
        <v>7</v>
      </c>
      <c r="B506" s="133" t="s">
        <v>31</v>
      </c>
      <c r="C506" s="126"/>
      <c r="D506" s="115"/>
      <c r="E506" s="115"/>
      <c r="F506" s="115"/>
    </row>
    <row r="507" spans="1:6" outlineLevel="1" x14ac:dyDescent="0.25">
      <c r="A507" s="125" t="s">
        <v>41</v>
      </c>
      <c r="B507" s="133" t="s">
        <v>42</v>
      </c>
      <c r="C507" s="113">
        <v>100</v>
      </c>
      <c r="D507" s="115">
        <v>213.41760000000002</v>
      </c>
      <c r="E507" s="114">
        <v>14042.6</v>
      </c>
      <c r="F507" s="116">
        <f>E507*D507/C507</f>
        <v>29969.379897600003</v>
      </c>
    </row>
    <row r="508" spans="1:6" outlineLevel="1" x14ac:dyDescent="0.25">
      <c r="A508" s="518" t="s">
        <v>43</v>
      </c>
      <c r="B508" s="518"/>
      <c r="C508" s="518"/>
      <c r="D508" s="518"/>
      <c r="E508" s="518"/>
      <c r="F508" s="106">
        <f>SUM(F480:F507)</f>
        <v>74735023.177436337</v>
      </c>
    </row>
    <row r="509" spans="1:6" outlineLevel="1" x14ac:dyDescent="0.25">
      <c r="A509" s="534" t="s">
        <v>44</v>
      </c>
      <c r="B509" s="534"/>
      <c r="C509" s="534"/>
      <c r="D509" s="534"/>
      <c r="E509" s="534"/>
      <c r="F509" s="534"/>
    </row>
    <row r="510" spans="1:6" ht="75" outlineLevel="1" x14ac:dyDescent="0.25">
      <c r="A510" s="129">
        <v>1</v>
      </c>
      <c r="B510" s="133" t="s">
        <v>45</v>
      </c>
      <c r="C510" s="113">
        <v>1000</v>
      </c>
      <c r="D510" s="115">
        <v>1489.6000000000013</v>
      </c>
      <c r="E510" s="115">
        <v>12735.6</v>
      </c>
      <c r="F510" s="116">
        <f>E510*D510/C510</f>
        <v>18970.949760000018</v>
      </c>
    </row>
    <row r="511" spans="1:6" ht="45" outlineLevel="1" x14ac:dyDescent="0.25">
      <c r="A511" s="125">
        <v>2</v>
      </c>
      <c r="B511" s="135" t="s">
        <v>23</v>
      </c>
      <c r="C511" s="122"/>
      <c r="D511" s="115"/>
      <c r="E511" s="115">
        <v>0</v>
      </c>
      <c r="F511" s="115"/>
    </row>
    <row r="512" spans="1:6" outlineLevel="1" x14ac:dyDescent="0.25">
      <c r="A512" s="125"/>
      <c r="B512" s="133" t="s">
        <v>24</v>
      </c>
      <c r="C512" s="113">
        <v>100</v>
      </c>
      <c r="D512" s="115">
        <v>132</v>
      </c>
      <c r="E512" s="115">
        <v>34694.300000000003</v>
      </c>
      <c r="F512" s="116">
        <f>E512*D512/C512</f>
        <v>45796.476000000002</v>
      </c>
    </row>
    <row r="513" spans="1:6" ht="90" outlineLevel="1" x14ac:dyDescent="0.25">
      <c r="A513" s="125">
        <v>3</v>
      </c>
      <c r="B513" s="133" t="s">
        <v>46</v>
      </c>
      <c r="C513" s="131">
        <v>100</v>
      </c>
      <c r="D513" s="115">
        <v>4803</v>
      </c>
      <c r="E513" s="136">
        <v>30376.9</v>
      </c>
      <c r="F513" s="116">
        <f>E513*D513/C513</f>
        <v>1459002.5070000002</v>
      </c>
    </row>
    <row r="514" spans="1:6" ht="120.75" outlineLevel="1" x14ac:dyDescent="0.25">
      <c r="A514" s="125">
        <v>4</v>
      </c>
      <c r="B514" s="135" t="s">
        <v>47</v>
      </c>
      <c r="C514" s="122"/>
      <c r="D514" s="115"/>
      <c r="E514" s="127"/>
      <c r="F514" s="127"/>
    </row>
    <row r="515" spans="1:6" ht="75" outlineLevel="1" x14ac:dyDescent="0.25">
      <c r="A515" s="125"/>
      <c r="B515" s="135" t="s">
        <v>100</v>
      </c>
      <c r="C515" s="113">
        <v>1</v>
      </c>
      <c r="D515" s="115">
        <v>1073</v>
      </c>
      <c r="E515" s="115">
        <v>817.55</v>
      </c>
      <c r="F515" s="116">
        <f t="shared" ref="F515:F521" si="35">E515*D515/C515</f>
        <v>877231.14999999991</v>
      </c>
    </row>
    <row r="516" spans="1:6" ht="75" outlineLevel="1" x14ac:dyDescent="0.25">
      <c r="A516" s="125"/>
      <c r="B516" s="135" t="s">
        <v>201</v>
      </c>
      <c r="C516" s="113">
        <v>1</v>
      </c>
      <c r="D516" s="115">
        <v>528</v>
      </c>
      <c r="E516" s="115">
        <v>670.5</v>
      </c>
      <c r="F516" s="116">
        <f t="shared" si="35"/>
        <v>354024</v>
      </c>
    </row>
    <row r="517" spans="1:6" ht="30" outlineLevel="1" x14ac:dyDescent="0.25">
      <c r="A517" s="125">
        <v>5</v>
      </c>
      <c r="B517" s="133" t="s">
        <v>52</v>
      </c>
      <c r="C517" s="120">
        <v>100</v>
      </c>
      <c r="D517" s="115">
        <v>944</v>
      </c>
      <c r="E517" s="127">
        <v>1645.1</v>
      </c>
      <c r="F517" s="116">
        <f t="shared" si="35"/>
        <v>15529.743999999999</v>
      </c>
    </row>
    <row r="518" spans="1:6" ht="45" outlineLevel="1" x14ac:dyDescent="0.25">
      <c r="A518" s="125">
        <v>6</v>
      </c>
      <c r="B518" s="133" t="s">
        <v>214</v>
      </c>
      <c r="C518" s="139">
        <v>1</v>
      </c>
      <c r="D518" s="115">
        <v>6</v>
      </c>
      <c r="E518" s="127">
        <v>303.8</v>
      </c>
      <c r="F518" s="116">
        <f t="shared" si="35"/>
        <v>1822.8000000000002</v>
      </c>
    </row>
    <row r="519" spans="1:6" ht="105" outlineLevel="1" x14ac:dyDescent="0.25">
      <c r="A519" s="125">
        <v>7</v>
      </c>
      <c r="B519" s="133" t="s">
        <v>215</v>
      </c>
      <c r="C519" s="139">
        <v>1</v>
      </c>
      <c r="D519" s="115">
        <v>48</v>
      </c>
      <c r="E519" s="114">
        <v>2150.35</v>
      </c>
      <c r="F519" s="116">
        <f t="shared" si="35"/>
        <v>103216.79999999999</v>
      </c>
    </row>
    <row r="520" spans="1:6" ht="30" outlineLevel="1" x14ac:dyDescent="0.25">
      <c r="A520" s="150">
        <v>8</v>
      </c>
      <c r="B520" s="151" t="s">
        <v>65</v>
      </c>
      <c r="C520" s="113">
        <v>1000</v>
      </c>
      <c r="D520" s="115">
        <v>5400</v>
      </c>
      <c r="E520" s="127">
        <v>10533.6</v>
      </c>
      <c r="F520" s="116">
        <f t="shared" si="35"/>
        <v>56881.440000000002</v>
      </c>
    </row>
    <row r="521" spans="1:6" ht="24" customHeight="1" outlineLevel="1" x14ac:dyDescent="0.25">
      <c r="A521" s="125">
        <v>9</v>
      </c>
      <c r="B521" s="133" t="s">
        <v>66</v>
      </c>
      <c r="C521" s="113">
        <v>1000</v>
      </c>
      <c r="D521" s="115">
        <v>5400</v>
      </c>
      <c r="E521" s="114">
        <v>5266.8</v>
      </c>
      <c r="F521" s="116">
        <f t="shared" si="35"/>
        <v>28440.720000000001</v>
      </c>
    </row>
    <row r="522" spans="1:6" ht="75.75" outlineLevel="1" x14ac:dyDescent="0.25">
      <c r="A522" s="125">
        <v>10</v>
      </c>
      <c r="B522" s="133" t="s">
        <v>40</v>
      </c>
      <c r="C522" s="126"/>
      <c r="D522" s="115"/>
      <c r="E522" s="114"/>
      <c r="F522" s="114"/>
    </row>
    <row r="523" spans="1:6" outlineLevel="1" x14ac:dyDescent="0.25">
      <c r="A523" s="125" t="s">
        <v>67</v>
      </c>
      <c r="B523" s="133" t="s">
        <v>68</v>
      </c>
      <c r="C523" s="113">
        <v>100</v>
      </c>
      <c r="D523" s="115">
        <v>126.72</v>
      </c>
      <c r="E523" s="114">
        <v>14042.6</v>
      </c>
      <c r="F523" s="116">
        <f>E523*D523/C523</f>
        <v>17794.782720000003</v>
      </c>
    </row>
    <row r="524" spans="1:6" outlineLevel="1" x14ac:dyDescent="0.25">
      <c r="A524" s="125" t="s">
        <v>41</v>
      </c>
      <c r="B524" s="133" t="s">
        <v>69</v>
      </c>
      <c r="C524" s="113">
        <v>100</v>
      </c>
      <c r="D524" s="115">
        <v>1344.84</v>
      </c>
      <c r="E524" s="114">
        <v>14042.6</v>
      </c>
      <c r="F524" s="116">
        <f>E524*D524/C524</f>
        <v>188850.50184000001</v>
      </c>
    </row>
    <row r="525" spans="1:6" outlineLevel="1" x14ac:dyDescent="0.25">
      <c r="A525" s="506" t="s">
        <v>73</v>
      </c>
      <c r="B525" s="506"/>
      <c r="C525" s="506"/>
      <c r="D525" s="506"/>
      <c r="E525" s="506"/>
      <c r="F525" s="72">
        <f>SUM(F510:F524)</f>
        <v>3167561.8713199999</v>
      </c>
    </row>
    <row r="526" spans="1:6" outlineLevel="1" x14ac:dyDescent="0.25">
      <c r="A526" s="534" t="s">
        <v>170</v>
      </c>
      <c r="B526" s="534"/>
      <c r="C526" s="534"/>
      <c r="D526" s="534"/>
      <c r="E526" s="534"/>
      <c r="F526" s="534"/>
    </row>
    <row r="527" spans="1:6" ht="75" outlineLevel="1" x14ac:dyDescent="0.25">
      <c r="A527" s="141">
        <v>1</v>
      </c>
      <c r="B527" s="142" t="s">
        <v>216</v>
      </c>
      <c r="C527" s="113">
        <v>1000</v>
      </c>
      <c r="D527" s="137">
        <v>1776</v>
      </c>
      <c r="E527" s="115">
        <v>12735.6</v>
      </c>
      <c r="F527" s="116">
        <f>E527*D527/C527</f>
        <v>22618.425600000002</v>
      </c>
    </row>
    <row r="528" spans="1:6" ht="45" outlineLevel="1" x14ac:dyDescent="0.25">
      <c r="A528" s="141">
        <v>2</v>
      </c>
      <c r="B528" s="142" t="s">
        <v>567</v>
      </c>
      <c r="C528" s="113">
        <v>100</v>
      </c>
      <c r="D528" s="137">
        <v>73.5</v>
      </c>
      <c r="E528" s="137">
        <v>34694.300000000003</v>
      </c>
      <c r="F528" s="116">
        <f>E528*D528/C528</f>
        <v>25500.310500000003</v>
      </c>
    </row>
    <row r="529" spans="1:6" ht="45" outlineLevel="1" x14ac:dyDescent="0.25">
      <c r="A529" s="141">
        <v>3</v>
      </c>
      <c r="B529" s="142" t="s">
        <v>566</v>
      </c>
      <c r="C529" s="113">
        <v>100</v>
      </c>
      <c r="D529" s="137">
        <v>2414.0700000000002</v>
      </c>
      <c r="E529" s="115">
        <v>47135.9</v>
      </c>
      <c r="F529" s="116">
        <f>E529*D529/C529</f>
        <v>1137893.6211300001</v>
      </c>
    </row>
    <row r="530" spans="1:6" ht="75" outlineLevel="1" x14ac:dyDescent="0.25">
      <c r="A530" s="141">
        <v>4</v>
      </c>
      <c r="B530" s="142" t="s">
        <v>565</v>
      </c>
      <c r="C530" s="131">
        <v>100</v>
      </c>
      <c r="D530" s="137">
        <v>61090.960000000006</v>
      </c>
      <c r="E530" s="136">
        <v>30376.9</v>
      </c>
      <c r="F530" s="116">
        <f>E530*D530/C530</f>
        <v>18557539.828240003</v>
      </c>
    </row>
    <row r="531" spans="1:6" ht="129.75" customHeight="1" outlineLevel="1" x14ac:dyDescent="0.25">
      <c r="A531" s="141">
        <v>5</v>
      </c>
      <c r="B531" s="142" t="s">
        <v>99</v>
      </c>
      <c r="C531" s="143"/>
      <c r="D531" s="137"/>
      <c r="E531" s="137"/>
      <c r="F531" s="127"/>
    </row>
    <row r="532" spans="1:6" ht="60" outlineLevel="1" x14ac:dyDescent="0.25">
      <c r="A532" s="141" t="s">
        <v>48</v>
      </c>
      <c r="B532" s="142" t="s">
        <v>563</v>
      </c>
      <c r="C532" s="113">
        <v>1</v>
      </c>
      <c r="D532" s="137">
        <v>13743.270000000002</v>
      </c>
      <c r="E532" s="115">
        <v>817.55</v>
      </c>
      <c r="F532" s="116">
        <f>E532*D532/C532</f>
        <v>11235810.388500001</v>
      </c>
    </row>
    <row r="533" spans="1:6" ht="75" outlineLevel="1" x14ac:dyDescent="0.25">
      <c r="A533" s="141" t="s">
        <v>50</v>
      </c>
      <c r="B533" s="142" t="s">
        <v>564</v>
      </c>
      <c r="C533" s="113">
        <v>1</v>
      </c>
      <c r="D533" s="137">
        <v>192</v>
      </c>
      <c r="E533" s="115">
        <v>670.5</v>
      </c>
      <c r="F533" s="116">
        <f>E533*D533/C533</f>
        <v>128736</v>
      </c>
    </row>
    <row r="534" spans="1:6" ht="26.25" customHeight="1" outlineLevel="1" x14ac:dyDescent="0.25">
      <c r="A534" s="141">
        <v>6</v>
      </c>
      <c r="B534" s="142" t="s">
        <v>101</v>
      </c>
      <c r="C534" s="139">
        <v>1</v>
      </c>
      <c r="D534" s="137">
        <v>30</v>
      </c>
      <c r="E534" s="137">
        <v>378.75</v>
      </c>
      <c r="F534" s="116">
        <f>E534*D534/C534</f>
        <v>11362.5</v>
      </c>
    </row>
    <row r="535" spans="1:6" ht="45" outlineLevel="1" x14ac:dyDescent="0.25">
      <c r="A535" s="141">
        <v>7</v>
      </c>
      <c r="B535" s="142" t="s">
        <v>218</v>
      </c>
      <c r="C535" s="143" t="s">
        <v>219</v>
      </c>
      <c r="D535" s="137">
        <v>304.64</v>
      </c>
      <c r="E535" s="137">
        <v>72</v>
      </c>
      <c r="F535" s="127">
        <v>21934</v>
      </c>
    </row>
    <row r="536" spans="1:6" ht="30" outlineLevel="1" x14ac:dyDescent="0.25">
      <c r="A536" s="141">
        <v>8</v>
      </c>
      <c r="B536" s="142" t="s">
        <v>102</v>
      </c>
      <c r="C536" s="113">
        <v>1000</v>
      </c>
      <c r="D536" s="137">
        <v>30345</v>
      </c>
      <c r="E536" s="137">
        <v>10533.6</v>
      </c>
      <c r="F536" s="116">
        <f t="shared" ref="F536:F543" si="36">E536*D536/C536</f>
        <v>319642.092</v>
      </c>
    </row>
    <row r="537" spans="1:6" ht="30" outlineLevel="1" x14ac:dyDescent="0.25">
      <c r="A537" s="141">
        <v>9</v>
      </c>
      <c r="B537" s="135" t="s">
        <v>103</v>
      </c>
      <c r="C537" s="113">
        <v>100</v>
      </c>
      <c r="D537" s="137">
        <v>5976</v>
      </c>
      <c r="E537" s="127">
        <v>4850.3999999999996</v>
      </c>
      <c r="F537" s="116">
        <f t="shared" si="36"/>
        <v>289859.90399999998</v>
      </c>
    </row>
    <row r="538" spans="1:6" ht="105" outlineLevel="1" x14ac:dyDescent="0.25">
      <c r="A538" s="141">
        <v>10</v>
      </c>
      <c r="B538" s="135" t="s">
        <v>104</v>
      </c>
      <c r="C538" s="139">
        <v>1</v>
      </c>
      <c r="D538" s="137">
        <v>320</v>
      </c>
      <c r="E538" s="127">
        <v>2150.35</v>
      </c>
      <c r="F538" s="116">
        <f t="shared" si="36"/>
        <v>688112</v>
      </c>
    </row>
    <row r="539" spans="1:6" ht="22.5" customHeight="1" outlineLevel="1" x14ac:dyDescent="0.25">
      <c r="A539" s="141">
        <v>11</v>
      </c>
      <c r="B539" s="142" t="s">
        <v>220</v>
      </c>
      <c r="C539" s="113">
        <v>100</v>
      </c>
      <c r="D539" s="137">
        <v>2100</v>
      </c>
      <c r="E539" s="114">
        <v>10003.5</v>
      </c>
      <c r="F539" s="116">
        <f t="shared" si="36"/>
        <v>210073.5</v>
      </c>
    </row>
    <row r="540" spans="1:6" ht="22.5" customHeight="1" outlineLevel="1" x14ac:dyDescent="0.25">
      <c r="A540" s="141">
        <v>12</v>
      </c>
      <c r="B540" s="142" t="s">
        <v>221</v>
      </c>
      <c r="C540" s="113">
        <v>100</v>
      </c>
      <c r="D540" s="137">
        <v>2100</v>
      </c>
      <c r="E540" s="114">
        <v>13527.4</v>
      </c>
      <c r="F540" s="116">
        <f t="shared" si="36"/>
        <v>284075.40000000002</v>
      </c>
    </row>
    <row r="541" spans="1:6" ht="105" outlineLevel="1" x14ac:dyDescent="0.25">
      <c r="A541" s="150">
        <v>13</v>
      </c>
      <c r="B541" s="142" t="s">
        <v>222</v>
      </c>
      <c r="C541" s="120">
        <v>100</v>
      </c>
      <c r="D541" s="137">
        <v>2800</v>
      </c>
      <c r="E541" s="152">
        <v>4549.95</v>
      </c>
      <c r="F541" s="116">
        <f t="shared" si="36"/>
        <v>127398.6</v>
      </c>
    </row>
    <row r="542" spans="1:6" ht="45" outlineLevel="1" x14ac:dyDescent="0.25">
      <c r="A542" s="141">
        <v>14</v>
      </c>
      <c r="B542" s="144" t="s">
        <v>105</v>
      </c>
      <c r="C542" s="113">
        <v>100</v>
      </c>
      <c r="D542" s="137">
        <v>11823.77</v>
      </c>
      <c r="E542" s="116">
        <v>27086.400000000001</v>
      </c>
      <c r="F542" s="116">
        <f t="shared" si="36"/>
        <v>3202633.6372800004</v>
      </c>
    </row>
    <row r="543" spans="1:6" ht="21" customHeight="1" outlineLevel="1" x14ac:dyDescent="0.25">
      <c r="A543" s="141">
        <v>15</v>
      </c>
      <c r="B543" s="144" t="s">
        <v>106</v>
      </c>
      <c r="C543" s="131">
        <v>1</v>
      </c>
      <c r="D543" s="116">
        <v>-23647.54</v>
      </c>
      <c r="E543" s="136">
        <v>170</v>
      </c>
      <c r="F543" s="116">
        <f t="shared" si="36"/>
        <v>-4020081.8000000003</v>
      </c>
    </row>
    <row r="544" spans="1:6" outlineLevel="1" x14ac:dyDescent="0.25">
      <c r="A544" s="519" t="s">
        <v>223</v>
      </c>
      <c r="B544" s="519"/>
      <c r="C544" s="519"/>
      <c r="D544" s="519"/>
      <c r="E544" s="519"/>
      <c r="F544" s="106">
        <f>SUM(F527:F543)</f>
        <v>32243108.407250006</v>
      </c>
    </row>
    <row r="545" spans="1:6" outlineLevel="1" x14ac:dyDescent="0.25">
      <c r="A545" s="534" t="s">
        <v>224</v>
      </c>
      <c r="B545" s="534"/>
      <c r="C545" s="534"/>
      <c r="D545" s="534"/>
      <c r="E545" s="534"/>
      <c r="F545" s="534"/>
    </row>
    <row r="546" spans="1:6" ht="75" outlineLevel="1" x14ac:dyDescent="0.25">
      <c r="A546" s="129">
        <v>1</v>
      </c>
      <c r="B546" s="133" t="s">
        <v>45</v>
      </c>
      <c r="C546" s="113">
        <v>1000</v>
      </c>
      <c r="D546" s="115">
        <v>60639.351906000011</v>
      </c>
      <c r="E546" s="115">
        <v>12735.6</v>
      </c>
      <c r="F546" s="116">
        <f>E546*D546/C546</f>
        <v>772278.53013405367</v>
      </c>
    </row>
    <row r="547" spans="1:6" ht="22.5" customHeight="1" outlineLevel="1" x14ac:dyDescent="0.25">
      <c r="A547" s="129">
        <v>2</v>
      </c>
      <c r="B547" s="133" t="s">
        <v>75</v>
      </c>
      <c r="C547" s="113">
        <v>1000</v>
      </c>
      <c r="D547" s="115">
        <v>60639.351906000011</v>
      </c>
      <c r="E547" s="115">
        <v>12038.4</v>
      </c>
      <c r="F547" s="116">
        <f>E547*D547/C547</f>
        <v>730000.77398519055</v>
      </c>
    </row>
    <row r="548" spans="1:6" ht="45" outlineLevel="1" x14ac:dyDescent="0.25">
      <c r="A548" s="125"/>
      <c r="B548" s="135" t="s">
        <v>23</v>
      </c>
      <c r="C548" s="122"/>
      <c r="D548" s="115"/>
      <c r="E548" s="127"/>
      <c r="F548" s="127"/>
    </row>
    <row r="549" spans="1:6" outlineLevel="1" x14ac:dyDescent="0.25">
      <c r="A549" s="125">
        <v>3</v>
      </c>
      <c r="B549" s="133" t="s">
        <v>24</v>
      </c>
      <c r="C549" s="113">
        <v>100</v>
      </c>
      <c r="D549" s="115">
        <v>2087.743125</v>
      </c>
      <c r="E549" s="115">
        <v>34694.300000000003</v>
      </c>
      <c r="F549" s="116">
        <f>E549*D549/C549</f>
        <v>724327.86301687511</v>
      </c>
    </row>
    <row r="550" spans="1:6" outlineLevel="1" x14ac:dyDescent="0.25">
      <c r="A550" s="125">
        <v>4</v>
      </c>
      <c r="B550" s="133" t="s">
        <v>125</v>
      </c>
      <c r="C550" s="113">
        <v>100</v>
      </c>
      <c r="D550" s="115">
        <v>1164.376</v>
      </c>
      <c r="E550" s="115">
        <v>47135.9</v>
      </c>
      <c r="F550" s="116">
        <f>E550*D550/C550</f>
        <v>548839.10698399995</v>
      </c>
    </row>
    <row r="551" spans="1:6" ht="90" outlineLevel="1" x14ac:dyDescent="0.25">
      <c r="A551" s="125">
        <v>5</v>
      </c>
      <c r="B551" s="133" t="s">
        <v>225</v>
      </c>
      <c r="C551" s="131">
        <v>100</v>
      </c>
      <c r="D551" s="115">
        <v>117054.46856250001</v>
      </c>
      <c r="E551" s="136">
        <v>30376.9</v>
      </c>
      <c r="F551" s="116">
        <f>E551*D551/C551</f>
        <v>35557518.860762067</v>
      </c>
    </row>
    <row r="552" spans="1:6" ht="126" customHeight="1" outlineLevel="1" x14ac:dyDescent="0.25">
      <c r="A552" s="125"/>
      <c r="B552" s="216" t="s">
        <v>47</v>
      </c>
      <c r="C552" s="122"/>
      <c r="D552" s="115"/>
      <c r="E552" s="127"/>
      <c r="F552" s="137"/>
    </row>
    <row r="553" spans="1:6" ht="60" outlineLevel="1" x14ac:dyDescent="0.25">
      <c r="A553" s="125">
        <v>6</v>
      </c>
      <c r="B553" s="135" t="s">
        <v>205</v>
      </c>
      <c r="C553" s="113">
        <v>1</v>
      </c>
      <c r="D553" s="115">
        <v>16160.050625000002</v>
      </c>
      <c r="E553" s="115">
        <v>817.55</v>
      </c>
      <c r="F553" s="116">
        <f t="shared" ref="F553:F573" si="37">E553*D553/C553</f>
        <v>13211649.38846875</v>
      </c>
    </row>
    <row r="554" spans="1:6" ht="62.25" customHeight="1" outlineLevel="1" x14ac:dyDescent="0.25">
      <c r="A554" s="125">
        <v>7</v>
      </c>
      <c r="B554" s="217" t="s">
        <v>205</v>
      </c>
      <c r="C554" s="113">
        <v>1</v>
      </c>
      <c r="D554" s="115">
        <v>9852.0535</v>
      </c>
      <c r="E554" s="115">
        <v>670.5</v>
      </c>
      <c r="F554" s="116">
        <f t="shared" si="37"/>
        <v>6605801.8717499999</v>
      </c>
    </row>
    <row r="555" spans="1:6" ht="37.5" customHeight="1" outlineLevel="1" x14ac:dyDescent="0.25">
      <c r="A555" s="125">
        <v>8</v>
      </c>
      <c r="B555" s="133" t="s">
        <v>52</v>
      </c>
      <c r="C555" s="120">
        <v>100</v>
      </c>
      <c r="D555" s="115">
        <v>6041.9129999999996</v>
      </c>
      <c r="E555" s="127">
        <v>1645.1</v>
      </c>
      <c r="F555" s="116">
        <f t="shared" si="37"/>
        <v>99395.510762999984</v>
      </c>
    </row>
    <row r="556" spans="1:6" ht="75" outlineLevel="1" x14ac:dyDescent="0.25">
      <c r="A556" s="125">
        <v>9</v>
      </c>
      <c r="B556" s="133" t="s">
        <v>226</v>
      </c>
      <c r="C556" s="120">
        <v>100</v>
      </c>
      <c r="D556" s="115">
        <v>1758.1539000000002</v>
      </c>
      <c r="E556" s="115">
        <v>13179.6</v>
      </c>
      <c r="F556" s="116">
        <f t="shared" si="37"/>
        <v>231717.65140440001</v>
      </c>
    </row>
    <row r="557" spans="1:6" ht="30" outlineLevel="1" x14ac:dyDescent="0.25">
      <c r="A557" s="125">
        <v>10</v>
      </c>
      <c r="B557" s="135" t="s">
        <v>121</v>
      </c>
      <c r="C557" s="120">
        <v>1</v>
      </c>
      <c r="D557" s="115">
        <v>1758.1539000000002</v>
      </c>
      <c r="E557" s="115">
        <v>11</v>
      </c>
      <c r="F557" s="116">
        <f t="shared" si="37"/>
        <v>19339.692900000002</v>
      </c>
    </row>
    <row r="558" spans="1:6" ht="45" outlineLevel="1" x14ac:dyDescent="0.25">
      <c r="A558" s="125">
        <v>11</v>
      </c>
      <c r="B558" s="135" t="s">
        <v>129</v>
      </c>
      <c r="C558" s="139">
        <v>1</v>
      </c>
      <c r="D558" s="115">
        <v>144</v>
      </c>
      <c r="E558" s="127">
        <v>514.9</v>
      </c>
      <c r="F558" s="116">
        <f t="shared" si="37"/>
        <v>74145.599999999991</v>
      </c>
    </row>
    <row r="559" spans="1:6" ht="30" outlineLevel="1" x14ac:dyDescent="0.25">
      <c r="A559" s="125">
        <v>12</v>
      </c>
      <c r="B559" s="135" t="s">
        <v>130</v>
      </c>
      <c r="C559" s="128">
        <v>1</v>
      </c>
      <c r="D559" s="115">
        <v>12</v>
      </c>
      <c r="E559" s="127">
        <v>849.7</v>
      </c>
      <c r="F559" s="116">
        <f t="shared" si="37"/>
        <v>10196.400000000001</v>
      </c>
    </row>
    <row r="560" spans="1:6" ht="24" customHeight="1" outlineLevel="1" x14ac:dyDescent="0.25">
      <c r="A560" s="125">
        <v>13</v>
      </c>
      <c r="B560" s="135" t="s">
        <v>131</v>
      </c>
      <c r="C560" s="128">
        <v>1</v>
      </c>
      <c r="D560" s="115">
        <v>6</v>
      </c>
      <c r="E560" s="127">
        <v>1159.6500000000001</v>
      </c>
      <c r="F560" s="116">
        <f t="shared" si="37"/>
        <v>6957.9000000000005</v>
      </c>
    </row>
    <row r="561" spans="1:6" ht="180" outlineLevel="1" x14ac:dyDescent="0.25">
      <c r="A561" s="125">
        <v>14</v>
      </c>
      <c r="B561" s="133" t="s">
        <v>271</v>
      </c>
      <c r="C561" s="126">
        <v>1</v>
      </c>
      <c r="D561" s="115">
        <v>607.91999999999996</v>
      </c>
      <c r="E561" s="115">
        <v>2180.6999999999998</v>
      </c>
      <c r="F561" s="116">
        <f t="shared" si="37"/>
        <v>1325691.1439999999</v>
      </c>
    </row>
    <row r="562" spans="1:6" ht="45" outlineLevel="1" x14ac:dyDescent="0.25">
      <c r="A562" s="125">
        <v>15</v>
      </c>
      <c r="B562" s="133" t="s">
        <v>228</v>
      </c>
      <c r="C562" s="120">
        <v>1</v>
      </c>
      <c r="D562" s="115">
        <v>196</v>
      </c>
      <c r="E562" s="115">
        <v>2767</v>
      </c>
      <c r="F562" s="116">
        <f t="shared" si="37"/>
        <v>542332</v>
      </c>
    </row>
    <row r="563" spans="1:6" ht="23.25" customHeight="1" outlineLevel="1" x14ac:dyDescent="0.25">
      <c r="A563" s="125">
        <v>16</v>
      </c>
      <c r="B563" s="135" t="s">
        <v>229</v>
      </c>
      <c r="C563" s="120">
        <v>100</v>
      </c>
      <c r="D563" s="115">
        <v>5921.9459999999999</v>
      </c>
      <c r="E563" s="127">
        <v>1212.3499999999999</v>
      </c>
      <c r="F563" s="116">
        <f t="shared" si="37"/>
        <v>71794.712330999988</v>
      </c>
    </row>
    <row r="564" spans="1:6" ht="45" outlineLevel="1" x14ac:dyDescent="0.25">
      <c r="A564" s="125">
        <v>17</v>
      </c>
      <c r="B564" s="135" t="s">
        <v>133</v>
      </c>
      <c r="C564" s="120">
        <v>100</v>
      </c>
      <c r="D564" s="115">
        <v>5354.9950000000008</v>
      </c>
      <c r="E564" s="127">
        <v>7379.1</v>
      </c>
      <c r="F564" s="116">
        <f t="shared" si="37"/>
        <v>395150.4360450001</v>
      </c>
    </row>
    <row r="565" spans="1:6" ht="30" outlineLevel="1" x14ac:dyDescent="0.25">
      <c r="A565" s="125">
        <v>18</v>
      </c>
      <c r="B565" s="135" t="s">
        <v>134</v>
      </c>
      <c r="C565" s="120">
        <v>100</v>
      </c>
      <c r="D565" s="115">
        <v>356</v>
      </c>
      <c r="E565" s="127">
        <v>3052.4</v>
      </c>
      <c r="F565" s="116">
        <f t="shared" si="37"/>
        <v>10866.544000000002</v>
      </c>
    </row>
    <row r="566" spans="1:6" ht="45" outlineLevel="1" x14ac:dyDescent="0.25">
      <c r="A566" s="125">
        <v>19</v>
      </c>
      <c r="B566" s="133" t="s">
        <v>230</v>
      </c>
      <c r="C566" s="128">
        <v>1</v>
      </c>
      <c r="D566" s="115">
        <v>99</v>
      </c>
      <c r="E566" s="127">
        <v>680.75</v>
      </c>
      <c r="F566" s="116">
        <f t="shared" si="37"/>
        <v>67394.25</v>
      </c>
    </row>
    <row r="567" spans="1:6" ht="25.5" customHeight="1" outlineLevel="1" x14ac:dyDescent="0.25">
      <c r="A567" s="125">
        <v>21</v>
      </c>
      <c r="B567" s="133" t="s">
        <v>231</v>
      </c>
      <c r="C567" s="120">
        <v>1</v>
      </c>
      <c r="D567" s="115">
        <v>1368</v>
      </c>
      <c r="E567" s="127">
        <v>603</v>
      </c>
      <c r="F567" s="116">
        <f t="shared" si="37"/>
        <v>824904</v>
      </c>
    </row>
    <row r="568" spans="1:6" ht="75" outlineLevel="1" x14ac:dyDescent="0.25">
      <c r="A568" s="125">
        <v>22</v>
      </c>
      <c r="B568" s="133" t="s">
        <v>232</v>
      </c>
      <c r="C568" s="120">
        <v>1</v>
      </c>
      <c r="D568" s="115">
        <v>2738.75</v>
      </c>
      <c r="E568" s="127">
        <v>205.4</v>
      </c>
      <c r="F568" s="116">
        <f t="shared" si="37"/>
        <v>562539.25</v>
      </c>
    </row>
    <row r="569" spans="1:6" ht="30" outlineLevel="1" x14ac:dyDescent="0.25">
      <c r="A569" s="125">
        <v>23</v>
      </c>
      <c r="B569" s="217" t="s">
        <v>233</v>
      </c>
      <c r="C569" s="113">
        <v>100</v>
      </c>
      <c r="D569" s="115">
        <v>738.42</v>
      </c>
      <c r="E569" s="127">
        <v>18017.599999999999</v>
      </c>
      <c r="F569" s="116">
        <f t="shared" si="37"/>
        <v>133045.56191999998</v>
      </c>
    </row>
    <row r="570" spans="1:6" ht="82.5" customHeight="1" outlineLevel="1" x14ac:dyDescent="0.25">
      <c r="A570" s="125">
        <v>24</v>
      </c>
      <c r="B570" s="217" t="s">
        <v>568</v>
      </c>
      <c r="C570" s="120">
        <v>100</v>
      </c>
      <c r="D570" s="127">
        <v>1758.1539000000002</v>
      </c>
      <c r="E570" s="127">
        <v>29658.5</v>
      </c>
      <c r="F570" s="116">
        <f t="shared" si="37"/>
        <v>521442.07443150005</v>
      </c>
    </row>
    <row r="571" spans="1:6" ht="75" outlineLevel="1" x14ac:dyDescent="0.25">
      <c r="A571" s="125">
        <v>25</v>
      </c>
      <c r="B571" s="133" t="s">
        <v>235</v>
      </c>
      <c r="C571" s="120">
        <v>100</v>
      </c>
      <c r="D571" s="127">
        <v>112.84</v>
      </c>
      <c r="E571" s="127">
        <v>19146.849999999999</v>
      </c>
      <c r="F571" s="116">
        <f t="shared" si="37"/>
        <v>21605.305540000001</v>
      </c>
    </row>
    <row r="572" spans="1:6" ht="45" outlineLevel="1" x14ac:dyDescent="0.25">
      <c r="A572" s="125">
        <v>26</v>
      </c>
      <c r="B572" s="133" t="s">
        <v>569</v>
      </c>
      <c r="C572" s="139">
        <v>1</v>
      </c>
      <c r="D572" s="127">
        <v>900.26</v>
      </c>
      <c r="E572" s="127">
        <v>39.6</v>
      </c>
      <c r="F572" s="116">
        <f t="shared" si="37"/>
        <v>35650.296000000002</v>
      </c>
    </row>
    <row r="573" spans="1:6" ht="50.25" customHeight="1" outlineLevel="1" x14ac:dyDescent="0.25">
      <c r="A573" s="125">
        <v>27</v>
      </c>
      <c r="B573" s="138" t="s">
        <v>80</v>
      </c>
      <c r="C573" s="139">
        <v>1</v>
      </c>
      <c r="D573" s="115">
        <v>473.5</v>
      </c>
      <c r="E573" s="115">
        <v>809.4</v>
      </c>
      <c r="F573" s="116">
        <f t="shared" si="37"/>
        <v>383250.89999999997</v>
      </c>
    </row>
    <row r="574" spans="1:6" ht="45" outlineLevel="1" x14ac:dyDescent="0.25">
      <c r="A574" s="125">
        <v>28</v>
      </c>
      <c r="B574" s="135" t="s">
        <v>136</v>
      </c>
      <c r="C574" s="122"/>
      <c r="D574" s="115"/>
      <c r="E574" s="127"/>
      <c r="F574" s="127"/>
    </row>
    <row r="575" spans="1:6" outlineLevel="1" x14ac:dyDescent="0.25">
      <c r="A575" s="125"/>
      <c r="B575" s="135" t="s">
        <v>176</v>
      </c>
      <c r="C575" s="139">
        <v>1</v>
      </c>
      <c r="D575" s="115">
        <v>500</v>
      </c>
      <c r="E575" s="127">
        <v>112.25</v>
      </c>
      <c r="F575" s="116">
        <f>E575*D575/C575</f>
        <v>56125</v>
      </c>
    </row>
    <row r="576" spans="1:6" outlineLevel="1" x14ac:dyDescent="0.25">
      <c r="A576" s="125"/>
      <c r="B576" s="135" t="s">
        <v>177</v>
      </c>
      <c r="C576" s="139">
        <v>1</v>
      </c>
      <c r="D576" s="115">
        <v>300</v>
      </c>
      <c r="E576" s="127">
        <v>133.6</v>
      </c>
      <c r="F576" s="116">
        <f>E576*D576/C576</f>
        <v>40080</v>
      </c>
    </row>
    <row r="577" spans="1:6" ht="75" outlineLevel="1" x14ac:dyDescent="0.25">
      <c r="A577" s="125">
        <v>29</v>
      </c>
      <c r="B577" s="135" t="s">
        <v>141</v>
      </c>
      <c r="C577" s="122"/>
      <c r="D577" s="115"/>
      <c r="E577" s="127"/>
      <c r="F577" s="137"/>
    </row>
    <row r="578" spans="1:6" outlineLevel="1" x14ac:dyDescent="0.25">
      <c r="A578" s="125"/>
      <c r="B578" s="135" t="s">
        <v>180</v>
      </c>
      <c r="C578" s="139">
        <v>1</v>
      </c>
      <c r="D578" s="115">
        <v>1000</v>
      </c>
      <c r="E578" s="127">
        <v>35.700000000000003</v>
      </c>
      <c r="F578" s="116">
        <f>E578*D578/C578</f>
        <v>35700</v>
      </c>
    </row>
    <row r="579" spans="1:6" outlineLevel="1" x14ac:dyDescent="0.25">
      <c r="A579" s="125"/>
      <c r="B579" s="135" t="s">
        <v>181</v>
      </c>
      <c r="C579" s="139">
        <v>1</v>
      </c>
      <c r="D579" s="115">
        <v>500</v>
      </c>
      <c r="E579" s="127">
        <v>56.3</v>
      </c>
      <c r="F579" s="116">
        <f>E579*D579/C579</f>
        <v>28150</v>
      </c>
    </row>
    <row r="580" spans="1:6" ht="60" outlineLevel="1" x14ac:dyDescent="0.25">
      <c r="A580" s="125">
        <v>30</v>
      </c>
      <c r="B580" s="135" t="s">
        <v>145</v>
      </c>
      <c r="C580" s="122"/>
      <c r="D580" s="115"/>
      <c r="E580" s="127"/>
      <c r="F580" s="137"/>
    </row>
    <row r="581" spans="1:6" outlineLevel="1" x14ac:dyDescent="0.25">
      <c r="A581" s="125"/>
      <c r="B581" s="135" t="s">
        <v>184</v>
      </c>
      <c r="C581" s="132">
        <v>1</v>
      </c>
      <c r="D581" s="115">
        <v>10</v>
      </c>
      <c r="E581" s="127">
        <v>522.75</v>
      </c>
      <c r="F581" s="116">
        <f t="shared" ref="F581:F588" si="38">E581*D581/C581</f>
        <v>5227.5</v>
      </c>
    </row>
    <row r="582" spans="1:6" ht="20.25" customHeight="1" outlineLevel="1" x14ac:dyDescent="0.25">
      <c r="A582" s="125">
        <v>31</v>
      </c>
      <c r="B582" s="135" t="s">
        <v>237</v>
      </c>
      <c r="C582" s="132">
        <v>1</v>
      </c>
      <c r="D582" s="115">
        <v>50</v>
      </c>
      <c r="E582" s="127">
        <v>102.7</v>
      </c>
      <c r="F582" s="116">
        <f t="shared" si="38"/>
        <v>5135</v>
      </c>
    </row>
    <row r="583" spans="1:6" ht="30" outlineLevel="1" x14ac:dyDescent="0.25">
      <c r="A583" s="125">
        <v>32</v>
      </c>
      <c r="B583" s="135" t="s">
        <v>238</v>
      </c>
      <c r="C583" s="132">
        <v>1</v>
      </c>
      <c r="D583" s="115">
        <v>15</v>
      </c>
      <c r="E583" s="127">
        <v>178.75</v>
      </c>
      <c r="F583" s="116">
        <f t="shared" si="38"/>
        <v>2681.25</v>
      </c>
    </row>
    <row r="584" spans="1:6" ht="21.75" customHeight="1" outlineLevel="1" x14ac:dyDescent="0.25">
      <c r="A584" s="125">
        <v>33</v>
      </c>
      <c r="B584" s="135" t="s">
        <v>150</v>
      </c>
      <c r="C584" s="132">
        <v>1</v>
      </c>
      <c r="D584" s="115">
        <v>15</v>
      </c>
      <c r="E584" s="127">
        <v>96.3</v>
      </c>
      <c r="F584" s="116">
        <f t="shared" si="38"/>
        <v>1444.5</v>
      </c>
    </row>
    <row r="585" spans="1:6" ht="90.75" outlineLevel="1" x14ac:dyDescent="0.25">
      <c r="A585" s="125">
        <v>34</v>
      </c>
      <c r="B585" s="135" t="s">
        <v>239</v>
      </c>
      <c r="C585" s="128">
        <v>1</v>
      </c>
      <c r="D585" s="115">
        <v>1</v>
      </c>
      <c r="E585" s="127">
        <v>5616.25</v>
      </c>
      <c r="F585" s="116">
        <f t="shared" si="38"/>
        <v>5616.25</v>
      </c>
    </row>
    <row r="586" spans="1:6" ht="90.75" outlineLevel="1" x14ac:dyDescent="0.25">
      <c r="A586" s="125">
        <v>35</v>
      </c>
      <c r="B586" s="135" t="s">
        <v>240</v>
      </c>
      <c r="C586" s="128">
        <v>1</v>
      </c>
      <c r="D586" s="115">
        <v>10</v>
      </c>
      <c r="E586" s="127">
        <v>1453.75</v>
      </c>
      <c r="F586" s="116">
        <f t="shared" si="38"/>
        <v>14537.5</v>
      </c>
    </row>
    <row r="587" spans="1:6" ht="60" outlineLevel="1" x14ac:dyDescent="0.25">
      <c r="A587" s="125">
        <v>36</v>
      </c>
      <c r="B587" s="133" t="s">
        <v>241</v>
      </c>
      <c r="C587" s="132">
        <v>1</v>
      </c>
      <c r="D587" s="115">
        <v>10</v>
      </c>
      <c r="E587" s="127">
        <v>11398.45</v>
      </c>
      <c r="F587" s="116">
        <f t="shared" si="38"/>
        <v>113984.5</v>
      </c>
    </row>
    <row r="588" spans="1:6" ht="60" outlineLevel="1" x14ac:dyDescent="0.25">
      <c r="A588" s="125">
        <v>37</v>
      </c>
      <c r="B588" s="135" t="s">
        <v>157</v>
      </c>
      <c r="C588" s="128">
        <v>1</v>
      </c>
      <c r="D588" s="115">
        <v>15</v>
      </c>
      <c r="E588" s="127">
        <v>1995.3</v>
      </c>
      <c r="F588" s="116">
        <f t="shared" si="38"/>
        <v>29929.5</v>
      </c>
    </row>
    <row r="589" spans="1:6" outlineLevel="1" x14ac:dyDescent="0.25">
      <c r="A589" s="125"/>
      <c r="B589" s="218" t="s">
        <v>242</v>
      </c>
      <c r="C589" s="154"/>
      <c r="D589" s="115"/>
      <c r="E589" s="127"/>
      <c r="F589" s="137"/>
    </row>
    <row r="590" spans="1:6" ht="47.25" customHeight="1" outlineLevel="1" x14ac:dyDescent="0.25">
      <c r="A590" s="125">
        <v>38</v>
      </c>
      <c r="B590" s="133" t="s">
        <v>85</v>
      </c>
      <c r="C590" s="113">
        <v>1000</v>
      </c>
      <c r="D590" s="115">
        <v>275894.18</v>
      </c>
      <c r="E590" s="115">
        <v>4640.7</v>
      </c>
      <c r="F590" s="116">
        <f t="shared" ref="F590:F600" si="39">E590*D590/C590</f>
        <v>1280342.1211259998</v>
      </c>
    </row>
    <row r="591" spans="1:6" ht="45" outlineLevel="1" x14ac:dyDescent="0.25">
      <c r="A591" s="125">
        <v>39</v>
      </c>
      <c r="B591" s="119" t="s">
        <v>243</v>
      </c>
      <c r="C591" s="113">
        <v>100</v>
      </c>
      <c r="D591" s="115">
        <v>10945.44</v>
      </c>
      <c r="E591" s="127">
        <v>6849</v>
      </c>
      <c r="F591" s="116">
        <f t="shared" si="39"/>
        <v>749653.18559999997</v>
      </c>
    </row>
    <row r="592" spans="1:6" ht="21.75" customHeight="1" outlineLevel="1" x14ac:dyDescent="0.25">
      <c r="A592" s="125">
        <v>40</v>
      </c>
      <c r="B592" s="119" t="s">
        <v>87</v>
      </c>
      <c r="C592" s="120">
        <v>100</v>
      </c>
      <c r="D592" s="115">
        <v>6058.7160000000003</v>
      </c>
      <c r="E592" s="127">
        <v>2265.1</v>
      </c>
      <c r="F592" s="116">
        <f t="shared" si="39"/>
        <v>137235.97611600001</v>
      </c>
    </row>
    <row r="593" spans="1:6" ht="21.75" customHeight="1" outlineLevel="1" x14ac:dyDescent="0.25">
      <c r="A593" s="125">
        <v>41</v>
      </c>
      <c r="B593" s="119" t="s">
        <v>88</v>
      </c>
      <c r="C593" s="120">
        <v>100</v>
      </c>
      <c r="D593" s="115">
        <v>594.66</v>
      </c>
      <c r="E593" s="127">
        <v>1660.5</v>
      </c>
      <c r="F593" s="116">
        <f t="shared" si="39"/>
        <v>9874.3292999999994</v>
      </c>
    </row>
    <row r="594" spans="1:6" ht="30" outlineLevel="1" x14ac:dyDescent="0.25">
      <c r="A594" s="125">
        <v>42</v>
      </c>
      <c r="B594" s="133" t="s">
        <v>244</v>
      </c>
      <c r="C594" s="113">
        <v>100</v>
      </c>
      <c r="D594" s="115">
        <v>2001.64428</v>
      </c>
      <c r="E594" s="127">
        <v>18564.099999999999</v>
      </c>
      <c r="F594" s="116">
        <f t="shared" si="39"/>
        <v>371587.24578347994</v>
      </c>
    </row>
    <row r="595" spans="1:6" ht="30" outlineLevel="1" x14ac:dyDescent="0.25">
      <c r="A595" s="125">
        <v>43</v>
      </c>
      <c r="B595" s="133" t="s">
        <v>245</v>
      </c>
      <c r="C595" s="113">
        <v>100</v>
      </c>
      <c r="D595" s="115">
        <v>2001.64428</v>
      </c>
      <c r="E595" s="127">
        <v>18564.099999999999</v>
      </c>
      <c r="F595" s="116">
        <f t="shared" si="39"/>
        <v>371587.24578347994</v>
      </c>
    </row>
    <row r="596" spans="1:6" ht="30" outlineLevel="1" x14ac:dyDescent="0.25">
      <c r="A596" s="125">
        <v>44</v>
      </c>
      <c r="B596" s="133" t="s">
        <v>246</v>
      </c>
      <c r="C596" s="113">
        <v>100</v>
      </c>
      <c r="D596" s="115">
        <v>196.4178</v>
      </c>
      <c r="E596" s="127">
        <v>18017.599999999999</v>
      </c>
      <c r="F596" s="116">
        <f t="shared" si="39"/>
        <v>35389.773532799998</v>
      </c>
    </row>
    <row r="597" spans="1:6" ht="30" outlineLevel="1" x14ac:dyDescent="0.25">
      <c r="A597" s="125">
        <v>45</v>
      </c>
      <c r="B597" s="133" t="s">
        <v>233</v>
      </c>
      <c r="C597" s="113">
        <v>100</v>
      </c>
      <c r="D597" s="115">
        <v>196.4178</v>
      </c>
      <c r="E597" s="127">
        <v>18017.599999999999</v>
      </c>
      <c r="F597" s="116">
        <f t="shared" si="39"/>
        <v>35389.773532799998</v>
      </c>
    </row>
    <row r="598" spans="1:6" ht="30" outlineLevel="1" x14ac:dyDescent="0.25">
      <c r="A598" s="125">
        <v>46</v>
      </c>
      <c r="B598" s="133" t="s">
        <v>247</v>
      </c>
      <c r="C598" s="113">
        <v>100</v>
      </c>
      <c r="D598" s="115">
        <v>6058.72</v>
      </c>
      <c r="E598" s="127">
        <v>11511</v>
      </c>
      <c r="F598" s="116">
        <f t="shared" si="39"/>
        <v>697419.25919999997</v>
      </c>
    </row>
    <row r="599" spans="1:6" ht="30" outlineLevel="1" x14ac:dyDescent="0.25">
      <c r="A599" s="125">
        <v>47</v>
      </c>
      <c r="B599" s="133" t="s">
        <v>248</v>
      </c>
      <c r="C599" s="113">
        <v>100</v>
      </c>
      <c r="D599" s="115">
        <v>594.66</v>
      </c>
      <c r="E599" s="127">
        <v>10570.5</v>
      </c>
      <c r="F599" s="116">
        <f t="shared" si="39"/>
        <v>62858.535299999996</v>
      </c>
    </row>
    <row r="600" spans="1:6" ht="60" outlineLevel="1" x14ac:dyDescent="0.25">
      <c r="A600" s="125">
        <v>48</v>
      </c>
      <c r="B600" s="119" t="s">
        <v>249</v>
      </c>
      <c r="C600" s="113">
        <v>100</v>
      </c>
      <c r="D600" s="115">
        <v>47639.451745000006</v>
      </c>
      <c r="E600" s="127">
        <v>14042.6</v>
      </c>
      <c r="F600" s="116">
        <f t="shared" si="39"/>
        <v>6689817.6507433709</v>
      </c>
    </row>
    <row r="601" spans="1:6" outlineLevel="1" x14ac:dyDescent="0.25">
      <c r="A601" s="506" t="s">
        <v>43</v>
      </c>
      <c r="B601" s="506"/>
      <c r="C601" s="506"/>
      <c r="D601" s="506"/>
      <c r="E601" s="506"/>
      <c r="F601" s="72">
        <f>SUM(F546:F600)</f>
        <v>74267601.720453769</v>
      </c>
    </row>
    <row r="602" spans="1:6" outlineLevel="1" x14ac:dyDescent="0.25">
      <c r="A602" s="534" t="s">
        <v>206</v>
      </c>
      <c r="B602" s="534"/>
      <c r="C602" s="534"/>
      <c r="D602" s="534"/>
      <c r="E602" s="534"/>
      <c r="F602" s="534"/>
    </row>
    <row r="603" spans="1:6" ht="75" outlineLevel="1" x14ac:dyDescent="0.25">
      <c r="A603" s="129">
        <v>1</v>
      </c>
      <c r="B603" s="133" t="s">
        <v>108</v>
      </c>
      <c r="C603" s="113">
        <v>1000</v>
      </c>
      <c r="D603" s="115">
        <v>2724.4595415989997</v>
      </c>
      <c r="E603" s="115">
        <v>15824.15</v>
      </c>
      <c r="F603" s="116">
        <f>E603*D603/C603</f>
        <v>43112.256455193812</v>
      </c>
    </row>
    <row r="604" spans="1:6" ht="105" outlineLevel="1" x14ac:dyDescent="0.25">
      <c r="A604" s="129">
        <v>2</v>
      </c>
      <c r="B604" s="145" t="s">
        <v>109</v>
      </c>
      <c r="C604" s="120">
        <v>1</v>
      </c>
      <c r="D604" s="115">
        <v>2542.5</v>
      </c>
      <c r="E604" s="127">
        <v>12.55</v>
      </c>
      <c r="F604" s="116">
        <f>E604*D604/C604</f>
        <v>31908.375</v>
      </c>
    </row>
    <row r="605" spans="1:6" ht="45" outlineLevel="1" x14ac:dyDescent="0.25">
      <c r="A605" s="125">
        <v>3</v>
      </c>
      <c r="B605" s="135" t="s">
        <v>23</v>
      </c>
      <c r="C605" s="126"/>
      <c r="D605" s="115"/>
      <c r="E605" s="127"/>
      <c r="F605" s="127"/>
    </row>
    <row r="606" spans="1:6" outlineLevel="1" x14ac:dyDescent="0.25">
      <c r="A606" s="125"/>
      <c r="B606" s="133" t="s">
        <v>24</v>
      </c>
      <c r="C606" s="113">
        <v>100</v>
      </c>
      <c r="D606" s="115">
        <v>528.06222162400002</v>
      </c>
      <c r="E606" s="115">
        <v>34694.300000000003</v>
      </c>
      <c r="F606" s="116">
        <f t="shared" ref="F606:F611" si="40">E606*D606/C606</f>
        <v>183207.49135689545</v>
      </c>
    </row>
    <row r="607" spans="1:6" ht="30" outlineLevel="1" x14ac:dyDescent="0.25">
      <c r="A607" s="125">
        <v>4</v>
      </c>
      <c r="B607" s="135" t="s">
        <v>25</v>
      </c>
      <c r="C607" s="113">
        <v>100</v>
      </c>
      <c r="D607" s="115">
        <v>1575.2</v>
      </c>
      <c r="E607" s="115">
        <v>32675.95</v>
      </c>
      <c r="F607" s="116">
        <f t="shared" si="40"/>
        <v>514711.56440000003</v>
      </c>
    </row>
    <row r="608" spans="1:6" ht="60" outlineLevel="1" x14ac:dyDescent="0.25">
      <c r="A608" s="125">
        <v>5</v>
      </c>
      <c r="B608" s="135" t="s">
        <v>110</v>
      </c>
      <c r="C608" s="120">
        <v>100</v>
      </c>
      <c r="D608" s="115">
        <v>322.5</v>
      </c>
      <c r="E608" s="115">
        <v>11460.2</v>
      </c>
      <c r="F608" s="116">
        <f t="shared" si="40"/>
        <v>36959.145000000004</v>
      </c>
    </row>
    <row r="609" spans="1:6" ht="60" outlineLevel="1" x14ac:dyDescent="0.25">
      <c r="A609" s="125">
        <v>6</v>
      </c>
      <c r="B609" s="133" t="s">
        <v>111</v>
      </c>
      <c r="C609" s="120">
        <v>100</v>
      </c>
      <c r="D609" s="115">
        <v>600</v>
      </c>
      <c r="E609" s="115">
        <v>7607.35</v>
      </c>
      <c r="F609" s="116">
        <f t="shared" si="40"/>
        <v>45644.1</v>
      </c>
    </row>
    <row r="610" spans="1:6" ht="30" outlineLevel="1" x14ac:dyDescent="0.25">
      <c r="A610" s="125">
        <v>7</v>
      </c>
      <c r="B610" s="135" t="s">
        <v>112</v>
      </c>
      <c r="C610" s="113">
        <v>1000</v>
      </c>
      <c r="D610" s="115">
        <v>750</v>
      </c>
      <c r="E610" s="115">
        <v>7547.75</v>
      </c>
      <c r="F610" s="116">
        <f t="shared" si="40"/>
        <v>5660.8125</v>
      </c>
    </row>
    <row r="611" spans="1:6" ht="30" outlineLevel="1" x14ac:dyDescent="0.25">
      <c r="A611" s="125">
        <v>8</v>
      </c>
      <c r="B611" s="133" t="s">
        <v>173</v>
      </c>
      <c r="C611" s="113">
        <v>100</v>
      </c>
      <c r="D611" s="115">
        <v>1454.5</v>
      </c>
      <c r="E611" s="115">
        <v>35830.6</v>
      </c>
      <c r="F611" s="116">
        <f t="shared" si="40"/>
        <v>521156.07699999993</v>
      </c>
    </row>
    <row r="612" spans="1:6" ht="120.75" outlineLevel="1" x14ac:dyDescent="0.25">
      <c r="A612" s="546">
        <v>9</v>
      </c>
      <c r="B612" s="135" t="s">
        <v>47</v>
      </c>
      <c r="C612" s="122"/>
      <c r="D612" s="115"/>
      <c r="E612" s="115"/>
      <c r="F612" s="137"/>
    </row>
    <row r="613" spans="1:6" ht="60" outlineLevel="1" x14ac:dyDescent="0.25">
      <c r="A613" s="546"/>
      <c r="B613" s="135" t="s">
        <v>250</v>
      </c>
      <c r="C613" s="113">
        <v>1</v>
      </c>
      <c r="D613" s="115">
        <v>770.82899999999995</v>
      </c>
      <c r="E613" s="115">
        <v>741.85</v>
      </c>
      <c r="F613" s="116">
        <f t="shared" ref="F613:F622" si="41">E613*D613/C613</f>
        <v>571839.49364999996</v>
      </c>
    </row>
    <row r="614" spans="1:6" ht="75" outlineLevel="1" x14ac:dyDescent="0.25">
      <c r="A614" s="146">
        <v>10</v>
      </c>
      <c r="B614" s="133" t="s">
        <v>251</v>
      </c>
      <c r="C614" s="113">
        <v>1</v>
      </c>
      <c r="D614" s="115">
        <v>92.0390625</v>
      </c>
      <c r="E614" s="115">
        <v>595</v>
      </c>
      <c r="F614" s="116">
        <f t="shared" si="41"/>
        <v>54763.2421875</v>
      </c>
    </row>
    <row r="615" spans="1:6" ht="90" outlineLevel="1" x14ac:dyDescent="0.25">
      <c r="A615" s="147">
        <v>11</v>
      </c>
      <c r="B615" s="135" t="s">
        <v>116</v>
      </c>
      <c r="C615" s="131">
        <v>100</v>
      </c>
      <c r="D615" s="115">
        <v>5177.2083750000002</v>
      </c>
      <c r="E615" s="115">
        <v>30376.9</v>
      </c>
      <c r="F615" s="116">
        <f t="shared" si="41"/>
        <v>1572675.4108653751</v>
      </c>
    </row>
    <row r="616" spans="1:6" ht="180" outlineLevel="1" x14ac:dyDescent="0.25">
      <c r="A616" s="125">
        <v>12</v>
      </c>
      <c r="B616" s="135" t="s">
        <v>117</v>
      </c>
      <c r="C616" s="120">
        <v>1</v>
      </c>
      <c r="D616" s="115">
        <v>160</v>
      </c>
      <c r="E616" s="115">
        <v>2180.6999999999998</v>
      </c>
      <c r="F616" s="116">
        <f t="shared" si="41"/>
        <v>348912</v>
      </c>
    </row>
    <row r="617" spans="1:6" ht="60" outlineLevel="1" x14ac:dyDescent="0.25">
      <c r="A617" s="125">
        <v>13</v>
      </c>
      <c r="B617" s="135" t="s">
        <v>118</v>
      </c>
      <c r="C617" s="120">
        <v>1</v>
      </c>
      <c r="D617" s="115">
        <v>200</v>
      </c>
      <c r="E617" s="115">
        <v>457.1</v>
      </c>
      <c r="F617" s="116">
        <f t="shared" si="41"/>
        <v>91420</v>
      </c>
    </row>
    <row r="618" spans="1:6" ht="45" outlineLevel="1" x14ac:dyDescent="0.25">
      <c r="A618" s="125">
        <v>14</v>
      </c>
      <c r="B618" s="135" t="s">
        <v>119</v>
      </c>
      <c r="C618" s="120">
        <v>1</v>
      </c>
      <c r="D618" s="115">
        <v>245</v>
      </c>
      <c r="E618" s="115">
        <v>2767</v>
      </c>
      <c r="F618" s="116">
        <f t="shared" si="41"/>
        <v>677915</v>
      </c>
    </row>
    <row r="619" spans="1:6" ht="75" outlineLevel="1" x14ac:dyDescent="0.25">
      <c r="A619" s="129">
        <v>15</v>
      </c>
      <c r="B619" s="135" t="s">
        <v>120</v>
      </c>
      <c r="C619" s="120">
        <v>100</v>
      </c>
      <c r="D619" s="115">
        <v>477.8125</v>
      </c>
      <c r="E619" s="115">
        <v>13179.6</v>
      </c>
      <c r="F619" s="116">
        <f t="shared" si="41"/>
        <v>62973.776250000003</v>
      </c>
    </row>
    <row r="620" spans="1:6" ht="30" outlineLevel="1" x14ac:dyDescent="0.25">
      <c r="A620" s="129">
        <v>16</v>
      </c>
      <c r="B620" s="135" t="s">
        <v>121</v>
      </c>
      <c r="C620" s="120">
        <v>1</v>
      </c>
      <c r="D620" s="115">
        <v>497.8125</v>
      </c>
      <c r="E620" s="115">
        <v>11</v>
      </c>
      <c r="F620" s="116">
        <f t="shared" si="41"/>
        <v>5475.9375</v>
      </c>
    </row>
    <row r="621" spans="1:6" ht="23.25" customHeight="1" outlineLevel="1" x14ac:dyDescent="0.25">
      <c r="A621" s="125">
        <v>17</v>
      </c>
      <c r="B621" s="135" t="s">
        <v>122</v>
      </c>
      <c r="C621" s="113">
        <v>100</v>
      </c>
      <c r="D621" s="115">
        <v>204.6875</v>
      </c>
      <c r="E621" s="127">
        <v>3987</v>
      </c>
      <c r="F621" s="116">
        <f t="shared" si="41"/>
        <v>8160.890625</v>
      </c>
    </row>
    <row r="622" spans="1:6" ht="45" outlineLevel="1" x14ac:dyDescent="0.25">
      <c r="A622" s="129">
        <v>18</v>
      </c>
      <c r="B622" s="135" t="s">
        <v>123</v>
      </c>
      <c r="C622" s="113">
        <v>100</v>
      </c>
      <c r="D622" s="115">
        <v>244.6875</v>
      </c>
      <c r="E622" s="127">
        <v>12801.2</v>
      </c>
      <c r="F622" s="116">
        <f t="shared" si="41"/>
        <v>31322.936249999999</v>
      </c>
    </row>
    <row r="623" spans="1:6" ht="45" outlineLevel="1" x14ac:dyDescent="0.25">
      <c r="A623" s="546">
        <v>19</v>
      </c>
      <c r="B623" s="112" t="s">
        <v>124</v>
      </c>
      <c r="C623" s="113"/>
      <c r="D623" s="115"/>
      <c r="E623" s="115"/>
      <c r="F623" s="115"/>
    </row>
    <row r="624" spans="1:6" outlineLevel="1" x14ac:dyDescent="0.25">
      <c r="A624" s="546"/>
      <c r="B624" s="112" t="s">
        <v>125</v>
      </c>
      <c r="C624" s="113">
        <v>100</v>
      </c>
      <c r="D624" s="115">
        <v>229.3</v>
      </c>
      <c r="E624" s="115">
        <v>47135.9</v>
      </c>
      <c r="F624" s="116">
        <f t="shared" ref="F624:F634" si="42">E624*D624/C624</f>
        <v>108082.61870000001</v>
      </c>
    </row>
    <row r="625" spans="1:6" ht="30" outlineLevel="1" x14ac:dyDescent="0.25">
      <c r="A625" s="125">
        <v>20</v>
      </c>
      <c r="B625" s="135" t="s">
        <v>126</v>
      </c>
      <c r="C625" s="120">
        <v>100</v>
      </c>
      <c r="D625" s="115">
        <v>2841.5250000000005</v>
      </c>
      <c r="E625" s="127">
        <v>4614.1000000000004</v>
      </c>
      <c r="F625" s="116">
        <f t="shared" si="42"/>
        <v>131110.80502500004</v>
      </c>
    </row>
    <row r="626" spans="1:6" ht="30" outlineLevel="1" x14ac:dyDescent="0.25">
      <c r="A626" s="125">
        <v>21</v>
      </c>
      <c r="B626" s="135" t="s">
        <v>207</v>
      </c>
      <c r="C626" s="120">
        <v>100</v>
      </c>
      <c r="D626" s="115">
        <v>572.6</v>
      </c>
      <c r="E626" s="127">
        <v>5264.65</v>
      </c>
      <c r="F626" s="116">
        <f t="shared" si="42"/>
        <v>30145.385899999997</v>
      </c>
    </row>
    <row r="627" spans="1:6" ht="60" outlineLevel="1" x14ac:dyDescent="0.25">
      <c r="A627" s="125">
        <v>22</v>
      </c>
      <c r="B627" s="135" t="s">
        <v>128</v>
      </c>
      <c r="C627" s="120">
        <v>100</v>
      </c>
      <c r="D627" s="115">
        <v>2449.375</v>
      </c>
      <c r="E627" s="127">
        <v>5012.6499999999996</v>
      </c>
      <c r="F627" s="116">
        <f t="shared" si="42"/>
        <v>122778.59593749999</v>
      </c>
    </row>
    <row r="628" spans="1:6" ht="45" outlineLevel="1" x14ac:dyDescent="0.25">
      <c r="A628" s="125">
        <v>23</v>
      </c>
      <c r="B628" s="135" t="s">
        <v>129</v>
      </c>
      <c r="C628" s="139">
        <v>1</v>
      </c>
      <c r="D628" s="115">
        <v>65</v>
      </c>
      <c r="E628" s="127">
        <v>514.9</v>
      </c>
      <c r="F628" s="116">
        <f t="shared" si="42"/>
        <v>33468.5</v>
      </c>
    </row>
    <row r="629" spans="1:6" ht="30" outlineLevel="1" x14ac:dyDescent="0.25">
      <c r="A629" s="125">
        <v>24</v>
      </c>
      <c r="B629" s="135" t="s">
        <v>130</v>
      </c>
      <c r="C629" s="128">
        <v>1</v>
      </c>
      <c r="D629" s="115">
        <v>10</v>
      </c>
      <c r="E629" s="127">
        <v>849.7</v>
      </c>
      <c r="F629" s="116">
        <f t="shared" si="42"/>
        <v>8497</v>
      </c>
    </row>
    <row r="630" spans="1:6" ht="21" customHeight="1" outlineLevel="1" x14ac:dyDescent="0.25">
      <c r="A630" s="125">
        <v>25</v>
      </c>
      <c r="B630" s="135" t="s">
        <v>131</v>
      </c>
      <c r="C630" s="128">
        <v>1</v>
      </c>
      <c r="D630" s="115">
        <v>5</v>
      </c>
      <c r="E630" s="127">
        <v>1159.6500000000001</v>
      </c>
      <c r="F630" s="116">
        <f t="shared" si="42"/>
        <v>5798.25</v>
      </c>
    </row>
    <row r="631" spans="1:6" ht="21" customHeight="1" outlineLevel="1" x14ac:dyDescent="0.25">
      <c r="A631" s="125">
        <v>26</v>
      </c>
      <c r="B631" s="135" t="s">
        <v>132</v>
      </c>
      <c r="C631" s="120">
        <v>100</v>
      </c>
      <c r="D631" s="115">
        <v>2551.35</v>
      </c>
      <c r="E631" s="127">
        <v>1548.2</v>
      </c>
      <c r="F631" s="116">
        <f t="shared" si="42"/>
        <v>39500.000699999997</v>
      </c>
    </row>
    <row r="632" spans="1:6" ht="48.75" customHeight="1" outlineLevel="1" x14ac:dyDescent="0.25">
      <c r="A632" s="125">
        <v>27</v>
      </c>
      <c r="B632" s="135" t="s">
        <v>133</v>
      </c>
      <c r="C632" s="120">
        <v>100</v>
      </c>
      <c r="D632" s="115">
        <v>862.77500000000009</v>
      </c>
      <c r="E632" s="127">
        <v>7379.1</v>
      </c>
      <c r="F632" s="116">
        <f t="shared" si="42"/>
        <v>63665.030025000015</v>
      </c>
    </row>
    <row r="633" spans="1:6" ht="30" outlineLevel="1" x14ac:dyDescent="0.25">
      <c r="A633" s="125">
        <v>28</v>
      </c>
      <c r="B633" s="135" t="s">
        <v>134</v>
      </c>
      <c r="C633" s="120">
        <v>100</v>
      </c>
      <c r="D633" s="115">
        <v>445</v>
      </c>
      <c r="E633" s="127">
        <v>3052.4</v>
      </c>
      <c r="F633" s="116">
        <f t="shared" si="42"/>
        <v>13583.18</v>
      </c>
    </row>
    <row r="634" spans="1:6" ht="60" outlineLevel="1" x14ac:dyDescent="0.25">
      <c r="A634" s="125">
        <v>29</v>
      </c>
      <c r="B634" s="112" t="s">
        <v>135</v>
      </c>
      <c r="C634" s="131">
        <v>100</v>
      </c>
      <c r="D634" s="115">
        <v>1674.7936133538963</v>
      </c>
      <c r="E634" s="115">
        <v>37098.85</v>
      </c>
      <c r="F634" s="116">
        <f t="shared" si="42"/>
        <v>621329.17042774195</v>
      </c>
    </row>
    <row r="635" spans="1:6" ht="50.25" customHeight="1" outlineLevel="1" x14ac:dyDescent="0.25">
      <c r="A635" s="546">
        <v>30</v>
      </c>
      <c r="B635" s="135" t="s">
        <v>136</v>
      </c>
      <c r="C635" s="122"/>
      <c r="D635" s="115">
        <v>0</v>
      </c>
      <c r="E635" s="127">
        <v>0</v>
      </c>
      <c r="F635" s="127"/>
    </row>
    <row r="636" spans="1:6" outlineLevel="1" x14ac:dyDescent="0.25">
      <c r="A636" s="546"/>
      <c r="B636" s="135" t="s">
        <v>176</v>
      </c>
      <c r="C636" s="139">
        <v>1</v>
      </c>
      <c r="D636" s="115">
        <v>300</v>
      </c>
      <c r="E636" s="127">
        <v>112.25</v>
      </c>
      <c r="F636" s="116">
        <f>E636*D636/C636</f>
        <v>33675</v>
      </c>
    </row>
    <row r="637" spans="1:6" outlineLevel="1" x14ac:dyDescent="0.25">
      <c r="A637" s="546"/>
      <c r="B637" s="135" t="s">
        <v>177</v>
      </c>
      <c r="C637" s="139">
        <v>1</v>
      </c>
      <c r="D637" s="115">
        <v>150</v>
      </c>
      <c r="E637" s="127">
        <v>133.6</v>
      </c>
      <c r="F637" s="116">
        <f>E637*D637/C637</f>
        <v>20040</v>
      </c>
    </row>
    <row r="638" spans="1:6" outlineLevel="1" x14ac:dyDescent="0.25">
      <c r="A638" s="125"/>
      <c r="B638" s="135" t="s">
        <v>178</v>
      </c>
      <c r="C638" s="139">
        <v>1</v>
      </c>
      <c r="D638" s="115">
        <v>75</v>
      </c>
      <c r="E638" s="127">
        <v>231.55</v>
      </c>
      <c r="F638" s="116">
        <f>E638*D638/C638</f>
        <v>17366.25</v>
      </c>
    </row>
    <row r="639" spans="1:6" ht="75" outlineLevel="1" x14ac:dyDescent="0.25">
      <c r="A639" s="546">
        <v>31</v>
      </c>
      <c r="B639" s="133" t="s">
        <v>141</v>
      </c>
      <c r="C639" s="122"/>
      <c r="D639" s="115">
        <v>0</v>
      </c>
      <c r="E639" s="127">
        <v>0</v>
      </c>
      <c r="F639" s="137"/>
    </row>
    <row r="640" spans="1:6" outlineLevel="1" x14ac:dyDescent="0.25">
      <c r="A640" s="546"/>
      <c r="B640" s="135" t="s">
        <v>180</v>
      </c>
      <c r="C640" s="139">
        <v>1</v>
      </c>
      <c r="D640" s="115">
        <v>900</v>
      </c>
      <c r="E640" s="127">
        <v>35.700000000000003</v>
      </c>
      <c r="F640" s="116">
        <f>E640*D640/C640</f>
        <v>32130.000000000004</v>
      </c>
    </row>
    <row r="641" spans="1:6" outlineLevel="1" x14ac:dyDescent="0.25">
      <c r="A641" s="146"/>
      <c r="B641" s="135" t="s">
        <v>181</v>
      </c>
      <c r="C641" s="139">
        <v>1</v>
      </c>
      <c r="D641" s="115">
        <v>300</v>
      </c>
      <c r="E641" s="127">
        <v>56.3</v>
      </c>
      <c r="F641" s="116">
        <f>E641*D641/C641</f>
        <v>16890</v>
      </c>
    </row>
    <row r="642" spans="1:6" ht="60" outlineLevel="1" x14ac:dyDescent="0.25">
      <c r="A642" s="125">
        <v>32</v>
      </c>
      <c r="B642" s="135" t="s">
        <v>182</v>
      </c>
      <c r="C642" s="139">
        <v>1</v>
      </c>
      <c r="D642" s="115">
        <v>200</v>
      </c>
      <c r="E642" s="127">
        <v>237.65</v>
      </c>
      <c r="F642" s="116">
        <f>E642*D642/C642</f>
        <v>47530</v>
      </c>
    </row>
    <row r="643" spans="1:6" ht="60" outlineLevel="1" x14ac:dyDescent="0.25">
      <c r="A643" s="546">
        <v>33</v>
      </c>
      <c r="B643" s="135" t="s">
        <v>145</v>
      </c>
      <c r="C643" s="122"/>
      <c r="D643" s="115">
        <v>0</v>
      </c>
      <c r="E643" s="127">
        <v>0</v>
      </c>
      <c r="F643" s="137"/>
    </row>
    <row r="644" spans="1:6" outlineLevel="1" x14ac:dyDescent="0.25">
      <c r="A644" s="546"/>
      <c r="B644" s="135" t="s">
        <v>183</v>
      </c>
      <c r="C644" s="132">
        <v>1</v>
      </c>
      <c r="D644" s="115">
        <v>5</v>
      </c>
      <c r="E644" s="127">
        <v>382.3</v>
      </c>
      <c r="F644" s="116">
        <f t="shared" ref="F644:F656" si="43">E644*D644/C644</f>
        <v>1911.5</v>
      </c>
    </row>
    <row r="645" spans="1:6" outlineLevel="1" x14ac:dyDescent="0.25">
      <c r="A645" s="546"/>
      <c r="B645" s="135" t="s">
        <v>184</v>
      </c>
      <c r="C645" s="132">
        <v>1</v>
      </c>
      <c r="D645" s="115">
        <v>5</v>
      </c>
      <c r="E645" s="127">
        <v>522.75</v>
      </c>
      <c r="F645" s="116">
        <f t="shared" si="43"/>
        <v>2613.75</v>
      </c>
    </row>
    <row r="646" spans="1:6" outlineLevel="1" x14ac:dyDescent="0.25">
      <c r="A646" s="546"/>
      <c r="B646" s="135" t="s">
        <v>185</v>
      </c>
      <c r="C646" s="132">
        <v>1</v>
      </c>
      <c r="D646" s="115">
        <v>5</v>
      </c>
      <c r="E646" s="127">
        <v>668.8</v>
      </c>
      <c r="F646" s="116">
        <f t="shared" si="43"/>
        <v>3344</v>
      </c>
    </row>
    <row r="647" spans="1:6" ht="21" customHeight="1" outlineLevel="1" x14ac:dyDescent="0.25">
      <c r="A647" s="125">
        <v>34</v>
      </c>
      <c r="B647" s="135" t="s">
        <v>237</v>
      </c>
      <c r="C647" s="132">
        <v>1</v>
      </c>
      <c r="D647" s="115">
        <v>100</v>
      </c>
      <c r="E647" s="127">
        <v>102.7</v>
      </c>
      <c r="F647" s="116">
        <f t="shared" si="43"/>
        <v>10270</v>
      </c>
    </row>
    <row r="648" spans="1:6" ht="21" customHeight="1" outlineLevel="1" x14ac:dyDescent="0.25">
      <c r="A648" s="125">
        <v>35</v>
      </c>
      <c r="B648" s="135" t="s">
        <v>150</v>
      </c>
      <c r="C648" s="132">
        <v>1</v>
      </c>
      <c r="D648" s="115">
        <v>20</v>
      </c>
      <c r="E648" s="127">
        <v>96.3</v>
      </c>
      <c r="F648" s="116">
        <f t="shared" si="43"/>
        <v>1926</v>
      </c>
    </row>
    <row r="649" spans="1:6" ht="21" customHeight="1" outlineLevel="1" x14ac:dyDescent="0.25">
      <c r="A649" s="125">
        <v>36</v>
      </c>
      <c r="B649" s="135" t="s">
        <v>151</v>
      </c>
      <c r="C649" s="132">
        <v>1</v>
      </c>
      <c r="D649" s="115">
        <v>10</v>
      </c>
      <c r="E649" s="127">
        <v>204.7</v>
      </c>
      <c r="F649" s="116">
        <f t="shared" si="43"/>
        <v>2047</v>
      </c>
    </row>
    <row r="650" spans="1:6" ht="30" outlineLevel="1" x14ac:dyDescent="0.25">
      <c r="A650" s="125">
        <v>37</v>
      </c>
      <c r="B650" s="135" t="s">
        <v>186</v>
      </c>
      <c r="C650" s="132">
        <v>1</v>
      </c>
      <c r="D650" s="115">
        <v>5</v>
      </c>
      <c r="E650" s="127">
        <v>213.1</v>
      </c>
      <c r="F650" s="116">
        <f t="shared" si="43"/>
        <v>1065.5</v>
      </c>
    </row>
    <row r="651" spans="1:6" ht="135" outlineLevel="1" x14ac:dyDescent="0.25">
      <c r="A651" s="125">
        <v>38</v>
      </c>
      <c r="B651" s="133" t="s">
        <v>208</v>
      </c>
      <c r="C651" s="128">
        <v>1</v>
      </c>
      <c r="D651" s="115">
        <v>5</v>
      </c>
      <c r="E651" s="127">
        <v>24422.65</v>
      </c>
      <c r="F651" s="116">
        <f t="shared" si="43"/>
        <v>122113.25</v>
      </c>
    </row>
    <row r="652" spans="1:6" ht="90" outlineLevel="1" x14ac:dyDescent="0.25">
      <c r="A652" s="125">
        <v>39</v>
      </c>
      <c r="B652" s="135" t="s">
        <v>154</v>
      </c>
      <c r="C652" s="128">
        <v>1</v>
      </c>
      <c r="D652" s="115">
        <v>30</v>
      </c>
      <c r="E652" s="127">
        <v>1453.75</v>
      </c>
      <c r="F652" s="116">
        <f t="shared" si="43"/>
        <v>43612.5</v>
      </c>
    </row>
    <row r="653" spans="1:6" ht="135" outlineLevel="1" x14ac:dyDescent="0.25">
      <c r="A653" s="125">
        <v>40</v>
      </c>
      <c r="B653" s="133" t="s">
        <v>155</v>
      </c>
      <c r="C653" s="128">
        <v>1</v>
      </c>
      <c r="D653" s="115">
        <v>10</v>
      </c>
      <c r="E653" s="127">
        <v>13796.3</v>
      </c>
      <c r="F653" s="116">
        <f t="shared" si="43"/>
        <v>137963</v>
      </c>
    </row>
    <row r="654" spans="1:6" ht="150" outlineLevel="1" x14ac:dyDescent="0.25">
      <c r="A654" s="125">
        <v>41</v>
      </c>
      <c r="B654" s="133" t="s">
        <v>156</v>
      </c>
      <c r="C654" s="128">
        <v>1</v>
      </c>
      <c r="D654" s="115">
        <v>5</v>
      </c>
      <c r="E654" s="127">
        <v>19859.400000000001</v>
      </c>
      <c r="F654" s="116">
        <f t="shared" si="43"/>
        <v>99297</v>
      </c>
    </row>
    <row r="655" spans="1:6" ht="60" outlineLevel="1" x14ac:dyDescent="0.25">
      <c r="A655" s="125">
        <v>42</v>
      </c>
      <c r="B655" s="135" t="s">
        <v>157</v>
      </c>
      <c r="C655" s="128">
        <v>1</v>
      </c>
      <c r="D655" s="115">
        <v>15</v>
      </c>
      <c r="E655" s="127">
        <v>1995.3</v>
      </c>
      <c r="F655" s="116">
        <f t="shared" si="43"/>
        <v>29929.5</v>
      </c>
    </row>
    <row r="656" spans="1:6" ht="30" outlineLevel="1" x14ac:dyDescent="0.25">
      <c r="A656" s="125">
        <v>43</v>
      </c>
      <c r="B656" s="135" t="s">
        <v>158</v>
      </c>
      <c r="C656" s="128">
        <v>1</v>
      </c>
      <c r="D656" s="115">
        <v>15</v>
      </c>
      <c r="E656" s="127">
        <v>178.75</v>
      </c>
      <c r="F656" s="116">
        <f t="shared" si="43"/>
        <v>2681.25</v>
      </c>
    </row>
    <row r="657" spans="1:8" ht="75.75" outlineLevel="1" x14ac:dyDescent="0.25">
      <c r="A657" s="125">
        <v>44</v>
      </c>
      <c r="B657" s="133" t="s">
        <v>40</v>
      </c>
      <c r="C657" s="126"/>
      <c r="D657" s="115"/>
      <c r="E657" s="114"/>
      <c r="F657" s="114"/>
    </row>
    <row r="658" spans="1:8" outlineLevel="1" x14ac:dyDescent="0.25">
      <c r="A658" s="125" t="s">
        <v>67</v>
      </c>
      <c r="B658" s="133" t="s">
        <v>68</v>
      </c>
      <c r="C658" s="113">
        <v>100</v>
      </c>
      <c r="D658" s="115">
        <v>506.93973275904</v>
      </c>
      <c r="E658" s="114">
        <v>14042.6</v>
      </c>
      <c r="F658" s="116">
        <f>E658*D658/C658</f>
        <v>71187.518912420957</v>
      </c>
    </row>
    <row r="659" spans="1:8" outlineLevel="1" x14ac:dyDescent="0.25">
      <c r="A659" s="125" t="s">
        <v>41</v>
      </c>
      <c r="B659" s="133" t="s">
        <v>42</v>
      </c>
      <c r="C659" s="113">
        <v>100</v>
      </c>
      <c r="D659" s="115">
        <v>201.78399999999999</v>
      </c>
      <c r="E659" s="114">
        <v>14042.6</v>
      </c>
      <c r="F659" s="116">
        <f>E659*D659/C659</f>
        <v>28335.719983999999</v>
      </c>
    </row>
    <row r="660" spans="1:8" outlineLevel="1" x14ac:dyDescent="0.25">
      <c r="A660" s="125" t="s">
        <v>70</v>
      </c>
      <c r="B660" s="133" t="s">
        <v>159</v>
      </c>
      <c r="C660" s="113">
        <v>100</v>
      </c>
      <c r="D660" s="115">
        <v>759.32389499999999</v>
      </c>
      <c r="E660" s="114">
        <v>14042.6</v>
      </c>
      <c r="F660" s="116">
        <f>E660*D660/C660</f>
        <v>106628.81727926999</v>
      </c>
    </row>
    <row r="661" spans="1:8" outlineLevel="1" x14ac:dyDescent="0.25">
      <c r="A661" s="125" t="s">
        <v>160</v>
      </c>
      <c r="B661" s="133" t="s">
        <v>161</v>
      </c>
      <c r="C661" s="113">
        <v>100</v>
      </c>
      <c r="D661" s="115">
        <v>35.475000000000001</v>
      </c>
      <c r="E661" s="114">
        <v>14042.6</v>
      </c>
      <c r="F661" s="116">
        <f>E661*D661/C661</f>
        <v>4981.6123500000003</v>
      </c>
    </row>
    <row r="662" spans="1:8" outlineLevel="1" x14ac:dyDescent="0.25">
      <c r="A662" s="506" t="s">
        <v>83</v>
      </c>
      <c r="B662" s="506"/>
      <c r="C662" s="506"/>
      <c r="D662" s="506"/>
      <c r="E662" s="506"/>
      <c r="F662" s="72">
        <f>SUM(F603:F661)</f>
        <v>6823316.2142808959</v>
      </c>
    </row>
    <row r="663" spans="1:8" outlineLevel="1" x14ac:dyDescent="0.25">
      <c r="A663" s="539" t="s">
        <v>252</v>
      </c>
      <c r="B663" s="539"/>
      <c r="C663" s="539"/>
      <c r="D663" s="539"/>
      <c r="E663" s="539"/>
      <c r="F663" s="257">
        <f>F662+F601+F544+F525+F508</f>
        <v>191236611.39074099</v>
      </c>
    </row>
    <row r="664" spans="1:8" ht="25.5" customHeight="1" x14ac:dyDescent="0.25">
      <c r="A664" s="547" t="s">
        <v>253</v>
      </c>
      <c r="B664" s="548"/>
      <c r="C664" s="548"/>
      <c r="D664" s="548"/>
      <c r="E664" s="549"/>
      <c r="F664" s="262">
        <f>F704</f>
        <v>55469916.118239738</v>
      </c>
      <c r="G664" s="456">
        <f>H664-F664</f>
        <v>0.66176026314496994</v>
      </c>
      <c r="H664" s="1">
        <v>55469916.780000001</v>
      </c>
    </row>
    <row r="665" spans="1:8" outlineLevel="1" x14ac:dyDescent="0.25">
      <c r="A665" s="543" t="s">
        <v>9</v>
      </c>
      <c r="B665" s="543"/>
      <c r="C665" s="543"/>
      <c r="D665" s="543"/>
      <c r="E665" s="543"/>
      <c r="F665" s="543"/>
    </row>
    <row r="666" spans="1:8" ht="75" outlineLevel="1" x14ac:dyDescent="0.25">
      <c r="A666" s="111">
        <v>1</v>
      </c>
      <c r="B666" s="112" t="s">
        <v>10</v>
      </c>
      <c r="C666" s="113">
        <v>1000</v>
      </c>
      <c r="D666" s="114">
        <v>10154747.5</v>
      </c>
      <c r="E666" s="127">
        <v>4640.7</v>
      </c>
      <c r="F666" s="127">
        <f>E666*D666/C666</f>
        <v>47125136.723250002</v>
      </c>
    </row>
    <row r="667" spans="1:8" ht="32.25" customHeight="1" outlineLevel="1" x14ac:dyDescent="0.25">
      <c r="A667" s="111">
        <v>2</v>
      </c>
      <c r="B667" s="112" t="s">
        <v>11</v>
      </c>
      <c r="C667" s="113">
        <v>1000</v>
      </c>
      <c r="D667" s="114">
        <v>4167935</v>
      </c>
      <c r="E667" s="137">
        <v>940.9</v>
      </c>
      <c r="F667" s="127">
        <f>E667*D667/C667</f>
        <v>3921610.0414999998</v>
      </c>
    </row>
    <row r="668" spans="1:8" ht="45" outlineLevel="1" x14ac:dyDescent="0.25">
      <c r="A668" s="545">
        <v>3</v>
      </c>
      <c r="B668" s="112" t="s">
        <v>12</v>
      </c>
      <c r="C668" s="111"/>
      <c r="D668" s="114"/>
      <c r="E668" s="137"/>
      <c r="F668" s="137"/>
    </row>
    <row r="669" spans="1:8" outlineLevel="1" x14ac:dyDescent="0.25">
      <c r="A669" s="545"/>
      <c r="B669" s="112" t="s">
        <v>13</v>
      </c>
      <c r="C669" s="113">
        <v>1000</v>
      </c>
      <c r="D669" s="114">
        <v>100405</v>
      </c>
      <c r="E669" s="137">
        <v>1073.2</v>
      </c>
      <c r="F669" s="127">
        <f t="shared" ref="F669:F677" si="44">E669*D669/C669</f>
        <v>107754.64599999999</v>
      </c>
    </row>
    <row r="670" spans="1:8" outlineLevel="1" x14ac:dyDescent="0.25">
      <c r="A670" s="545"/>
      <c r="B670" s="112" t="s">
        <v>164</v>
      </c>
      <c r="C670" s="113">
        <v>1000</v>
      </c>
      <c r="D670" s="114">
        <v>9912.5</v>
      </c>
      <c r="E670" s="137">
        <v>1743.95</v>
      </c>
      <c r="F670" s="127">
        <f t="shared" si="44"/>
        <v>17286.904374999998</v>
      </c>
    </row>
    <row r="671" spans="1:8" outlineLevel="1" x14ac:dyDescent="0.25">
      <c r="A671" s="545"/>
      <c r="B671" s="112" t="s">
        <v>254</v>
      </c>
      <c r="C671" s="113">
        <v>1000</v>
      </c>
      <c r="D671" s="114">
        <v>24562.5</v>
      </c>
      <c r="E671" s="137">
        <v>2414.6999999999998</v>
      </c>
      <c r="F671" s="127">
        <f t="shared" si="44"/>
        <v>59311.068749999991</v>
      </c>
    </row>
    <row r="672" spans="1:8" outlineLevel="1" x14ac:dyDescent="0.25">
      <c r="A672" s="545"/>
      <c r="B672" s="112" t="s">
        <v>255</v>
      </c>
      <c r="C672" s="113">
        <v>1000</v>
      </c>
      <c r="D672" s="114">
        <v>33180.000000000007</v>
      </c>
      <c r="E672" s="137">
        <v>6677.8</v>
      </c>
      <c r="F672" s="127">
        <f t="shared" si="44"/>
        <v>221569.40400000007</v>
      </c>
    </row>
    <row r="673" spans="1:7" outlineLevel="1" x14ac:dyDescent="0.25">
      <c r="A673" s="545"/>
      <c r="B673" s="112" t="s">
        <v>256</v>
      </c>
      <c r="C673" s="113">
        <v>1000</v>
      </c>
      <c r="D673" s="114">
        <v>79555</v>
      </c>
      <c r="E673" s="137">
        <v>6751.2</v>
      </c>
      <c r="F673" s="127">
        <f t="shared" si="44"/>
        <v>537091.71600000001</v>
      </c>
    </row>
    <row r="674" spans="1:7" outlineLevel="1" x14ac:dyDescent="0.25">
      <c r="A674" s="545"/>
      <c r="B674" s="112" t="s">
        <v>257</v>
      </c>
      <c r="C674" s="113">
        <v>1000</v>
      </c>
      <c r="D674" s="114">
        <v>53390</v>
      </c>
      <c r="E674" s="137">
        <v>6971.4</v>
      </c>
      <c r="F674" s="127">
        <f t="shared" si="44"/>
        <v>372203.04599999997</v>
      </c>
    </row>
    <row r="675" spans="1:7" outlineLevel="1" x14ac:dyDescent="0.25">
      <c r="A675" s="545"/>
      <c r="B675" s="112" t="s">
        <v>258</v>
      </c>
      <c r="C675" s="113">
        <v>1000</v>
      </c>
      <c r="D675" s="114">
        <v>187560</v>
      </c>
      <c r="E675" s="137">
        <v>7191.6</v>
      </c>
      <c r="F675" s="127">
        <f t="shared" si="44"/>
        <v>1348856.496</v>
      </c>
    </row>
    <row r="676" spans="1:7" ht="45" outlineLevel="1" x14ac:dyDescent="0.25">
      <c r="A676" s="111">
        <v>4</v>
      </c>
      <c r="B676" s="112" t="s">
        <v>19</v>
      </c>
      <c r="C676" s="118">
        <v>1</v>
      </c>
      <c r="D676" s="114">
        <v>45</v>
      </c>
      <c r="E676" s="127">
        <v>1935.4</v>
      </c>
      <c r="F676" s="127">
        <f t="shared" si="44"/>
        <v>87093</v>
      </c>
    </row>
    <row r="677" spans="1:7" ht="21" customHeight="1" outlineLevel="1" x14ac:dyDescent="0.25">
      <c r="A677" s="111">
        <v>5</v>
      </c>
      <c r="B677" s="119" t="s">
        <v>20</v>
      </c>
      <c r="C677" s="120">
        <v>1000</v>
      </c>
      <c r="D677" s="114">
        <v>1680000</v>
      </c>
      <c r="E677" s="137">
        <v>376.2</v>
      </c>
      <c r="F677" s="127">
        <f t="shared" si="44"/>
        <v>632016</v>
      </c>
    </row>
    <row r="678" spans="1:7" outlineLevel="1" x14ac:dyDescent="0.25">
      <c r="A678" s="534" t="s">
        <v>192</v>
      </c>
      <c r="B678" s="534"/>
      <c r="C678" s="534"/>
      <c r="D678" s="534"/>
      <c r="E678" s="534"/>
      <c r="F678" s="534"/>
    </row>
    <row r="679" spans="1:7" ht="62.25" customHeight="1" outlineLevel="1" x14ac:dyDescent="0.25">
      <c r="A679" s="122">
        <v>1</v>
      </c>
      <c r="B679" s="123" t="s">
        <v>22</v>
      </c>
      <c r="C679" s="113">
        <v>1000</v>
      </c>
      <c r="D679" s="124">
        <v>98</v>
      </c>
      <c r="E679" s="124">
        <v>15824.15</v>
      </c>
      <c r="F679" s="127">
        <f>E679*D679/C679</f>
        <v>1550.7666999999999</v>
      </c>
    </row>
    <row r="680" spans="1:7" s="15" customFormat="1" ht="51" customHeight="1" outlineLevel="1" x14ac:dyDescent="0.2">
      <c r="A680" s="125">
        <v>2</v>
      </c>
      <c r="B680" s="123" t="s">
        <v>23</v>
      </c>
      <c r="C680" s="126"/>
      <c r="D680" s="115"/>
      <c r="E680" s="127">
        <v>0</v>
      </c>
      <c r="F680" s="127">
        <v>0</v>
      </c>
      <c r="G680" s="457"/>
    </row>
    <row r="681" spans="1:7" s="15" customFormat="1" ht="22.5" customHeight="1" outlineLevel="1" x14ac:dyDescent="0.2">
      <c r="A681" s="125"/>
      <c r="B681" s="123" t="s">
        <v>24</v>
      </c>
      <c r="C681" s="113">
        <v>100</v>
      </c>
      <c r="D681" s="124">
        <v>24.5</v>
      </c>
      <c r="E681" s="115">
        <v>34694.300000000003</v>
      </c>
      <c r="F681" s="127">
        <f t="shared" ref="F681:F687" si="45">E681*D681/C681</f>
        <v>8500.1035000000011</v>
      </c>
      <c r="G681" s="457"/>
    </row>
    <row r="682" spans="1:7" s="15" customFormat="1" ht="34.5" customHeight="1" outlineLevel="1" x14ac:dyDescent="0.2">
      <c r="A682" s="125">
        <v>3</v>
      </c>
      <c r="B682" s="123" t="s">
        <v>25</v>
      </c>
      <c r="C682" s="113">
        <v>100</v>
      </c>
      <c r="D682" s="124">
        <v>97.5</v>
      </c>
      <c r="E682" s="124">
        <v>32675.95</v>
      </c>
      <c r="F682" s="127">
        <f t="shared" si="45"/>
        <v>31859.05125</v>
      </c>
      <c r="G682" s="457"/>
    </row>
    <row r="683" spans="1:7" s="15" customFormat="1" ht="51" customHeight="1" outlineLevel="1" x14ac:dyDescent="0.2">
      <c r="A683" s="125">
        <v>4</v>
      </c>
      <c r="B683" s="123" t="s">
        <v>26</v>
      </c>
      <c r="C683" s="120">
        <v>100</v>
      </c>
      <c r="D683" s="124">
        <v>39</v>
      </c>
      <c r="E683" s="124">
        <v>11851.7</v>
      </c>
      <c r="F683" s="127">
        <f t="shared" si="45"/>
        <v>4622.1630000000005</v>
      </c>
      <c r="G683" s="457"/>
    </row>
    <row r="684" spans="1:7" ht="36" customHeight="1" outlineLevel="1" x14ac:dyDescent="0.25">
      <c r="A684" s="122">
        <v>5</v>
      </c>
      <c r="B684" s="123" t="s">
        <v>27</v>
      </c>
      <c r="C684" s="113">
        <v>100</v>
      </c>
      <c r="D684" s="124">
        <v>81.703125</v>
      </c>
      <c r="E684" s="124">
        <v>37620.6</v>
      </c>
      <c r="F684" s="127">
        <f t="shared" si="45"/>
        <v>30737.205843750002</v>
      </c>
    </row>
    <row r="685" spans="1:7" ht="23.25" customHeight="1" outlineLevel="1" x14ac:dyDescent="0.25">
      <c r="A685" s="122">
        <v>6</v>
      </c>
      <c r="B685" s="123" t="s">
        <v>28</v>
      </c>
      <c r="C685" s="120">
        <v>100</v>
      </c>
      <c r="D685" s="124">
        <v>230.64999999999998</v>
      </c>
      <c r="E685" s="124">
        <v>4334.75</v>
      </c>
      <c r="F685" s="127">
        <f t="shared" si="45"/>
        <v>9998.1008749999983</v>
      </c>
    </row>
    <row r="686" spans="1:7" ht="45" outlineLevel="1" x14ac:dyDescent="0.25">
      <c r="A686" s="122">
        <v>7</v>
      </c>
      <c r="B686" s="123" t="s">
        <v>29</v>
      </c>
      <c r="C686" s="120">
        <v>100</v>
      </c>
      <c r="D686" s="124">
        <v>230.64999999999998</v>
      </c>
      <c r="E686" s="124">
        <v>7379.1</v>
      </c>
      <c r="F686" s="127">
        <f t="shared" si="45"/>
        <v>17019.894149999996</v>
      </c>
    </row>
    <row r="687" spans="1:7" ht="22.5" customHeight="1" outlineLevel="1" x14ac:dyDescent="0.25">
      <c r="A687" s="122">
        <v>8</v>
      </c>
      <c r="B687" s="123" t="s">
        <v>30</v>
      </c>
      <c r="C687" s="128">
        <v>1</v>
      </c>
      <c r="D687" s="124">
        <v>500</v>
      </c>
      <c r="E687" s="124">
        <v>30.5</v>
      </c>
      <c r="F687" s="127">
        <f t="shared" si="45"/>
        <v>15250</v>
      </c>
    </row>
    <row r="688" spans="1:7" ht="75" outlineLevel="1" x14ac:dyDescent="0.25">
      <c r="A688" s="122">
        <v>9</v>
      </c>
      <c r="B688" s="123" t="s">
        <v>31</v>
      </c>
      <c r="C688" s="126"/>
      <c r="D688" s="124"/>
      <c r="E688" s="124"/>
      <c r="F688" s="124"/>
    </row>
    <row r="689" spans="1:6" ht="18" customHeight="1" outlineLevel="1" x14ac:dyDescent="0.25">
      <c r="A689" s="122"/>
      <c r="B689" s="123" t="s">
        <v>32</v>
      </c>
      <c r="C689" s="113">
        <v>100</v>
      </c>
      <c r="D689" s="124">
        <v>4.29</v>
      </c>
      <c r="E689" s="124">
        <v>14042.6</v>
      </c>
      <c r="F689" s="127">
        <f>E689*D689/C689</f>
        <v>602.42754000000002</v>
      </c>
    </row>
    <row r="690" spans="1:6" outlineLevel="1" x14ac:dyDescent="0.25">
      <c r="A690" s="534" t="s">
        <v>168</v>
      </c>
      <c r="B690" s="534"/>
      <c r="C690" s="534"/>
      <c r="D690" s="534"/>
      <c r="E690" s="534"/>
      <c r="F690" s="534"/>
    </row>
    <row r="691" spans="1:6" ht="19.5" customHeight="1" outlineLevel="1" x14ac:dyDescent="0.25">
      <c r="A691" s="129">
        <v>1</v>
      </c>
      <c r="B691" s="130" t="s">
        <v>34</v>
      </c>
      <c r="C691" s="113">
        <v>1</v>
      </c>
      <c r="D691" s="115">
        <v>146.19999999999999</v>
      </c>
      <c r="E691" s="127">
        <v>546.95000000000005</v>
      </c>
      <c r="F691" s="127">
        <f t="shared" ref="F691:F696" si="46">E691*D691/C691</f>
        <v>79964.09</v>
      </c>
    </row>
    <row r="692" spans="1:6" ht="45" outlineLevel="1" x14ac:dyDescent="0.25">
      <c r="A692" s="129">
        <v>2</v>
      </c>
      <c r="B692" s="130" t="s">
        <v>35</v>
      </c>
      <c r="C692" s="131">
        <v>100</v>
      </c>
      <c r="D692" s="115">
        <v>334.05</v>
      </c>
      <c r="E692" s="127">
        <v>30006.1</v>
      </c>
      <c r="F692" s="127">
        <f t="shared" si="46"/>
        <v>100235.37705</v>
      </c>
    </row>
    <row r="693" spans="1:6" ht="19.5" customHeight="1" outlineLevel="1" x14ac:dyDescent="0.25">
      <c r="A693" s="125">
        <v>3</v>
      </c>
      <c r="B693" s="130" t="s">
        <v>36</v>
      </c>
      <c r="C693" s="128">
        <v>1</v>
      </c>
      <c r="D693" s="115">
        <v>85</v>
      </c>
      <c r="E693" s="127">
        <v>115.4</v>
      </c>
      <c r="F693" s="127">
        <f t="shared" si="46"/>
        <v>9809</v>
      </c>
    </row>
    <row r="694" spans="1:6" ht="19.5" customHeight="1" outlineLevel="1" x14ac:dyDescent="0.25">
      <c r="A694" s="125">
        <v>4</v>
      </c>
      <c r="B694" s="130" t="s">
        <v>37</v>
      </c>
      <c r="C694" s="132">
        <v>1</v>
      </c>
      <c r="D694" s="115">
        <v>85</v>
      </c>
      <c r="E694" s="127">
        <v>141.9</v>
      </c>
      <c r="F694" s="127">
        <f t="shared" si="46"/>
        <v>12061.5</v>
      </c>
    </row>
    <row r="695" spans="1:6" ht="19.5" customHeight="1" outlineLevel="1" x14ac:dyDescent="0.25">
      <c r="A695" s="125">
        <v>5</v>
      </c>
      <c r="B695" s="130" t="s">
        <v>38</v>
      </c>
      <c r="C695" s="120">
        <v>100</v>
      </c>
      <c r="D695" s="115">
        <v>297.5</v>
      </c>
      <c r="E695" s="127">
        <v>4307.55</v>
      </c>
      <c r="F695" s="127">
        <f t="shared" si="46"/>
        <v>12814.96125</v>
      </c>
    </row>
    <row r="696" spans="1:6" ht="30" outlineLevel="1" x14ac:dyDescent="0.25">
      <c r="A696" s="125">
        <v>6</v>
      </c>
      <c r="B696" s="130" t="s">
        <v>39</v>
      </c>
      <c r="C696" s="128">
        <v>1</v>
      </c>
      <c r="D696" s="115">
        <v>850</v>
      </c>
      <c r="E696" s="127">
        <v>30.5</v>
      </c>
      <c r="F696" s="127">
        <f t="shared" si="46"/>
        <v>25925</v>
      </c>
    </row>
    <row r="697" spans="1:6" ht="75" outlineLevel="1" x14ac:dyDescent="0.25">
      <c r="A697" s="125">
        <v>7</v>
      </c>
      <c r="B697" s="133" t="s">
        <v>31</v>
      </c>
      <c r="C697" s="126"/>
      <c r="D697" s="115"/>
      <c r="E697" s="114"/>
      <c r="F697" s="114"/>
    </row>
    <row r="698" spans="1:6" outlineLevel="1" x14ac:dyDescent="0.25">
      <c r="A698" s="125" t="s">
        <v>41</v>
      </c>
      <c r="B698" s="133" t="s">
        <v>42</v>
      </c>
      <c r="C698" s="113">
        <v>100</v>
      </c>
      <c r="D698" s="115">
        <v>128.65600000000001</v>
      </c>
      <c r="E698" s="114">
        <v>14042.6</v>
      </c>
      <c r="F698" s="127">
        <f>E698*D698/C698</f>
        <v>18066.647455999999</v>
      </c>
    </row>
    <row r="699" spans="1:6" outlineLevel="1" x14ac:dyDescent="0.25">
      <c r="A699" s="518" t="s">
        <v>259</v>
      </c>
      <c r="B699" s="518"/>
      <c r="C699" s="518"/>
      <c r="D699" s="518"/>
      <c r="E699" s="518"/>
      <c r="F699" s="106">
        <f>SUM(F666:F698)</f>
        <v>54808945.33448974</v>
      </c>
    </row>
    <row r="700" spans="1:6" outlineLevel="1" x14ac:dyDescent="0.25">
      <c r="A700" s="534" t="s">
        <v>260</v>
      </c>
      <c r="B700" s="534"/>
      <c r="C700" s="534"/>
      <c r="D700" s="534"/>
      <c r="E700" s="534"/>
      <c r="F700" s="534"/>
    </row>
    <row r="701" spans="1:6" ht="45" outlineLevel="1" x14ac:dyDescent="0.25">
      <c r="A701" s="141">
        <v>1</v>
      </c>
      <c r="B701" s="142" t="s">
        <v>203</v>
      </c>
      <c r="C701" s="113">
        <v>100</v>
      </c>
      <c r="D701" s="137">
        <v>976.25</v>
      </c>
      <c r="E701" s="115">
        <v>47135.9</v>
      </c>
      <c r="F701" s="127">
        <f>E701*D701/C701</f>
        <v>460164.22375</v>
      </c>
    </row>
    <row r="702" spans="1:6" ht="32.25" customHeight="1" outlineLevel="1" x14ac:dyDescent="0.25">
      <c r="A702" s="141">
        <v>2</v>
      </c>
      <c r="B702" s="135" t="s">
        <v>103</v>
      </c>
      <c r="C702" s="113">
        <v>100</v>
      </c>
      <c r="D702" s="137">
        <v>4140</v>
      </c>
      <c r="E702" s="127">
        <v>4850.3999999999996</v>
      </c>
      <c r="F702" s="127">
        <f>E702*D702/C702</f>
        <v>200806.56</v>
      </c>
    </row>
    <row r="703" spans="1:6" outlineLevel="1" x14ac:dyDescent="0.25">
      <c r="A703" s="518" t="s">
        <v>259</v>
      </c>
      <c r="B703" s="518"/>
      <c r="C703" s="518"/>
      <c r="D703" s="518"/>
      <c r="E703" s="518"/>
      <c r="F703" s="106">
        <f>SUM(F701:F702)</f>
        <v>660970.78374999994</v>
      </c>
    </row>
    <row r="704" spans="1:6" outlineLevel="1" x14ac:dyDescent="0.25">
      <c r="A704" s="550" t="s">
        <v>261</v>
      </c>
      <c r="B704" s="550"/>
      <c r="C704" s="550"/>
      <c r="D704" s="550"/>
      <c r="E704" s="550"/>
      <c r="F704" s="261">
        <f>F703+F699</f>
        <v>55469916.118239738</v>
      </c>
    </row>
    <row r="705" spans="1:8" ht="25.5" customHeight="1" x14ac:dyDescent="0.25">
      <c r="A705" s="547" t="s">
        <v>262</v>
      </c>
      <c r="B705" s="548"/>
      <c r="C705" s="548"/>
      <c r="D705" s="548"/>
      <c r="E705" s="549"/>
      <c r="F705" s="262">
        <f>F929</f>
        <v>240105775.03854877</v>
      </c>
      <c r="G705" s="456">
        <f>H705-F705</f>
        <v>0.62297087907791138</v>
      </c>
      <c r="H705" s="1">
        <v>240105775.66151965</v>
      </c>
    </row>
    <row r="706" spans="1:8" outlineLevel="1" x14ac:dyDescent="0.25">
      <c r="A706" s="543" t="s">
        <v>9</v>
      </c>
      <c r="B706" s="543"/>
      <c r="C706" s="543"/>
      <c r="D706" s="543"/>
      <c r="E706" s="543"/>
      <c r="F706" s="543"/>
    </row>
    <row r="707" spans="1:8" ht="75" outlineLevel="1" x14ac:dyDescent="0.25">
      <c r="A707" s="111">
        <v>1</v>
      </c>
      <c r="B707" s="112" t="s">
        <v>10</v>
      </c>
      <c r="C707" s="113">
        <v>1000</v>
      </c>
      <c r="D707" s="114">
        <v>19380715.75</v>
      </c>
      <c r="E707" s="115">
        <v>4640.7</v>
      </c>
      <c r="F707" s="127">
        <v>89940088</v>
      </c>
    </row>
    <row r="708" spans="1:8" ht="30" outlineLevel="1" x14ac:dyDescent="0.25">
      <c r="A708" s="545">
        <v>2</v>
      </c>
      <c r="B708" s="112" t="s">
        <v>211</v>
      </c>
      <c r="C708" s="111"/>
      <c r="D708" s="114"/>
      <c r="E708" s="114"/>
      <c r="F708" s="114"/>
    </row>
    <row r="709" spans="1:8" outlineLevel="1" x14ac:dyDescent="0.25">
      <c r="A709" s="545"/>
      <c r="B709" s="112" t="s">
        <v>263</v>
      </c>
      <c r="C709" s="113">
        <v>1000</v>
      </c>
      <c r="D709" s="114">
        <v>10945.75</v>
      </c>
      <c r="E709" s="114">
        <v>1073.2</v>
      </c>
      <c r="F709" s="127">
        <v>11747</v>
      </c>
    </row>
    <row r="710" spans="1:8" ht="35.25" customHeight="1" outlineLevel="1" x14ac:dyDescent="0.25">
      <c r="A710" s="111">
        <v>3</v>
      </c>
      <c r="B710" s="112" t="s">
        <v>11</v>
      </c>
      <c r="C710" s="113">
        <v>1000</v>
      </c>
      <c r="D710" s="114">
        <v>5396103.75</v>
      </c>
      <c r="E710" s="114">
        <v>940.9</v>
      </c>
      <c r="F710" s="127">
        <v>5077194</v>
      </c>
    </row>
    <row r="711" spans="1:8" ht="60" outlineLevel="1" x14ac:dyDescent="0.25">
      <c r="A711" s="111">
        <v>4</v>
      </c>
      <c r="B711" s="112" t="s">
        <v>264</v>
      </c>
      <c r="C711" s="128">
        <v>1</v>
      </c>
      <c r="D711" s="114">
        <v>390</v>
      </c>
      <c r="E711" s="117">
        <v>1326.2</v>
      </c>
      <c r="F711" s="127">
        <v>517218</v>
      </c>
    </row>
    <row r="712" spans="1:8" outlineLevel="1" x14ac:dyDescent="0.25">
      <c r="A712" s="534" t="s">
        <v>21</v>
      </c>
      <c r="B712" s="534"/>
      <c r="C712" s="534"/>
      <c r="D712" s="534"/>
      <c r="E712" s="534"/>
      <c r="F712" s="534"/>
    </row>
    <row r="713" spans="1:8" ht="63.75" customHeight="1" outlineLevel="1" x14ac:dyDescent="0.25">
      <c r="A713" s="122">
        <v>1</v>
      </c>
      <c r="B713" s="123" t="s">
        <v>22</v>
      </c>
      <c r="C713" s="113">
        <v>1000</v>
      </c>
      <c r="D713" s="124">
        <v>98</v>
      </c>
      <c r="E713" s="124">
        <v>15824.15</v>
      </c>
      <c r="F713" s="124">
        <f>D713*E713/1000</f>
        <v>1550.7666999999999</v>
      </c>
    </row>
    <row r="714" spans="1:8" s="15" customFormat="1" ht="51.75" customHeight="1" outlineLevel="1" x14ac:dyDescent="0.2">
      <c r="A714" s="125">
        <v>2</v>
      </c>
      <c r="B714" s="123" t="s">
        <v>23</v>
      </c>
      <c r="C714" s="126"/>
      <c r="D714" s="115"/>
      <c r="E714" s="127"/>
      <c r="F714" s="127"/>
      <c r="G714" s="457"/>
    </row>
    <row r="715" spans="1:8" s="15" customFormat="1" ht="22.5" customHeight="1" outlineLevel="1" x14ac:dyDescent="0.2">
      <c r="A715" s="125"/>
      <c r="B715" s="123" t="s">
        <v>24</v>
      </c>
      <c r="C715" s="113">
        <v>100</v>
      </c>
      <c r="D715" s="124">
        <v>24.5</v>
      </c>
      <c r="E715" s="115">
        <v>34694.300000000003</v>
      </c>
      <c r="F715" s="124">
        <f t="shared" ref="F715:F720" si="47">D715*E715/100</f>
        <v>8500.1035000000011</v>
      </c>
      <c r="G715" s="457"/>
    </row>
    <row r="716" spans="1:8" s="15" customFormat="1" ht="35.25" customHeight="1" outlineLevel="1" x14ac:dyDescent="0.2">
      <c r="A716" s="125">
        <v>3</v>
      </c>
      <c r="B716" s="123" t="s">
        <v>25</v>
      </c>
      <c r="C716" s="113">
        <v>100</v>
      </c>
      <c r="D716" s="124">
        <v>97.5</v>
      </c>
      <c r="E716" s="124">
        <v>32675.95</v>
      </c>
      <c r="F716" s="124">
        <f t="shared" si="47"/>
        <v>31859.05125</v>
      </c>
      <c r="G716" s="457"/>
    </row>
    <row r="717" spans="1:8" s="15" customFormat="1" ht="51.75" customHeight="1" outlineLevel="1" x14ac:dyDescent="0.2">
      <c r="A717" s="125">
        <v>4</v>
      </c>
      <c r="B717" s="123" t="s">
        <v>26</v>
      </c>
      <c r="C717" s="120">
        <v>100</v>
      </c>
      <c r="D717" s="124">
        <v>39</v>
      </c>
      <c r="E717" s="124">
        <v>11851.7</v>
      </c>
      <c r="F717" s="124">
        <f t="shared" si="47"/>
        <v>4622.1630000000005</v>
      </c>
      <c r="G717" s="457"/>
    </row>
    <row r="718" spans="1:8" ht="36.75" customHeight="1" outlineLevel="1" x14ac:dyDescent="0.25">
      <c r="A718" s="122">
        <v>5</v>
      </c>
      <c r="B718" s="123" t="s">
        <v>27</v>
      </c>
      <c r="C718" s="113">
        <v>100</v>
      </c>
      <c r="D718" s="124">
        <v>81.703125</v>
      </c>
      <c r="E718" s="124">
        <v>37620.6</v>
      </c>
      <c r="F718" s="124">
        <f t="shared" si="47"/>
        <v>30737.205843750002</v>
      </c>
    </row>
    <row r="719" spans="1:8" ht="22.5" customHeight="1" outlineLevel="1" x14ac:dyDescent="0.25">
      <c r="A719" s="122">
        <v>6</v>
      </c>
      <c r="B719" s="123" t="s">
        <v>28</v>
      </c>
      <c r="C719" s="120">
        <v>100</v>
      </c>
      <c r="D719" s="124">
        <v>230.64999999999998</v>
      </c>
      <c r="E719" s="124">
        <v>4334.75</v>
      </c>
      <c r="F719" s="124">
        <f t="shared" si="47"/>
        <v>9998.1008749999983</v>
      </c>
    </row>
    <row r="720" spans="1:8" ht="45" outlineLevel="1" x14ac:dyDescent="0.25">
      <c r="A720" s="122">
        <v>7</v>
      </c>
      <c r="B720" s="123" t="s">
        <v>29</v>
      </c>
      <c r="C720" s="120">
        <v>100</v>
      </c>
      <c r="D720" s="124">
        <v>230.64999999999998</v>
      </c>
      <c r="E720" s="124">
        <v>7379.1</v>
      </c>
      <c r="F720" s="124">
        <f t="shared" si="47"/>
        <v>17019.894149999996</v>
      </c>
    </row>
    <row r="721" spans="1:6" ht="22.5" customHeight="1" outlineLevel="1" x14ac:dyDescent="0.25">
      <c r="A721" s="122">
        <v>8</v>
      </c>
      <c r="B721" s="123" t="s">
        <v>30</v>
      </c>
      <c r="C721" s="128">
        <v>1</v>
      </c>
      <c r="D721" s="124">
        <v>500</v>
      </c>
      <c r="E721" s="124">
        <v>30.5</v>
      </c>
      <c r="F721" s="124">
        <f>D721*E721</f>
        <v>15250</v>
      </c>
    </row>
    <row r="722" spans="1:6" ht="80.25" customHeight="1" outlineLevel="1" x14ac:dyDescent="0.25">
      <c r="A722" s="122">
        <v>9</v>
      </c>
      <c r="B722" s="123" t="s">
        <v>31</v>
      </c>
      <c r="C722" s="126"/>
      <c r="D722" s="124"/>
      <c r="E722" s="124"/>
      <c r="F722" s="124"/>
    </row>
    <row r="723" spans="1:6" outlineLevel="1" x14ac:dyDescent="0.25">
      <c r="A723" s="122"/>
      <c r="B723" s="123" t="s">
        <v>32</v>
      </c>
      <c r="C723" s="113">
        <v>100</v>
      </c>
      <c r="D723" s="124">
        <v>4.29</v>
      </c>
      <c r="E723" s="124">
        <v>14042.6</v>
      </c>
      <c r="F723" s="124">
        <f>D723*E723/100</f>
        <v>602.42754000000002</v>
      </c>
    </row>
    <row r="724" spans="1:6" outlineLevel="1" x14ac:dyDescent="0.25">
      <c r="A724" s="534" t="s">
        <v>168</v>
      </c>
      <c r="B724" s="534"/>
      <c r="C724" s="534"/>
      <c r="D724" s="534"/>
      <c r="E724" s="534"/>
      <c r="F724" s="534"/>
    </row>
    <row r="725" spans="1:6" ht="21.75" customHeight="1" outlineLevel="1" x14ac:dyDescent="0.25">
      <c r="A725" s="129">
        <v>1</v>
      </c>
      <c r="B725" s="130" t="s">
        <v>34</v>
      </c>
      <c r="C725" s="113">
        <v>1</v>
      </c>
      <c r="D725" s="115">
        <v>67.08</v>
      </c>
      <c r="E725" s="127">
        <v>546.95000000000005</v>
      </c>
      <c r="F725" s="114">
        <v>36689.406000000003</v>
      </c>
    </row>
    <row r="726" spans="1:6" ht="45" outlineLevel="1" x14ac:dyDescent="0.25">
      <c r="A726" s="129">
        <v>2</v>
      </c>
      <c r="B726" s="130" t="s">
        <v>35</v>
      </c>
      <c r="C726" s="131">
        <v>100</v>
      </c>
      <c r="D726" s="115">
        <v>153.27000000000001</v>
      </c>
      <c r="E726" s="127">
        <v>30006.1</v>
      </c>
      <c r="F726" s="114">
        <v>45990.349469999994</v>
      </c>
    </row>
    <row r="727" spans="1:6" ht="21" customHeight="1" outlineLevel="1" x14ac:dyDescent="0.25">
      <c r="A727" s="125">
        <v>3</v>
      </c>
      <c r="B727" s="130" t="s">
        <v>36</v>
      </c>
      <c r="C727" s="128">
        <v>1</v>
      </c>
      <c r="D727" s="115">
        <v>39</v>
      </c>
      <c r="E727" s="127">
        <v>115.4</v>
      </c>
      <c r="F727" s="114">
        <v>4500.6000000000004</v>
      </c>
    </row>
    <row r="728" spans="1:6" ht="21" customHeight="1" outlineLevel="1" x14ac:dyDescent="0.25">
      <c r="A728" s="125">
        <v>4</v>
      </c>
      <c r="B728" s="130" t="s">
        <v>37</v>
      </c>
      <c r="C728" s="132">
        <v>1</v>
      </c>
      <c r="D728" s="115">
        <v>39</v>
      </c>
      <c r="E728" s="127">
        <v>141.9</v>
      </c>
      <c r="F728" s="114">
        <v>5534.1</v>
      </c>
    </row>
    <row r="729" spans="1:6" ht="21" customHeight="1" outlineLevel="1" x14ac:dyDescent="0.25">
      <c r="A729" s="125">
        <v>5</v>
      </c>
      <c r="B729" s="130" t="s">
        <v>38</v>
      </c>
      <c r="C729" s="120">
        <v>100</v>
      </c>
      <c r="D729" s="115">
        <v>136.5</v>
      </c>
      <c r="E729" s="127">
        <v>4307.55</v>
      </c>
      <c r="F729" s="114">
        <v>5879.8057500000004</v>
      </c>
    </row>
    <row r="730" spans="1:6" ht="30" outlineLevel="1" x14ac:dyDescent="0.25">
      <c r="A730" s="125">
        <v>6</v>
      </c>
      <c r="B730" s="130" t="s">
        <v>39</v>
      </c>
      <c r="C730" s="128">
        <v>1</v>
      </c>
      <c r="D730" s="115">
        <v>390</v>
      </c>
      <c r="E730" s="127">
        <v>30.5</v>
      </c>
      <c r="F730" s="114">
        <v>11895</v>
      </c>
    </row>
    <row r="731" spans="1:6" ht="75" outlineLevel="1" x14ac:dyDescent="0.25">
      <c r="A731" s="125">
        <v>7</v>
      </c>
      <c r="B731" s="133" t="s">
        <v>31</v>
      </c>
      <c r="C731" s="126"/>
      <c r="D731" s="115"/>
      <c r="E731" s="114"/>
      <c r="F731" s="114"/>
    </row>
    <row r="732" spans="1:6" outlineLevel="1" x14ac:dyDescent="0.25">
      <c r="A732" s="125" t="s">
        <v>41</v>
      </c>
      <c r="B732" s="133" t="s">
        <v>42</v>
      </c>
      <c r="C732" s="113">
        <v>100</v>
      </c>
      <c r="D732" s="115">
        <v>59.0304</v>
      </c>
      <c r="E732" s="114">
        <v>14042.6</v>
      </c>
      <c r="F732" s="114">
        <v>8289.4029503999991</v>
      </c>
    </row>
    <row r="733" spans="1:6" ht="18" customHeight="1" outlineLevel="1" x14ac:dyDescent="0.25">
      <c r="A733" s="508" t="s">
        <v>259</v>
      </c>
      <c r="B733" s="508"/>
      <c r="C733" s="508"/>
      <c r="D733" s="508"/>
      <c r="E733" s="508"/>
      <c r="F733" s="72">
        <f>SUM(F707:F732)</f>
        <v>95785165.377029151</v>
      </c>
    </row>
    <row r="734" spans="1:6" outlineLevel="1" x14ac:dyDescent="0.25">
      <c r="A734" s="534" t="s">
        <v>265</v>
      </c>
      <c r="B734" s="534"/>
      <c r="C734" s="534"/>
      <c r="D734" s="534"/>
      <c r="E734" s="534"/>
      <c r="F734" s="534"/>
    </row>
    <row r="735" spans="1:6" ht="75" outlineLevel="1" x14ac:dyDescent="0.25">
      <c r="A735" s="129">
        <v>1</v>
      </c>
      <c r="B735" s="133" t="s">
        <v>45</v>
      </c>
      <c r="C735" s="113">
        <v>1000</v>
      </c>
      <c r="D735" s="115">
        <v>17227.970499999996</v>
      </c>
      <c r="E735" s="115">
        <v>12735.6</v>
      </c>
      <c r="F735" s="127">
        <v>219408.54109979997</v>
      </c>
    </row>
    <row r="736" spans="1:6" ht="24" customHeight="1" outlineLevel="1" x14ac:dyDescent="0.25">
      <c r="A736" s="129">
        <v>2</v>
      </c>
      <c r="B736" s="133" t="s">
        <v>75</v>
      </c>
      <c r="C736" s="113">
        <v>1000</v>
      </c>
      <c r="D736" s="115">
        <v>17227.970499999996</v>
      </c>
      <c r="E736" s="115">
        <v>12038.4</v>
      </c>
      <c r="F736" s="127">
        <v>207397.20006719994</v>
      </c>
    </row>
    <row r="737" spans="1:6" ht="45" outlineLevel="1" x14ac:dyDescent="0.25">
      <c r="A737" s="125">
        <v>3</v>
      </c>
      <c r="B737" s="135" t="s">
        <v>23</v>
      </c>
      <c r="C737" s="126"/>
      <c r="D737" s="115"/>
      <c r="E737" s="127">
        <v>0</v>
      </c>
      <c r="F737" s="127"/>
    </row>
    <row r="738" spans="1:6" outlineLevel="1" x14ac:dyDescent="0.25">
      <c r="A738" s="125"/>
      <c r="B738" s="133" t="s">
        <v>24</v>
      </c>
      <c r="C738" s="113">
        <v>100</v>
      </c>
      <c r="D738" s="115">
        <v>1464.4274999999998</v>
      </c>
      <c r="E738" s="115">
        <v>34694.300000000003</v>
      </c>
      <c r="F738" s="127">
        <v>508072.87013249996</v>
      </c>
    </row>
    <row r="739" spans="1:6" outlineLevel="1" x14ac:dyDescent="0.25">
      <c r="A739" s="125"/>
      <c r="B739" s="133" t="s">
        <v>125</v>
      </c>
      <c r="C739" s="113">
        <v>100</v>
      </c>
      <c r="D739" s="115">
        <v>187</v>
      </c>
      <c r="E739" s="115">
        <v>47135.9</v>
      </c>
      <c r="F739" s="127">
        <v>88144.133000000002</v>
      </c>
    </row>
    <row r="740" spans="1:6" ht="90" outlineLevel="1" x14ac:dyDescent="0.25">
      <c r="A740" s="125">
        <v>4</v>
      </c>
      <c r="B740" s="133" t="s">
        <v>46</v>
      </c>
      <c r="C740" s="131">
        <v>100</v>
      </c>
      <c r="D740" s="115">
        <v>44509.403099999989</v>
      </c>
      <c r="E740" s="136">
        <v>30376.9</v>
      </c>
      <c r="F740" s="127">
        <v>13520576.870283896</v>
      </c>
    </row>
    <row r="741" spans="1:6" ht="120.75" outlineLevel="1" x14ac:dyDescent="0.25">
      <c r="A741" s="125">
        <v>5</v>
      </c>
      <c r="B741" s="135" t="s">
        <v>78</v>
      </c>
      <c r="C741" s="126"/>
      <c r="D741" s="115"/>
      <c r="E741" s="127"/>
      <c r="F741" s="137"/>
    </row>
    <row r="742" spans="1:6" ht="75" outlineLevel="1" x14ac:dyDescent="0.25">
      <c r="A742" s="125"/>
      <c r="B742" s="135" t="s">
        <v>100</v>
      </c>
      <c r="C742" s="113">
        <v>1</v>
      </c>
      <c r="D742" s="115">
        <v>10355.410199999998</v>
      </c>
      <c r="E742" s="115">
        <v>817.55</v>
      </c>
      <c r="F742" s="127">
        <v>8466065.6090099979</v>
      </c>
    </row>
    <row r="743" spans="1:6" ht="75" outlineLevel="1" x14ac:dyDescent="0.25">
      <c r="A743" s="125"/>
      <c r="B743" s="135" t="s">
        <v>201</v>
      </c>
      <c r="C743" s="113">
        <v>1</v>
      </c>
      <c r="D743" s="115">
        <v>4481.0575000000008</v>
      </c>
      <c r="E743" s="115">
        <v>670.5</v>
      </c>
      <c r="F743" s="127">
        <v>3004549.0537500004</v>
      </c>
    </row>
    <row r="744" spans="1:6" ht="30" outlineLevel="1" x14ac:dyDescent="0.25">
      <c r="A744" s="125">
        <v>6</v>
      </c>
      <c r="B744" s="133" t="s">
        <v>52</v>
      </c>
      <c r="C744" s="120">
        <v>100</v>
      </c>
      <c r="D744" s="115">
        <v>6197.8769999999977</v>
      </c>
      <c r="E744" s="127">
        <v>1645.1</v>
      </c>
      <c r="F744" s="127">
        <v>101961.27452699997</v>
      </c>
    </row>
    <row r="745" spans="1:6" ht="30" outlineLevel="1" x14ac:dyDescent="0.25">
      <c r="A745" s="125">
        <v>7</v>
      </c>
      <c r="B745" s="135" t="s">
        <v>79</v>
      </c>
      <c r="C745" s="113">
        <v>100</v>
      </c>
      <c r="D745" s="115">
        <v>440</v>
      </c>
      <c r="E745" s="127">
        <v>35727</v>
      </c>
      <c r="F745" s="127">
        <v>157198.79999999999</v>
      </c>
    </row>
    <row r="746" spans="1:6" ht="60" outlineLevel="1" x14ac:dyDescent="0.25">
      <c r="A746" s="125">
        <v>8</v>
      </c>
      <c r="B746" s="138" t="s">
        <v>80</v>
      </c>
      <c r="C746" s="139">
        <v>1</v>
      </c>
      <c r="D746" s="115">
        <v>1425.3799999999997</v>
      </c>
      <c r="E746" s="115">
        <v>809.4</v>
      </c>
      <c r="F746" s="127">
        <v>1153702.5719999997</v>
      </c>
    </row>
    <row r="747" spans="1:6" ht="30" outlineLevel="1" x14ac:dyDescent="0.25">
      <c r="A747" s="125">
        <v>9</v>
      </c>
      <c r="B747" s="140" t="s">
        <v>81</v>
      </c>
      <c r="C747" s="139">
        <v>1</v>
      </c>
      <c r="D747" s="115">
        <v>450</v>
      </c>
      <c r="E747" s="115">
        <v>1381</v>
      </c>
      <c r="F747" s="127">
        <v>621450</v>
      </c>
    </row>
    <row r="748" spans="1:6" ht="25.5" customHeight="1" outlineLevel="1" x14ac:dyDescent="0.25">
      <c r="A748" s="125">
        <v>10</v>
      </c>
      <c r="B748" s="133" t="s">
        <v>66</v>
      </c>
      <c r="C748" s="113">
        <v>1000</v>
      </c>
      <c r="D748" s="115">
        <v>22000</v>
      </c>
      <c r="E748" s="114">
        <v>5266.8</v>
      </c>
      <c r="F748" s="127">
        <v>115869.6</v>
      </c>
    </row>
    <row r="749" spans="1:6" ht="75.75" outlineLevel="1" x14ac:dyDescent="0.25">
      <c r="A749" s="125">
        <v>11</v>
      </c>
      <c r="B749" s="133" t="s">
        <v>40</v>
      </c>
      <c r="C749" s="126"/>
      <c r="D749" s="115"/>
      <c r="E749" s="114"/>
      <c r="F749" s="114"/>
    </row>
    <row r="750" spans="1:6" outlineLevel="1" x14ac:dyDescent="0.25">
      <c r="A750" s="125" t="s">
        <v>67</v>
      </c>
      <c r="B750" s="133" t="s">
        <v>68</v>
      </c>
      <c r="C750" s="113">
        <v>100</v>
      </c>
      <c r="D750" s="115">
        <v>1405.8503999999998</v>
      </c>
      <c r="E750" s="114">
        <v>14042.6</v>
      </c>
      <c r="F750" s="114">
        <v>197417.94827039997</v>
      </c>
    </row>
    <row r="751" spans="1:6" outlineLevel="1" x14ac:dyDescent="0.25">
      <c r="A751" s="125" t="s">
        <v>41</v>
      </c>
      <c r="B751" s="133" t="s">
        <v>42</v>
      </c>
      <c r="C751" s="113">
        <v>100</v>
      </c>
      <c r="D751" s="115">
        <v>164.56</v>
      </c>
      <c r="E751" s="114">
        <v>14042.6</v>
      </c>
      <c r="F751" s="114">
        <v>23108.502560000001</v>
      </c>
    </row>
    <row r="752" spans="1:6" outlineLevel="1" x14ac:dyDescent="0.25">
      <c r="A752" s="125" t="s">
        <v>70</v>
      </c>
      <c r="B752" s="133" t="s">
        <v>82</v>
      </c>
      <c r="C752" s="113">
        <v>100</v>
      </c>
      <c r="D752" s="115">
        <v>12462.632867999999</v>
      </c>
      <c r="E752" s="114">
        <v>14042.6</v>
      </c>
      <c r="F752" s="114">
        <v>1750077.6831217678</v>
      </c>
    </row>
    <row r="753" spans="1:6" outlineLevel="1" x14ac:dyDescent="0.25">
      <c r="A753" s="506" t="s">
        <v>83</v>
      </c>
      <c r="B753" s="506"/>
      <c r="C753" s="506"/>
      <c r="D753" s="506"/>
      <c r="E753" s="506"/>
      <c r="F753" s="72">
        <f>SUM(F735:F752)</f>
        <v>30135000.657822561</v>
      </c>
    </row>
    <row r="754" spans="1:6" outlineLevel="1" x14ac:dyDescent="0.25">
      <c r="A754" s="534" t="s">
        <v>266</v>
      </c>
      <c r="B754" s="534"/>
      <c r="C754" s="534"/>
      <c r="D754" s="534"/>
      <c r="E754" s="534"/>
      <c r="F754" s="534"/>
    </row>
    <row r="755" spans="1:6" ht="75" outlineLevel="1" x14ac:dyDescent="0.25">
      <c r="A755" s="129">
        <v>1</v>
      </c>
      <c r="B755" s="133" t="s">
        <v>45</v>
      </c>
      <c r="C755" s="113">
        <v>1000</v>
      </c>
      <c r="D755" s="115">
        <v>91276.01999999996</v>
      </c>
      <c r="E755" s="115">
        <v>12735.6</v>
      </c>
      <c r="F755" s="114">
        <v>1162454.8803119995</v>
      </c>
    </row>
    <row r="756" spans="1:6" ht="45" outlineLevel="1" x14ac:dyDescent="0.25">
      <c r="A756" s="125">
        <v>2</v>
      </c>
      <c r="B756" s="135" t="s">
        <v>23</v>
      </c>
      <c r="C756" s="122"/>
      <c r="D756" s="115"/>
      <c r="E756" s="115">
        <v>0</v>
      </c>
      <c r="F756" s="115"/>
    </row>
    <row r="757" spans="1:6" outlineLevel="1" x14ac:dyDescent="0.25">
      <c r="A757" s="125"/>
      <c r="B757" s="133" t="s">
        <v>24</v>
      </c>
      <c r="C757" s="113">
        <v>100</v>
      </c>
      <c r="D757" s="115">
        <v>1441.5</v>
      </c>
      <c r="E757" s="115">
        <v>34694.300000000003</v>
      </c>
      <c r="F757" s="114">
        <v>500118.33450000006</v>
      </c>
    </row>
    <row r="758" spans="1:6" ht="90" outlineLevel="1" x14ac:dyDescent="0.25">
      <c r="A758" s="125">
        <v>3</v>
      </c>
      <c r="B758" s="133" t="s">
        <v>46</v>
      </c>
      <c r="C758" s="131">
        <v>100</v>
      </c>
      <c r="D758" s="115">
        <v>71071.979999999967</v>
      </c>
      <c r="E758" s="136">
        <v>30376.9</v>
      </c>
      <c r="F758" s="114">
        <v>21589464.292619992</v>
      </c>
    </row>
    <row r="759" spans="1:6" ht="120.75" outlineLevel="1" x14ac:dyDescent="0.25">
      <c r="A759" s="125">
        <v>4</v>
      </c>
      <c r="B759" s="135" t="s">
        <v>47</v>
      </c>
      <c r="C759" s="122"/>
      <c r="D759" s="115"/>
      <c r="E759" s="127"/>
      <c r="F759" s="127"/>
    </row>
    <row r="760" spans="1:6" ht="75" outlineLevel="1" x14ac:dyDescent="0.25">
      <c r="A760" s="125" t="s">
        <v>48</v>
      </c>
      <c r="B760" s="135" t="s">
        <v>100</v>
      </c>
      <c r="C760" s="113">
        <v>1</v>
      </c>
      <c r="D760" s="115">
        <v>17924.659999999996</v>
      </c>
      <c r="E760" s="115">
        <v>817.55</v>
      </c>
      <c r="F760" s="114">
        <v>14654305.782999996</v>
      </c>
    </row>
    <row r="761" spans="1:6" ht="75" outlineLevel="1" x14ac:dyDescent="0.25">
      <c r="A761" s="125" t="s">
        <v>50</v>
      </c>
      <c r="B761" s="135" t="s">
        <v>201</v>
      </c>
      <c r="C761" s="113">
        <v>1</v>
      </c>
      <c r="D761" s="115">
        <v>5766</v>
      </c>
      <c r="E761" s="115">
        <v>670.5</v>
      </c>
      <c r="F761" s="114">
        <v>3866103</v>
      </c>
    </row>
    <row r="762" spans="1:6" ht="30" outlineLevel="1" x14ac:dyDescent="0.25">
      <c r="A762" s="125">
        <v>5</v>
      </c>
      <c r="B762" s="133" t="s">
        <v>52</v>
      </c>
      <c r="C762" s="120">
        <v>100</v>
      </c>
      <c r="D762" s="115">
        <v>16855.639999999992</v>
      </c>
      <c r="E762" s="127">
        <v>1645.1</v>
      </c>
      <c r="F762" s="114">
        <v>277292.13363999984</v>
      </c>
    </row>
    <row r="763" spans="1:6" ht="45" outlineLevel="1" x14ac:dyDescent="0.25">
      <c r="A763" s="125">
        <v>6</v>
      </c>
      <c r="B763" s="133" t="s">
        <v>214</v>
      </c>
      <c r="C763" s="139">
        <v>1</v>
      </c>
      <c r="D763" s="115">
        <v>60</v>
      </c>
      <c r="E763" s="127">
        <v>303.8</v>
      </c>
      <c r="F763" s="114">
        <v>18228</v>
      </c>
    </row>
    <row r="764" spans="1:6" ht="105" outlineLevel="1" x14ac:dyDescent="0.25">
      <c r="A764" s="125">
        <v>7</v>
      </c>
      <c r="B764" s="155" t="s">
        <v>54</v>
      </c>
      <c r="C764" s="113">
        <v>100</v>
      </c>
      <c r="D764" s="115">
        <v>480</v>
      </c>
      <c r="E764" s="115">
        <v>10003.5</v>
      </c>
      <c r="F764" s="114">
        <v>48016.800000000003</v>
      </c>
    </row>
    <row r="765" spans="1:6" ht="120" outlineLevel="1" x14ac:dyDescent="0.25">
      <c r="A765" s="125">
        <v>8</v>
      </c>
      <c r="B765" s="155" t="s">
        <v>267</v>
      </c>
      <c r="C765" s="113">
        <v>100</v>
      </c>
      <c r="D765" s="115">
        <v>480</v>
      </c>
      <c r="E765" s="115">
        <v>13527.4</v>
      </c>
      <c r="F765" s="114">
        <v>64931.519999999997</v>
      </c>
    </row>
    <row r="766" spans="1:6" ht="32.25" customHeight="1" outlineLevel="1" x14ac:dyDescent="0.25">
      <c r="A766" s="125">
        <v>9</v>
      </c>
      <c r="B766" s="155" t="s">
        <v>268</v>
      </c>
      <c r="C766" s="139">
        <v>1</v>
      </c>
      <c r="D766" s="115">
        <v>160</v>
      </c>
      <c r="E766" s="115">
        <v>64.2</v>
      </c>
      <c r="F766" s="114">
        <v>10272</v>
      </c>
    </row>
    <row r="767" spans="1:6" ht="105" outlineLevel="1" x14ac:dyDescent="0.25">
      <c r="A767" s="125">
        <v>10</v>
      </c>
      <c r="B767" s="155" t="s">
        <v>269</v>
      </c>
      <c r="C767" s="156"/>
      <c r="D767" s="127"/>
      <c r="E767" s="127"/>
      <c r="F767" s="127"/>
    </row>
    <row r="768" spans="1:6" ht="45" outlineLevel="1" x14ac:dyDescent="0.25">
      <c r="A768" s="125" t="s">
        <v>58</v>
      </c>
      <c r="B768" s="155" t="s">
        <v>59</v>
      </c>
      <c r="C768" s="120">
        <v>100</v>
      </c>
      <c r="D768" s="127">
        <v>960</v>
      </c>
      <c r="E768" s="127">
        <v>4549.95</v>
      </c>
      <c r="F768" s="114">
        <v>43679.519999999997</v>
      </c>
    </row>
    <row r="769" spans="1:6" ht="45" outlineLevel="1" x14ac:dyDescent="0.25">
      <c r="A769" s="125" t="s">
        <v>60</v>
      </c>
      <c r="B769" s="155" t="s">
        <v>61</v>
      </c>
      <c r="C769" s="120">
        <v>100</v>
      </c>
      <c r="D769" s="127">
        <v>960</v>
      </c>
      <c r="E769" s="127">
        <v>2639.45</v>
      </c>
      <c r="F769" s="114">
        <v>25338.720000000001</v>
      </c>
    </row>
    <row r="770" spans="1:6" ht="45" outlineLevel="1" x14ac:dyDescent="0.25">
      <c r="A770" s="125" t="s">
        <v>62</v>
      </c>
      <c r="B770" s="155" t="s">
        <v>63</v>
      </c>
      <c r="C770" s="120">
        <v>100</v>
      </c>
      <c r="D770" s="127">
        <v>960</v>
      </c>
      <c r="E770" s="127">
        <v>1960.75</v>
      </c>
      <c r="F770" s="114">
        <v>18823.2</v>
      </c>
    </row>
    <row r="771" spans="1:6" ht="45" outlineLevel="1" x14ac:dyDescent="0.25">
      <c r="A771" s="125">
        <v>11</v>
      </c>
      <c r="B771" s="155" t="s">
        <v>64</v>
      </c>
      <c r="C771" s="113">
        <v>100</v>
      </c>
      <c r="D771" s="127">
        <v>960</v>
      </c>
      <c r="E771" s="127">
        <v>4017.8</v>
      </c>
      <c r="F771" s="114">
        <v>38570.879999999997</v>
      </c>
    </row>
    <row r="772" spans="1:6" ht="30" outlineLevel="1" x14ac:dyDescent="0.25">
      <c r="A772" s="150">
        <v>12</v>
      </c>
      <c r="B772" s="151" t="s">
        <v>65</v>
      </c>
      <c r="C772" s="113">
        <v>1000</v>
      </c>
      <c r="D772" s="115">
        <v>9600</v>
      </c>
      <c r="E772" s="127">
        <v>10533.6</v>
      </c>
      <c r="F772" s="127">
        <v>101122.56</v>
      </c>
    </row>
    <row r="773" spans="1:6" ht="30.75" customHeight="1" outlineLevel="1" x14ac:dyDescent="0.25">
      <c r="A773" s="125">
        <v>13</v>
      </c>
      <c r="B773" s="133" t="s">
        <v>66</v>
      </c>
      <c r="C773" s="113">
        <v>1000</v>
      </c>
      <c r="D773" s="115">
        <v>54239.999999999964</v>
      </c>
      <c r="E773" s="114">
        <v>5266.8</v>
      </c>
      <c r="F773" s="114">
        <v>285671.23199999984</v>
      </c>
    </row>
    <row r="774" spans="1:6" ht="75.75" outlineLevel="1" x14ac:dyDescent="0.25">
      <c r="A774" s="125">
        <v>14</v>
      </c>
      <c r="B774" s="133" t="s">
        <v>40</v>
      </c>
      <c r="C774" s="126"/>
      <c r="D774" s="115"/>
      <c r="E774" s="114"/>
      <c r="F774" s="114"/>
    </row>
    <row r="775" spans="1:6" outlineLevel="1" x14ac:dyDescent="0.25">
      <c r="A775" s="125" t="s">
        <v>67</v>
      </c>
      <c r="B775" s="133" t="s">
        <v>68</v>
      </c>
      <c r="C775" s="113">
        <v>100</v>
      </c>
      <c r="D775" s="115">
        <v>1383.84</v>
      </c>
      <c r="E775" s="114">
        <v>14042.6</v>
      </c>
      <c r="F775" s="114">
        <v>194327.11583999998</v>
      </c>
    </row>
    <row r="776" spans="1:6" outlineLevel="1" x14ac:dyDescent="0.25">
      <c r="A776" s="125" t="s">
        <v>41</v>
      </c>
      <c r="B776" s="133" t="s">
        <v>69</v>
      </c>
      <c r="C776" s="113">
        <v>100</v>
      </c>
      <c r="D776" s="115">
        <v>19900.154399999996</v>
      </c>
      <c r="E776" s="114">
        <v>14042.6</v>
      </c>
      <c r="F776" s="114">
        <v>2794499.0817743992</v>
      </c>
    </row>
    <row r="777" spans="1:6" outlineLevel="1" x14ac:dyDescent="0.25">
      <c r="A777" s="125" t="s">
        <v>70</v>
      </c>
      <c r="B777" s="133" t="s">
        <v>71</v>
      </c>
      <c r="C777" s="113">
        <v>100</v>
      </c>
      <c r="D777" s="115">
        <v>585.6</v>
      </c>
      <c r="E777" s="114">
        <v>14042.6</v>
      </c>
      <c r="F777" s="114">
        <v>82233.46560000001</v>
      </c>
    </row>
    <row r="778" spans="1:6" outlineLevel="1" x14ac:dyDescent="0.25">
      <c r="A778" s="125" t="s">
        <v>70</v>
      </c>
      <c r="B778" s="133" t="s">
        <v>72</v>
      </c>
      <c r="C778" s="113">
        <v>100</v>
      </c>
      <c r="D778" s="115">
        <v>72</v>
      </c>
      <c r="E778" s="114">
        <v>14042.6</v>
      </c>
      <c r="F778" s="114">
        <v>10110.672</v>
      </c>
    </row>
    <row r="779" spans="1:6" outlineLevel="1" x14ac:dyDescent="0.25">
      <c r="A779" s="506" t="s">
        <v>73</v>
      </c>
      <c r="B779" s="506"/>
      <c r="C779" s="506"/>
      <c r="D779" s="506"/>
      <c r="E779" s="506"/>
      <c r="F779" s="72">
        <f>SUM(F755:F778)</f>
        <v>45785563.1912864</v>
      </c>
    </row>
    <row r="780" spans="1:6" outlineLevel="1" x14ac:dyDescent="0.25">
      <c r="A780" s="534" t="s">
        <v>270</v>
      </c>
      <c r="B780" s="534"/>
      <c r="C780" s="534"/>
      <c r="D780" s="534"/>
      <c r="E780" s="534"/>
      <c r="F780" s="534"/>
    </row>
    <row r="781" spans="1:6" ht="75" outlineLevel="1" x14ac:dyDescent="0.25">
      <c r="A781" s="129">
        <v>1</v>
      </c>
      <c r="B781" s="133" t="s">
        <v>45</v>
      </c>
      <c r="C781" s="113">
        <v>1000</v>
      </c>
      <c r="D781" s="115">
        <v>44596.765778000001</v>
      </c>
      <c r="E781" s="115">
        <v>12735.6</v>
      </c>
      <c r="F781" s="127">
        <v>567966.57024229679</v>
      </c>
    </row>
    <row r="782" spans="1:6" ht="25.5" customHeight="1" outlineLevel="1" x14ac:dyDescent="0.25">
      <c r="A782" s="129">
        <v>2</v>
      </c>
      <c r="B782" s="133" t="s">
        <v>75</v>
      </c>
      <c r="C782" s="113">
        <v>1000</v>
      </c>
      <c r="D782" s="115">
        <v>44596.765778000001</v>
      </c>
      <c r="E782" s="115">
        <v>12038.4</v>
      </c>
      <c r="F782" s="127">
        <v>536873.70514187519</v>
      </c>
    </row>
    <row r="783" spans="1:6" ht="45" outlineLevel="1" x14ac:dyDescent="0.25">
      <c r="A783" s="125"/>
      <c r="B783" s="135" t="s">
        <v>23</v>
      </c>
      <c r="C783" s="122"/>
      <c r="D783" s="115"/>
      <c r="E783" s="127"/>
      <c r="F783" s="127"/>
    </row>
    <row r="784" spans="1:6" outlineLevel="1" x14ac:dyDescent="0.25">
      <c r="A784" s="125">
        <v>3</v>
      </c>
      <c r="B784" s="133" t="s">
        <v>24</v>
      </c>
      <c r="C784" s="113">
        <v>100</v>
      </c>
      <c r="D784" s="115">
        <v>971.790975</v>
      </c>
      <c r="E784" s="115">
        <v>34694.300000000003</v>
      </c>
      <c r="F784" s="127">
        <v>337156.07623942499</v>
      </c>
    </row>
    <row r="785" spans="1:6" outlineLevel="1" x14ac:dyDescent="0.25">
      <c r="A785" s="125">
        <v>4</v>
      </c>
      <c r="B785" s="133" t="s">
        <v>125</v>
      </c>
      <c r="C785" s="113">
        <v>100</v>
      </c>
      <c r="D785" s="115">
        <v>501.67600000000004</v>
      </c>
      <c r="E785" s="115">
        <v>47135.9</v>
      </c>
      <c r="F785" s="127">
        <v>236469.49768400003</v>
      </c>
    </row>
    <row r="786" spans="1:6" ht="90" outlineLevel="1" x14ac:dyDescent="0.25">
      <c r="A786" s="125">
        <v>5</v>
      </c>
      <c r="B786" s="133" t="s">
        <v>225</v>
      </c>
      <c r="C786" s="131">
        <v>100</v>
      </c>
      <c r="D786" s="115">
        <v>63787.433850000016</v>
      </c>
      <c r="E786" s="136">
        <v>30376.9</v>
      </c>
      <c r="F786" s="127">
        <v>19376644.993180655</v>
      </c>
    </row>
    <row r="787" spans="1:6" ht="120.75" outlineLevel="1" x14ac:dyDescent="0.25">
      <c r="A787" s="125"/>
      <c r="B787" s="135" t="s">
        <v>47</v>
      </c>
      <c r="C787" s="122"/>
      <c r="D787" s="115"/>
      <c r="E787" s="127">
        <v>0</v>
      </c>
      <c r="F787" s="137"/>
    </row>
    <row r="788" spans="1:6" ht="60" outlineLevel="1" x14ac:dyDescent="0.25">
      <c r="A788" s="125">
        <v>6</v>
      </c>
      <c r="B788" s="135" t="s">
        <v>205</v>
      </c>
      <c r="C788" s="113">
        <v>1</v>
      </c>
      <c r="D788" s="115">
        <v>9101.6800000000039</v>
      </c>
      <c r="E788" s="115">
        <v>817.55</v>
      </c>
      <c r="F788" s="127">
        <v>7441078.484000003</v>
      </c>
    </row>
    <row r="789" spans="1:6" ht="75" outlineLevel="1" x14ac:dyDescent="0.25">
      <c r="A789" s="125">
        <v>7</v>
      </c>
      <c r="B789" s="133" t="s">
        <v>570</v>
      </c>
      <c r="C789" s="113">
        <v>1</v>
      </c>
      <c r="D789" s="115">
        <v>5073.3052999999991</v>
      </c>
      <c r="E789" s="115">
        <v>670.5</v>
      </c>
      <c r="F789" s="127">
        <v>3401651.2036499996</v>
      </c>
    </row>
    <row r="790" spans="1:6" ht="39.75" customHeight="1" outlineLevel="1" x14ac:dyDescent="0.25">
      <c r="A790" s="125">
        <v>8</v>
      </c>
      <c r="B790" s="133" t="s">
        <v>52</v>
      </c>
      <c r="C790" s="120">
        <v>100</v>
      </c>
      <c r="D790" s="115">
        <v>5294.2214000000004</v>
      </c>
      <c r="E790" s="127">
        <v>1645.1</v>
      </c>
      <c r="F790" s="127">
        <v>87095.236251399998</v>
      </c>
    </row>
    <row r="791" spans="1:6" ht="75" outlineLevel="1" x14ac:dyDescent="0.25">
      <c r="A791" s="125">
        <v>9</v>
      </c>
      <c r="B791" s="133" t="s">
        <v>226</v>
      </c>
      <c r="C791" s="120">
        <v>100</v>
      </c>
      <c r="D791" s="115">
        <v>997.5381000000001</v>
      </c>
      <c r="E791" s="115">
        <v>13179.6</v>
      </c>
      <c r="F791" s="127">
        <v>131471.53142760001</v>
      </c>
    </row>
    <row r="792" spans="1:6" ht="30" outlineLevel="1" x14ac:dyDescent="0.25">
      <c r="A792" s="125">
        <v>10</v>
      </c>
      <c r="B792" s="135" t="s">
        <v>121</v>
      </c>
      <c r="C792" s="120">
        <v>1</v>
      </c>
      <c r="D792" s="115">
        <v>997.5381000000001</v>
      </c>
      <c r="E792" s="115">
        <v>11</v>
      </c>
      <c r="F792" s="127">
        <v>10972.919100000001</v>
      </c>
    </row>
    <row r="793" spans="1:6" ht="45" outlineLevel="1" x14ac:dyDescent="0.25">
      <c r="A793" s="125">
        <v>11</v>
      </c>
      <c r="B793" s="135" t="s">
        <v>129</v>
      </c>
      <c r="C793" s="139">
        <v>1</v>
      </c>
      <c r="D793" s="115">
        <v>111</v>
      </c>
      <c r="E793" s="127">
        <v>514.9</v>
      </c>
      <c r="F793" s="115">
        <v>57153.899999999994</v>
      </c>
    </row>
    <row r="794" spans="1:6" ht="30" outlineLevel="1" x14ac:dyDescent="0.25">
      <c r="A794" s="125">
        <v>12</v>
      </c>
      <c r="B794" s="135" t="s">
        <v>130</v>
      </c>
      <c r="C794" s="128">
        <v>1</v>
      </c>
      <c r="D794" s="115">
        <v>6</v>
      </c>
      <c r="E794" s="127">
        <v>849.7</v>
      </c>
      <c r="F794" s="115">
        <v>5098.2000000000007</v>
      </c>
    </row>
    <row r="795" spans="1:6" ht="28.5" customHeight="1" outlineLevel="1" x14ac:dyDescent="0.25">
      <c r="A795" s="125">
        <v>13</v>
      </c>
      <c r="B795" s="135" t="s">
        <v>131</v>
      </c>
      <c r="C795" s="128">
        <v>1</v>
      </c>
      <c r="D795" s="115">
        <v>6</v>
      </c>
      <c r="E795" s="127">
        <v>1159.6500000000001</v>
      </c>
      <c r="F795" s="127">
        <v>6957.9000000000005</v>
      </c>
    </row>
    <row r="796" spans="1:6" ht="180" outlineLevel="1" x14ac:dyDescent="0.25">
      <c r="A796" s="125">
        <v>14</v>
      </c>
      <c r="B796" s="133" t="s">
        <v>271</v>
      </c>
      <c r="C796" s="120">
        <v>1</v>
      </c>
      <c r="D796" s="115">
        <v>367.92</v>
      </c>
      <c r="E796" s="115">
        <v>2180.6999999999998</v>
      </c>
      <c r="F796" s="127">
        <v>802323.14399999997</v>
      </c>
    </row>
    <row r="797" spans="1:6" ht="52.5" customHeight="1" outlineLevel="1" x14ac:dyDescent="0.25">
      <c r="A797" s="125">
        <v>15</v>
      </c>
      <c r="B797" s="133" t="s">
        <v>228</v>
      </c>
      <c r="C797" s="120">
        <v>1</v>
      </c>
      <c r="D797" s="115">
        <v>176</v>
      </c>
      <c r="E797" s="115">
        <v>2767</v>
      </c>
      <c r="F797" s="127">
        <v>486992</v>
      </c>
    </row>
    <row r="798" spans="1:6" ht="24" customHeight="1" outlineLevel="1" x14ac:dyDescent="0.25">
      <c r="A798" s="125">
        <v>16</v>
      </c>
      <c r="B798" s="135" t="s">
        <v>229</v>
      </c>
      <c r="C798" s="120">
        <v>100</v>
      </c>
      <c r="D798" s="115">
        <v>3581.6040000000003</v>
      </c>
      <c r="E798" s="127">
        <v>1212.3499999999999</v>
      </c>
      <c r="F798" s="115">
        <v>43421.576094000004</v>
      </c>
    </row>
    <row r="799" spans="1:6" ht="45" outlineLevel="1" x14ac:dyDescent="0.25">
      <c r="A799" s="125">
        <v>17</v>
      </c>
      <c r="B799" s="135" t="s">
        <v>133</v>
      </c>
      <c r="C799" s="120">
        <v>100</v>
      </c>
      <c r="D799" s="115">
        <v>3896.5079999999998</v>
      </c>
      <c r="E799" s="127">
        <v>7379.1</v>
      </c>
      <c r="F799" s="115">
        <v>287527.22182799998</v>
      </c>
    </row>
    <row r="800" spans="1:6" ht="30" outlineLevel="1" x14ac:dyDescent="0.25">
      <c r="A800" s="125">
        <v>18</v>
      </c>
      <c r="B800" s="135" t="s">
        <v>134</v>
      </c>
      <c r="C800" s="120">
        <v>100</v>
      </c>
      <c r="D800" s="115">
        <v>336</v>
      </c>
      <c r="E800" s="127">
        <v>3052.4</v>
      </c>
      <c r="F800" s="115">
        <v>10256.064</v>
      </c>
    </row>
    <row r="801" spans="1:6" ht="45" outlineLevel="1" x14ac:dyDescent="0.25">
      <c r="A801" s="125">
        <v>19</v>
      </c>
      <c r="B801" s="133" t="s">
        <v>230</v>
      </c>
      <c r="C801" s="128">
        <v>1</v>
      </c>
      <c r="D801" s="115">
        <v>64</v>
      </c>
      <c r="E801" s="127">
        <v>680.75</v>
      </c>
      <c r="F801" s="127">
        <v>43568</v>
      </c>
    </row>
    <row r="802" spans="1:6" ht="75" outlineLevel="1" x14ac:dyDescent="0.25">
      <c r="A802" s="125">
        <v>20</v>
      </c>
      <c r="B802" s="133" t="s">
        <v>272</v>
      </c>
      <c r="C802" s="139">
        <v>1</v>
      </c>
      <c r="D802" s="115">
        <v>71.86</v>
      </c>
      <c r="E802" s="127">
        <v>1125.2</v>
      </c>
      <c r="F802" s="127">
        <v>80856.872000000003</v>
      </c>
    </row>
    <row r="803" spans="1:6" outlineLevel="1" x14ac:dyDescent="0.25">
      <c r="A803" s="125">
        <v>21</v>
      </c>
      <c r="B803" s="133" t="s">
        <v>231</v>
      </c>
      <c r="C803" s="120">
        <v>1</v>
      </c>
      <c r="D803" s="115">
        <v>368</v>
      </c>
      <c r="E803" s="127">
        <v>603</v>
      </c>
      <c r="F803" s="127">
        <v>221904</v>
      </c>
    </row>
    <row r="804" spans="1:6" ht="75" outlineLevel="1" x14ac:dyDescent="0.25">
      <c r="A804" s="125">
        <v>22</v>
      </c>
      <c r="B804" s="133" t="s">
        <v>232</v>
      </c>
      <c r="C804" s="120">
        <v>1</v>
      </c>
      <c r="D804" s="115">
        <v>1682.7508000000003</v>
      </c>
      <c r="E804" s="127">
        <v>205.4</v>
      </c>
      <c r="F804" s="127">
        <v>345637.01432000007</v>
      </c>
    </row>
    <row r="805" spans="1:6" ht="30" outlineLevel="1" x14ac:dyDescent="0.25">
      <c r="A805" s="125">
        <v>23</v>
      </c>
      <c r="B805" s="133" t="s">
        <v>233</v>
      </c>
      <c r="C805" s="113">
        <v>100</v>
      </c>
      <c r="D805" s="115">
        <v>418.97</v>
      </c>
      <c r="E805" s="127">
        <v>18017.599999999999</v>
      </c>
      <c r="F805" s="127">
        <v>75488.33872</v>
      </c>
    </row>
    <row r="806" spans="1:6" ht="90" outlineLevel="1" x14ac:dyDescent="0.25">
      <c r="A806" s="125">
        <v>24</v>
      </c>
      <c r="B806" s="133" t="s">
        <v>234</v>
      </c>
      <c r="C806" s="120">
        <v>100</v>
      </c>
      <c r="D806" s="127">
        <v>997.5381000000001</v>
      </c>
      <c r="E806" s="127">
        <v>29658.5</v>
      </c>
      <c r="F806" s="127">
        <v>295854.83738849999</v>
      </c>
    </row>
    <row r="807" spans="1:6" ht="75" outlineLevel="1" x14ac:dyDescent="0.25">
      <c r="A807" s="125">
        <v>25</v>
      </c>
      <c r="B807" s="133" t="s">
        <v>235</v>
      </c>
      <c r="C807" s="120">
        <v>100</v>
      </c>
      <c r="D807" s="127">
        <v>72.099999999999994</v>
      </c>
      <c r="E807" s="127">
        <v>19146.849999999999</v>
      </c>
      <c r="F807" s="127">
        <v>13804.878849999997</v>
      </c>
    </row>
    <row r="808" spans="1:6" ht="45" outlineLevel="1" x14ac:dyDescent="0.25">
      <c r="A808" s="125">
        <v>26</v>
      </c>
      <c r="B808" s="133" t="s">
        <v>236</v>
      </c>
      <c r="C808" s="139">
        <v>1</v>
      </c>
      <c r="D808" s="127">
        <v>519.15</v>
      </c>
      <c r="E808" s="127">
        <v>39.6</v>
      </c>
      <c r="F808" s="127">
        <v>20558.34</v>
      </c>
    </row>
    <row r="809" spans="1:6" ht="60" outlineLevel="1" x14ac:dyDescent="0.25">
      <c r="A809" s="125">
        <v>27</v>
      </c>
      <c r="B809" s="138" t="s">
        <v>80</v>
      </c>
      <c r="C809" s="139">
        <v>1</v>
      </c>
      <c r="D809" s="115">
        <v>236.66</v>
      </c>
      <c r="E809" s="115">
        <v>809.4</v>
      </c>
      <c r="F809" s="127">
        <v>191552.60399999999</v>
      </c>
    </row>
    <row r="810" spans="1:6" ht="45" outlineLevel="1" x14ac:dyDescent="0.25">
      <c r="A810" s="125">
        <v>28</v>
      </c>
      <c r="B810" s="135" t="s">
        <v>136</v>
      </c>
      <c r="C810" s="122"/>
      <c r="D810" s="115"/>
      <c r="E810" s="127"/>
      <c r="F810" s="137"/>
    </row>
    <row r="811" spans="1:6" outlineLevel="1" x14ac:dyDescent="0.25">
      <c r="A811" s="125"/>
      <c r="B811" s="135" t="s">
        <v>176</v>
      </c>
      <c r="C811" s="139">
        <v>1</v>
      </c>
      <c r="D811" s="115">
        <v>150</v>
      </c>
      <c r="E811" s="127">
        <v>112.25</v>
      </c>
      <c r="F811" s="127">
        <v>16837.5</v>
      </c>
    </row>
    <row r="812" spans="1:6" outlineLevel="1" x14ac:dyDescent="0.25">
      <c r="A812" s="125"/>
      <c r="B812" s="135" t="s">
        <v>177</v>
      </c>
      <c r="C812" s="139">
        <v>1</v>
      </c>
      <c r="D812" s="115">
        <v>150</v>
      </c>
      <c r="E812" s="127">
        <v>133.6</v>
      </c>
      <c r="F812" s="127">
        <v>20040</v>
      </c>
    </row>
    <row r="813" spans="1:6" ht="75" outlineLevel="1" x14ac:dyDescent="0.25">
      <c r="A813" s="125">
        <v>29</v>
      </c>
      <c r="B813" s="135" t="s">
        <v>141</v>
      </c>
      <c r="C813" s="122"/>
      <c r="D813" s="115"/>
      <c r="E813" s="127"/>
      <c r="F813" s="137"/>
    </row>
    <row r="814" spans="1:6" outlineLevel="1" x14ac:dyDescent="0.25">
      <c r="A814" s="125"/>
      <c r="B814" s="135" t="s">
        <v>180</v>
      </c>
      <c r="C814" s="139">
        <v>1</v>
      </c>
      <c r="D814" s="115">
        <v>500</v>
      </c>
      <c r="E814" s="127">
        <v>35.700000000000003</v>
      </c>
      <c r="F814" s="127">
        <v>17850</v>
      </c>
    </row>
    <row r="815" spans="1:6" outlineLevel="1" x14ac:dyDescent="0.25">
      <c r="A815" s="125"/>
      <c r="B815" s="135" t="s">
        <v>181</v>
      </c>
      <c r="C815" s="139">
        <v>1</v>
      </c>
      <c r="D815" s="115">
        <v>300</v>
      </c>
      <c r="E815" s="127">
        <v>56.3</v>
      </c>
      <c r="F815" s="127">
        <v>16890</v>
      </c>
    </row>
    <row r="816" spans="1:6" ht="60" outlineLevel="1" x14ac:dyDescent="0.25">
      <c r="A816" s="125">
        <v>30</v>
      </c>
      <c r="B816" s="135" t="s">
        <v>145</v>
      </c>
      <c r="C816" s="122"/>
      <c r="D816" s="115"/>
      <c r="E816" s="127"/>
      <c r="F816" s="137"/>
    </row>
    <row r="817" spans="1:6" outlineLevel="1" x14ac:dyDescent="0.25">
      <c r="A817" s="125"/>
      <c r="B817" s="135" t="s">
        <v>184</v>
      </c>
      <c r="C817" s="132">
        <v>1</v>
      </c>
      <c r="D817" s="115">
        <v>5</v>
      </c>
      <c r="E817" s="127">
        <v>522.75</v>
      </c>
      <c r="F817" s="127">
        <v>2613.75</v>
      </c>
    </row>
    <row r="818" spans="1:6" ht="21.75" customHeight="1" outlineLevel="1" x14ac:dyDescent="0.25">
      <c r="A818" s="125">
        <v>31</v>
      </c>
      <c r="B818" s="135" t="s">
        <v>237</v>
      </c>
      <c r="C818" s="132">
        <v>1</v>
      </c>
      <c r="D818" s="115">
        <v>35</v>
      </c>
      <c r="E818" s="127">
        <v>102.7</v>
      </c>
      <c r="F818" s="127">
        <v>3594.5</v>
      </c>
    </row>
    <row r="819" spans="1:6" ht="30" outlineLevel="1" x14ac:dyDescent="0.25">
      <c r="A819" s="125">
        <v>32</v>
      </c>
      <c r="B819" s="135" t="s">
        <v>238</v>
      </c>
      <c r="C819" s="132">
        <v>1</v>
      </c>
      <c r="D819" s="115">
        <v>10</v>
      </c>
      <c r="E819" s="127">
        <v>178.75</v>
      </c>
      <c r="F819" s="127">
        <v>1787.5</v>
      </c>
    </row>
    <row r="820" spans="1:6" ht="26.25" customHeight="1" outlineLevel="1" x14ac:dyDescent="0.25">
      <c r="A820" s="125">
        <v>33</v>
      </c>
      <c r="B820" s="135" t="s">
        <v>150</v>
      </c>
      <c r="C820" s="132">
        <v>1</v>
      </c>
      <c r="D820" s="115">
        <v>10</v>
      </c>
      <c r="E820" s="127">
        <v>96.3</v>
      </c>
      <c r="F820" s="127">
        <v>963</v>
      </c>
    </row>
    <row r="821" spans="1:6" ht="90.75" outlineLevel="1" x14ac:dyDescent="0.25">
      <c r="A821" s="125">
        <v>34</v>
      </c>
      <c r="B821" s="135" t="s">
        <v>239</v>
      </c>
      <c r="C821" s="128">
        <v>1</v>
      </c>
      <c r="D821" s="115">
        <v>1</v>
      </c>
      <c r="E821" s="127">
        <v>5616.25</v>
      </c>
      <c r="F821" s="115">
        <v>5616.25</v>
      </c>
    </row>
    <row r="822" spans="1:6" ht="90.75" outlineLevel="1" x14ac:dyDescent="0.25">
      <c r="A822" s="125">
        <v>35</v>
      </c>
      <c r="B822" s="135" t="s">
        <v>240</v>
      </c>
      <c r="C822" s="128">
        <v>1</v>
      </c>
      <c r="D822" s="115">
        <v>5</v>
      </c>
      <c r="E822" s="127">
        <v>1453.75</v>
      </c>
      <c r="F822" s="115">
        <v>7268.75</v>
      </c>
    </row>
    <row r="823" spans="1:6" ht="60" outlineLevel="1" x14ac:dyDescent="0.25">
      <c r="A823" s="125">
        <v>36</v>
      </c>
      <c r="B823" s="133" t="s">
        <v>241</v>
      </c>
      <c r="C823" s="132">
        <v>1</v>
      </c>
      <c r="D823" s="115">
        <v>6</v>
      </c>
      <c r="E823" s="127">
        <v>11398.45</v>
      </c>
      <c r="F823" s="127">
        <v>68390.700000000012</v>
      </c>
    </row>
    <row r="824" spans="1:6" ht="60" outlineLevel="1" x14ac:dyDescent="0.25">
      <c r="A824" s="125">
        <v>37</v>
      </c>
      <c r="B824" s="135" t="s">
        <v>157</v>
      </c>
      <c r="C824" s="128">
        <v>1</v>
      </c>
      <c r="D824" s="115">
        <v>10</v>
      </c>
      <c r="E824" s="127">
        <v>1995.3</v>
      </c>
      <c r="F824" s="115">
        <v>19953</v>
      </c>
    </row>
    <row r="825" spans="1:6" outlineLevel="1" x14ac:dyDescent="0.25">
      <c r="A825" s="125"/>
      <c r="B825" s="218" t="s">
        <v>273</v>
      </c>
      <c r="C825" s="157"/>
      <c r="D825" s="115"/>
      <c r="E825" s="127"/>
      <c r="F825" s="137"/>
    </row>
    <row r="826" spans="1:6" ht="30" outlineLevel="1" x14ac:dyDescent="0.25">
      <c r="A826" s="150">
        <v>38</v>
      </c>
      <c r="B826" s="151" t="s">
        <v>65</v>
      </c>
      <c r="C826" s="113">
        <v>1000</v>
      </c>
      <c r="D826" s="115">
        <v>34138.375</v>
      </c>
      <c r="E826" s="127">
        <v>10533.6</v>
      </c>
      <c r="F826" s="127">
        <v>359599.98690000002</v>
      </c>
    </row>
    <row r="827" spans="1:6" ht="60" outlineLevel="1" x14ac:dyDescent="0.25">
      <c r="A827" s="150">
        <v>39</v>
      </c>
      <c r="B827" s="151" t="s">
        <v>274</v>
      </c>
      <c r="C827" s="113">
        <v>1000</v>
      </c>
      <c r="D827" s="115">
        <v>34138.375</v>
      </c>
      <c r="E827" s="127">
        <v>1437.5</v>
      </c>
      <c r="F827" s="127">
        <v>49073.9140625</v>
      </c>
    </row>
    <row r="828" spans="1:6" ht="60" outlineLevel="1" x14ac:dyDescent="0.25">
      <c r="A828" s="150">
        <v>40</v>
      </c>
      <c r="B828" s="151" t="s">
        <v>275</v>
      </c>
      <c r="C828" s="113">
        <v>1000</v>
      </c>
      <c r="D828" s="115">
        <v>5910.3</v>
      </c>
      <c r="E828" s="127">
        <v>5033.7</v>
      </c>
      <c r="F828" s="127">
        <v>29750.677110000001</v>
      </c>
    </row>
    <row r="829" spans="1:6" outlineLevel="1" x14ac:dyDescent="0.25">
      <c r="A829" s="150"/>
      <c r="B829" s="151" t="s">
        <v>276</v>
      </c>
      <c r="C829" s="158"/>
      <c r="D829" s="115"/>
      <c r="E829" s="115"/>
      <c r="F829" s="137"/>
    </row>
    <row r="830" spans="1:6" outlineLevel="1" x14ac:dyDescent="0.25">
      <c r="A830" s="150">
        <v>41</v>
      </c>
      <c r="B830" s="151" t="s">
        <v>277</v>
      </c>
      <c r="C830" s="120">
        <v>100</v>
      </c>
      <c r="D830" s="114">
        <v>1100</v>
      </c>
      <c r="E830" s="115">
        <v>6512.05</v>
      </c>
      <c r="F830" s="127">
        <v>71632.55</v>
      </c>
    </row>
    <row r="831" spans="1:6" outlineLevel="1" x14ac:dyDescent="0.25">
      <c r="A831" s="150">
        <v>42</v>
      </c>
      <c r="B831" s="151" t="s">
        <v>278</v>
      </c>
      <c r="C831" s="120">
        <v>100</v>
      </c>
      <c r="D831" s="114">
        <v>1540</v>
      </c>
      <c r="E831" s="115">
        <v>7363.45</v>
      </c>
      <c r="F831" s="127">
        <v>113397.13</v>
      </c>
    </row>
    <row r="832" spans="1:6" ht="30" outlineLevel="1" x14ac:dyDescent="0.25">
      <c r="A832" s="150"/>
      <c r="B832" s="151" t="s">
        <v>279</v>
      </c>
      <c r="C832" s="158"/>
      <c r="D832" s="115"/>
      <c r="E832" s="114"/>
      <c r="F832" s="137"/>
    </row>
    <row r="833" spans="1:6" outlineLevel="1" x14ac:dyDescent="0.25">
      <c r="A833" s="150">
        <v>43</v>
      </c>
      <c r="B833" s="151" t="s">
        <v>280</v>
      </c>
      <c r="C833" s="113">
        <v>100</v>
      </c>
      <c r="D833" s="115">
        <v>376.75</v>
      </c>
      <c r="E833" s="114">
        <v>49016.9</v>
      </c>
      <c r="F833" s="127">
        <v>184671.17074999999</v>
      </c>
    </row>
    <row r="834" spans="1:6" outlineLevel="1" x14ac:dyDescent="0.25">
      <c r="A834" s="150">
        <v>44</v>
      </c>
      <c r="B834" s="151" t="s">
        <v>281</v>
      </c>
      <c r="C834" s="113">
        <v>100</v>
      </c>
      <c r="D834" s="115">
        <v>527.45000000000005</v>
      </c>
      <c r="E834" s="114">
        <v>51301.8</v>
      </c>
      <c r="F834" s="127">
        <v>270591.34410000005</v>
      </c>
    </row>
    <row r="835" spans="1:6" ht="30" outlineLevel="1" x14ac:dyDescent="0.25">
      <c r="A835" s="150">
        <v>45</v>
      </c>
      <c r="B835" s="151" t="s">
        <v>282</v>
      </c>
      <c r="C835" s="139">
        <v>1</v>
      </c>
      <c r="D835" s="115">
        <v>264</v>
      </c>
      <c r="E835" s="115">
        <v>17.3</v>
      </c>
      <c r="F835" s="127">
        <v>4567.2</v>
      </c>
    </row>
    <row r="836" spans="1:6" ht="30" outlineLevel="1" x14ac:dyDescent="0.25">
      <c r="A836" s="150">
        <v>46</v>
      </c>
      <c r="B836" s="151" t="s">
        <v>283</v>
      </c>
      <c r="C836" s="120">
        <v>100</v>
      </c>
      <c r="D836" s="115">
        <v>132</v>
      </c>
      <c r="E836" s="127">
        <v>1539.8</v>
      </c>
      <c r="F836" s="127">
        <v>2032.5360000000001</v>
      </c>
    </row>
    <row r="837" spans="1:6" ht="19.5" customHeight="1" outlineLevel="1" x14ac:dyDescent="0.25">
      <c r="A837" s="125"/>
      <c r="B837" s="218" t="s">
        <v>242</v>
      </c>
      <c r="C837" s="154"/>
      <c r="D837" s="115"/>
      <c r="E837" s="127"/>
      <c r="F837" s="137"/>
    </row>
    <row r="838" spans="1:6" ht="30" outlineLevel="1" x14ac:dyDescent="0.25">
      <c r="A838" s="125">
        <v>47</v>
      </c>
      <c r="B838" s="133" t="s">
        <v>85</v>
      </c>
      <c r="C838" s="113">
        <v>1000</v>
      </c>
      <c r="D838" s="115">
        <v>10137.189999999999</v>
      </c>
      <c r="E838" s="115">
        <v>4640.7</v>
      </c>
      <c r="F838" s="127">
        <v>47043.657632999995</v>
      </c>
    </row>
    <row r="839" spans="1:6" ht="45" outlineLevel="1" x14ac:dyDescent="0.25">
      <c r="A839" s="125">
        <v>48</v>
      </c>
      <c r="B839" s="119" t="s">
        <v>243</v>
      </c>
      <c r="C839" s="113">
        <v>100</v>
      </c>
      <c r="D839" s="115">
        <v>10137.189999999999</v>
      </c>
      <c r="E839" s="127">
        <v>6849</v>
      </c>
      <c r="F839" s="127">
        <v>694296.14309999987</v>
      </c>
    </row>
    <row r="840" spans="1:6" ht="20.25" customHeight="1" outlineLevel="1" x14ac:dyDescent="0.25">
      <c r="A840" s="125">
        <v>49</v>
      </c>
      <c r="B840" s="119" t="s">
        <v>87</v>
      </c>
      <c r="C840" s="120">
        <v>100</v>
      </c>
      <c r="D840" s="115">
        <v>3737.0541800000001</v>
      </c>
      <c r="E840" s="127">
        <v>2265.1</v>
      </c>
      <c r="F840" s="127">
        <v>84648.014231179986</v>
      </c>
    </row>
    <row r="841" spans="1:6" ht="20.25" customHeight="1" outlineLevel="1" x14ac:dyDescent="0.25">
      <c r="A841" s="125">
        <v>50</v>
      </c>
      <c r="B841" s="119" t="s">
        <v>88</v>
      </c>
      <c r="C841" s="120">
        <v>100</v>
      </c>
      <c r="D841" s="115">
        <v>631.16</v>
      </c>
      <c r="E841" s="127">
        <v>1660.5</v>
      </c>
      <c r="F841" s="127">
        <v>10480.4118</v>
      </c>
    </row>
    <row r="842" spans="1:6" ht="30" outlineLevel="1" x14ac:dyDescent="0.25">
      <c r="A842" s="125">
        <v>51</v>
      </c>
      <c r="B842" s="133" t="s">
        <v>244</v>
      </c>
      <c r="C842" s="113">
        <v>100</v>
      </c>
      <c r="D842" s="115">
        <v>1233.5999999999999</v>
      </c>
      <c r="E842" s="127">
        <v>18564.099999999999</v>
      </c>
      <c r="F842" s="127">
        <v>229006.73759999999</v>
      </c>
    </row>
    <row r="843" spans="1:6" ht="30" outlineLevel="1" x14ac:dyDescent="0.25">
      <c r="A843" s="125">
        <v>52</v>
      </c>
      <c r="B843" s="133" t="s">
        <v>245</v>
      </c>
      <c r="C843" s="113">
        <v>100</v>
      </c>
      <c r="D843" s="115">
        <v>1233.5999999999999</v>
      </c>
      <c r="E843" s="127">
        <v>18564.099999999999</v>
      </c>
      <c r="F843" s="127">
        <v>229006.73759999999</v>
      </c>
    </row>
    <row r="844" spans="1:6" ht="30" outlineLevel="1" x14ac:dyDescent="0.25">
      <c r="A844" s="125">
        <v>53</v>
      </c>
      <c r="B844" s="133" t="s">
        <v>246</v>
      </c>
      <c r="C844" s="113">
        <v>100</v>
      </c>
      <c r="D844" s="115">
        <v>208.28</v>
      </c>
      <c r="E844" s="127">
        <v>18017.599999999999</v>
      </c>
      <c r="F844" s="127">
        <v>37527.057279999994</v>
      </c>
    </row>
    <row r="845" spans="1:6" ht="30" outlineLevel="1" x14ac:dyDescent="0.25">
      <c r="A845" s="125">
        <v>54</v>
      </c>
      <c r="B845" s="133" t="s">
        <v>233</v>
      </c>
      <c r="C845" s="113">
        <v>100</v>
      </c>
      <c r="D845" s="115">
        <v>208.28</v>
      </c>
      <c r="E845" s="127">
        <v>18017.599999999999</v>
      </c>
      <c r="F845" s="127">
        <v>37527.057279999994</v>
      </c>
    </row>
    <row r="846" spans="1:6" ht="30" outlineLevel="1" x14ac:dyDescent="0.25">
      <c r="A846" s="125">
        <v>55</v>
      </c>
      <c r="B846" s="133" t="s">
        <v>247</v>
      </c>
      <c r="C846" s="113">
        <v>100</v>
      </c>
      <c r="D846" s="115">
        <v>3738.19</v>
      </c>
      <c r="E846" s="127">
        <v>11511</v>
      </c>
      <c r="F846" s="127">
        <v>430303.05090000003</v>
      </c>
    </row>
    <row r="847" spans="1:6" ht="30" outlineLevel="1" x14ac:dyDescent="0.25">
      <c r="A847" s="125">
        <v>56</v>
      </c>
      <c r="B847" s="133" t="s">
        <v>248</v>
      </c>
      <c r="C847" s="113">
        <v>100</v>
      </c>
      <c r="D847" s="115">
        <v>631.16</v>
      </c>
      <c r="E847" s="127">
        <v>10570.5</v>
      </c>
      <c r="F847" s="127">
        <v>66716.767799999987</v>
      </c>
    </row>
    <row r="848" spans="1:6" ht="60" outlineLevel="1" x14ac:dyDescent="0.25">
      <c r="A848" s="125">
        <v>57</v>
      </c>
      <c r="B848" s="119" t="s">
        <v>249</v>
      </c>
      <c r="C848" s="113">
        <v>100</v>
      </c>
      <c r="D848" s="115">
        <v>33005.504368000002</v>
      </c>
      <c r="E848" s="127">
        <v>14042.6</v>
      </c>
      <c r="F848" s="127">
        <v>4634830.9563807687</v>
      </c>
    </row>
    <row r="849" spans="1:6" outlineLevel="1" x14ac:dyDescent="0.25">
      <c r="A849" s="506" t="s">
        <v>43</v>
      </c>
      <c r="B849" s="506"/>
      <c r="C849" s="506"/>
      <c r="D849" s="506"/>
      <c r="E849" s="506"/>
      <c r="F849" s="72">
        <f>SUM(F781:F848)</f>
        <v>42884843.158645213</v>
      </c>
    </row>
    <row r="850" spans="1:6" outlineLevel="1" x14ac:dyDescent="0.25">
      <c r="A850" s="534" t="s">
        <v>284</v>
      </c>
      <c r="B850" s="534"/>
      <c r="C850" s="534"/>
      <c r="D850" s="534"/>
      <c r="E850" s="534"/>
      <c r="F850" s="534"/>
    </row>
    <row r="851" spans="1:6" ht="75.75" outlineLevel="1" x14ac:dyDescent="0.25">
      <c r="A851" s="129">
        <v>1</v>
      </c>
      <c r="B851" s="135" t="s">
        <v>285</v>
      </c>
      <c r="C851" s="113">
        <v>1000</v>
      </c>
      <c r="D851" s="115">
        <v>14140.759900000003</v>
      </c>
      <c r="E851" s="115">
        <v>15824.15</v>
      </c>
      <c r="F851" s="114">
        <v>223765.50577158504</v>
      </c>
    </row>
    <row r="852" spans="1:6" ht="45" outlineLevel="1" x14ac:dyDescent="0.25">
      <c r="A852" s="546">
        <v>2</v>
      </c>
      <c r="B852" s="112" t="s">
        <v>124</v>
      </c>
      <c r="C852" s="111"/>
      <c r="D852" s="115"/>
      <c r="E852" s="115">
        <v>0</v>
      </c>
      <c r="F852" s="116"/>
    </row>
    <row r="853" spans="1:6" outlineLevel="1" x14ac:dyDescent="0.25">
      <c r="A853" s="546"/>
      <c r="B853" s="112" t="s">
        <v>24</v>
      </c>
      <c r="C853" s="113">
        <v>100</v>
      </c>
      <c r="D853" s="115">
        <v>1744.5219</v>
      </c>
      <c r="E853" s="115">
        <v>34694.300000000003</v>
      </c>
      <c r="F853" s="114">
        <v>605249.66155169997</v>
      </c>
    </row>
    <row r="854" spans="1:6" outlineLevel="1" x14ac:dyDescent="0.25">
      <c r="A854" s="546"/>
      <c r="B854" s="112" t="s">
        <v>125</v>
      </c>
      <c r="C854" s="113">
        <v>100</v>
      </c>
      <c r="D854" s="115">
        <v>180.36562499999994</v>
      </c>
      <c r="E854" s="115">
        <v>47135.9</v>
      </c>
      <c r="F854" s="114">
        <v>85016.960634374977</v>
      </c>
    </row>
    <row r="855" spans="1:6" ht="30.75" customHeight="1" outlineLevel="1" x14ac:dyDescent="0.25">
      <c r="A855" s="125">
        <v>3</v>
      </c>
      <c r="B855" s="135" t="s">
        <v>79</v>
      </c>
      <c r="C855" s="113">
        <v>100</v>
      </c>
      <c r="D855" s="115">
        <v>2798.8875000000007</v>
      </c>
      <c r="E855" s="115">
        <v>35727</v>
      </c>
      <c r="F855" s="114">
        <v>999958.53712500026</v>
      </c>
    </row>
    <row r="856" spans="1:6" ht="120" outlineLevel="1" x14ac:dyDescent="0.25">
      <c r="A856" s="125">
        <v>4</v>
      </c>
      <c r="B856" s="135" t="s">
        <v>99</v>
      </c>
      <c r="C856" s="122"/>
      <c r="D856" s="115"/>
      <c r="E856" s="115"/>
      <c r="F856" s="121"/>
    </row>
    <row r="857" spans="1:6" ht="75" outlineLevel="1" x14ac:dyDescent="0.25">
      <c r="A857" s="147"/>
      <c r="B857" s="135" t="s">
        <v>100</v>
      </c>
      <c r="C857" s="113">
        <v>1</v>
      </c>
      <c r="D857" s="115">
        <v>2377.125</v>
      </c>
      <c r="E857" s="115">
        <v>817.55</v>
      </c>
      <c r="F857" s="114">
        <v>1943418.54375</v>
      </c>
    </row>
    <row r="858" spans="1:6" ht="75" outlineLevel="1" x14ac:dyDescent="0.25">
      <c r="A858" s="147"/>
      <c r="B858" s="135" t="s">
        <v>201</v>
      </c>
      <c r="C858" s="113">
        <v>1</v>
      </c>
      <c r="D858" s="115">
        <v>823.5</v>
      </c>
      <c r="E858" s="115">
        <v>670.5</v>
      </c>
      <c r="F858" s="114">
        <v>552156.75</v>
      </c>
    </row>
    <row r="859" spans="1:6" ht="90" outlineLevel="1" x14ac:dyDescent="0.25">
      <c r="A859" s="147">
        <v>5</v>
      </c>
      <c r="B859" s="135" t="s">
        <v>286</v>
      </c>
      <c r="C859" s="131">
        <v>100</v>
      </c>
      <c r="D859" s="115">
        <v>9601.875</v>
      </c>
      <c r="E859" s="136">
        <v>30376.9</v>
      </c>
      <c r="F859" s="114">
        <v>2916751.9668749999</v>
      </c>
    </row>
    <row r="860" spans="1:6" ht="30" outlineLevel="1" x14ac:dyDescent="0.25">
      <c r="A860" s="125">
        <v>6</v>
      </c>
      <c r="B860" s="119" t="s">
        <v>287</v>
      </c>
      <c r="C860" s="113">
        <v>100</v>
      </c>
      <c r="D860" s="115">
        <v>4464.8392000000003</v>
      </c>
      <c r="E860" s="127">
        <v>6849</v>
      </c>
      <c r="F860" s="114">
        <v>305796.83680799999</v>
      </c>
    </row>
    <row r="861" spans="1:6" ht="26.25" customHeight="1" outlineLevel="1" x14ac:dyDescent="0.25">
      <c r="A861" s="125">
        <v>7</v>
      </c>
      <c r="B861" s="133" t="s">
        <v>66</v>
      </c>
      <c r="C861" s="113">
        <v>1000</v>
      </c>
      <c r="D861" s="115">
        <v>4880</v>
      </c>
      <c r="E861" s="114">
        <v>5266.8</v>
      </c>
      <c r="F861" s="114">
        <v>25701.984</v>
      </c>
    </row>
    <row r="862" spans="1:6" ht="75.75" outlineLevel="1" x14ac:dyDescent="0.25">
      <c r="A862" s="125">
        <v>8</v>
      </c>
      <c r="B862" s="133" t="s">
        <v>40</v>
      </c>
      <c r="C862" s="126"/>
      <c r="D862" s="115"/>
      <c r="E862" s="114"/>
      <c r="F862" s="114"/>
    </row>
    <row r="863" spans="1:6" outlineLevel="1" x14ac:dyDescent="0.25">
      <c r="A863" s="125" t="s">
        <v>67</v>
      </c>
      <c r="B863" s="133" t="s">
        <v>68</v>
      </c>
      <c r="C863" s="113">
        <v>100</v>
      </c>
      <c r="D863" s="115">
        <v>1674.7410239999999</v>
      </c>
      <c r="E863" s="114">
        <v>14042.6</v>
      </c>
      <c r="F863" s="114">
        <v>235177.18303622399</v>
      </c>
    </row>
    <row r="864" spans="1:6" outlineLevel="1" x14ac:dyDescent="0.25">
      <c r="A864" s="125" t="s">
        <v>67</v>
      </c>
      <c r="B864" s="133" t="s">
        <v>42</v>
      </c>
      <c r="C864" s="113">
        <v>100</v>
      </c>
      <c r="D864" s="115">
        <v>158.72174999999996</v>
      </c>
      <c r="E864" s="114">
        <v>14042.6</v>
      </c>
      <c r="F864" s="114">
        <v>22288.660465499997</v>
      </c>
    </row>
    <row r="865" spans="1:6" outlineLevel="1" x14ac:dyDescent="0.25">
      <c r="A865" s="125" t="s">
        <v>41</v>
      </c>
      <c r="B865" s="133" t="s">
        <v>69</v>
      </c>
      <c r="C865" s="113">
        <v>100</v>
      </c>
      <c r="D865" s="115">
        <v>2688.5250000000001</v>
      </c>
      <c r="E865" s="114">
        <v>14042.6</v>
      </c>
      <c r="F865" s="114">
        <v>377538.81164999999</v>
      </c>
    </row>
    <row r="866" spans="1:6" outlineLevel="1" x14ac:dyDescent="0.25">
      <c r="A866" s="125" t="s">
        <v>70</v>
      </c>
      <c r="B866" s="133" t="s">
        <v>288</v>
      </c>
      <c r="C866" s="113">
        <v>100</v>
      </c>
      <c r="D866" s="115">
        <v>6027.5329200000006</v>
      </c>
      <c r="E866" s="114">
        <v>14042.6</v>
      </c>
      <c r="F866" s="114">
        <v>846422.33782392007</v>
      </c>
    </row>
    <row r="867" spans="1:6" outlineLevel="1" x14ac:dyDescent="0.25">
      <c r="A867" s="506" t="s">
        <v>289</v>
      </c>
      <c r="B867" s="506"/>
      <c r="C867" s="506"/>
      <c r="D867" s="506"/>
      <c r="E867" s="506"/>
      <c r="F867" s="72">
        <f>SUM(F851:F866)</f>
        <v>9139243.7394913044</v>
      </c>
    </row>
    <row r="868" spans="1:6" outlineLevel="1" x14ac:dyDescent="0.25">
      <c r="A868" s="534" t="s">
        <v>290</v>
      </c>
      <c r="B868" s="534"/>
      <c r="C868" s="534"/>
      <c r="D868" s="534"/>
      <c r="E868" s="534"/>
      <c r="F868" s="534"/>
    </row>
    <row r="869" spans="1:6" ht="75" outlineLevel="1" x14ac:dyDescent="0.25">
      <c r="A869" s="129">
        <v>1</v>
      </c>
      <c r="B869" s="133" t="s">
        <v>108</v>
      </c>
      <c r="C869" s="113">
        <v>1000</v>
      </c>
      <c r="D869" s="115">
        <v>6538.7028998375999</v>
      </c>
      <c r="E869" s="115">
        <v>15824.15</v>
      </c>
      <c r="F869" s="115">
        <f>D869*E869/1000</f>
        <v>103469.41549246515</v>
      </c>
    </row>
    <row r="870" spans="1:6" ht="105" outlineLevel="1" x14ac:dyDescent="0.25">
      <c r="A870" s="129">
        <v>2</v>
      </c>
      <c r="B870" s="145" t="s">
        <v>109</v>
      </c>
      <c r="C870" s="120">
        <v>1</v>
      </c>
      <c r="D870" s="115">
        <v>6102</v>
      </c>
      <c r="E870" s="127">
        <v>12.55</v>
      </c>
      <c r="F870" s="115">
        <f>D870*E870</f>
        <v>76580.100000000006</v>
      </c>
    </row>
    <row r="871" spans="1:6" ht="45" outlineLevel="1" x14ac:dyDescent="0.25">
      <c r="A871" s="125">
        <v>3</v>
      </c>
      <c r="B871" s="135" t="s">
        <v>23</v>
      </c>
      <c r="C871" s="126"/>
      <c r="D871" s="115">
        <v>0</v>
      </c>
      <c r="E871" s="127">
        <v>0</v>
      </c>
      <c r="F871" s="127"/>
    </row>
    <row r="872" spans="1:6" outlineLevel="1" x14ac:dyDescent="0.25">
      <c r="A872" s="125"/>
      <c r="B872" s="133" t="s">
        <v>24</v>
      </c>
      <c r="C872" s="113">
        <v>100</v>
      </c>
      <c r="D872" s="115">
        <v>1267.3493318976002</v>
      </c>
      <c r="E872" s="115">
        <v>34694.300000000003</v>
      </c>
      <c r="F872" s="115">
        <f>D872*E872/100</f>
        <v>439697.97925654915</v>
      </c>
    </row>
    <row r="873" spans="1:6" ht="30" outlineLevel="1" x14ac:dyDescent="0.25">
      <c r="A873" s="125">
        <v>4</v>
      </c>
      <c r="B873" s="135" t="s">
        <v>25</v>
      </c>
      <c r="C873" s="113">
        <v>100</v>
      </c>
      <c r="D873" s="115">
        <v>3780.4800000000005</v>
      </c>
      <c r="E873" s="115">
        <v>32675.95</v>
      </c>
      <c r="F873" s="115">
        <f>D873*E873/100</f>
        <v>1235307.7545600003</v>
      </c>
    </row>
    <row r="874" spans="1:6" ht="60" outlineLevel="1" x14ac:dyDescent="0.25">
      <c r="A874" s="125">
        <v>5</v>
      </c>
      <c r="B874" s="135" t="s">
        <v>110</v>
      </c>
      <c r="C874" s="120">
        <v>100</v>
      </c>
      <c r="D874" s="115">
        <v>774</v>
      </c>
      <c r="E874" s="115">
        <v>11460.2</v>
      </c>
      <c r="F874" s="115">
        <f>D874*E874/100</f>
        <v>88701.948000000004</v>
      </c>
    </row>
    <row r="875" spans="1:6" ht="60" outlineLevel="1" x14ac:dyDescent="0.25">
      <c r="A875" s="125">
        <v>6</v>
      </c>
      <c r="B875" s="133" t="s">
        <v>111</v>
      </c>
      <c r="C875" s="120">
        <v>100</v>
      </c>
      <c r="D875" s="115">
        <v>1440</v>
      </c>
      <c r="E875" s="115">
        <v>7607.35</v>
      </c>
      <c r="F875" s="115">
        <f>D875*E875/100</f>
        <v>109545.84</v>
      </c>
    </row>
    <row r="876" spans="1:6" ht="30" outlineLevel="1" x14ac:dyDescent="0.25">
      <c r="A876" s="125">
        <v>7</v>
      </c>
      <c r="B876" s="135" t="s">
        <v>112</v>
      </c>
      <c r="C876" s="113">
        <v>1000</v>
      </c>
      <c r="D876" s="115">
        <v>1800</v>
      </c>
      <c r="E876" s="115">
        <v>7547.75</v>
      </c>
      <c r="F876" s="115">
        <f>D876*E876/1000</f>
        <v>13585.95</v>
      </c>
    </row>
    <row r="877" spans="1:6" ht="30" outlineLevel="1" x14ac:dyDescent="0.25">
      <c r="A877" s="125">
        <v>8</v>
      </c>
      <c r="B877" s="133" t="s">
        <v>113</v>
      </c>
      <c r="C877" s="113">
        <v>100</v>
      </c>
      <c r="D877" s="115">
        <v>3490.7999999999997</v>
      </c>
      <c r="E877" s="115">
        <v>35830.6</v>
      </c>
      <c r="F877" s="115">
        <f>D877*E877/100</f>
        <v>1250774.5847999998</v>
      </c>
    </row>
    <row r="878" spans="1:6" ht="120.75" outlineLevel="1" x14ac:dyDescent="0.25">
      <c r="A878" s="219">
        <v>9</v>
      </c>
      <c r="B878" s="135" t="s">
        <v>47</v>
      </c>
      <c r="C878" s="122"/>
      <c r="D878" s="115">
        <v>0</v>
      </c>
      <c r="E878" s="115"/>
      <c r="F878" s="137"/>
    </row>
    <row r="879" spans="1:6" ht="75" outlineLevel="1" x14ac:dyDescent="0.25">
      <c r="A879" s="219" t="s">
        <v>48</v>
      </c>
      <c r="B879" s="135" t="s">
        <v>174</v>
      </c>
      <c r="C879" s="113">
        <v>1</v>
      </c>
      <c r="D879" s="115">
        <v>1849.9895999999999</v>
      </c>
      <c r="E879" s="115">
        <v>741.85</v>
      </c>
      <c r="F879" s="115">
        <f>D879*E879</f>
        <v>1372414.78476</v>
      </c>
    </row>
    <row r="880" spans="1:6" ht="75" outlineLevel="1" x14ac:dyDescent="0.25">
      <c r="A880" s="219" t="s">
        <v>50</v>
      </c>
      <c r="B880" s="133" t="s">
        <v>175</v>
      </c>
      <c r="C880" s="113">
        <v>1</v>
      </c>
      <c r="D880" s="115">
        <v>220.89374999999998</v>
      </c>
      <c r="E880" s="115">
        <v>595</v>
      </c>
      <c r="F880" s="115">
        <f>D880*E880</f>
        <v>131431.78125</v>
      </c>
    </row>
    <row r="881" spans="1:6" ht="90" outlineLevel="1" x14ac:dyDescent="0.25">
      <c r="A881" s="147">
        <v>10</v>
      </c>
      <c r="B881" s="135" t="s">
        <v>116</v>
      </c>
      <c r="C881" s="131">
        <v>100</v>
      </c>
      <c r="D881" s="115">
        <v>12425.3001</v>
      </c>
      <c r="E881" s="115">
        <v>30376.9</v>
      </c>
      <c r="F881" s="115">
        <f>D881*E881/100</f>
        <v>3774420.9860769003</v>
      </c>
    </row>
    <row r="882" spans="1:6" ht="180" outlineLevel="1" x14ac:dyDescent="0.25">
      <c r="A882" s="125">
        <v>11</v>
      </c>
      <c r="B882" s="135" t="s">
        <v>117</v>
      </c>
      <c r="C882" s="120">
        <v>1</v>
      </c>
      <c r="D882" s="115">
        <v>384</v>
      </c>
      <c r="E882" s="115">
        <v>2180.6999999999998</v>
      </c>
      <c r="F882" s="115">
        <f>D882*E882</f>
        <v>837388.79999999993</v>
      </c>
    </row>
    <row r="883" spans="1:6" ht="60" outlineLevel="1" x14ac:dyDescent="0.25">
      <c r="A883" s="125">
        <v>12</v>
      </c>
      <c r="B883" s="135" t="s">
        <v>118</v>
      </c>
      <c r="C883" s="120">
        <v>1</v>
      </c>
      <c r="D883" s="115">
        <v>480</v>
      </c>
      <c r="E883" s="115">
        <v>457.1</v>
      </c>
      <c r="F883" s="115">
        <f>D883*E883</f>
        <v>219408</v>
      </c>
    </row>
    <row r="884" spans="1:6" ht="45" outlineLevel="1" x14ac:dyDescent="0.25">
      <c r="A884" s="125">
        <v>13</v>
      </c>
      <c r="B884" s="135" t="s">
        <v>119</v>
      </c>
      <c r="C884" s="120">
        <v>1</v>
      </c>
      <c r="D884" s="115">
        <v>588</v>
      </c>
      <c r="E884" s="115">
        <v>2767</v>
      </c>
      <c r="F884" s="115">
        <f>D884*E884</f>
        <v>1626996</v>
      </c>
    </row>
    <row r="885" spans="1:6" ht="75" outlineLevel="1" x14ac:dyDescent="0.25">
      <c r="A885" s="129">
        <v>14</v>
      </c>
      <c r="B885" s="135" t="s">
        <v>120</v>
      </c>
      <c r="C885" s="120">
        <v>100</v>
      </c>
      <c r="D885" s="115">
        <v>1146.75</v>
      </c>
      <c r="E885" s="115">
        <v>13179.6</v>
      </c>
      <c r="F885" s="115">
        <f>D885*E885/100</f>
        <v>151137.06299999999</v>
      </c>
    </row>
    <row r="886" spans="1:6" ht="30" outlineLevel="1" x14ac:dyDescent="0.25">
      <c r="A886" s="129">
        <v>15</v>
      </c>
      <c r="B886" s="135" t="s">
        <v>121</v>
      </c>
      <c r="C886" s="120">
        <v>1</v>
      </c>
      <c r="D886" s="115">
        <v>1194.75</v>
      </c>
      <c r="E886" s="115">
        <v>11</v>
      </c>
      <c r="F886" s="115">
        <f>D886*E886</f>
        <v>13142.25</v>
      </c>
    </row>
    <row r="887" spans="1:6" ht="27" customHeight="1" outlineLevel="1" x14ac:dyDescent="0.25">
      <c r="A887" s="125">
        <v>16</v>
      </c>
      <c r="B887" s="135" t="s">
        <v>122</v>
      </c>
      <c r="C887" s="113">
        <v>100</v>
      </c>
      <c r="D887" s="115">
        <v>491.25</v>
      </c>
      <c r="E887" s="127">
        <v>3987</v>
      </c>
      <c r="F887" s="115">
        <f>D887*E887/100</f>
        <v>19586.137500000001</v>
      </c>
    </row>
    <row r="888" spans="1:6" ht="45" outlineLevel="1" x14ac:dyDescent="0.25">
      <c r="A888" s="129">
        <v>17</v>
      </c>
      <c r="B888" s="135" t="s">
        <v>123</v>
      </c>
      <c r="C888" s="113">
        <v>100</v>
      </c>
      <c r="D888" s="115">
        <v>587.25</v>
      </c>
      <c r="E888" s="127">
        <v>12801.2</v>
      </c>
      <c r="F888" s="115">
        <f>D888*E888/100</f>
        <v>75175.047000000006</v>
      </c>
    </row>
    <row r="889" spans="1:6" ht="45" outlineLevel="1" x14ac:dyDescent="0.25">
      <c r="A889" s="546">
        <v>18</v>
      </c>
      <c r="B889" s="112" t="s">
        <v>124</v>
      </c>
      <c r="C889" s="122"/>
      <c r="D889" s="115">
        <v>0</v>
      </c>
      <c r="E889" s="115">
        <v>0</v>
      </c>
      <c r="F889" s="127"/>
    </row>
    <row r="890" spans="1:6" outlineLevel="1" x14ac:dyDescent="0.25">
      <c r="A890" s="546"/>
      <c r="B890" s="112" t="s">
        <v>125</v>
      </c>
      <c r="C890" s="113">
        <v>100</v>
      </c>
      <c r="D890" s="115">
        <v>550.31999999999994</v>
      </c>
      <c r="E890" s="115">
        <v>47135.9</v>
      </c>
      <c r="F890" s="115">
        <f>D890*E890/100</f>
        <v>259398.28487999999</v>
      </c>
    </row>
    <row r="891" spans="1:6" ht="30" outlineLevel="1" x14ac:dyDescent="0.25">
      <c r="A891" s="125">
        <v>19</v>
      </c>
      <c r="B891" s="135" t="s">
        <v>126</v>
      </c>
      <c r="C891" s="120">
        <v>100</v>
      </c>
      <c r="D891" s="115">
        <v>6819.6600000000008</v>
      </c>
      <c r="E891" s="127">
        <v>4614.1000000000004</v>
      </c>
      <c r="F891" s="115">
        <f>D891*E891/100</f>
        <v>314665.93206000008</v>
      </c>
    </row>
    <row r="892" spans="1:6" ht="45" outlineLevel="1" x14ac:dyDescent="0.25">
      <c r="A892" s="125">
        <v>20</v>
      </c>
      <c r="B892" s="135" t="s">
        <v>127</v>
      </c>
      <c r="C892" s="120">
        <v>100</v>
      </c>
      <c r="D892" s="115">
        <v>1374.24</v>
      </c>
      <c r="E892" s="127">
        <v>5264.65</v>
      </c>
      <c r="F892" s="115">
        <f>D892*E892/100</f>
        <v>72348.926159999988</v>
      </c>
    </row>
    <row r="893" spans="1:6" ht="60" outlineLevel="1" x14ac:dyDescent="0.25">
      <c r="A893" s="125">
        <v>21</v>
      </c>
      <c r="B893" s="135" t="s">
        <v>128</v>
      </c>
      <c r="C893" s="120">
        <v>100</v>
      </c>
      <c r="D893" s="115">
        <v>5878.5</v>
      </c>
      <c r="E893" s="127">
        <v>5012.6499999999996</v>
      </c>
      <c r="F893" s="115">
        <f>D893*E893/100</f>
        <v>294668.63024999999</v>
      </c>
    </row>
    <row r="894" spans="1:6" ht="45" outlineLevel="1" x14ac:dyDescent="0.25">
      <c r="A894" s="125">
        <v>22</v>
      </c>
      <c r="B894" s="135" t="s">
        <v>129</v>
      </c>
      <c r="C894" s="139">
        <v>1</v>
      </c>
      <c r="D894" s="115">
        <v>156</v>
      </c>
      <c r="E894" s="127">
        <v>514.9</v>
      </c>
      <c r="F894" s="115">
        <f>D894*E894</f>
        <v>80324.399999999994</v>
      </c>
    </row>
    <row r="895" spans="1:6" ht="30" outlineLevel="1" x14ac:dyDescent="0.25">
      <c r="A895" s="125">
        <v>23</v>
      </c>
      <c r="B895" s="135" t="s">
        <v>130</v>
      </c>
      <c r="C895" s="128">
        <v>1</v>
      </c>
      <c r="D895" s="115">
        <v>24</v>
      </c>
      <c r="E895" s="127">
        <v>849.7</v>
      </c>
      <c r="F895" s="115">
        <f>D895*E895</f>
        <v>20392.800000000003</v>
      </c>
    </row>
    <row r="896" spans="1:6" ht="22.5" customHeight="1" outlineLevel="1" x14ac:dyDescent="0.25">
      <c r="A896" s="125">
        <v>24</v>
      </c>
      <c r="B896" s="135" t="s">
        <v>131</v>
      </c>
      <c r="C896" s="128">
        <v>1</v>
      </c>
      <c r="D896" s="115">
        <v>12</v>
      </c>
      <c r="E896" s="127">
        <v>1159.6500000000001</v>
      </c>
      <c r="F896" s="115">
        <f>D896*E896</f>
        <v>13915.800000000001</v>
      </c>
    </row>
    <row r="897" spans="1:6" ht="22.5" customHeight="1" outlineLevel="1" x14ac:dyDescent="0.25">
      <c r="A897" s="125">
        <v>25</v>
      </c>
      <c r="B897" s="135" t="s">
        <v>132</v>
      </c>
      <c r="C897" s="120">
        <v>100</v>
      </c>
      <c r="D897" s="115">
        <v>6123.24</v>
      </c>
      <c r="E897" s="127">
        <v>1548.2</v>
      </c>
      <c r="F897" s="115">
        <f>D897*E897/100</f>
        <v>94800.001680000001</v>
      </c>
    </row>
    <row r="898" spans="1:6" ht="45" outlineLevel="1" x14ac:dyDescent="0.25">
      <c r="A898" s="125">
        <v>26</v>
      </c>
      <c r="B898" s="135" t="s">
        <v>133</v>
      </c>
      <c r="C898" s="120">
        <v>100</v>
      </c>
      <c r="D898" s="115">
        <v>2070.66</v>
      </c>
      <c r="E898" s="127">
        <v>7379.1</v>
      </c>
      <c r="F898" s="115">
        <f>D898*E898/100</f>
        <v>152796.07206000001</v>
      </c>
    </row>
    <row r="899" spans="1:6" ht="30" outlineLevel="1" x14ac:dyDescent="0.25">
      <c r="A899" s="125">
        <v>27</v>
      </c>
      <c r="B899" s="135" t="s">
        <v>134</v>
      </c>
      <c r="C899" s="120">
        <v>100</v>
      </c>
      <c r="D899" s="115">
        <v>1068</v>
      </c>
      <c r="E899" s="127">
        <v>3052.4</v>
      </c>
      <c r="F899" s="115">
        <f>D899*E899/100</f>
        <v>32599.632000000001</v>
      </c>
    </row>
    <row r="900" spans="1:6" ht="60" outlineLevel="1" x14ac:dyDescent="0.25">
      <c r="A900" s="125">
        <v>28</v>
      </c>
      <c r="B900" s="112" t="s">
        <v>135</v>
      </c>
      <c r="C900" s="131">
        <v>100</v>
      </c>
      <c r="D900" s="115">
        <v>4019.504672049351</v>
      </c>
      <c r="E900" s="115">
        <v>37098.85</v>
      </c>
      <c r="F900" s="115">
        <f>D900*E900/100</f>
        <v>1491190.0090265807</v>
      </c>
    </row>
    <row r="901" spans="1:6" ht="45" outlineLevel="1" x14ac:dyDescent="0.25">
      <c r="A901" s="546">
        <v>29</v>
      </c>
      <c r="B901" s="135" t="s">
        <v>136</v>
      </c>
      <c r="C901" s="122"/>
      <c r="D901" s="115">
        <v>0</v>
      </c>
      <c r="E901" s="127">
        <v>0</v>
      </c>
      <c r="F901" s="127"/>
    </row>
    <row r="902" spans="1:6" outlineLevel="1" x14ac:dyDescent="0.25">
      <c r="A902" s="546"/>
      <c r="B902" s="135" t="s">
        <v>176</v>
      </c>
      <c r="C902" s="139">
        <v>1</v>
      </c>
      <c r="D902" s="115">
        <v>720</v>
      </c>
      <c r="E902" s="127">
        <v>112.25</v>
      </c>
      <c r="F902" s="115">
        <f>D902*E902</f>
        <v>80820</v>
      </c>
    </row>
    <row r="903" spans="1:6" outlineLevel="1" x14ac:dyDescent="0.25">
      <c r="A903" s="546"/>
      <c r="B903" s="135" t="s">
        <v>177</v>
      </c>
      <c r="C903" s="139">
        <v>1</v>
      </c>
      <c r="D903" s="115">
        <v>360</v>
      </c>
      <c r="E903" s="127">
        <v>133.6</v>
      </c>
      <c r="F903" s="115">
        <f>D903*E903</f>
        <v>48096</v>
      </c>
    </row>
    <row r="904" spans="1:6" outlineLevel="1" x14ac:dyDescent="0.25">
      <c r="A904" s="125"/>
      <c r="B904" s="135" t="s">
        <v>178</v>
      </c>
      <c r="C904" s="139">
        <v>1</v>
      </c>
      <c r="D904" s="115">
        <v>180</v>
      </c>
      <c r="E904" s="127">
        <v>231.55</v>
      </c>
      <c r="F904" s="115">
        <f>D904*E904</f>
        <v>41679</v>
      </c>
    </row>
    <row r="905" spans="1:6" ht="75" outlineLevel="1" x14ac:dyDescent="0.25">
      <c r="A905" s="546">
        <v>30</v>
      </c>
      <c r="B905" s="135" t="s">
        <v>141</v>
      </c>
      <c r="C905" s="122"/>
      <c r="D905" s="115">
        <v>0</v>
      </c>
      <c r="E905" s="127">
        <v>0</v>
      </c>
      <c r="F905" s="137"/>
    </row>
    <row r="906" spans="1:6" outlineLevel="1" x14ac:dyDescent="0.25">
      <c r="A906" s="546"/>
      <c r="B906" s="135" t="s">
        <v>180</v>
      </c>
      <c r="C906" s="139">
        <v>1</v>
      </c>
      <c r="D906" s="115">
        <v>2160</v>
      </c>
      <c r="E906" s="127">
        <v>35.700000000000003</v>
      </c>
      <c r="F906" s="115">
        <f>D906*E906</f>
        <v>77112</v>
      </c>
    </row>
    <row r="907" spans="1:6" outlineLevel="1" x14ac:dyDescent="0.25">
      <c r="A907" s="146"/>
      <c r="B907" s="135" t="s">
        <v>181</v>
      </c>
      <c r="C907" s="139">
        <v>1</v>
      </c>
      <c r="D907" s="115">
        <v>720</v>
      </c>
      <c r="E907" s="127">
        <v>56.3</v>
      </c>
      <c r="F907" s="115">
        <f>D907*E907</f>
        <v>40536</v>
      </c>
    </row>
    <row r="908" spans="1:6" ht="75" outlineLevel="1" x14ac:dyDescent="0.25">
      <c r="A908" s="125">
        <v>31</v>
      </c>
      <c r="B908" s="135" t="s">
        <v>144</v>
      </c>
      <c r="C908" s="139">
        <v>1</v>
      </c>
      <c r="D908" s="115">
        <v>480</v>
      </c>
      <c r="E908" s="127">
        <v>237.65</v>
      </c>
      <c r="F908" s="115">
        <f>D908*E908</f>
        <v>114072</v>
      </c>
    </row>
    <row r="909" spans="1:6" ht="60" outlineLevel="1" x14ac:dyDescent="0.25">
      <c r="A909" s="546">
        <v>32</v>
      </c>
      <c r="B909" s="135" t="s">
        <v>145</v>
      </c>
      <c r="C909" s="122"/>
      <c r="D909" s="115">
        <v>0</v>
      </c>
      <c r="E909" s="127">
        <v>0</v>
      </c>
      <c r="F909" s="137"/>
    </row>
    <row r="910" spans="1:6" outlineLevel="1" x14ac:dyDescent="0.25">
      <c r="A910" s="546"/>
      <c r="B910" s="135" t="s">
        <v>183</v>
      </c>
      <c r="C910" s="132">
        <v>1</v>
      </c>
      <c r="D910" s="115">
        <v>12</v>
      </c>
      <c r="E910" s="127">
        <v>382.3</v>
      </c>
      <c r="F910" s="115">
        <f t="shared" ref="F910:F921" si="48">D910*E910</f>
        <v>4587.6000000000004</v>
      </c>
    </row>
    <row r="911" spans="1:6" outlineLevel="1" x14ac:dyDescent="0.25">
      <c r="A911" s="546"/>
      <c r="B911" s="135" t="s">
        <v>184</v>
      </c>
      <c r="C911" s="132">
        <v>1</v>
      </c>
      <c r="D911" s="115">
        <v>12</v>
      </c>
      <c r="E911" s="127">
        <v>522.75</v>
      </c>
      <c r="F911" s="115">
        <f t="shared" si="48"/>
        <v>6273</v>
      </c>
    </row>
    <row r="912" spans="1:6" outlineLevel="1" x14ac:dyDescent="0.25">
      <c r="A912" s="546"/>
      <c r="B912" s="135" t="s">
        <v>185</v>
      </c>
      <c r="C912" s="132">
        <v>1</v>
      </c>
      <c r="D912" s="115">
        <v>12</v>
      </c>
      <c r="E912" s="127">
        <v>668.8</v>
      </c>
      <c r="F912" s="115">
        <f t="shared" si="48"/>
        <v>8025.5999999999995</v>
      </c>
    </row>
    <row r="913" spans="1:6" ht="30" outlineLevel="1" x14ac:dyDescent="0.25">
      <c r="A913" s="125">
        <v>33</v>
      </c>
      <c r="B913" s="135" t="s">
        <v>149</v>
      </c>
      <c r="C913" s="132">
        <v>1</v>
      </c>
      <c r="D913" s="115">
        <v>240</v>
      </c>
      <c r="E913" s="127">
        <v>102.7</v>
      </c>
      <c r="F913" s="115">
        <f t="shared" si="48"/>
        <v>24648</v>
      </c>
    </row>
    <row r="914" spans="1:6" ht="22.5" customHeight="1" outlineLevel="1" x14ac:dyDescent="0.25">
      <c r="A914" s="125">
        <v>34</v>
      </c>
      <c r="B914" s="135" t="s">
        <v>150</v>
      </c>
      <c r="C914" s="132">
        <v>1</v>
      </c>
      <c r="D914" s="115">
        <v>48</v>
      </c>
      <c r="E914" s="127">
        <v>96.3</v>
      </c>
      <c r="F914" s="115">
        <f t="shared" si="48"/>
        <v>4622.3999999999996</v>
      </c>
    </row>
    <row r="915" spans="1:6" ht="22.5" customHeight="1" outlineLevel="1" x14ac:dyDescent="0.25">
      <c r="A915" s="125">
        <v>35</v>
      </c>
      <c r="B915" s="135" t="s">
        <v>151</v>
      </c>
      <c r="C915" s="132">
        <v>1</v>
      </c>
      <c r="D915" s="115">
        <v>24</v>
      </c>
      <c r="E915" s="127">
        <v>204.7</v>
      </c>
      <c r="F915" s="115">
        <f t="shared" si="48"/>
        <v>4912.7999999999993</v>
      </c>
    </row>
    <row r="916" spans="1:6" ht="34.5" customHeight="1" outlineLevel="1" x14ac:dyDescent="0.25">
      <c r="A916" s="125">
        <v>36</v>
      </c>
      <c r="B916" s="135" t="s">
        <v>186</v>
      </c>
      <c r="C916" s="132">
        <v>1</v>
      </c>
      <c r="D916" s="115">
        <v>12</v>
      </c>
      <c r="E916" s="127">
        <v>213.1</v>
      </c>
      <c r="F916" s="115">
        <f t="shared" si="48"/>
        <v>2557.1999999999998</v>
      </c>
    </row>
    <row r="917" spans="1:6" ht="135" outlineLevel="1" x14ac:dyDescent="0.25">
      <c r="A917" s="125">
        <v>37</v>
      </c>
      <c r="B917" s="133" t="s">
        <v>208</v>
      </c>
      <c r="C917" s="128">
        <v>1</v>
      </c>
      <c r="D917" s="115">
        <v>12</v>
      </c>
      <c r="E917" s="127">
        <v>24422.65</v>
      </c>
      <c r="F917" s="115">
        <f t="shared" si="48"/>
        <v>293071.80000000005</v>
      </c>
    </row>
    <row r="918" spans="1:6" ht="90" outlineLevel="1" x14ac:dyDescent="0.25">
      <c r="A918" s="125">
        <v>38</v>
      </c>
      <c r="B918" s="135" t="s">
        <v>154</v>
      </c>
      <c r="C918" s="128">
        <v>1</v>
      </c>
      <c r="D918" s="115">
        <v>72</v>
      </c>
      <c r="E918" s="127">
        <v>1453.75</v>
      </c>
      <c r="F918" s="115">
        <f t="shared" si="48"/>
        <v>104670</v>
      </c>
    </row>
    <row r="919" spans="1:6" ht="135" outlineLevel="1" x14ac:dyDescent="0.25">
      <c r="A919" s="125">
        <v>39</v>
      </c>
      <c r="B919" s="133" t="s">
        <v>155</v>
      </c>
      <c r="C919" s="128">
        <v>1</v>
      </c>
      <c r="D919" s="115">
        <v>24</v>
      </c>
      <c r="E919" s="127">
        <v>13796.3</v>
      </c>
      <c r="F919" s="115">
        <f t="shared" si="48"/>
        <v>331111.19999999995</v>
      </c>
    </row>
    <row r="920" spans="1:6" ht="150" outlineLevel="1" x14ac:dyDescent="0.25">
      <c r="A920" s="125">
        <v>40</v>
      </c>
      <c r="B920" s="133" t="s">
        <v>156</v>
      </c>
      <c r="C920" s="128">
        <v>1</v>
      </c>
      <c r="D920" s="115">
        <v>12</v>
      </c>
      <c r="E920" s="127">
        <v>19859.400000000001</v>
      </c>
      <c r="F920" s="115">
        <f t="shared" si="48"/>
        <v>238312.80000000002</v>
      </c>
    </row>
    <row r="921" spans="1:6" ht="60" outlineLevel="1" x14ac:dyDescent="0.25">
      <c r="A921" s="125">
        <v>41</v>
      </c>
      <c r="B921" s="135" t="s">
        <v>157</v>
      </c>
      <c r="C921" s="128">
        <v>1</v>
      </c>
      <c r="D921" s="115">
        <v>36</v>
      </c>
      <c r="E921" s="127">
        <v>1995.3</v>
      </c>
      <c r="F921" s="115">
        <f t="shared" si="48"/>
        <v>71830.8</v>
      </c>
    </row>
    <row r="922" spans="1:6" ht="30" outlineLevel="1" x14ac:dyDescent="0.25">
      <c r="A922" s="125">
        <v>42</v>
      </c>
      <c r="B922" s="135" t="s">
        <v>158</v>
      </c>
      <c r="C922" s="128">
        <v>1</v>
      </c>
      <c r="D922" s="115">
        <v>36</v>
      </c>
      <c r="E922" s="127">
        <v>178.75</v>
      </c>
      <c r="F922" s="115">
        <f>D922*E922</f>
        <v>6435</v>
      </c>
    </row>
    <row r="923" spans="1:6" ht="75.75" outlineLevel="1" x14ac:dyDescent="0.25">
      <c r="A923" s="125">
        <v>43</v>
      </c>
      <c r="B923" s="133" t="s">
        <v>40</v>
      </c>
      <c r="C923" s="126"/>
      <c r="D923" s="115">
        <v>0</v>
      </c>
      <c r="E923" s="114"/>
      <c r="F923" s="114"/>
    </row>
    <row r="924" spans="1:6" outlineLevel="1" x14ac:dyDescent="0.25">
      <c r="A924" s="125" t="s">
        <v>67</v>
      </c>
      <c r="B924" s="133" t="s">
        <v>68</v>
      </c>
      <c r="C924" s="113">
        <v>100</v>
      </c>
      <c r="D924" s="115">
        <v>1216.655358621696</v>
      </c>
      <c r="E924" s="114">
        <v>14042.6</v>
      </c>
      <c r="F924" s="115">
        <f>D924*E924/100</f>
        <v>170850.04538981029</v>
      </c>
    </row>
    <row r="925" spans="1:6" outlineLevel="1" x14ac:dyDescent="0.25">
      <c r="A925" s="125" t="s">
        <v>41</v>
      </c>
      <c r="B925" s="133" t="s">
        <v>42</v>
      </c>
      <c r="C925" s="113">
        <v>100</v>
      </c>
      <c r="D925" s="115">
        <v>484.28160000000003</v>
      </c>
      <c r="E925" s="114">
        <v>14042.6</v>
      </c>
      <c r="F925" s="115">
        <f>D925*E925/100</f>
        <v>68005.727961600001</v>
      </c>
    </row>
    <row r="926" spans="1:6" outlineLevel="1" x14ac:dyDescent="0.25">
      <c r="A926" s="125" t="s">
        <v>70</v>
      </c>
      <c r="B926" s="133" t="s">
        <v>159</v>
      </c>
      <c r="C926" s="113">
        <v>100</v>
      </c>
      <c r="D926" s="115">
        <v>1822.377348</v>
      </c>
      <c r="E926" s="114">
        <v>14042.6</v>
      </c>
      <c r="F926" s="115">
        <f>D926*E926/100</f>
        <v>255909.16147024799</v>
      </c>
    </row>
    <row r="927" spans="1:6" ht="15.75" customHeight="1" outlineLevel="1" x14ac:dyDescent="0.25">
      <c r="A927" s="125" t="s">
        <v>160</v>
      </c>
      <c r="B927" s="133" t="s">
        <v>161</v>
      </c>
      <c r="C927" s="113">
        <v>100</v>
      </c>
      <c r="D927" s="115">
        <v>85.14</v>
      </c>
      <c r="E927" s="114">
        <v>14042.6</v>
      </c>
      <c r="F927" s="115">
        <f>D927*E927/100</f>
        <v>11955.869640000001</v>
      </c>
    </row>
    <row r="928" spans="1:6" ht="15.75" customHeight="1" outlineLevel="1" x14ac:dyDescent="0.25">
      <c r="A928" s="506" t="s">
        <v>259</v>
      </c>
      <c r="B928" s="506"/>
      <c r="C928" s="506"/>
      <c r="D928" s="506"/>
      <c r="E928" s="506"/>
      <c r="F928" s="106">
        <f>SUM(F869:F927)</f>
        <v>16375958.914274154</v>
      </c>
    </row>
    <row r="929" spans="1:8" outlineLevel="1" x14ac:dyDescent="0.25">
      <c r="A929" s="539" t="s">
        <v>291</v>
      </c>
      <c r="B929" s="539"/>
      <c r="C929" s="539"/>
      <c r="D929" s="539"/>
      <c r="E929" s="539"/>
      <c r="F929" s="257">
        <f>F928+F867+F849+F779+F753+F733</f>
        <v>240105775.03854877</v>
      </c>
    </row>
    <row r="930" spans="1:8" ht="25.5" customHeight="1" x14ac:dyDescent="0.25">
      <c r="A930" s="547" t="s">
        <v>292</v>
      </c>
      <c r="B930" s="548"/>
      <c r="C930" s="548"/>
      <c r="D930" s="548"/>
      <c r="E930" s="549"/>
      <c r="F930" s="262">
        <f>F1097</f>
        <v>56729159.520352975</v>
      </c>
      <c r="G930" s="456">
        <f>H930-F930</f>
        <v>-0.15301555395126343</v>
      </c>
      <c r="H930" s="1">
        <v>56729159.367337421</v>
      </c>
    </row>
    <row r="931" spans="1:8" outlineLevel="1" x14ac:dyDescent="0.25">
      <c r="A931" s="543" t="s">
        <v>9</v>
      </c>
      <c r="B931" s="543"/>
      <c r="C931" s="543"/>
      <c r="D931" s="543"/>
      <c r="E931" s="543"/>
      <c r="F931" s="543"/>
    </row>
    <row r="932" spans="1:8" ht="75" outlineLevel="1" x14ac:dyDescent="0.25">
      <c r="A932" s="111">
        <v>1</v>
      </c>
      <c r="B932" s="112" t="s">
        <v>10</v>
      </c>
      <c r="C932" s="113">
        <v>1000</v>
      </c>
      <c r="D932" s="114">
        <v>4710315</v>
      </c>
      <c r="E932" s="115">
        <v>4640.7</v>
      </c>
      <c r="F932" s="127">
        <f>E932*D932/C932</f>
        <v>21859158.820500001</v>
      </c>
    </row>
    <row r="933" spans="1:8" ht="30" outlineLevel="1" x14ac:dyDescent="0.25">
      <c r="A933" s="111">
        <v>2</v>
      </c>
      <c r="B933" s="112" t="s">
        <v>11</v>
      </c>
      <c r="C933" s="113">
        <v>1000</v>
      </c>
      <c r="D933" s="114">
        <v>2201861.25</v>
      </c>
      <c r="E933" s="115">
        <v>940.9</v>
      </c>
      <c r="F933" s="127">
        <f>E933*D933/C933</f>
        <v>2071731.250125</v>
      </c>
    </row>
    <row r="934" spans="1:8" ht="45" outlineLevel="1" x14ac:dyDescent="0.25">
      <c r="A934" s="545">
        <v>3</v>
      </c>
      <c r="B934" s="112" t="s">
        <v>12</v>
      </c>
      <c r="C934" s="111"/>
      <c r="D934" s="114"/>
      <c r="E934" s="114"/>
      <c r="F934" s="114"/>
    </row>
    <row r="935" spans="1:8" outlineLevel="1" x14ac:dyDescent="0.25">
      <c r="A935" s="545"/>
      <c r="B935" s="112" t="s">
        <v>195</v>
      </c>
      <c r="C935" s="113">
        <v>1000</v>
      </c>
      <c r="D935" s="114">
        <v>17267.5</v>
      </c>
      <c r="E935" s="114">
        <v>1073.2</v>
      </c>
      <c r="F935" s="127">
        <f>E935*D935/C935</f>
        <v>18531.481</v>
      </c>
    </row>
    <row r="936" spans="1:8" ht="60" outlineLevel="1" x14ac:dyDescent="0.25">
      <c r="A936" s="111">
        <v>4</v>
      </c>
      <c r="B936" s="112" t="s">
        <v>264</v>
      </c>
      <c r="C936" s="128">
        <v>1</v>
      </c>
      <c r="D936" s="114">
        <v>130</v>
      </c>
      <c r="E936" s="114">
        <v>1326.2</v>
      </c>
      <c r="F936" s="127">
        <f>E936*D936/C936</f>
        <v>172406</v>
      </c>
    </row>
    <row r="937" spans="1:8" outlineLevel="1" x14ac:dyDescent="0.25">
      <c r="A937" s="534" t="s">
        <v>192</v>
      </c>
      <c r="B937" s="534"/>
      <c r="C937" s="534"/>
      <c r="D937" s="534"/>
      <c r="E937" s="534"/>
      <c r="F937" s="534"/>
    </row>
    <row r="938" spans="1:8" ht="66" customHeight="1" outlineLevel="1" x14ac:dyDescent="0.25">
      <c r="A938" s="122">
        <v>1</v>
      </c>
      <c r="B938" s="123" t="s">
        <v>22</v>
      </c>
      <c r="C938" s="113">
        <v>1000</v>
      </c>
      <c r="D938" s="124">
        <v>98</v>
      </c>
      <c r="E938" s="124">
        <v>15824.15</v>
      </c>
      <c r="F938" s="127">
        <f>E938*D938/C938</f>
        <v>1550.7666999999999</v>
      </c>
    </row>
    <row r="939" spans="1:8" s="15" customFormat="1" ht="54" customHeight="1" outlineLevel="1" x14ac:dyDescent="0.2">
      <c r="A939" s="125">
        <v>2</v>
      </c>
      <c r="B939" s="123" t="s">
        <v>23</v>
      </c>
      <c r="C939" s="126"/>
      <c r="D939" s="115"/>
      <c r="E939" s="127">
        <v>0</v>
      </c>
      <c r="F939" s="127">
        <v>0</v>
      </c>
      <c r="G939" s="457"/>
    </row>
    <row r="940" spans="1:8" s="15" customFormat="1" ht="22.5" customHeight="1" outlineLevel="1" x14ac:dyDescent="0.2">
      <c r="A940" s="125"/>
      <c r="B940" s="123" t="s">
        <v>24</v>
      </c>
      <c r="C940" s="113">
        <v>100</v>
      </c>
      <c r="D940" s="124">
        <v>24.5</v>
      </c>
      <c r="E940" s="115">
        <v>34694.300000000003</v>
      </c>
      <c r="F940" s="127">
        <f t="shared" ref="F940:F946" si="49">E940*D940/C940</f>
        <v>8500.1035000000011</v>
      </c>
      <c r="G940" s="457"/>
    </row>
    <row r="941" spans="1:8" s="15" customFormat="1" ht="33.75" customHeight="1" outlineLevel="1" x14ac:dyDescent="0.2">
      <c r="A941" s="125">
        <v>3</v>
      </c>
      <c r="B941" s="123" t="s">
        <v>25</v>
      </c>
      <c r="C941" s="113">
        <v>100</v>
      </c>
      <c r="D941" s="124">
        <v>97.5</v>
      </c>
      <c r="E941" s="124">
        <v>32675.95</v>
      </c>
      <c r="F941" s="127">
        <f t="shared" si="49"/>
        <v>31859.05125</v>
      </c>
      <c r="G941" s="457"/>
    </row>
    <row r="942" spans="1:8" s="15" customFormat="1" ht="48.75" customHeight="1" outlineLevel="1" x14ac:dyDescent="0.2">
      <c r="A942" s="125">
        <v>4</v>
      </c>
      <c r="B942" s="123" t="s">
        <v>26</v>
      </c>
      <c r="C942" s="120">
        <v>100</v>
      </c>
      <c r="D942" s="124">
        <v>39</v>
      </c>
      <c r="E942" s="124">
        <v>11851.7</v>
      </c>
      <c r="F942" s="127">
        <f t="shared" si="49"/>
        <v>4622.1630000000005</v>
      </c>
      <c r="G942" s="457"/>
    </row>
    <row r="943" spans="1:8" ht="32.25" customHeight="1" outlineLevel="1" x14ac:dyDescent="0.25">
      <c r="A943" s="122">
        <v>5</v>
      </c>
      <c r="B943" s="123" t="s">
        <v>27</v>
      </c>
      <c r="C943" s="113">
        <v>100</v>
      </c>
      <c r="D943" s="124">
        <v>81.703125</v>
      </c>
      <c r="E943" s="124">
        <v>37620.6</v>
      </c>
      <c r="F943" s="127">
        <f t="shared" si="49"/>
        <v>30737.205843750002</v>
      </c>
    </row>
    <row r="944" spans="1:8" ht="32.25" customHeight="1" outlineLevel="1" x14ac:dyDescent="0.25">
      <c r="A944" s="122">
        <v>6</v>
      </c>
      <c r="B944" s="123" t="s">
        <v>28</v>
      </c>
      <c r="C944" s="120">
        <v>100</v>
      </c>
      <c r="D944" s="124">
        <v>230.64999999999998</v>
      </c>
      <c r="E944" s="124">
        <v>4334.75</v>
      </c>
      <c r="F944" s="127">
        <f t="shared" si="49"/>
        <v>9998.1008749999983</v>
      </c>
    </row>
    <row r="945" spans="1:6" ht="45" outlineLevel="1" x14ac:dyDescent="0.25">
      <c r="A945" s="122">
        <v>7</v>
      </c>
      <c r="B945" s="123" t="s">
        <v>29</v>
      </c>
      <c r="C945" s="120">
        <v>100</v>
      </c>
      <c r="D945" s="124">
        <v>230.64999999999998</v>
      </c>
      <c r="E945" s="124">
        <v>7379.1</v>
      </c>
      <c r="F945" s="127">
        <f t="shared" si="49"/>
        <v>17019.894149999996</v>
      </c>
    </row>
    <row r="946" spans="1:6" ht="24" customHeight="1" outlineLevel="1" x14ac:dyDescent="0.25">
      <c r="A946" s="122">
        <v>8</v>
      </c>
      <c r="B946" s="123" t="s">
        <v>30</v>
      </c>
      <c r="C946" s="128">
        <v>1</v>
      </c>
      <c r="D946" s="124">
        <v>500</v>
      </c>
      <c r="E946" s="124">
        <v>30.5</v>
      </c>
      <c r="F946" s="127">
        <f t="shared" si="49"/>
        <v>15250</v>
      </c>
    </row>
    <row r="947" spans="1:6" ht="76.5" customHeight="1" outlineLevel="1" x14ac:dyDescent="0.25">
      <c r="A947" s="122">
        <v>9</v>
      </c>
      <c r="B947" s="123" t="s">
        <v>31</v>
      </c>
      <c r="C947" s="126"/>
      <c r="D947" s="124"/>
      <c r="E947" s="124"/>
      <c r="F947" s="124"/>
    </row>
    <row r="948" spans="1:6" outlineLevel="1" x14ac:dyDescent="0.25">
      <c r="A948" s="122"/>
      <c r="B948" s="123" t="s">
        <v>32</v>
      </c>
      <c r="C948" s="113">
        <v>100</v>
      </c>
      <c r="D948" s="124">
        <v>4.29</v>
      </c>
      <c r="E948" s="124">
        <v>14042.6</v>
      </c>
      <c r="F948" s="127">
        <f>E948*D948/C948</f>
        <v>602.42754000000002</v>
      </c>
    </row>
    <row r="949" spans="1:6" outlineLevel="1" x14ac:dyDescent="0.25">
      <c r="A949" s="534" t="s">
        <v>168</v>
      </c>
      <c r="B949" s="534"/>
      <c r="C949" s="534"/>
      <c r="D949" s="534"/>
      <c r="E949" s="534"/>
      <c r="F949" s="534"/>
    </row>
    <row r="950" spans="1:6" ht="21" customHeight="1" outlineLevel="1" x14ac:dyDescent="0.25">
      <c r="A950" s="129">
        <v>1</v>
      </c>
      <c r="B950" s="130" t="s">
        <v>34</v>
      </c>
      <c r="C950" s="113">
        <v>1</v>
      </c>
      <c r="D950" s="115">
        <v>22.36</v>
      </c>
      <c r="E950" s="127">
        <v>546.95000000000005</v>
      </c>
      <c r="F950" s="127">
        <f t="shared" ref="F950:F955" si="50">E950*D950/C950</f>
        <v>12229.802000000001</v>
      </c>
    </row>
    <row r="951" spans="1:6" ht="45" outlineLevel="1" x14ac:dyDescent="0.25">
      <c r="A951" s="129">
        <v>2</v>
      </c>
      <c r="B951" s="130" t="s">
        <v>35</v>
      </c>
      <c r="C951" s="131">
        <v>100</v>
      </c>
      <c r="D951" s="115">
        <v>51.09</v>
      </c>
      <c r="E951" s="127">
        <v>30006.1</v>
      </c>
      <c r="F951" s="127">
        <f t="shared" si="50"/>
        <v>15330.11649</v>
      </c>
    </row>
    <row r="952" spans="1:6" ht="21" customHeight="1" outlineLevel="1" x14ac:dyDescent="0.25">
      <c r="A952" s="125">
        <v>3</v>
      </c>
      <c r="B952" s="130" t="s">
        <v>36</v>
      </c>
      <c r="C952" s="128">
        <v>1</v>
      </c>
      <c r="D952" s="115">
        <v>13</v>
      </c>
      <c r="E952" s="127">
        <v>115.4</v>
      </c>
      <c r="F952" s="127">
        <f t="shared" si="50"/>
        <v>1500.2</v>
      </c>
    </row>
    <row r="953" spans="1:6" ht="21" customHeight="1" outlineLevel="1" x14ac:dyDescent="0.25">
      <c r="A953" s="125">
        <v>4</v>
      </c>
      <c r="B953" s="130" t="s">
        <v>37</v>
      </c>
      <c r="C953" s="132">
        <v>1</v>
      </c>
      <c r="D953" s="115">
        <v>13</v>
      </c>
      <c r="E953" s="127">
        <v>141.9</v>
      </c>
      <c r="F953" s="127">
        <f t="shared" si="50"/>
        <v>1844.7</v>
      </c>
    </row>
    <row r="954" spans="1:6" ht="21" customHeight="1" outlineLevel="1" x14ac:dyDescent="0.25">
      <c r="A954" s="125">
        <v>5</v>
      </c>
      <c r="B954" s="130" t="s">
        <v>38</v>
      </c>
      <c r="C954" s="120">
        <v>100</v>
      </c>
      <c r="D954" s="115">
        <v>45.5</v>
      </c>
      <c r="E954" s="127">
        <v>4307.55</v>
      </c>
      <c r="F954" s="127">
        <f t="shared" si="50"/>
        <v>1959.93525</v>
      </c>
    </row>
    <row r="955" spans="1:6" ht="30" outlineLevel="1" x14ac:dyDescent="0.25">
      <c r="A955" s="125">
        <v>6</v>
      </c>
      <c r="B955" s="130" t="s">
        <v>39</v>
      </c>
      <c r="C955" s="128">
        <v>1</v>
      </c>
      <c r="D955" s="115">
        <v>130</v>
      </c>
      <c r="E955" s="127">
        <v>30.5</v>
      </c>
      <c r="F955" s="127">
        <f t="shared" si="50"/>
        <v>3965</v>
      </c>
    </row>
    <row r="956" spans="1:6" ht="75" outlineLevel="1" x14ac:dyDescent="0.25">
      <c r="A956" s="125">
        <v>7</v>
      </c>
      <c r="B956" s="133" t="s">
        <v>31</v>
      </c>
      <c r="C956" s="126"/>
      <c r="D956" s="115"/>
      <c r="E956" s="114"/>
      <c r="F956" s="114"/>
    </row>
    <row r="957" spans="1:6" outlineLevel="1" x14ac:dyDescent="0.25">
      <c r="A957" s="125" t="s">
        <v>41</v>
      </c>
      <c r="B957" s="133" t="s">
        <v>42</v>
      </c>
      <c r="C957" s="113">
        <v>100</v>
      </c>
      <c r="D957" s="115">
        <v>19.6768</v>
      </c>
      <c r="E957" s="114">
        <v>14042.6</v>
      </c>
      <c r="F957" s="127">
        <f>E957*D957/C957</f>
        <v>2763.1343167999999</v>
      </c>
    </row>
    <row r="958" spans="1:6" outlineLevel="1" x14ac:dyDescent="0.25">
      <c r="A958" s="518" t="s">
        <v>43</v>
      </c>
      <c r="B958" s="518"/>
      <c r="C958" s="518"/>
      <c r="D958" s="518"/>
      <c r="E958" s="518"/>
      <c r="F958" s="106">
        <f>SUM(F932:F957)</f>
        <v>24281560.152540546</v>
      </c>
    </row>
    <row r="959" spans="1:6" outlineLevel="1" x14ac:dyDescent="0.25">
      <c r="A959" s="534" t="s">
        <v>265</v>
      </c>
      <c r="B959" s="534"/>
      <c r="C959" s="534"/>
      <c r="D959" s="534"/>
      <c r="E959" s="534"/>
      <c r="F959" s="534"/>
    </row>
    <row r="960" spans="1:6" ht="78.75" outlineLevel="1" x14ac:dyDescent="0.25">
      <c r="A960" s="159">
        <v>1</v>
      </c>
      <c r="B960" s="160" t="s">
        <v>45</v>
      </c>
      <c r="C960" s="113">
        <v>1000</v>
      </c>
      <c r="D960" s="161">
        <v>6436.0504000000037</v>
      </c>
      <c r="E960" s="161">
        <v>12735.6</v>
      </c>
      <c r="F960" s="127">
        <f>E960*D960/C960</f>
        <v>81966.963474240052</v>
      </c>
    </row>
    <row r="961" spans="1:6" ht="20.25" customHeight="1" outlineLevel="1" x14ac:dyDescent="0.25">
      <c r="A961" s="159">
        <v>2</v>
      </c>
      <c r="B961" s="160" t="s">
        <v>75</v>
      </c>
      <c r="C961" s="113">
        <v>1000</v>
      </c>
      <c r="D961" s="161">
        <v>6436.0504000000037</v>
      </c>
      <c r="E961" s="161">
        <v>12038.4</v>
      </c>
      <c r="F961" s="127">
        <f>E961*D961/C961</f>
        <v>77479.749135360049</v>
      </c>
    </row>
    <row r="962" spans="1:6" ht="47.25" outlineLevel="1" x14ac:dyDescent="0.25">
      <c r="A962" s="159">
        <v>3</v>
      </c>
      <c r="B962" s="160" t="s">
        <v>23</v>
      </c>
      <c r="C962" s="159"/>
      <c r="D962" s="161"/>
      <c r="E962" s="161"/>
      <c r="F962" s="161"/>
    </row>
    <row r="963" spans="1:6" outlineLevel="1" x14ac:dyDescent="0.25">
      <c r="A963" s="159"/>
      <c r="B963" s="160" t="s">
        <v>24</v>
      </c>
      <c r="C963" s="113">
        <v>100</v>
      </c>
      <c r="D963" s="161">
        <v>529.73</v>
      </c>
      <c r="E963" s="161">
        <v>34694.300000000003</v>
      </c>
      <c r="F963" s="127">
        <f>E963*D963/C963</f>
        <v>183786.11539000002</v>
      </c>
    </row>
    <row r="964" spans="1:6" outlineLevel="1" x14ac:dyDescent="0.25">
      <c r="A964" s="159"/>
      <c r="B964" s="160" t="s">
        <v>125</v>
      </c>
      <c r="C964" s="113">
        <v>100</v>
      </c>
      <c r="D964" s="161">
        <v>68</v>
      </c>
      <c r="E964" s="161">
        <v>47135.9</v>
      </c>
      <c r="F964" s="127">
        <f>E964*D964/C964</f>
        <v>32052.412</v>
      </c>
    </row>
    <row r="965" spans="1:6" ht="94.5" outlineLevel="1" x14ac:dyDescent="0.25">
      <c r="A965" s="159">
        <v>4</v>
      </c>
      <c r="B965" s="160" t="s">
        <v>46</v>
      </c>
      <c r="C965" s="131">
        <v>100</v>
      </c>
      <c r="D965" s="161">
        <v>16212.101400000005</v>
      </c>
      <c r="E965" s="161">
        <v>30376.9</v>
      </c>
      <c r="F965" s="127">
        <f>E965*D965/C965</f>
        <v>4924733.8301766021</v>
      </c>
    </row>
    <row r="966" spans="1:6" ht="126" outlineLevel="1" x14ac:dyDescent="0.25">
      <c r="A966" s="159">
        <v>5</v>
      </c>
      <c r="B966" s="160" t="s">
        <v>99</v>
      </c>
      <c r="C966" s="159"/>
      <c r="D966" s="161"/>
      <c r="E966" s="161"/>
      <c r="F966" s="161"/>
    </row>
    <row r="967" spans="1:6" ht="78.75" outlineLevel="1" x14ac:dyDescent="0.25">
      <c r="A967" s="159" t="s">
        <v>48</v>
      </c>
      <c r="B967" s="160" t="s">
        <v>100</v>
      </c>
      <c r="C967" s="113">
        <v>1</v>
      </c>
      <c r="D967" s="161">
        <v>3788.5038000000013</v>
      </c>
      <c r="E967" s="161">
        <v>817.55</v>
      </c>
      <c r="F967" s="127">
        <f t="shared" ref="F967:F973" si="51">E967*D967/C967</f>
        <v>3097291.281690001</v>
      </c>
    </row>
    <row r="968" spans="1:6" ht="78.75" outlineLevel="1" x14ac:dyDescent="0.25">
      <c r="A968" s="159" t="s">
        <v>50</v>
      </c>
      <c r="B968" s="160" t="s">
        <v>201</v>
      </c>
      <c r="C968" s="113">
        <v>1</v>
      </c>
      <c r="D968" s="161">
        <v>1615.53</v>
      </c>
      <c r="E968" s="161">
        <v>670.5</v>
      </c>
      <c r="F968" s="127">
        <f t="shared" si="51"/>
        <v>1083212.865</v>
      </c>
    </row>
    <row r="969" spans="1:6" ht="31.5" outlineLevel="1" x14ac:dyDescent="0.25">
      <c r="A969" s="159">
        <v>6</v>
      </c>
      <c r="B969" s="160" t="s">
        <v>52</v>
      </c>
      <c r="C969" s="120">
        <v>100</v>
      </c>
      <c r="D969" s="161">
        <v>2288.865600000001</v>
      </c>
      <c r="E969" s="161">
        <v>1645.1</v>
      </c>
      <c r="F969" s="127">
        <f t="shared" si="51"/>
        <v>37654.127985600011</v>
      </c>
    </row>
    <row r="970" spans="1:6" ht="31.5" outlineLevel="1" x14ac:dyDescent="0.25">
      <c r="A970" s="159">
        <v>7</v>
      </c>
      <c r="B970" s="160" t="s">
        <v>79</v>
      </c>
      <c r="C970" s="113">
        <v>100</v>
      </c>
      <c r="D970" s="161">
        <v>160</v>
      </c>
      <c r="E970" s="161">
        <v>35727</v>
      </c>
      <c r="F970" s="127">
        <f t="shared" si="51"/>
        <v>57163.199999999997</v>
      </c>
    </row>
    <row r="971" spans="1:6" ht="47.25" outlineLevel="1" x14ac:dyDescent="0.25">
      <c r="A971" s="159">
        <v>8</v>
      </c>
      <c r="B971" s="160" t="s">
        <v>80</v>
      </c>
      <c r="C971" s="139">
        <v>1</v>
      </c>
      <c r="D971" s="161">
        <v>518</v>
      </c>
      <c r="E971" s="161">
        <v>809.4</v>
      </c>
      <c r="F971" s="127">
        <f t="shared" si="51"/>
        <v>419269.2</v>
      </c>
    </row>
    <row r="972" spans="1:6" ht="31.5" outlineLevel="1" x14ac:dyDescent="0.25">
      <c r="A972" s="159">
        <v>9</v>
      </c>
      <c r="B972" s="160" t="s">
        <v>81</v>
      </c>
      <c r="C972" s="139">
        <v>1</v>
      </c>
      <c r="D972" s="161">
        <v>160</v>
      </c>
      <c r="E972" s="161">
        <v>1381</v>
      </c>
      <c r="F972" s="127">
        <f t="shared" si="51"/>
        <v>220960</v>
      </c>
    </row>
    <row r="973" spans="1:6" ht="23.25" customHeight="1" outlineLevel="1" x14ac:dyDescent="0.25">
      <c r="A973" s="159">
        <v>10</v>
      </c>
      <c r="B973" s="160" t="s">
        <v>66</v>
      </c>
      <c r="C973" s="113">
        <v>1000</v>
      </c>
      <c r="D973" s="161">
        <v>8000</v>
      </c>
      <c r="E973" s="161">
        <v>5266.8</v>
      </c>
      <c r="F973" s="127">
        <f t="shared" si="51"/>
        <v>42134.400000000001</v>
      </c>
    </row>
    <row r="974" spans="1:6" ht="78.75" outlineLevel="1" x14ac:dyDescent="0.25">
      <c r="A974" s="159">
        <v>11</v>
      </c>
      <c r="B974" s="160" t="s">
        <v>31</v>
      </c>
      <c r="C974" s="159"/>
      <c r="D974" s="161"/>
      <c r="E974" s="161"/>
      <c r="F974" s="161"/>
    </row>
    <row r="975" spans="1:6" outlineLevel="1" x14ac:dyDescent="0.25">
      <c r="A975" s="159" t="s">
        <v>67</v>
      </c>
      <c r="B975" s="160" t="s">
        <v>68</v>
      </c>
      <c r="C975" s="113">
        <v>100</v>
      </c>
      <c r="D975" s="161">
        <v>508.54079999999999</v>
      </c>
      <c r="E975" s="161">
        <v>14042.6</v>
      </c>
      <c r="F975" s="127">
        <f>E975*D975/C975</f>
        <v>71412.35038080001</v>
      </c>
    </row>
    <row r="976" spans="1:6" outlineLevel="1" x14ac:dyDescent="0.25">
      <c r="A976" s="159" t="s">
        <v>41</v>
      </c>
      <c r="B976" s="160" t="s">
        <v>42</v>
      </c>
      <c r="C976" s="113">
        <v>100</v>
      </c>
      <c r="D976" s="161">
        <v>59.84</v>
      </c>
      <c r="E976" s="161">
        <v>14042.6</v>
      </c>
      <c r="F976" s="127">
        <f>E976*D976/C976</f>
        <v>8403.091840000001</v>
      </c>
    </row>
    <row r="977" spans="1:6" outlineLevel="1" x14ac:dyDescent="0.25">
      <c r="A977" s="159" t="s">
        <v>70</v>
      </c>
      <c r="B977" s="160" t="s">
        <v>82</v>
      </c>
      <c r="C977" s="113">
        <v>100</v>
      </c>
      <c r="D977" s="161">
        <v>4539.3883920000007</v>
      </c>
      <c r="E977" s="161">
        <v>14042.6</v>
      </c>
      <c r="F977" s="127">
        <f>E977*D977/C977</f>
        <v>637448.15433499205</v>
      </c>
    </row>
    <row r="978" spans="1:6" outlineLevel="1" x14ac:dyDescent="0.25">
      <c r="A978" s="511" t="s">
        <v>83</v>
      </c>
      <c r="B978" s="511"/>
      <c r="C978" s="511"/>
      <c r="D978" s="511"/>
      <c r="E978" s="511"/>
      <c r="F978" s="19">
        <f>SUM(F960:F977)</f>
        <v>10974967.741407596</v>
      </c>
    </row>
    <row r="979" spans="1:6" outlineLevel="1" x14ac:dyDescent="0.25">
      <c r="A979" s="534" t="s">
        <v>266</v>
      </c>
      <c r="B979" s="534"/>
      <c r="C979" s="534"/>
      <c r="D979" s="534"/>
      <c r="E979" s="534"/>
      <c r="F979" s="534"/>
    </row>
    <row r="980" spans="1:6" ht="75" outlineLevel="1" x14ac:dyDescent="0.25">
      <c r="A980" s="129">
        <v>1</v>
      </c>
      <c r="B980" s="133" t="s">
        <v>45</v>
      </c>
      <c r="C980" s="113">
        <v>1000</v>
      </c>
      <c r="D980" s="115">
        <v>36435.200000000041</v>
      </c>
      <c r="E980" s="115">
        <v>12735.6</v>
      </c>
      <c r="F980" s="127">
        <f>E980*D980/C980</f>
        <v>464024.13312000054</v>
      </c>
    </row>
    <row r="981" spans="1:6" ht="45" outlineLevel="1" x14ac:dyDescent="0.25">
      <c r="A981" s="125">
        <v>2</v>
      </c>
      <c r="B981" s="135" t="s">
        <v>23</v>
      </c>
      <c r="C981" s="122"/>
      <c r="D981" s="115"/>
      <c r="E981" s="115">
        <v>0</v>
      </c>
      <c r="F981" s="115"/>
    </row>
    <row r="982" spans="1:6" outlineLevel="1" x14ac:dyDescent="0.25">
      <c r="A982" s="125"/>
      <c r="B982" s="133" t="s">
        <v>24</v>
      </c>
      <c r="C982" s="113">
        <v>100</v>
      </c>
      <c r="D982" s="115">
        <v>510</v>
      </c>
      <c r="E982" s="115">
        <v>34694.300000000003</v>
      </c>
      <c r="F982" s="127">
        <f>E982*D982/C982</f>
        <v>176940.93</v>
      </c>
    </row>
    <row r="983" spans="1:6" ht="90" outlineLevel="1" x14ac:dyDescent="0.25">
      <c r="A983" s="125">
        <v>3</v>
      </c>
      <c r="B983" s="133" t="s">
        <v>46</v>
      </c>
      <c r="C983" s="131">
        <v>100</v>
      </c>
      <c r="D983" s="115">
        <v>26990.400000000012</v>
      </c>
      <c r="E983" s="136">
        <v>30376.9</v>
      </c>
      <c r="F983" s="127">
        <f>E983*D983/C983</f>
        <v>8198846.8176000044</v>
      </c>
    </row>
    <row r="984" spans="1:6" ht="120.75" outlineLevel="1" x14ac:dyDescent="0.25">
      <c r="A984" s="125">
        <v>4</v>
      </c>
      <c r="B984" s="135" t="s">
        <v>47</v>
      </c>
      <c r="C984" s="122"/>
      <c r="D984" s="115"/>
      <c r="E984" s="127"/>
      <c r="F984" s="127"/>
    </row>
    <row r="985" spans="1:6" ht="75" outlineLevel="1" x14ac:dyDescent="0.25">
      <c r="A985" s="125" t="s">
        <v>48</v>
      </c>
      <c r="B985" s="135" t="s">
        <v>100</v>
      </c>
      <c r="C985" s="113">
        <v>1</v>
      </c>
      <c r="D985" s="115">
        <v>6956.8000000000038</v>
      </c>
      <c r="E985" s="115">
        <v>817.55</v>
      </c>
      <c r="F985" s="127">
        <f t="shared" ref="F985:F991" si="52">E985*D985/C985</f>
        <v>5687531.8400000026</v>
      </c>
    </row>
    <row r="986" spans="1:6" ht="75" outlineLevel="1" x14ac:dyDescent="0.25">
      <c r="A986" s="125" t="s">
        <v>50</v>
      </c>
      <c r="B986" s="135" t="s">
        <v>201</v>
      </c>
      <c r="C986" s="113">
        <v>1</v>
      </c>
      <c r="D986" s="115">
        <v>2040</v>
      </c>
      <c r="E986" s="115">
        <v>670.5</v>
      </c>
      <c r="F986" s="127">
        <f t="shared" si="52"/>
        <v>1367820</v>
      </c>
    </row>
    <row r="987" spans="1:6" ht="30" outlineLevel="1" x14ac:dyDescent="0.25">
      <c r="A987" s="125">
        <v>5</v>
      </c>
      <c r="B987" s="133" t="s">
        <v>52</v>
      </c>
      <c r="C987" s="120">
        <v>100</v>
      </c>
      <c r="D987" s="115">
        <v>7707.6000000000076</v>
      </c>
      <c r="E987" s="127">
        <v>1645.1</v>
      </c>
      <c r="F987" s="127">
        <f t="shared" si="52"/>
        <v>126797.72760000011</v>
      </c>
    </row>
    <row r="988" spans="1:6" ht="45" outlineLevel="1" x14ac:dyDescent="0.25">
      <c r="A988" s="125">
        <v>6</v>
      </c>
      <c r="B988" s="133" t="s">
        <v>53</v>
      </c>
      <c r="C988" s="139">
        <v>1</v>
      </c>
      <c r="D988" s="115">
        <v>22.5</v>
      </c>
      <c r="E988" s="127">
        <v>303.8</v>
      </c>
      <c r="F988" s="127">
        <f t="shared" si="52"/>
        <v>6835.5</v>
      </c>
    </row>
    <row r="989" spans="1:6" ht="105" outlineLevel="1" x14ac:dyDescent="0.25">
      <c r="A989" s="125">
        <v>7</v>
      </c>
      <c r="B989" s="155" t="s">
        <v>54</v>
      </c>
      <c r="C989" s="113">
        <v>100</v>
      </c>
      <c r="D989" s="115">
        <v>180</v>
      </c>
      <c r="E989" s="115">
        <v>10003.5</v>
      </c>
      <c r="F989" s="127">
        <f t="shared" si="52"/>
        <v>18006.3</v>
      </c>
    </row>
    <row r="990" spans="1:6" ht="120" outlineLevel="1" x14ac:dyDescent="0.25">
      <c r="A990" s="125">
        <v>8</v>
      </c>
      <c r="B990" s="155" t="s">
        <v>267</v>
      </c>
      <c r="C990" s="113">
        <v>100</v>
      </c>
      <c r="D990" s="115">
        <v>180</v>
      </c>
      <c r="E990" s="115">
        <v>13527.4</v>
      </c>
      <c r="F990" s="127">
        <f t="shared" si="52"/>
        <v>24349.32</v>
      </c>
    </row>
    <row r="991" spans="1:6" ht="24" customHeight="1" outlineLevel="1" x14ac:dyDescent="0.25">
      <c r="A991" s="125">
        <v>9</v>
      </c>
      <c r="B991" s="155" t="s">
        <v>268</v>
      </c>
      <c r="C991" s="139">
        <v>1</v>
      </c>
      <c r="D991" s="115">
        <v>60</v>
      </c>
      <c r="E991" s="115">
        <v>64.2</v>
      </c>
      <c r="F991" s="127">
        <f t="shared" si="52"/>
        <v>3852</v>
      </c>
    </row>
    <row r="992" spans="1:6" ht="105" outlineLevel="1" x14ac:dyDescent="0.25">
      <c r="A992" s="125">
        <v>10</v>
      </c>
      <c r="B992" s="155" t="s">
        <v>269</v>
      </c>
      <c r="C992" s="156"/>
      <c r="D992" s="127"/>
      <c r="E992" s="127"/>
      <c r="F992" s="127"/>
    </row>
    <row r="993" spans="1:6" ht="45" outlineLevel="1" x14ac:dyDescent="0.25">
      <c r="A993" s="125" t="s">
        <v>48</v>
      </c>
      <c r="B993" s="155" t="s">
        <v>59</v>
      </c>
      <c r="C993" s="120">
        <v>100</v>
      </c>
      <c r="D993" s="127">
        <v>360</v>
      </c>
      <c r="E993" s="127">
        <v>4549.95</v>
      </c>
      <c r="F993" s="127">
        <f t="shared" ref="F993:F998" si="53">E993*D993/C993</f>
        <v>16379.82</v>
      </c>
    </row>
    <row r="994" spans="1:6" ht="45" outlineLevel="1" x14ac:dyDescent="0.25">
      <c r="A994" s="125" t="s">
        <v>50</v>
      </c>
      <c r="B994" s="155" t="s">
        <v>61</v>
      </c>
      <c r="C994" s="120">
        <v>100</v>
      </c>
      <c r="D994" s="127">
        <v>360</v>
      </c>
      <c r="E994" s="127">
        <v>2639.45</v>
      </c>
      <c r="F994" s="127">
        <f t="shared" si="53"/>
        <v>9502.0199999999986</v>
      </c>
    </row>
    <row r="995" spans="1:6" ht="45" outlineLevel="1" x14ac:dyDescent="0.25">
      <c r="A995" s="125" t="s">
        <v>139</v>
      </c>
      <c r="B995" s="155" t="s">
        <v>63</v>
      </c>
      <c r="C995" s="120">
        <v>100</v>
      </c>
      <c r="D995" s="127">
        <v>360</v>
      </c>
      <c r="E995" s="127">
        <v>1960.75</v>
      </c>
      <c r="F995" s="127">
        <f t="shared" si="53"/>
        <v>7058.7</v>
      </c>
    </row>
    <row r="996" spans="1:6" ht="45" outlineLevel="1" x14ac:dyDescent="0.25">
      <c r="A996" s="125">
        <v>11</v>
      </c>
      <c r="B996" s="155" t="s">
        <v>64</v>
      </c>
      <c r="C996" s="113">
        <v>100</v>
      </c>
      <c r="D996" s="127">
        <v>360</v>
      </c>
      <c r="E996" s="127">
        <v>4017.8</v>
      </c>
      <c r="F996" s="127">
        <f t="shared" si="53"/>
        <v>14464.08</v>
      </c>
    </row>
    <row r="997" spans="1:6" ht="30" outlineLevel="1" x14ac:dyDescent="0.25">
      <c r="A997" s="150">
        <v>12</v>
      </c>
      <c r="B997" s="151" t="s">
        <v>65</v>
      </c>
      <c r="C997" s="113">
        <v>1000</v>
      </c>
      <c r="D997" s="115">
        <v>3200</v>
      </c>
      <c r="E997" s="127">
        <v>10533.6</v>
      </c>
      <c r="F997" s="127">
        <f t="shared" si="53"/>
        <v>33707.519999999997</v>
      </c>
    </row>
    <row r="998" spans="1:6" ht="21.75" customHeight="1" outlineLevel="1" x14ac:dyDescent="0.25">
      <c r="A998" s="125">
        <v>13</v>
      </c>
      <c r="B998" s="133" t="s">
        <v>66</v>
      </c>
      <c r="C998" s="113">
        <v>1000</v>
      </c>
      <c r="D998" s="115">
        <v>20960</v>
      </c>
      <c r="E998" s="114">
        <v>5266.8</v>
      </c>
      <c r="F998" s="127">
        <f t="shared" si="53"/>
        <v>110392.128</v>
      </c>
    </row>
    <row r="999" spans="1:6" ht="75.75" outlineLevel="1" x14ac:dyDescent="0.25">
      <c r="A999" s="125">
        <v>14</v>
      </c>
      <c r="B999" s="133" t="s">
        <v>40</v>
      </c>
      <c r="C999" s="126"/>
      <c r="D999" s="115"/>
      <c r="E999" s="114"/>
      <c r="F999" s="114"/>
    </row>
    <row r="1000" spans="1:6" outlineLevel="1" x14ac:dyDescent="0.25">
      <c r="A1000" s="125" t="s">
        <v>67</v>
      </c>
      <c r="B1000" s="133" t="s">
        <v>68</v>
      </c>
      <c r="C1000" s="113">
        <v>100</v>
      </c>
      <c r="D1000" s="115">
        <v>489.59999999999997</v>
      </c>
      <c r="E1000" s="114">
        <v>14042.6</v>
      </c>
      <c r="F1000" s="127">
        <f>E1000*D1000/C1000</f>
        <v>68752.569600000003</v>
      </c>
    </row>
    <row r="1001" spans="1:6" outlineLevel="1" x14ac:dyDescent="0.25">
      <c r="A1001" s="125" t="s">
        <v>41</v>
      </c>
      <c r="B1001" s="133" t="s">
        <v>69</v>
      </c>
      <c r="C1001" s="113">
        <v>100</v>
      </c>
      <c r="D1001" s="115">
        <v>7557.3120000000017</v>
      </c>
      <c r="E1001" s="114">
        <v>14042.6</v>
      </c>
      <c r="F1001" s="127">
        <f>E1001*D1001/C1001</f>
        <v>1061243.0949120002</v>
      </c>
    </row>
    <row r="1002" spans="1:6" outlineLevel="1" x14ac:dyDescent="0.25">
      <c r="A1002" s="125" t="s">
        <v>70</v>
      </c>
      <c r="B1002" s="133" t="s">
        <v>71</v>
      </c>
      <c r="C1002" s="113">
        <v>100</v>
      </c>
      <c r="D1002" s="115">
        <v>219.6</v>
      </c>
      <c r="E1002" s="114">
        <v>14042.6</v>
      </c>
      <c r="F1002" s="127">
        <f>E1002*D1002/C1002</f>
        <v>30837.549599999998</v>
      </c>
    </row>
    <row r="1003" spans="1:6" outlineLevel="1" x14ac:dyDescent="0.25">
      <c r="A1003" s="125" t="s">
        <v>70</v>
      </c>
      <c r="B1003" s="133" t="s">
        <v>72</v>
      </c>
      <c r="C1003" s="113">
        <v>100</v>
      </c>
      <c r="D1003" s="115">
        <v>27</v>
      </c>
      <c r="E1003" s="114">
        <v>14042.6</v>
      </c>
      <c r="F1003" s="127">
        <f>E1003*D1003/C1003</f>
        <v>3791.502</v>
      </c>
    </row>
    <row r="1004" spans="1:6" outlineLevel="1" x14ac:dyDescent="0.25">
      <c r="A1004" s="506" t="s">
        <v>73</v>
      </c>
      <c r="B1004" s="506"/>
      <c r="C1004" s="506"/>
      <c r="D1004" s="506"/>
      <c r="E1004" s="506"/>
      <c r="F1004" s="72">
        <f>SUM(F980:F1003)</f>
        <v>17431133.552432012</v>
      </c>
    </row>
    <row r="1005" spans="1:6" outlineLevel="1" x14ac:dyDescent="0.25">
      <c r="A1005" s="534" t="s">
        <v>84</v>
      </c>
      <c r="B1005" s="534"/>
      <c r="C1005" s="534"/>
      <c r="D1005" s="534"/>
      <c r="E1005" s="534"/>
      <c r="F1005" s="534"/>
    </row>
    <row r="1006" spans="1:6" ht="75" outlineLevel="1" x14ac:dyDescent="0.25">
      <c r="A1006" s="129">
        <v>1</v>
      </c>
      <c r="B1006" s="135" t="s">
        <v>10</v>
      </c>
      <c r="C1006" s="113">
        <v>1000</v>
      </c>
      <c r="D1006" s="115">
        <v>269.25</v>
      </c>
      <c r="E1006" s="115">
        <v>4640.7</v>
      </c>
      <c r="F1006" s="127">
        <f t="shared" ref="F1006:F1016" si="54">E1006*D1006/C1006</f>
        <v>1249.5084749999999</v>
      </c>
    </row>
    <row r="1007" spans="1:6" ht="30" outlineLevel="1" x14ac:dyDescent="0.25">
      <c r="A1007" s="129">
        <v>2</v>
      </c>
      <c r="B1007" s="135" t="s">
        <v>86</v>
      </c>
      <c r="C1007" s="113">
        <v>100</v>
      </c>
      <c r="D1007" s="115">
        <v>269.25</v>
      </c>
      <c r="E1007" s="127">
        <v>6849</v>
      </c>
      <c r="F1007" s="127">
        <f t="shared" si="54"/>
        <v>18440.932499999999</v>
      </c>
    </row>
    <row r="1008" spans="1:6" ht="22.5" customHeight="1" outlineLevel="1" x14ac:dyDescent="0.25">
      <c r="A1008" s="125">
        <v>3</v>
      </c>
      <c r="B1008" s="119" t="s">
        <v>87</v>
      </c>
      <c r="C1008" s="120">
        <v>100</v>
      </c>
      <c r="D1008" s="115">
        <v>480.69</v>
      </c>
      <c r="E1008" s="127">
        <v>2265.1</v>
      </c>
      <c r="F1008" s="127">
        <f t="shared" si="54"/>
        <v>10888.109189999999</v>
      </c>
    </row>
    <row r="1009" spans="1:6" ht="22.5" customHeight="1" outlineLevel="1" x14ac:dyDescent="0.25">
      <c r="A1009" s="125">
        <v>4</v>
      </c>
      <c r="B1009" s="119" t="s">
        <v>88</v>
      </c>
      <c r="C1009" s="120">
        <v>100</v>
      </c>
      <c r="D1009" s="115">
        <v>126</v>
      </c>
      <c r="E1009" s="127">
        <v>1660.5</v>
      </c>
      <c r="F1009" s="127">
        <f t="shared" si="54"/>
        <v>2092.23</v>
      </c>
    </row>
    <row r="1010" spans="1:6" ht="22.5" customHeight="1" outlineLevel="1" x14ac:dyDescent="0.25">
      <c r="A1010" s="129">
        <v>5</v>
      </c>
      <c r="B1010" s="135" t="s">
        <v>89</v>
      </c>
      <c r="C1010" s="113">
        <v>100</v>
      </c>
      <c r="D1010" s="115">
        <v>158.63</v>
      </c>
      <c r="E1010" s="127">
        <v>18564.099999999999</v>
      </c>
      <c r="F1010" s="127">
        <f t="shared" si="54"/>
        <v>29448.231829999997</v>
      </c>
    </row>
    <row r="1011" spans="1:6" ht="22.5" customHeight="1" outlineLevel="1" x14ac:dyDescent="0.25">
      <c r="A1011" s="129">
        <v>6</v>
      </c>
      <c r="B1011" s="135" t="s">
        <v>90</v>
      </c>
      <c r="C1011" s="113">
        <v>100</v>
      </c>
      <c r="D1011" s="115">
        <v>158.63</v>
      </c>
      <c r="E1011" s="127">
        <v>18564.099999999999</v>
      </c>
      <c r="F1011" s="127">
        <f t="shared" si="54"/>
        <v>29448.231829999997</v>
      </c>
    </row>
    <row r="1012" spans="1:6" ht="22.5" customHeight="1" outlineLevel="1" x14ac:dyDescent="0.25">
      <c r="A1012" s="129">
        <v>7</v>
      </c>
      <c r="B1012" s="135" t="s">
        <v>91</v>
      </c>
      <c r="C1012" s="113">
        <v>100</v>
      </c>
      <c r="D1012" s="115">
        <v>41.58</v>
      </c>
      <c r="E1012" s="127">
        <v>18017.599999999999</v>
      </c>
      <c r="F1012" s="127">
        <f t="shared" si="54"/>
        <v>7491.7180799999996</v>
      </c>
    </row>
    <row r="1013" spans="1:6" ht="22.5" customHeight="1" outlineLevel="1" x14ac:dyDescent="0.25">
      <c r="A1013" s="129">
        <v>8</v>
      </c>
      <c r="B1013" s="135" t="s">
        <v>92</v>
      </c>
      <c r="C1013" s="113">
        <v>100</v>
      </c>
      <c r="D1013" s="115">
        <v>41.58</v>
      </c>
      <c r="E1013" s="127">
        <v>18017.599999999999</v>
      </c>
      <c r="F1013" s="127">
        <f t="shared" si="54"/>
        <v>7491.7180799999996</v>
      </c>
    </row>
    <row r="1014" spans="1:6" ht="22.5" customHeight="1" outlineLevel="1" x14ac:dyDescent="0.25">
      <c r="A1014" s="129">
        <v>9</v>
      </c>
      <c r="B1014" s="135" t="s">
        <v>93</v>
      </c>
      <c r="C1014" s="113">
        <v>100</v>
      </c>
      <c r="D1014" s="115">
        <v>480.69</v>
      </c>
      <c r="E1014" s="127">
        <v>11511</v>
      </c>
      <c r="F1014" s="127">
        <f t="shared" si="54"/>
        <v>55332.225899999998</v>
      </c>
    </row>
    <row r="1015" spans="1:6" ht="22.5" customHeight="1" outlineLevel="1" x14ac:dyDescent="0.25">
      <c r="A1015" s="129">
        <v>10</v>
      </c>
      <c r="B1015" s="135" t="s">
        <v>94</v>
      </c>
      <c r="C1015" s="113">
        <v>100</v>
      </c>
      <c r="D1015" s="115">
        <v>126</v>
      </c>
      <c r="E1015" s="127">
        <v>10570.5</v>
      </c>
      <c r="F1015" s="127">
        <f t="shared" si="54"/>
        <v>13318.83</v>
      </c>
    </row>
    <row r="1016" spans="1:6" ht="60" outlineLevel="1" x14ac:dyDescent="0.25">
      <c r="A1016" s="129">
        <v>11</v>
      </c>
      <c r="B1016" s="135" t="s">
        <v>95</v>
      </c>
      <c r="C1016" s="113">
        <v>100</v>
      </c>
      <c r="D1016" s="115">
        <v>1091.5155</v>
      </c>
      <c r="E1016" s="127">
        <v>14042.6</v>
      </c>
      <c r="F1016" s="127">
        <f t="shared" si="54"/>
        <v>153277.15560299999</v>
      </c>
    </row>
    <row r="1017" spans="1:6" outlineLevel="1" x14ac:dyDescent="0.25">
      <c r="A1017" s="506" t="s">
        <v>43</v>
      </c>
      <c r="B1017" s="506"/>
      <c r="C1017" s="506"/>
      <c r="D1017" s="506"/>
      <c r="E1017" s="506"/>
      <c r="F1017" s="72">
        <f>SUM(F1006:F1016)</f>
        <v>328478.89148799994</v>
      </c>
    </row>
    <row r="1018" spans="1:6" outlineLevel="1" x14ac:dyDescent="0.25">
      <c r="A1018" s="534" t="s">
        <v>293</v>
      </c>
      <c r="B1018" s="534"/>
      <c r="C1018" s="534"/>
      <c r="D1018" s="534"/>
      <c r="E1018" s="534"/>
      <c r="F1018" s="534"/>
    </row>
    <row r="1019" spans="1:6" ht="75.75" outlineLevel="1" x14ac:dyDescent="0.25">
      <c r="A1019" s="129">
        <v>1</v>
      </c>
      <c r="B1019" s="135" t="s">
        <v>285</v>
      </c>
      <c r="C1019" s="113">
        <v>1000</v>
      </c>
      <c r="D1019" s="115">
        <v>3514.6564000000008</v>
      </c>
      <c r="E1019" s="115">
        <v>15824.15</v>
      </c>
      <c r="F1019" s="127">
        <f>E1019*D1019/C1019</f>
        <v>55616.450072060012</v>
      </c>
    </row>
    <row r="1020" spans="1:6" ht="45" outlineLevel="1" x14ac:dyDescent="0.25">
      <c r="A1020" s="546">
        <v>2</v>
      </c>
      <c r="B1020" s="112" t="s">
        <v>124</v>
      </c>
      <c r="C1020" s="111"/>
      <c r="D1020" s="115"/>
      <c r="E1020" s="115">
        <v>0</v>
      </c>
      <c r="F1020" s="116"/>
    </row>
    <row r="1021" spans="1:6" outlineLevel="1" x14ac:dyDescent="0.25">
      <c r="A1021" s="546"/>
      <c r="B1021" s="112" t="s">
        <v>24</v>
      </c>
      <c r="C1021" s="113">
        <v>100</v>
      </c>
      <c r="D1021" s="115">
        <v>463.38600000000008</v>
      </c>
      <c r="E1021" s="115">
        <v>34694.300000000003</v>
      </c>
      <c r="F1021" s="127">
        <f>E1021*D1021/C1021</f>
        <v>160768.52899800005</v>
      </c>
    </row>
    <row r="1022" spans="1:6" outlineLevel="1" x14ac:dyDescent="0.25">
      <c r="A1022" s="546"/>
      <c r="B1022" s="112" t="s">
        <v>125</v>
      </c>
      <c r="C1022" s="113">
        <v>100</v>
      </c>
      <c r="D1022" s="115">
        <v>48.097499999999997</v>
      </c>
      <c r="E1022" s="115">
        <v>47135.9</v>
      </c>
      <c r="F1022" s="127">
        <f>E1022*D1022/C1022</f>
        <v>22671.189502499998</v>
      </c>
    </row>
    <row r="1023" spans="1:6" ht="30" outlineLevel="1" x14ac:dyDescent="0.25">
      <c r="A1023" s="125">
        <v>3</v>
      </c>
      <c r="B1023" s="135" t="s">
        <v>79</v>
      </c>
      <c r="C1023" s="113">
        <v>100</v>
      </c>
      <c r="D1023" s="115">
        <v>746.37</v>
      </c>
      <c r="E1023" s="115">
        <v>35727</v>
      </c>
      <c r="F1023" s="127">
        <f>E1023*D1023/C1023</f>
        <v>266655.60989999998</v>
      </c>
    </row>
    <row r="1024" spans="1:6" ht="120" outlineLevel="1" x14ac:dyDescent="0.25">
      <c r="A1024" s="125">
        <v>4</v>
      </c>
      <c r="B1024" s="135" t="s">
        <v>99</v>
      </c>
      <c r="C1024" s="122"/>
      <c r="D1024" s="115"/>
      <c r="E1024" s="115"/>
      <c r="F1024" s="121"/>
    </row>
    <row r="1025" spans="1:6" ht="75" outlineLevel="1" x14ac:dyDescent="0.25">
      <c r="A1025" s="147"/>
      <c r="B1025" s="135" t="s">
        <v>100</v>
      </c>
      <c r="C1025" s="113">
        <v>1</v>
      </c>
      <c r="D1025" s="115">
        <v>625.5</v>
      </c>
      <c r="E1025" s="115">
        <v>817.55</v>
      </c>
      <c r="F1025" s="127">
        <f>E1025*D1025/C1025</f>
        <v>511377.52499999997</v>
      </c>
    </row>
    <row r="1026" spans="1:6" ht="75" outlineLevel="1" x14ac:dyDescent="0.25">
      <c r="A1026" s="147"/>
      <c r="B1026" s="135" t="s">
        <v>201</v>
      </c>
      <c r="C1026" s="113">
        <v>1</v>
      </c>
      <c r="D1026" s="115">
        <v>216</v>
      </c>
      <c r="E1026" s="115">
        <v>670.5</v>
      </c>
      <c r="F1026" s="127">
        <f>E1026*D1026/C1026</f>
        <v>144828</v>
      </c>
    </row>
    <row r="1027" spans="1:6" ht="90" outlineLevel="1" x14ac:dyDescent="0.25">
      <c r="A1027" s="147">
        <v>5</v>
      </c>
      <c r="B1027" s="135" t="s">
        <v>286</v>
      </c>
      <c r="C1027" s="131">
        <v>100</v>
      </c>
      <c r="D1027" s="115">
        <v>2524.5</v>
      </c>
      <c r="E1027" s="136">
        <v>30376.9</v>
      </c>
      <c r="F1027" s="127">
        <f>E1027*D1027/C1027</f>
        <v>766864.84049999993</v>
      </c>
    </row>
    <row r="1028" spans="1:6" ht="30" outlineLevel="1" x14ac:dyDescent="0.25">
      <c r="A1028" s="125">
        <v>6</v>
      </c>
      <c r="B1028" s="119" t="s">
        <v>287</v>
      </c>
      <c r="C1028" s="113">
        <v>100</v>
      </c>
      <c r="D1028" s="115">
        <v>949.98720000000037</v>
      </c>
      <c r="E1028" s="127">
        <v>6849</v>
      </c>
      <c r="F1028" s="127">
        <f>E1028*D1028/C1028</f>
        <v>65064.623328000031</v>
      </c>
    </row>
    <row r="1029" spans="1:6" ht="23.25" customHeight="1" outlineLevel="1" x14ac:dyDescent="0.25">
      <c r="A1029" s="125">
        <v>14</v>
      </c>
      <c r="B1029" s="133" t="s">
        <v>66</v>
      </c>
      <c r="C1029" s="113">
        <v>1000</v>
      </c>
      <c r="D1029" s="115">
        <v>1280</v>
      </c>
      <c r="E1029" s="114">
        <v>5266.8</v>
      </c>
      <c r="F1029" s="127">
        <f>E1029*D1029/C1029</f>
        <v>6741.5039999999999</v>
      </c>
    </row>
    <row r="1030" spans="1:6" ht="75.75" outlineLevel="1" x14ac:dyDescent="0.25">
      <c r="A1030" s="125">
        <v>15</v>
      </c>
      <c r="B1030" s="133" t="s">
        <v>40</v>
      </c>
      <c r="C1030" s="126"/>
      <c r="D1030" s="115"/>
      <c r="E1030" s="114"/>
      <c r="F1030" s="114"/>
    </row>
    <row r="1031" spans="1:6" outlineLevel="1" x14ac:dyDescent="0.25">
      <c r="A1031" s="125" t="s">
        <v>67</v>
      </c>
      <c r="B1031" s="133" t="s">
        <v>68</v>
      </c>
      <c r="C1031" s="113">
        <v>100</v>
      </c>
      <c r="D1031" s="115">
        <v>444.85056000000009</v>
      </c>
      <c r="E1031" s="114">
        <v>14042.6</v>
      </c>
      <c r="F1031" s="127">
        <f>E1031*D1031/C1031</f>
        <v>62468.584738560014</v>
      </c>
    </row>
    <row r="1032" spans="1:6" outlineLevel="1" x14ac:dyDescent="0.25">
      <c r="A1032" s="125" t="s">
        <v>67</v>
      </c>
      <c r="B1032" s="133" t="s">
        <v>42</v>
      </c>
      <c r="C1032" s="113">
        <v>100</v>
      </c>
      <c r="D1032" s="115">
        <v>42.325799999999994</v>
      </c>
      <c r="E1032" s="114">
        <v>14042.6</v>
      </c>
      <c r="F1032" s="127">
        <f>E1032*D1032/C1032</f>
        <v>5943.6427907999987</v>
      </c>
    </row>
    <row r="1033" spans="1:6" outlineLevel="1" x14ac:dyDescent="0.25">
      <c r="A1033" s="125" t="s">
        <v>41</v>
      </c>
      <c r="B1033" s="133" t="s">
        <v>69</v>
      </c>
      <c r="C1033" s="113">
        <v>100</v>
      </c>
      <c r="D1033" s="115">
        <v>706.86</v>
      </c>
      <c r="E1033" s="114">
        <v>14042.6</v>
      </c>
      <c r="F1033" s="127">
        <f>E1033*D1033/C1033</f>
        <v>99261.522360000003</v>
      </c>
    </row>
    <row r="1034" spans="1:6" outlineLevel="1" x14ac:dyDescent="0.25">
      <c r="A1034" s="125" t="s">
        <v>70</v>
      </c>
      <c r="B1034" s="133" t="s">
        <v>288</v>
      </c>
      <c r="C1034" s="113">
        <v>100</v>
      </c>
      <c r="D1034" s="115">
        <v>1282.4827200000007</v>
      </c>
      <c r="E1034" s="114">
        <v>14042.6</v>
      </c>
      <c r="F1034" s="127">
        <f>E1034*D1034/C1034</f>
        <v>180093.91843872011</v>
      </c>
    </row>
    <row r="1035" spans="1:6" outlineLevel="1" x14ac:dyDescent="0.25">
      <c r="A1035" s="506" t="s">
        <v>43</v>
      </c>
      <c r="B1035" s="506"/>
      <c r="C1035" s="506"/>
      <c r="D1035" s="506"/>
      <c r="E1035" s="506"/>
      <c r="F1035" s="72">
        <f>SUM(F1019:F1034)</f>
        <v>2348355.9396286397</v>
      </c>
    </row>
    <row r="1036" spans="1:6" outlineLevel="1" x14ac:dyDescent="0.25">
      <c r="A1036" s="534" t="s">
        <v>107</v>
      </c>
      <c r="B1036" s="534"/>
      <c r="C1036" s="534"/>
      <c r="D1036" s="534"/>
      <c r="E1036" s="534"/>
      <c r="F1036" s="534"/>
    </row>
    <row r="1037" spans="1:6" ht="75" outlineLevel="1" x14ac:dyDescent="0.25">
      <c r="A1037" s="129">
        <v>1</v>
      </c>
      <c r="B1037" s="133" t="s">
        <v>108</v>
      </c>
      <c r="C1037" s="113">
        <v>1000</v>
      </c>
      <c r="D1037" s="115">
        <v>544.8919083198</v>
      </c>
      <c r="E1037" s="115">
        <v>15824.15</v>
      </c>
      <c r="F1037" s="127">
        <f>E1037*D1037/C1037</f>
        <v>8622.4512910387621</v>
      </c>
    </row>
    <row r="1038" spans="1:6" ht="105" outlineLevel="1" x14ac:dyDescent="0.25">
      <c r="A1038" s="129">
        <v>2</v>
      </c>
      <c r="B1038" s="145" t="s">
        <v>109</v>
      </c>
      <c r="C1038" s="120">
        <v>1</v>
      </c>
      <c r="D1038" s="115">
        <v>508.5</v>
      </c>
      <c r="E1038" s="127">
        <v>12.55</v>
      </c>
      <c r="F1038" s="127">
        <f>E1038*D1038/C1038</f>
        <v>6381.6750000000002</v>
      </c>
    </row>
    <row r="1039" spans="1:6" ht="45" outlineLevel="1" x14ac:dyDescent="0.25">
      <c r="A1039" s="125">
        <v>3</v>
      </c>
      <c r="B1039" s="135" t="s">
        <v>23</v>
      </c>
      <c r="C1039" s="126"/>
      <c r="D1039" s="115"/>
      <c r="E1039" s="127">
        <v>0</v>
      </c>
      <c r="F1039" s="127"/>
    </row>
    <row r="1040" spans="1:6" outlineLevel="1" x14ac:dyDescent="0.25">
      <c r="A1040" s="125"/>
      <c r="B1040" s="133" t="s">
        <v>24</v>
      </c>
      <c r="C1040" s="113">
        <v>100</v>
      </c>
      <c r="D1040" s="115">
        <v>105.61244432480001</v>
      </c>
      <c r="E1040" s="115">
        <v>34694.300000000003</v>
      </c>
      <c r="F1040" s="127">
        <f t="shared" ref="F1040:F1045" si="55">E1040*D1040/C1040</f>
        <v>36641.498271379096</v>
      </c>
    </row>
    <row r="1041" spans="1:6" ht="30" outlineLevel="1" x14ac:dyDescent="0.25">
      <c r="A1041" s="125">
        <v>4</v>
      </c>
      <c r="B1041" s="135" t="s">
        <v>25</v>
      </c>
      <c r="C1041" s="113">
        <v>100</v>
      </c>
      <c r="D1041" s="115">
        <v>315.04000000000002</v>
      </c>
      <c r="E1041" s="115">
        <v>32675.95</v>
      </c>
      <c r="F1041" s="127">
        <f t="shared" si="55"/>
        <v>102942.31288000001</v>
      </c>
    </row>
    <row r="1042" spans="1:6" ht="60" outlineLevel="1" x14ac:dyDescent="0.25">
      <c r="A1042" s="125">
        <v>5</v>
      </c>
      <c r="B1042" s="135" t="s">
        <v>110</v>
      </c>
      <c r="C1042" s="120">
        <v>100</v>
      </c>
      <c r="D1042" s="115">
        <v>64.5</v>
      </c>
      <c r="E1042" s="115">
        <v>11460.2</v>
      </c>
      <c r="F1042" s="127">
        <f t="shared" si="55"/>
        <v>7391.8290000000006</v>
      </c>
    </row>
    <row r="1043" spans="1:6" ht="60" outlineLevel="1" x14ac:dyDescent="0.25">
      <c r="A1043" s="125">
        <v>6</v>
      </c>
      <c r="B1043" s="133" t="s">
        <v>111</v>
      </c>
      <c r="C1043" s="120">
        <v>100</v>
      </c>
      <c r="D1043" s="115">
        <v>120</v>
      </c>
      <c r="E1043" s="115">
        <v>7607.35</v>
      </c>
      <c r="F1043" s="127">
        <f t="shared" si="55"/>
        <v>9128.82</v>
      </c>
    </row>
    <row r="1044" spans="1:6" ht="30" outlineLevel="1" x14ac:dyDescent="0.25">
      <c r="A1044" s="125">
        <v>7</v>
      </c>
      <c r="B1044" s="135" t="s">
        <v>112</v>
      </c>
      <c r="C1044" s="113">
        <v>1000</v>
      </c>
      <c r="D1044" s="115">
        <v>150</v>
      </c>
      <c r="E1044" s="115">
        <v>7547.75</v>
      </c>
      <c r="F1044" s="127">
        <f t="shared" si="55"/>
        <v>1132.1624999999999</v>
      </c>
    </row>
    <row r="1045" spans="1:6" ht="30" outlineLevel="1" x14ac:dyDescent="0.25">
      <c r="A1045" s="125">
        <v>8</v>
      </c>
      <c r="B1045" s="133" t="s">
        <v>173</v>
      </c>
      <c r="C1045" s="113">
        <v>100</v>
      </c>
      <c r="D1045" s="115">
        <v>290.89999999999998</v>
      </c>
      <c r="E1045" s="115">
        <v>35830.6</v>
      </c>
      <c r="F1045" s="127">
        <f t="shared" si="55"/>
        <v>104231.21539999999</v>
      </c>
    </row>
    <row r="1046" spans="1:6" ht="120.75" outlineLevel="1" x14ac:dyDescent="0.25">
      <c r="A1046" s="125">
        <v>9</v>
      </c>
      <c r="B1046" s="135" t="s">
        <v>47</v>
      </c>
      <c r="C1046" s="122"/>
      <c r="D1046" s="115"/>
      <c r="E1046" s="115"/>
      <c r="F1046" s="137"/>
    </row>
    <row r="1047" spans="1:6" ht="75" outlineLevel="1" x14ac:dyDescent="0.25">
      <c r="A1047" s="125" t="s">
        <v>48</v>
      </c>
      <c r="B1047" s="135" t="s">
        <v>174</v>
      </c>
      <c r="C1047" s="113">
        <v>1</v>
      </c>
      <c r="D1047" s="115">
        <v>154.16579999999999</v>
      </c>
      <c r="E1047" s="115">
        <v>741.85</v>
      </c>
      <c r="F1047" s="127">
        <f t="shared" ref="F1047:F1056" si="56">E1047*D1047/C1047</f>
        <v>114367.89873</v>
      </c>
    </row>
    <row r="1048" spans="1:6" ht="75" outlineLevel="1" x14ac:dyDescent="0.25">
      <c r="A1048" s="125" t="s">
        <v>50</v>
      </c>
      <c r="B1048" s="133" t="s">
        <v>175</v>
      </c>
      <c r="C1048" s="113">
        <v>1</v>
      </c>
      <c r="D1048" s="115">
        <v>18.407812499999999</v>
      </c>
      <c r="E1048" s="115">
        <v>595</v>
      </c>
      <c r="F1048" s="127">
        <f t="shared" si="56"/>
        <v>10952.6484375</v>
      </c>
    </row>
    <row r="1049" spans="1:6" ht="90" outlineLevel="1" x14ac:dyDescent="0.25">
      <c r="A1049" s="147">
        <v>11</v>
      </c>
      <c r="B1049" s="135" t="s">
        <v>116</v>
      </c>
      <c r="C1049" s="131">
        <v>100</v>
      </c>
      <c r="D1049" s="115">
        <v>1035.441675</v>
      </c>
      <c r="E1049" s="115">
        <v>30376.9</v>
      </c>
      <c r="F1049" s="127">
        <f t="shared" si="56"/>
        <v>314535.08217307506</v>
      </c>
    </row>
    <row r="1050" spans="1:6" ht="180" outlineLevel="1" x14ac:dyDescent="0.25">
      <c r="A1050" s="125">
        <v>12</v>
      </c>
      <c r="B1050" s="135" t="s">
        <v>117</v>
      </c>
      <c r="C1050" s="120">
        <v>1</v>
      </c>
      <c r="D1050" s="115">
        <v>32</v>
      </c>
      <c r="E1050" s="115">
        <v>2180.6999999999998</v>
      </c>
      <c r="F1050" s="127">
        <f t="shared" si="56"/>
        <v>69782.399999999994</v>
      </c>
    </row>
    <row r="1051" spans="1:6" ht="60" outlineLevel="1" x14ac:dyDescent="0.25">
      <c r="A1051" s="125">
        <v>13</v>
      </c>
      <c r="B1051" s="135" t="s">
        <v>118</v>
      </c>
      <c r="C1051" s="120">
        <v>1</v>
      </c>
      <c r="D1051" s="115">
        <v>40</v>
      </c>
      <c r="E1051" s="115">
        <v>457.1</v>
      </c>
      <c r="F1051" s="127">
        <f t="shared" si="56"/>
        <v>18284</v>
      </c>
    </row>
    <row r="1052" spans="1:6" ht="45" outlineLevel="1" x14ac:dyDescent="0.25">
      <c r="A1052" s="125">
        <v>14</v>
      </c>
      <c r="B1052" s="135" t="s">
        <v>119</v>
      </c>
      <c r="C1052" s="120">
        <v>1</v>
      </c>
      <c r="D1052" s="115">
        <v>49</v>
      </c>
      <c r="E1052" s="115">
        <v>2767</v>
      </c>
      <c r="F1052" s="127">
        <f t="shared" si="56"/>
        <v>135583</v>
      </c>
    </row>
    <row r="1053" spans="1:6" ht="75" outlineLevel="1" x14ac:dyDescent="0.25">
      <c r="A1053" s="129">
        <v>15</v>
      </c>
      <c r="B1053" s="135" t="s">
        <v>120</v>
      </c>
      <c r="C1053" s="120">
        <v>100</v>
      </c>
      <c r="D1053" s="115">
        <v>95.5625</v>
      </c>
      <c r="E1053" s="115">
        <v>13179.6</v>
      </c>
      <c r="F1053" s="127">
        <f t="shared" si="56"/>
        <v>12594.755250000002</v>
      </c>
    </row>
    <row r="1054" spans="1:6" ht="30" outlineLevel="1" x14ac:dyDescent="0.25">
      <c r="A1054" s="129">
        <v>16</v>
      </c>
      <c r="B1054" s="135" t="s">
        <v>121</v>
      </c>
      <c r="C1054" s="120">
        <v>1</v>
      </c>
      <c r="D1054" s="115">
        <v>99.5625</v>
      </c>
      <c r="E1054" s="115">
        <v>11</v>
      </c>
      <c r="F1054" s="127">
        <f t="shared" si="56"/>
        <v>1095.1875</v>
      </c>
    </row>
    <row r="1055" spans="1:6" ht="21" customHeight="1" outlineLevel="1" x14ac:dyDescent="0.25">
      <c r="A1055" s="125">
        <v>17</v>
      </c>
      <c r="B1055" s="135" t="s">
        <v>122</v>
      </c>
      <c r="C1055" s="113">
        <v>100</v>
      </c>
      <c r="D1055" s="115">
        <v>40.9375</v>
      </c>
      <c r="E1055" s="127">
        <v>3987</v>
      </c>
      <c r="F1055" s="127">
        <f t="shared" si="56"/>
        <v>1632.1781249999999</v>
      </c>
    </row>
    <row r="1056" spans="1:6" ht="45" outlineLevel="1" x14ac:dyDescent="0.25">
      <c r="A1056" s="129">
        <v>18</v>
      </c>
      <c r="B1056" s="135" t="s">
        <v>123</v>
      </c>
      <c r="C1056" s="113">
        <v>100</v>
      </c>
      <c r="D1056" s="115">
        <v>48.9375</v>
      </c>
      <c r="E1056" s="127">
        <v>12801.2</v>
      </c>
      <c r="F1056" s="127">
        <f t="shared" si="56"/>
        <v>6264.5872500000005</v>
      </c>
    </row>
    <row r="1057" spans="1:6" ht="45" outlineLevel="1" x14ac:dyDescent="0.25">
      <c r="A1057" s="546">
        <v>19</v>
      </c>
      <c r="B1057" s="112" t="s">
        <v>124</v>
      </c>
      <c r="C1057" s="122"/>
      <c r="D1057" s="115"/>
      <c r="E1057" s="115"/>
      <c r="F1057" s="115"/>
    </row>
    <row r="1058" spans="1:6" outlineLevel="1" x14ac:dyDescent="0.25">
      <c r="A1058" s="546"/>
      <c r="B1058" s="112" t="s">
        <v>125</v>
      </c>
      <c r="C1058" s="113">
        <v>100</v>
      </c>
      <c r="D1058" s="115">
        <v>45.86</v>
      </c>
      <c r="E1058" s="115">
        <v>47135.9</v>
      </c>
      <c r="F1058" s="127">
        <f t="shared" ref="F1058:F1068" si="57">E1058*D1058/C1058</f>
        <v>21616.523739999997</v>
      </c>
    </row>
    <row r="1059" spans="1:6" ht="30" outlineLevel="1" x14ac:dyDescent="0.25">
      <c r="A1059" s="125">
        <v>20</v>
      </c>
      <c r="B1059" s="135" t="s">
        <v>126</v>
      </c>
      <c r="C1059" s="120">
        <v>100</v>
      </c>
      <c r="D1059" s="115">
        <v>568.30500000000006</v>
      </c>
      <c r="E1059" s="127">
        <v>4614.1000000000004</v>
      </c>
      <c r="F1059" s="127">
        <f t="shared" si="57"/>
        <v>26222.161005000005</v>
      </c>
    </row>
    <row r="1060" spans="1:6" ht="45" outlineLevel="1" x14ac:dyDescent="0.25">
      <c r="A1060" s="125">
        <v>21</v>
      </c>
      <c r="B1060" s="135" t="s">
        <v>127</v>
      </c>
      <c r="C1060" s="120">
        <v>100</v>
      </c>
      <c r="D1060" s="115">
        <v>114.52</v>
      </c>
      <c r="E1060" s="127">
        <v>5264.65</v>
      </c>
      <c r="F1060" s="127">
        <f t="shared" si="57"/>
        <v>6029.0771800000002</v>
      </c>
    </row>
    <row r="1061" spans="1:6" ht="60" outlineLevel="1" x14ac:dyDescent="0.25">
      <c r="A1061" s="125">
        <v>22</v>
      </c>
      <c r="B1061" s="135" t="s">
        <v>128</v>
      </c>
      <c r="C1061" s="120">
        <v>100</v>
      </c>
      <c r="D1061" s="115">
        <v>489.875</v>
      </c>
      <c r="E1061" s="127">
        <v>5012.6499999999996</v>
      </c>
      <c r="F1061" s="127">
        <f t="shared" si="57"/>
        <v>24555.719187499999</v>
      </c>
    </row>
    <row r="1062" spans="1:6" ht="45" outlineLevel="1" x14ac:dyDescent="0.25">
      <c r="A1062" s="125">
        <v>23</v>
      </c>
      <c r="B1062" s="135" t="s">
        <v>129</v>
      </c>
      <c r="C1062" s="139">
        <v>1</v>
      </c>
      <c r="D1062" s="115">
        <v>13</v>
      </c>
      <c r="E1062" s="127">
        <v>514.9</v>
      </c>
      <c r="F1062" s="127">
        <f t="shared" si="57"/>
        <v>6693.7</v>
      </c>
    </row>
    <row r="1063" spans="1:6" ht="30" outlineLevel="1" x14ac:dyDescent="0.25">
      <c r="A1063" s="125">
        <v>24</v>
      </c>
      <c r="B1063" s="135" t="s">
        <v>130</v>
      </c>
      <c r="C1063" s="128">
        <v>1</v>
      </c>
      <c r="D1063" s="115">
        <v>2</v>
      </c>
      <c r="E1063" s="127">
        <v>849.7</v>
      </c>
      <c r="F1063" s="127">
        <f t="shared" si="57"/>
        <v>1699.4</v>
      </c>
    </row>
    <row r="1064" spans="1:6" ht="21.75" customHeight="1" outlineLevel="1" x14ac:dyDescent="0.25">
      <c r="A1064" s="125">
        <v>25</v>
      </c>
      <c r="B1064" s="135" t="s">
        <v>131</v>
      </c>
      <c r="C1064" s="128">
        <v>1</v>
      </c>
      <c r="D1064" s="115">
        <v>1</v>
      </c>
      <c r="E1064" s="127">
        <v>1159.6500000000001</v>
      </c>
      <c r="F1064" s="127">
        <f t="shared" si="57"/>
        <v>1159.6500000000001</v>
      </c>
    </row>
    <row r="1065" spans="1:6" ht="21.75" customHeight="1" outlineLevel="1" x14ac:dyDescent="0.25">
      <c r="A1065" s="125">
        <v>26</v>
      </c>
      <c r="B1065" s="135" t="s">
        <v>132</v>
      </c>
      <c r="C1065" s="120">
        <v>100</v>
      </c>
      <c r="D1065" s="115">
        <v>510.27</v>
      </c>
      <c r="E1065" s="127">
        <v>1548.2</v>
      </c>
      <c r="F1065" s="127">
        <f t="shared" si="57"/>
        <v>7900.0001400000001</v>
      </c>
    </row>
    <row r="1066" spans="1:6" ht="45" outlineLevel="1" x14ac:dyDescent="0.25">
      <c r="A1066" s="125">
        <v>27</v>
      </c>
      <c r="B1066" s="135" t="s">
        <v>133</v>
      </c>
      <c r="C1066" s="120">
        <v>100</v>
      </c>
      <c r="D1066" s="115">
        <v>172.55500000000001</v>
      </c>
      <c r="E1066" s="127">
        <v>7379.1</v>
      </c>
      <c r="F1066" s="127">
        <f t="shared" si="57"/>
        <v>12733.006005000001</v>
      </c>
    </row>
    <row r="1067" spans="1:6" ht="30" outlineLevel="1" x14ac:dyDescent="0.25">
      <c r="A1067" s="125">
        <v>28</v>
      </c>
      <c r="B1067" s="135" t="s">
        <v>134</v>
      </c>
      <c r="C1067" s="120">
        <v>100</v>
      </c>
      <c r="D1067" s="115">
        <v>89</v>
      </c>
      <c r="E1067" s="127">
        <v>3052.4</v>
      </c>
      <c r="F1067" s="127">
        <f t="shared" si="57"/>
        <v>2716.6360000000004</v>
      </c>
    </row>
    <row r="1068" spans="1:6" ht="60" outlineLevel="1" x14ac:dyDescent="0.25">
      <c r="A1068" s="125">
        <v>29</v>
      </c>
      <c r="B1068" s="112" t="s">
        <v>135</v>
      </c>
      <c r="C1068" s="131">
        <v>100</v>
      </c>
      <c r="D1068" s="115">
        <v>334.95872267077925</v>
      </c>
      <c r="E1068" s="115">
        <v>37098.85</v>
      </c>
      <c r="F1068" s="127">
        <f t="shared" si="57"/>
        <v>124265.83408554838</v>
      </c>
    </row>
    <row r="1069" spans="1:6" ht="45" outlineLevel="1" x14ac:dyDescent="0.25">
      <c r="A1069" s="546">
        <v>30</v>
      </c>
      <c r="B1069" s="135" t="s">
        <v>136</v>
      </c>
      <c r="C1069" s="122"/>
      <c r="D1069" s="115"/>
      <c r="E1069" s="127">
        <v>0</v>
      </c>
      <c r="F1069" s="127"/>
    </row>
    <row r="1070" spans="1:6" outlineLevel="1" x14ac:dyDescent="0.25">
      <c r="A1070" s="546"/>
      <c r="B1070" s="135" t="s">
        <v>176</v>
      </c>
      <c r="C1070" s="139">
        <v>1</v>
      </c>
      <c r="D1070" s="115">
        <v>60</v>
      </c>
      <c r="E1070" s="127">
        <v>112.25</v>
      </c>
      <c r="F1070" s="127">
        <f>E1070*D1070/C1070</f>
        <v>6735</v>
      </c>
    </row>
    <row r="1071" spans="1:6" outlineLevel="1" x14ac:dyDescent="0.25">
      <c r="A1071" s="546"/>
      <c r="B1071" s="135" t="s">
        <v>177</v>
      </c>
      <c r="C1071" s="139">
        <v>1</v>
      </c>
      <c r="D1071" s="115">
        <v>30</v>
      </c>
      <c r="E1071" s="127">
        <v>133.6</v>
      </c>
      <c r="F1071" s="127">
        <f>E1071*D1071/C1071</f>
        <v>4008</v>
      </c>
    </row>
    <row r="1072" spans="1:6" outlineLevel="1" x14ac:dyDescent="0.25">
      <c r="A1072" s="125"/>
      <c r="B1072" s="135" t="s">
        <v>178</v>
      </c>
      <c r="C1072" s="139">
        <v>1</v>
      </c>
      <c r="D1072" s="115">
        <v>15</v>
      </c>
      <c r="E1072" s="127">
        <v>231.55</v>
      </c>
      <c r="F1072" s="127">
        <f>E1072*D1072/C1072</f>
        <v>3473.25</v>
      </c>
    </row>
    <row r="1073" spans="1:6" ht="75" outlineLevel="1" x14ac:dyDescent="0.25">
      <c r="A1073" s="546">
        <v>31</v>
      </c>
      <c r="B1073" s="135" t="s">
        <v>141</v>
      </c>
      <c r="C1073" s="122"/>
      <c r="D1073" s="115"/>
      <c r="E1073" s="127">
        <v>0</v>
      </c>
      <c r="F1073" s="137"/>
    </row>
    <row r="1074" spans="1:6" outlineLevel="1" x14ac:dyDescent="0.25">
      <c r="A1074" s="546"/>
      <c r="B1074" s="135" t="s">
        <v>180</v>
      </c>
      <c r="C1074" s="139">
        <v>1</v>
      </c>
      <c r="D1074" s="115">
        <v>180</v>
      </c>
      <c r="E1074" s="127">
        <v>35.700000000000003</v>
      </c>
      <c r="F1074" s="127">
        <f>E1074*D1074/C1074</f>
        <v>6426.0000000000009</v>
      </c>
    </row>
    <row r="1075" spans="1:6" outlineLevel="1" x14ac:dyDescent="0.25">
      <c r="A1075" s="146"/>
      <c r="B1075" s="135" t="s">
        <v>181</v>
      </c>
      <c r="C1075" s="139">
        <v>1</v>
      </c>
      <c r="D1075" s="115">
        <v>60</v>
      </c>
      <c r="E1075" s="127">
        <v>56.3</v>
      </c>
      <c r="F1075" s="127">
        <f>E1075*D1075/C1075</f>
        <v>3378</v>
      </c>
    </row>
    <row r="1076" spans="1:6" ht="75" outlineLevel="1" x14ac:dyDescent="0.25">
      <c r="A1076" s="125">
        <v>32</v>
      </c>
      <c r="B1076" s="135" t="s">
        <v>144</v>
      </c>
      <c r="C1076" s="139">
        <v>1</v>
      </c>
      <c r="D1076" s="115">
        <v>40</v>
      </c>
      <c r="E1076" s="127">
        <v>237.65</v>
      </c>
      <c r="F1076" s="127">
        <f>E1076*D1076/C1076</f>
        <v>9506</v>
      </c>
    </row>
    <row r="1077" spans="1:6" ht="60" outlineLevel="1" x14ac:dyDescent="0.25">
      <c r="A1077" s="546">
        <v>33</v>
      </c>
      <c r="B1077" s="135" t="s">
        <v>145</v>
      </c>
      <c r="C1077" s="122"/>
      <c r="D1077" s="115"/>
      <c r="E1077" s="127">
        <v>0</v>
      </c>
      <c r="F1077" s="137"/>
    </row>
    <row r="1078" spans="1:6" outlineLevel="1" x14ac:dyDescent="0.25">
      <c r="A1078" s="546"/>
      <c r="B1078" s="135" t="s">
        <v>183</v>
      </c>
      <c r="C1078" s="132">
        <v>1</v>
      </c>
      <c r="D1078" s="115">
        <v>1</v>
      </c>
      <c r="E1078" s="127">
        <v>382.3</v>
      </c>
      <c r="F1078" s="127">
        <f t="shared" ref="F1078:F1090" si="58">E1078*D1078/C1078</f>
        <v>382.3</v>
      </c>
    </row>
    <row r="1079" spans="1:6" outlineLevel="1" x14ac:dyDescent="0.25">
      <c r="A1079" s="546"/>
      <c r="B1079" s="135" t="s">
        <v>184</v>
      </c>
      <c r="C1079" s="132">
        <v>1</v>
      </c>
      <c r="D1079" s="115">
        <v>1</v>
      </c>
      <c r="E1079" s="127">
        <v>522.75</v>
      </c>
      <c r="F1079" s="127">
        <f t="shared" si="58"/>
        <v>522.75</v>
      </c>
    </row>
    <row r="1080" spans="1:6" outlineLevel="1" x14ac:dyDescent="0.25">
      <c r="A1080" s="546"/>
      <c r="B1080" s="135" t="s">
        <v>185</v>
      </c>
      <c r="C1080" s="132">
        <v>1</v>
      </c>
      <c r="D1080" s="115">
        <v>1</v>
      </c>
      <c r="E1080" s="127">
        <v>668.8</v>
      </c>
      <c r="F1080" s="127">
        <f t="shared" si="58"/>
        <v>668.8</v>
      </c>
    </row>
    <row r="1081" spans="1:6" ht="30" outlineLevel="1" x14ac:dyDescent="0.25">
      <c r="A1081" s="125">
        <v>34</v>
      </c>
      <c r="B1081" s="135" t="s">
        <v>149</v>
      </c>
      <c r="C1081" s="132">
        <v>1</v>
      </c>
      <c r="D1081" s="115">
        <v>20</v>
      </c>
      <c r="E1081" s="127">
        <v>102.7</v>
      </c>
      <c r="F1081" s="127">
        <f t="shared" si="58"/>
        <v>2054</v>
      </c>
    </row>
    <row r="1082" spans="1:6" ht="20.25" customHeight="1" outlineLevel="1" x14ac:dyDescent="0.25">
      <c r="A1082" s="125">
        <v>35</v>
      </c>
      <c r="B1082" s="135" t="s">
        <v>150</v>
      </c>
      <c r="C1082" s="132">
        <v>1</v>
      </c>
      <c r="D1082" s="115">
        <v>4</v>
      </c>
      <c r="E1082" s="127">
        <v>96.3</v>
      </c>
      <c r="F1082" s="127">
        <f t="shared" si="58"/>
        <v>385.2</v>
      </c>
    </row>
    <row r="1083" spans="1:6" ht="20.25" customHeight="1" outlineLevel="1" x14ac:dyDescent="0.25">
      <c r="A1083" s="125">
        <v>36</v>
      </c>
      <c r="B1083" s="135" t="s">
        <v>151</v>
      </c>
      <c r="C1083" s="132">
        <v>1</v>
      </c>
      <c r="D1083" s="115">
        <v>2</v>
      </c>
      <c r="E1083" s="127">
        <v>204.7</v>
      </c>
      <c r="F1083" s="127">
        <f t="shared" si="58"/>
        <v>409.4</v>
      </c>
    </row>
    <row r="1084" spans="1:6" ht="30" outlineLevel="1" x14ac:dyDescent="0.25">
      <c r="A1084" s="125">
        <v>37</v>
      </c>
      <c r="B1084" s="135" t="s">
        <v>186</v>
      </c>
      <c r="C1084" s="132">
        <v>1</v>
      </c>
      <c r="D1084" s="115">
        <v>1</v>
      </c>
      <c r="E1084" s="127">
        <v>213.1</v>
      </c>
      <c r="F1084" s="127">
        <f t="shared" si="58"/>
        <v>213.1</v>
      </c>
    </row>
    <row r="1085" spans="1:6" ht="150" outlineLevel="1" x14ac:dyDescent="0.25">
      <c r="A1085" s="125">
        <v>38</v>
      </c>
      <c r="B1085" s="133" t="s">
        <v>153</v>
      </c>
      <c r="C1085" s="128">
        <v>1</v>
      </c>
      <c r="D1085" s="115">
        <v>1</v>
      </c>
      <c r="E1085" s="127">
        <v>24422.65</v>
      </c>
      <c r="F1085" s="127">
        <f t="shared" si="58"/>
        <v>24422.65</v>
      </c>
    </row>
    <row r="1086" spans="1:6" ht="90" outlineLevel="1" x14ac:dyDescent="0.25">
      <c r="A1086" s="125">
        <v>39</v>
      </c>
      <c r="B1086" s="135" t="s">
        <v>154</v>
      </c>
      <c r="C1086" s="128">
        <v>1</v>
      </c>
      <c r="D1086" s="115">
        <v>6</v>
      </c>
      <c r="E1086" s="127">
        <v>1453.75</v>
      </c>
      <c r="F1086" s="127">
        <f t="shared" si="58"/>
        <v>8722.5</v>
      </c>
    </row>
    <row r="1087" spans="1:6" ht="135" outlineLevel="1" x14ac:dyDescent="0.25">
      <c r="A1087" s="125">
        <v>40</v>
      </c>
      <c r="B1087" s="133" t="s">
        <v>155</v>
      </c>
      <c r="C1087" s="128">
        <v>1</v>
      </c>
      <c r="D1087" s="115">
        <v>2</v>
      </c>
      <c r="E1087" s="127">
        <v>13796.3</v>
      </c>
      <c r="F1087" s="127">
        <f t="shared" si="58"/>
        <v>27592.6</v>
      </c>
    </row>
    <row r="1088" spans="1:6" ht="150" outlineLevel="1" x14ac:dyDescent="0.25">
      <c r="A1088" s="125">
        <v>41</v>
      </c>
      <c r="B1088" s="133" t="s">
        <v>156</v>
      </c>
      <c r="C1088" s="128">
        <v>1</v>
      </c>
      <c r="D1088" s="115">
        <v>1</v>
      </c>
      <c r="E1088" s="127">
        <v>19859.400000000001</v>
      </c>
      <c r="F1088" s="127">
        <f t="shared" si="58"/>
        <v>19859.400000000001</v>
      </c>
    </row>
    <row r="1089" spans="1:8" ht="60" outlineLevel="1" x14ac:dyDescent="0.25">
      <c r="A1089" s="125">
        <v>42</v>
      </c>
      <c r="B1089" s="135" t="s">
        <v>157</v>
      </c>
      <c r="C1089" s="128">
        <v>1</v>
      </c>
      <c r="D1089" s="115">
        <v>3</v>
      </c>
      <c r="E1089" s="127">
        <v>1995.3</v>
      </c>
      <c r="F1089" s="127">
        <f t="shared" si="58"/>
        <v>5985.9</v>
      </c>
    </row>
    <row r="1090" spans="1:8" ht="30" outlineLevel="1" x14ac:dyDescent="0.25">
      <c r="A1090" s="125">
        <v>43</v>
      </c>
      <c r="B1090" s="135" t="s">
        <v>158</v>
      </c>
      <c r="C1090" s="128">
        <v>1</v>
      </c>
      <c r="D1090" s="115">
        <v>3</v>
      </c>
      <c r="E1090" s="127">
        <v>178.75</v>
      </c>
      <c r="F1090" s="127">
        <f t="shared" si="58"/>
        <v>536.25</v>
      </c>
    </row>
    <row r="1091" spans="1:8" ht="75.75" outlineLevel="1" x14ac:dyDescent="0.25">
      <c r="A1091" s="125">
        <v>44</v>
      </c>
      <c r="B1091" s="133" t="s">
        <v>40</v>
      </c>
      <c r="C1091" s="126"/>
      <c r="D1091" s="115"/>
      <c r="E1091" s="114"/>
      <c r="F1091" s="114"/>
    </row>
    <row r="1092" spans="1:8" outlineLevel="1" x14ac:dyDescent="0.25">
      <c r="A1092" s="125" t="s">
        <v>67</v>
      </c>
      <c r="B1092" s="133" t="s">
        <v>68</v>
      </c>
      <c r="C1092" s="113">
        <v>100</v>
      </c>
      <c r="D1092" s="115">
        <v>101.387946551808</v>
      </c>
      <c r="E1092" s="114">
        <v>14042.6</v>
      </c>
      <c r="F1092" s="127">
        <f>E1092*D1092/C1092</f>
        <v>14237.503782484191</v>
      </c>
    </row>
    <row r="1093" spans="1:8" outlineLevel="1" x14ac:dyDescent="0.25">
      <c r="A1093" s="125" t="s">
        <v>41</v>
      </c>
      <c r="B1093" s="133" t="s">
        <v>42</v>
      </c>
      <c r="C1093" s="113">
        <v>100</v>
      </c>
      <c r="D1093" s="115">
        <v>40.3568</v>
      </c>
      <c r="E1093" s="114">
        <v>14042.6</v>
      </c>
      <c r="F1093" s="127">
        <f>E1093*D1093/C1093</f>
        <v>5667.1439968000004</v>
      </c>
    </row>
    <row r="1094" spans="1:8" outlineLevel="1" x14ac:dyDescent="0.25">
      <c r="A1094" s="125" t="s">
        <v>70</v>
      </c>
      <c r="B1094" s="133" t="s">
        <v>159</v>
      </c>
      <c r="C1094" s="113">
        <v>100</v>
      </c>
      <c r="D1094" s="115">
        <v>151.864779</v>
      </c>
      <c r="E1094" s="114">
        <v>14042.6</v>
      </c>
      <c r="F1094" s="127">
        <f>E1094*D1094/C1094</f>
        <v>21325.763455854001</v>
      </c>
    </row>
    <row r="1095" spans="1:8" outlineLevel="1" x14ac:dyDescent="0.25">
      <c r="A1095" s="125" t="s">
        <v>160</v>
      </c>
      <c r="B1095" s="133" t="s">
        <v>161</v>
      </c>
      <c r="C1095" s="113">
        <v>100</v>
      </c>
      <c r="D1095" s="115">
        <v>7.0949999999999998</v>
      </c>
      <c r="E1095" s="114">
        <v>14042.6</v>
      </c>
      <c r="F1095" s="127">
        <f>E1095*D1095/C1095</f>
        <v>996.32247000000007</v>
      </c>
    </row>
    <row r="1096" spans="1:8" outlineLevel="1" x14ac:dyDescent="0.25">
      <c r="A1096" s="506" t="s">
        <v>259</v>
      </c>
      <c r="B1096" s="506"/>
      <c r="C1096" s="506"/>
      <c r="D1096" s="506"/>
      <c r="E1096" s="506"/>
      <c r="F1096" s="72">
        <f>SUM(F1037:F1095)</f>
        <v>1364663.2428561794</v>
      </c>
    </row>
    <row r="1097" spans="1:8" outlineLevel="1" x14ac:dyDescent="0.25">
      <c r="A1097" s="539" t="s">
        <v>294</v>
      </c>
      <c r="B1097" s="539"/>
      <c r="C1097" s="539"/>
      <c r="D1097" s="539"/>
      <c r="E1097" s="539"/>
      <c r="F1097" s="257">
        <f>F1096+F1035+F1017+F1004+F978+F958</f>
        <v>56729159.520352975</v>
      </c>
    </row>
    <row r="1098" spans="1:8" ht="25.5" customHeight="1" x14ac:dyDescent="0.25">
      <c r="A1098" s="547" t="s">
        <v>295</v>
      </c>
      <c r="B1098" s="548"/>
      <c r="C1098" s="548"/>
      <c r="D1098" s="548"/>
      <c r="E1098" s="549"/>
      <c r="F1098" s="262">
        <f>F1262</f>
        <v>92113523.119333774</v>
      </c>
      <c r="G1098" s="456">
        <f>H1098-F1098</f>
        <v>-1866.5697467923164</v>
      </c>
      <c r="H1098" s="1">
        <v>92111656.549586982</v>
      </c>
    </row>
    <row r="1099" spans="1:8" outlineLevel="1" x14ac:dyDescent="0.25">
      <c r="A1099" s="543" t="s">
        <v>9</v>
      </c>
      <c r="B1099" s="543"/>
      <c r="C1099" s="543"/>
      <c r="D1099" s="543"/>
      <c r="E1099" s="543"/>
      <c r="F1099" s="543"/>
    </row>
    <row r="1100" spans="1:8" ht="75" outlineLevel="1" x14ac:dyDescent="0.25">
      <c r="A1100" s="111">
        <v>1</v>
      </c>
      <c r="B1100" s="112" t="s">
        <v>10</v>
      </c>
      <c r="C1100" s="113">
        <v>1000</v>
      </c>
      <c r="D1100" s="114">
        <v>2187776.7000000002</v>
      </c>
      <c r="E1100" s="115">
        <v>4640.7</v>
      </c>
      <c r="F1100" s="127">
        <f>E1100*D1100/C1100</f>
        <v>10152815.33169</v>
      </c>
    </row>
    <row r="1101" spans="1:8" ht="35.25" customHeight="1" outlineLevel="1" x14ac:dyDescent="0.25">
      <c r="A1101" s="111">
        <v>2</v>
      </c>
      <c r="B1101" s="112" t="s">
        <v>11</v>
      </c>
      <c r="C1101" s="113">
        <v>1000</v>
      </c>
      <c r="D1101" s="114">
        <v>1607647.35</v>
      </c>
      <c r="E1101" s="117">
        <v>940.9</v>
      </c>
      <c r="F1101" s="127">
        <f>E1101*D1101/C1101</f>
        <v>1512635.3916150001</v>
      </c>
    </row>
    <row r="1102" spans="1:8" ht="45" outlineLevel="1" x14ac:dyDescent="0.25">
      <c r="A1102" s="545">
        <v>3</v>
      </c>
      <c r="B1102" s="112" t="s">
        <v>12</v>
      </c>
      <c r="C1102" s="111"/>
      <c r="D1102" s="114"/>
      <c r="E1102" s="117"/>
      <c r="F1102" s="117"/>
    </row>
    <row r="1103" spans="1:8" outlineLevel="1" x14ac:dyDescent="0.25">
      <c r="A1103" s="545"/>
      <c r="B1103" s="112" t="s">
        <v>13</v>
      </c>
      <c r="C1103" s="113">
        <v>1000</v>
      </c>
      <c r="D1103" s="114">
        <v>1752.5</v>
      </c>
      <c r="E1103" s="117">
        <v>1073.2</v>
      </c>
      <c r="F1103" s="127">
        <f>E1103*D1103/C1103</f>
        <v>1880.7829999999999</v>
      </c>
    </row>
    <row r="1104" spans="1:8" outlineLevel="1" x14ac:dyDescent="0.25">
      <c r="A1104" s="545"/>
      <c r="B1104" s="112" t="s">
        <v>164</v>
      </c>
      <c r="C1104" s="113">
        <v>1000</v>
      </c>
      <c r="D1104" s="114">
        <v>16955</v>
      </c>
      <c r="E1104" s="117">
        <v>1743.95</v>
      </c>
      <c r="F1104" s="127">
        <f>E1104*D1104/C1104</f>
        <v>29568.67225</v>
      </c>
    </row>
    <row r="1105" spans="1:7" outlineLevel="1" x14ac:dyDescent="0.25">
      <c r="A1105" s="545"/>
      <c r="B1105" s="112" t="s">
        <v>296</v>
      </c>
      <c r="C1105" s="113">
        <v>1000</v>
      </c>
      <c r="D1105" s="114">
        <v>97028.25</v>
      </c>
      <c r="E1105" s="117">
        <v>7051.473</v>
      </c>
      <c r="F1105" s="127">
        <f>E1105*D1105/C1105</f>
        <v>684192.08511224994</v>
      </c>
    </row>
    <row r="1106" spans="1:7" ht="60" outlineLevel="1" x14ac:dyDescent="0.25">
      <c r="A1106" s="111">
        <v>7</v>
      </c>
      <c r="B1106" s="112" t="s">
        <v>264</v>
      </c>
      <c r="C1106" s="128">
        <v>1</v>
      </c>
      <c r="D1106" s="114">
        <v>104</v>
      </c>
      <c r="E1106" s="114">
        <v>3045.6067736000005</v>
      </c>
      <c r="F1106" s="127">
        <f>E1106*D1106/C1106</f>
        <v>316743.10445440002</v>
      </c>
    </row>
    <row r="1107" spans="1:7" outlineLevel="1" x14ac:dyDescent="0.25">
      <c r="A1107" s="534" t="s">
        <v>192</v>
      </c>
      <c r="B1107" s="534"/>
      <c r="C1107" s="534"/>
      <c r="D1107" s="534"/>
      <c r="E1107" s="534"/>
      <c r="F1107" s="534"/>
    </row>
    <row r="1108" spans="1:7" ht="65.25" customHeight="1" outlineLevel="1" x14ac:dyDescent="0.25">
      <c r="A1108" s="122">
        <v>1</v>
      </c>
      <c r="B1108" s="123" t="s">
        <v>22</v>
      </c>
      <c r="C1108" s="113">
        <v>1000</v>
      </c>
      <c r="D1108" s="124">
        <v>98</v>
      </c>
      <c r="E1108" s="124">
        <v>15824.15</v>
      </c>
      <c r="F1108" s="127">
        <f>E1108*D1108/C1108</f>
        <v>1550.7666999999999</v>
      </c>
    </row>
    <row r="1109" spans="1:7" s="15" customFormat="1" ht="51" customHeight="1" outlineLevel="1" x14ac:dyDescent="0.2">
      <c r="A1109" s="125">
        <v>2</v>
      </c>
      <c r="B1109" s="123" t="s">
        <v>23</v>
      </c>
      <c r="C1109" s="126"/>
      <c r="D1109" s="115"/>
      <c r="E1109" s="127">
        <v>0</v>
      </c>
      <c r="F1109" s="127">
        <v>0</v>
      </c>
      <c r="G1109" s="457"/>
    </row>
    <row r="1110" spans="1:7" s="15" customFormat="1" ht="22.5" customHeight="1" outlineLevel="1" x14ac:dyDescent="0.2">
      <c r="A1110" s="125"/>
      <c r="B1110" s="123" t="s">
        <v>24</v>
      </c>
      <c r="C1110" s="113">
        <v>100</v>
      </c>
      <c r="D1110" s="124">
        <v>24.5</v>
      </c>
      <c r="E1110" s="115">
        <v>34694.300000000003</v>
      </c>
      <c r="F1110" s="127">
        <f t="shared" ref="F1110:F1116" si="59">E1110*D1110/C1110</f>
        <v>8500.1035000000011</v>
      </c>
      <c r="G1110" s="457"/>
    </row>
    <row r="1111" spans="1:7" s="15" customFormat="1" ht="33.75" customHeight="1" outlineLevel="1" x14ac:dyDescent="0.2">
      <c r="A1111" s="125">
        <v>3</v>
      </c>
      <c r="B1111" s="123" t="s">
        <v>25</v>
      </c>
      <c r="C1111" s="113">
        <v>100</v>
      </c>
      <c r="D1111" s="124">
        <v>97.5</v>
      </c>
      <c r="E1111" s="124">
        <v>32675.95</v>
      </c>
      <c r="F1111" s="127">
        <f t="shared" si="59"/>
        <v>31859.05125</v>
      </c>
      <c r="G1111" s="457"/>
    </row>
    <row r="1112" spans="1:7" s="15" customFormat="1" ht="54" customHeight="1" outlineLevel="1" x14ac:dyDescent="0.2">
      <c r="A1112" s="125">
        <v>4</v>
      </c>
      <c r="B1112" s="123" t="s">
        <v>26</v>
      </c>
      <c r="C1112" s="120">
        <v>100</v>
      </c>
      <c r="D1112" s="124">
        <v>39</v>
      </c>
      <c r="E1112" s="124">
        <v>11851.7</v>
      </c>
      <c r="F1112" s="127">
        <f t="shared" si="59"/>
        <v>4622.1630000000005</v>
      </c>
      <c r="G1112" s="457"/>
    </row>
    <row r="1113" spans="1:7" ht="37.5" customHeight="1" outlineLevel="1" x14ac:dyDescent="0.25">
      <c r="A1113" s="122">
        <v>5</v>
      </c>
      <c r="B1113" s="123" t="s">
        <v>27</v>
      </c>
      <c r="C1113" s="113">
        <v>100</v>
      </c>
      <c r="D1113" s="124">
        <v>81.703125</v>
      </c>
      <c r="E1113" s="124">
        <v>37620.6</v>
      </c>
      <c r="F1113" s="127">
        <f t="shared" si="59"/>
        <v>30737.205843750002</v>
      </c>
    </row>
    <row r="1114" spans="1:7" ht="24" customHeight="1" outlineLevel="1" x14ac:dyDescent="0.25">
      <c r="A1114" s="122">
        <v>6</v>
      </c>
      <c r="B1114" s="123" t="s">
        <v>28</v>
      </c>
      <c r="C1114" s="120">
        <v>100</v>
      </c>
      <c r="D1114" s="124">
        <v>230.64999999999998</v>
      </c>
      <c r="E1114" s="124">
        <v>4334.75</v>
      </c>
      <c r="F1114" s="127">
        <f t="shared" si="59"/>
        <v>9998.1008749999983</v>
      </c>
    </row>
    <row r="1115" spans="1:7" ht="45" outlineLevel="1" x14ac:dyDescent="0.25">
      <c r="A1115" s="122">
        <v>7</v>
      </c>
      <c r="B1115" s="123" t="s">
        <v>29</v>
      </c>
      <c r="C1115" s="120">
        <v>100</v>
      </c>
      <c r="D1115" s="124">
        <v>230.64999999999998</v>
      </c>
      <c r="E1115" s="124">
        <v>7379.1</v>
      </c>
      <c r="F1115" s="127">
        <f t="shared" si="59"/>
        <v>17019.894149999996</v>
      </c>
    </row>
    <row r="1116" spans="1:7" ht="22.5" customHeight="1" outlineLevel="1" x14ac:dyDescent="0.25">
      <c r="A1116" s="122">
        <v>8</v>
      </c>
      <c r="B1116" s="123" t="s">
        <v>30</v>
      </c>
      <c r="C1116" s="128">
        <v>1</v>
      </c>
      <c r="D1116" s="124">
        <v>500</v>
      </c>
      <c r="E1116" s="124">
        <v>30.5</v>
      </c>
      <c r="F1116" s="127">
        <f t="shared" si="59"/>
        <v>15250</v>
      </c>
    </row>
    <row r="1117" spans="1:7" ht="81.75" customHeight="1" outlineLevel="1" x14ac:dyDescent="0.25">
      <c r="A1117" s="122">
        <v>9</v>
      </c>
      <c r="B1117" s="123" t="s">
        <v>31</v>
      </c>
      <c r="C1117" s="126"/>
      <c r="D1117" s="124"/>
      <c r="E1117" s="124"/>
      <c r="F1117" s="124"/>
    </row>
    <row r="1118" spans="1:7" outlineLevel="1" x14ac:dyDescent="0.25">
      <c r="A1118" s="122"/>
      <c r="B1118" s="123" t="s">
        <v>32</v>
      </c>
      <c r="C1118" s="113">
        <v>100</v>
      </c>
      <c r="D1118" s="124">
        <v>4.29</v>
      </c>
      <c r="E1118" s="124">
        <v>14042.6</v>
      </c>
      <c r="F1118" s="127">
        <f>E1118*D1118/C1118</f>
        <v>602.42754000000002</v>
      </c>
    </row>
    <row r="1119" spans="1:7" outlineLevel="1" x14ac:dyDescent="0.25">
      <c r="A1119" s="534" t="s">
        <v>168</v>
      </c>
      <c r="B1119" s="534"/>
      <c r="C1119" s="534"/>
      <c r="D1119" s="534"/>
      <c r="E1119" s="534"/>
      <c r="F1119" s="534"/>
    </row>
    <row r="1120" spans="1:7" ht="21.75" customHeight="1" outlineLevel="1" x14ac:dyDescent="0.25">
      <c r="A1120" s="129">
        <v>1</v>
      </c>
      <c r="B1120" s="130" t="s">
        <v>34</v>
      </c>
      <c r="C1120" s="113">
        <v>1</v>
      </c>
      <c r="D1120" s="115">
        <v>22.36</v>
      </c>
      <c r="E1120" s="127">
        <v>546.95000000000005</v>
      </c>
      <c r="F1120" s="127">
        <f t="shared" ref="F1120:F1125" si="60">E1120*D1120/C1120</f>
        <v>12229.802000000001</v>
      </c>
    </row>
    <row r="1121" spans="1:6" ht="45" outlineLevel="1" x14ac:dyDescent="0.25">
      <c r="A1121" s="129">
        <v>2</v>
      </c>
      <c r="B1121" s="130" t="s">
        <v>35</v>
      </c>
      <c r="C1121" s="131">
        <v>100</v>
      </c>
      <c r="D1121" s="115">
        <v>51.09</v>
      </c>
      <c r="E1121" s="127">
        <v>30006.1</v>
      </c>
      <c r="F1121" s="127">
        <f t="shared" si="60"/>
        <v>15330.11649</v>
      </c>
    </row>
    <row r="1122" spans="1:6" ht="21" customHeight="1" outlineLevel="1" x14ac:dyDescent="0.25">
      <c r="A1122" s="125">
        <v>3</v>
      </c>
      <c r="B1122" s="130" t="s">
        <v>36</v>
      </c>
      <c r="C1122" s="128">
        <v>1</v>
      </c>
      <c r="D1122" s="115">
        <v>13</v>
      </c>
      <c r="E1122" s="127">
        <v>115.4</v>
      </c>
      <c r="F1122" s="127">
        <f t="shared" si="60"/>
        <v>1500.2</v>
      </c>
    </row>
    <row r="1123" spans="1:6" ht="21" customHeight="1" outlineLevel="1" x14ac:dyDescent="0.25">
      <c r="A1123" s="125">
        <v>4</v>
      </c>
      <c r="B1123" s="130" t="s">
        <v>37</v>
      </c>
      <c r="C1123" s="132">
        <v>1</v>
      </c>
      <c r="D1123" s="115">
        <v>13</v>
      </c>
      <c r="E1123" s="127">
        <v>141.9</v>
      </c>
      <c r="F1123" s="127">
        <f t="shared" si="60"/>
        <v>1844.7</v>
      </c>
    </row>
    <row r="1124" spans="1:6" ht="21" customHeight="1" outlineLevel="1" x14ac:dyDescent="0.25">
      <c r="A1124" s="125">
        <v>5</v>
      </c>
      <c r="B1124" s="130" t="s">
        <v>38</v>
      </c>
      <c r="C1124" s="120">
        <v>100</v>
      </c>
      <c r="D1124" s="115">
        <v>45.5</v>
      </c>
      <c r="E1124" s="127">
        <v>4307.55</v>
      </c>
      <c r="F1124" s="127">
        <f t="shared" si="60"/>
        <v>1959.93525</v>
      </c>
    </row>
    <row r="1125" spans="1:6" ht="30" outlineLevel="1" x14ac:dyDescent="0.25">
      <c r="A1125" s="125">
        <v>6</v>
      </c>
      <c r="B1125" s="130" t="s">
        <v>39</v>
      </c>
      <c r="C1125" s="128">
        <v>1</v>
      </c>
      <c r="D1125" s="115">
        <v>130</v>
      </c>
      <c r="E1125" s="127">
        <v>30.5</v>
      </c>
      <c r="F1125" s="127">
        <f t="shared" si="60"/>
        <v>3965</v>
      </c>
    </row>
    <row r="1126" spans="1:6" ht="75" outlineLevel="1" x14ac:dyDescent="0.25">
      <c r="A1126" s="125">
        <v>7</v>
      </c>
      <c r="B1126" s="133" t="s">
        <v>31</v>
      </c>
      <c r="C1126" s="126"/>
      <c r="D1126" s="115"/>
      <c r="E1126" s="114"/>
      <c r="F1126" s="114"/>
    </row>
    <row r="1127" spans="1:6" outlineLevel="1" x14ac:dyDescent="0.25">
      <c r="A1127" s="125" t="s">
        <v>41</v>
      </c>
      <c r="B1127" s="133" t="s">
        <v>42</v>
      </c>
      <c r="C1127" s="113">
        <v>100</v>
      </c>
      <c r="D1127" s="115">
        <v>19.6768</v>
      </c>
      <c r="E1127" s="114">
        <v>14042.6</v>
      </c>
      <c r="F1127" s="127">
        <f>E1127*D1127/C1127</f>
        <v>2763.1343167999999</v>
      </c>
    </row>
    <row r="1128" spans="1:6" outlineLevel="1" x14ac:dyDescent="0.25">
      <c r="A1128" s="518" t="s">
        <v>43</v>
      </c>
      <c r="B1128" s="518"/>
      <c r="C1128" s="518"/>
      <c r="D1128" s="518"/>
      <c r="E1128" s="518"/>
      <c r="F1128" s="106">
        <f>SUM(F1100:F1127)</f>
        <v>12857567.969037198</v>
      </c>
    </row>
    <row r="1129" spans="1:6" outlineLevel="1" x14ac:dyDescent="0.25">
      <c r="A1129" s="534" t="s">
        <v>265</v>
      </c>
      <c r="B1129" s="534"/>
      <c r="C1129" s="534"/>
      <c r="D1129" s="534"/>
      <c r="E1129" s="534"/>
      <c r="F1129" s="534"/>
    </row>
    <row r="1130" spans="1:6" ht="75" outlineLevel="1" x14ac:dyDescent="0.25">
      <c r="A1130" s="129">
        <v>1</v>
      </c>
      <c r="B1130" s="133" t="s">
        <v>45</v>
      </c>
      <c r="C1130" s="113">
        <v>1000</v>
      </c>
      <c r="D1130" s="115">
        <v>12395.410299999992</v>
      </c>
      <c r="E1130" s="115">
        <v>12735.6</v>
      </c>
      <c r="F1130" s="127">
        <f>E1130*D1130/C1130</f>
        <v>157862.98741667991</v>
      </c>
    </row>
    <row r="1131" spans="1:6" ht="23.25" customHeight="1" outlineLevel="1" x14ac:dyDescent="0.25">
      <c r="A1131" s="129">
        <v>2</v>
      </c>
      <c r="B1131" s="133" t="s">
        <v>75</v>
      </c>
      <c r="C1131" s="113">
        <v>1000</v>
      </c>
      <c r="D1131" s="115">
        <v>12395.410299999992</v>
      </c>
      <c r="E1131" s="115">
        <v>12038.4</v>
      </c>
      <c r="F1131" s="127">
        <f>E1131*D1131/C1131</f>
        <v>149220.90735551988</v>
      </c>
    </row>
    <row r="1132" spans="1:6" ht="45" outlineLevel="1" x14ac:dyDescent="0.25">
      <c r="A1132" s="125">
        <v>3</v>
      </c>
      <c r="B1132" s="135" t="s">
        <v>23</v>
      </c>
      <c r="C1132" s="126"/>
      <c r="D1132" s="115"/>
      <c r="E1132" s="127">
        <v>0</v>
      </c>
      <c r="F1132" s="127"/>
    </row>
    <row r="1133" spans="1:6" outlineLevel="1" x14ac:dyDescent="0.25">
      <c r="A1133" s="125"/>
      <c r="B1133" s="133" t="s">
        <v>24</v>
      </c>
      <c r="C1133" s="113">
        <v>100</v>
      </c>
      <c r="D1133" s="115">
        <v>1410.7375000000002</v>
      </c>
      <c r="E1133" s="115">
        <v>34694.300000000003</v>
      </c>
      <c r="F1133" s="127">
        <f>E1133*D1133/C1133</f>
        <v>489445.50046250009</v>
      </c>
    </row>
    <row r="1134" spans="1:6" outlineLevel="1" x14ac:dyDescent="0.25">
      <c r="A1134" s="125"/>
      <c r="B1134" s="133" t="s">
        <v>125</v>
      </c>
      <c r="C1134" s="113">
        <v>100</v>
      </c>
      <c r="D1134" s="115">
        <v>187</v>
      </c>
      <c r="E1134" s="115">
        <v>47135.9</v>
      </c>
      <c r="F1134" s="127">
        <f>E1134*D1134/C1134</f>
        <v>88144.133000000002</v>
      </c>
    </row>
    <row r="1135" spans="1:6" ht="90" outlineLevel="1" x14ac:dyDescent="0.25">
      <c r="A1135" s="125">
        <v>4</v>
      </c>
      <c r="B1135" s="133" t="s">
        <v>46</v>
      </c>
      <c r="C1135" s="131">
        <v>100</v>
      </c>
      <c r="D1135" s="115">
        <v>35906.236199999992</v>
      </c>
      <c r="E1135" s="136">
        <v>30376.9</v>
      </c>
      <c r="F1135" s="127">
        <f>E1135*D1135/C1135</f>
        <v>10907201.464237798</v>
      </c>
    </row>
    <row r="1136" spans="1:6" ht="120.75" outlineLevel="1" x14ac:dyDescent="0.25">
      <c r="A1136" s="125">
        <v>5</v>
      </c>
      <c r="B1136" s="135" t="s">
        <v>78</v>
      </c>
      <c r="C1136" s="126"/>
      <c r="D1136" s="115"/>
      <c r="E1136" s="127"/>
      <c r="F1136" s="137"/>
    </row>
    <row r="1137" spans="1:6" ht="60" outlineLevel="1" x14ac:dyDescent="0.25">
      <c r="A1137" s="125"/>
      <c r="B1137" s="135" t="s">
        <v>205</v>
      </c>
      <c r="C1137" s="113">
        <v>1</v>
      </c>
      <c r="D1137" s="115">
        <v>7756.1378999999961</v>
      </c>
      <c r="E1137" s="115">
        <v>817.55</v>
      </c>
      <c r="F1137" s="127">
        <f t="shared" ref="F1137:F1143" si="61">E1137*D1137/C1137</f>
        <v>6341030.5401449967</v>
      </c>
    </row>
    <row r="1138" spans="1:6" ht="75" outlineLevel="1" x14ac:dyDescent="0.25">
      <c r="A1138" s="125"/>
      <c r="B1138" s="135" t="s">
        <v>217</v>
      </c>
      <c r="C1138" s="113">
        <v>1</v>
      </c>
      <c r="D1138" s="115">
        <v>4212.607500000001</v>
      </c>
      <c r="E1138" s="115">
        <v>670.5</v>
      </c>
      <c r="F1138" s="127">
        <f t="shared" si="61"/>
        <v>2824553.3287500008</v>
      </c>
    </row>
    <row r="1139" spans="1:6" ht="30" outlineLevel="1" x14ac:dyDescent="0.25">
      <c r="A1139" s="125">
        <v>6</v>
      </c>
      <c r="B1139" s="133" t="s">
        <v>52</v>
      </c>
      <c r="C1139" s="120">
        <v>100</v>
      </c>
      <c r="D1139" s="115">
        <v>4687.729199999997</v>
      </c>
      <c r="E1139" s="127">
        <v>1645.1</v>
      </c>
      <c r="F1139" s="127">
        <f t="shared" si="61"/>
        <v>77117.833069199944</v>
      </c>
    </row>
    <row r="1140" spans="1:6" ht="30" outlineLevel="1" x14ac:dyDescent="0.25">
      <c r="A1140" s="125">
        <v>7</v>
      </c>
      <c r="B1140" s="135" t="s">
        <v>79</v>
      </c>
      <c r="C1140" s="113">
        <v>100</v>
      </c>
      <c r="D1140" s="115">
        <v>440</v>
      </c>
      <c r="E1140" s="127">
        <v>35727</v>
      </c>
      <c r="F1140" s="127">
        <f t="shared" si="61"/>
        <v>157198.79999999999</v>
      </c>
    </row>
    <row r="1141" spans="1:6" ht="60" outlineLevel="1" x14ac:dyDescent="0.25">
      <c r="A1141" s="125">
        <v>8</v>
      </c>
      <c r="B1141" s="138" t="s">
        <v>80</v>
      </c>
      <c r="C1141" s="139">
        <v>1</v>
      </c>
      <c r="D1141" s="115">
        <v>1098.7399999999998</v>
      </c>
      <c r="E1141" s="115">
        <v>809.4</v>
      </c>
      <c r="F1141" s="127">
        <f t="shared" si="61"/>
        <v>889320.15599999984</v>
      </c>
    </row>
    <row r="1142" spans="1:6" ht="30" outlineLevel="1" x14ac:dyDescent="0.25">
      <c r="A1142" s="125">
        <v>9</v>
      </c>
      <c r="B1142" s="140" t="s">
        <v>81</v>
      </c>
      <c r="C1142" s="139">
        <v>1</v>
      </c>
      <c r="D1142" s="115">
        <v>380</v>
      </c>
      <c r="E1142" s="115">
        <v>1381</v>
      </c>
      <c r="F1142" s="127">
        <f t="shared" si="61"/>
        <v>524780</v>
      </c>
    </row>
    <row r="1143" spans="1:6" ht="26.25" customHeight="1" outlineLevel="1" x14ac:dyDescent="0.25">
      <c r="A1143" s="125">
        <v>10</v>
      </c>
      <c r="B1143" s="133" t="s">
        <v>66</v>
      </c>
      <c r="C1143" s="113">
        <v>1000</v>
      </c>
      <c r="D1143" s="115">
        <v>22000</v>
      </c>
      <c r="E1143" s="114">
        <v>5266.8</v>
      </c>
      <c r="F1143" s="127">
        <f t="shared" si="61"/>
        <v>115869.6</v>
      </c>
    </row>
    <row r="1144" spans="1:6" ht="75.75" outlineLevel="1" x14ac:dyDescent="0.25">
      <c r="A1144" s="125">
        <v>11</v>
      </c>
      <c r="B1144" s="133" t="s">
        <v>40</v>
      </c>
      <c r="C1144" s="126"/>
      <c r="D1144" s="115"/>
      <c r="E1144" s="114"/>
      <c r="F1144" s="114"/>
    </row>
    <row r="1145" spans="1:6" outlineLevel="1" x14ac:dyDescent="0.25">
      <c r="A1145" s="125" t="s">
        <v>67</v>
      </c>
      <c r="B1145" s="133" t="s">
        <v>68</v>
      </c>
      <c r="C1145" s="113">
        <v>100</v>
      </c>
      <c r="D1145" s="115">
        <v>1354.3080000000002</v>
      </c>
      <c r="E1145" s="114">
        <v>14042.6</v>
      </c>
      <c r="F1145" s="127">
        <f>E1145*D1145/C1145</f>
        <v>190180.05520800001</v>
      </c>
    </row>
    <row r="1146" spans="1:6" outlineLevel="1" x14ac:dyDescent="0.25">
      <c r="A1146" s="125" t="s">
        <v>41</v>
      </c>
      <c r="B1146" s="133" t="s">
        <v>42</v>
      </c>
      <c r="C1146" s="113">
        <v>100</v>
      </c>
      <c r="D1146" s="115">
        <v>164.56</v>
      </c>
      <c r="E1146" s="114">
        <v>14042.6</v>
      </c>
      <c r="F1146" s="127">
        <f>E1146*D1146/C1146</f>
        <v>23108.502560000001</v>
      </c>
    </row>
    <row r="1147" spans="1:6" outlineLevel="1" x14ac:dyDescent="0.25">
      <c r="A1147" s="125" t="s">
        <v>70</v>
      </c>
      <c r="B1147" s="133" t="s">
        <v>82</v>
      </c>
      <c r="C1147" s="113">
        <v>100</v>
      </c>
      <c r="D1147" s="115">
        <v>10053.746135999996</v>
      </c>
      <c r="E1147" s="114">
        <v>14042.6</v>
      </c>
      <c r="F1147" s="127">
        <f>E1147*D1147/C1147</f>
        <v>1411807.3548939356</v>
      </c>
    </row>
    <row r="1148" spans="1:6" outlineLevel="1" x14ac:dyDescent="0.25">
      <c r="A1148" s="506" t="s">
        <v>43</v>
      </c>
      <c r="B1148" s="506"/>
      <c r="C1148" s="506"/>
      <c r="D1148" s="506"/>
      <c r="E1148" s="506"/>
      <c r="F1148" s="72">
        <f>SUM(F1130:F1147)</f>
        <v>24346841.163098633</v>
      </c>
    </row>
    <row r="1149" spans="1:6" outlineLevel="1" x14ac:dyDescent="0.25">
      <c r="A1149" s="534" t="s">
        <v>266</v>
      </c>
      <c r="B1149" s="534"/>
      <c r="C1149" s="534"/>
      <c r="D1149" s="534"/>
      <c r="E1149" s="534"/>
      <c r="F1149" s="534"/>
    </row>
    <row r="1150" spans="1:6" ht="75" outlineLevel="1" x14ac:dyDescent="0.25">
      <c r="A1150" s="129">
        <v>1</v>
      </c>
      <c r="B1150" s="133" t="s">
        <v>45</v>
      </c>
      <c r="C1150" s="113">
        <v>1000</v>
      </c>
      <c r="D1150" s="115">
        <v>29517.97999999997</v>
      </c>
      <c r="E1150" s="115">
        <v>12735.6</v>
      </c>
      <c r="F1150" s="127">
        <f>E1150*D1150/C1150</f>
        <v>375929.18608799967</v>
      </c>
    </row>
    <row r="1151" spans="1:6" ht="45" outlineLevel="1" x14ac:dyDescent="0.25">
      <c r="A1151" s="125">
        <v>2</v>
      </c>
      <c r="B1151" s="135" t="s">
        <v>23</v>
      </c>
      <c r="C1151" s="122"/>
      <c r="D1151" s="115"/>
      <c r="E1151" s="115">
        <v>0</v>
      </c>
      <c r="F1151" s="115"/>
    </row>
    <row r="1152" spans="1:6" outlineLevel="1" x14ac:dyDescent="0.25">
      <c r="A1152" s="125"/>
      <c r="B1152" s="133" t="s">
        <v>24</v>
      </c>
      <c r="C1152" s="113">
        <v>100</v>
      </c>
      <c r="D1152" s="115">
        <v>768</v>
      </c>
      <c r="E1152" s="115">
        <v>34694.300000000003</v>
      </c>
      <c r="F1152" s="127">
        <f>E1152*D1152/C1152</f>
        <v>266452.22400000005</v>
      </c>
    </row>
    <row r="1153" spans="1:7" ht="90" outlineLevel="1" x14ac:dyDescent="0.25">
      <c r="A1153" s="125">
        <v>3</v>
      </c>
      <c r="B1153" s="133" t="s">
        <v>46</v>
      </c>
      <c r="C1153" s="131">
        <v>100</v>
      </c>
      <c r="D1153" s="115">
        <v>29348.939999999984</v>
      </c>
      <c r="E1153" s="136">
        <v>30376.9</v>
      </c>
      <c r="F1153" s="127">
        <f>E1153*D1153/C1153</f>
        <v>8915298.1548599955</v>
      </c>
    </row>
    <row r="1154" spans="1:7" ht="120.75" outlineLevel="1" x14ac:dyDescent="0.25">
      <c r="A1154" s="125">
        <v>4</v>
      </c>
      <c r="B1154" s="135" t="s">
        <v>47</v>
      </c>
      <c r="C1154" s="122"/>
      <c r="D1154" s="115"/>
      <c r="E1154" s="127"/>
      <c r="F1154" s="127"/>
    </row>
    <row r="1155" spans="1:7" ht="75" outlineLevel="1" x14ac:dyDescent="0.25">
      <c r="A1155" s="125"/>
      <c r="B1155" s="135" t="s">
        <v>100</v>
      </c>
      <c r="C1155" s="113">
        <v>1</v>
      </c>
      <c r="D1155" s="115">
        <v>6710.9799999999941</v>
      </c>
      <c r="E1155" s="115">
        <v>817.55</v>
      </c>
      <c r="F1155" s="127">
        <f t="shared" ref="F1155:F1161" si="62">E1155*D1155/C1155</f>
        <v>5486561.6989999944</v>
      </c>
    </row>
    <row r="1156" spans="1:7" ht="75" outlineLevel="1" x14ac:dyDescent="0.25">
      <c r="A1156" s="125"/>
      <c r="B1156" s="135" t="s">
        <v>201</v>
      </c>
      <c r="C1156" s="113">
        <v>1</v>
      </c>
      <c r="D1156" s="115">
        <v>3072</v>
      </c>
      <c r="E1156" s="115">
        <v>670.5</v>
      </c>
      <c r="F1156" s="127">
        <f t="shared" si="62"/>
        <v>2059776</v>
      </c>
    </row>
    <row r="1157" spans="1:7" ht="32.25" customHeight="1" outlineLevel="1" x14ac:dyDescent="0.25">
      <c r="A1157" s="125">
        <v>5</v>
      </c>
      <c r="B1157" s="133" t="s">
        <v>52</v>
      </c>
      <c r="C1157" s="120">
        <v>100</v>
      </c>
      <c r="D1157" s="115">
        <v>6537.2799999999952</v>
      </c>
      <c r="E1157" s="127">
        <v>1645.1</v>
      </c>
      <c r="F1157" s="127">
        <f t="shared" si="62"/>
        <v>107544.79327999993</v>
      </c>
    </row>
    <row r="1158" spans="1:7" ht="45" outlineLevel="1" x14ac:dyDescent="0.25">
      <c r="A1158" s="125">
        <v>6</v>
      </c>
      <c r="B1158" s="133" t="s">
        <v>214</v>
      </c>
      <c r="C1158" s="139">
        <v>1</v>
      </c>
      <c r="D1158" s="115">
        <v>31.5</v>
      </c>
      <c r="E1158" s="127">
        <v>303.8</v>
      </c>
      <c r="F1158" s="127">
        <f t="shared" si="62"/>
        <v>9569.7000000000007</v>
      </c>
    </row>
    <row r="1159" spans="1:7" ht="105" outlineLevel="1" x14ac:dyDescent="0.25">
      <c r="A1159" s="125">
        <v>7</v>
      </c>
      <c r="B1159" s="155" t="s">
        <v>54</v>
      </c>
      <c r="C1159" s="113">
        <v>100</v>
      </c>
      <c r="D1159" s="115">
        <v>300</v>
      </c>
      <c r="E1159" s="115">
        <v>10003.5</v>
      </c>
      <c r="F1159" s="127">
        <f t="shared" si="62"/>
        <v>30010.5</v>
      </c>
    </row>
    <row r="1160" spans="1:7" ht="120" outlineLevel="1" x14ac:dyDescent="0.25">
      <c r="A1160" s="125">
        <v>8</v>
      </c>
      <c r="B1160" s="155" t="s">
        <v>267</v>
      </c>
      <c r="C1160" s="113">
        <v>100</v>
      </c>
      <c r="D1160" s="115">
        <v>300</v>
      </c>
      <c r="E1160" s="115">
        <v>13527.4</v>
      </c>
      <c r="F1160" s="127">
        <f t="shared" si="62"/>
        <v>40582.199999999997</v>
      </c>
    </row>
    <row r="1161" spans="1:7" ht="23.25" customHeight="1" outlineLevel="1" x14ac:dyDescent="0.25">
      <c r="A1161" s="125">
        <v>9</v>
      </c>
      <c r="B1161" s="155" t="s">
        <v>268</v>
      </c>
      <c r="C1161" s="139">
        <v>1</v>
      </c>
      <c r="D1161" s="115">
        <v>60</v>
      </c>
      <c r="E1161" s="115">
        <v>64.2</v>
      </c>
      <c r="F1161" s="127">
        <f t="shared" si="62"/>
        <v>3852</v>
      </c>
    </row>
    <row r="1162" spans="1:7" ht="105" outlineLevel="1" x14ac:dyDescent="0.25">
      <c r="A1162" s="125">
        <v>10</v>
      </c>
      <c r="B1162" s="155" t="s">
        <v>269</v>
      </c>
      <c r="C1162" s="156"/>
      <c r="D1162" s="127"/>
      <c r="E1162" s="127"/>
      <c r="F1162" s="127"/>
    </row>
    <row r="1163" spans="1:7" ht="45" outlineLevel="1" x14ac:dyDescent="0.25">
      <c r="A1163" s="125" t="s">
        <v>58</v>
      </c>
      <c r="B1163" s="155" t="s">
        <v>59</v>
      </c>
      <c r="C1163" s="120">
        <v>100</v>
      </c>
      <c r="D1163" s="127">
        <v>600</v>
      </c>
      <c r="E1163" s="127">
        <v>4549.95</v>
      </c>
      <c r="F1163" s="127">
        <f t="shared" ref="F1163:F1168" si="63">E1163*D1163/C1163</f>
        <v>27299.7</v>
      </c>
    </row>
    <row r="1164" spans="1:7" ht="45" outlineLevel="1" x14ac:dyDescent="0.25">
      <c r="A1164" s="125" t="s">
        <v>60</v>
      </c>
      <c r="B1164" s="155" t="s">
        <v>61</v>
      </c>
      <c r="C1164" s="120">
        <v>100</v>
      </c>
      <c r="D1164" s="127">
        <v>600</v>
      </c>
      <c r="E1164" s="127">
        <v>2639.45</v>
      </c>
      <c r="F1164" s="127">
        <f t="shared" si="63"/>
        <v>15836.7</v>
      </c>
    </row>
    <row r="1165" spans="1:7" ht="45" outlineLevel="1" x14ac:dyDescent="0.25">
      <c r="A1165" s="125" t="s">
        <v>62</v>
      </c>
      <c r="B1165" s="155" t="s">
        <v>63</v>
      </c>
      <c r="C1165" s="120">
        <v>100</v>
      </c>
      <c r="D1165" s="127">
        <v>600</v>
      </c>
      <c r="E1165" s="127">
        <v>1960.75</v>
      </c>
      <c r="F1165" s="127">
        <f t="shared" si="63"/>
        <v>11764.5</v>
      </c>
    </row>
    <row r="1166" spans="1:7" ht="45" outlineLevel="1" x14ac:dyDescent="0.25">
      <c r="A1166" s="125">
        <v>11</v>
      </c>
      <c r="B1166" s="155" t="s">
        <v>64</v>
      </c>
      <c r="C1166" s="113">
        <v>100</v>
      </c>
      <c r="D1166" s="127">
        <v>600</v>
      </c>
      <c r="E1166" s="127">
        <v>4017.8</v>
      </c>
      <c r="F1166" s="127">
        <f t="shared" si="63"/>
        <v>24106.799999999999</v>
      </c>
    </row>
    <row r="1167" spans="1:7" ht="30" outlineLevel="1" x14ac:dyDescent="0.25">
      <c r="A1167" s="150">
        <v>12</v>
      </c>
      <c r="B1167" s="151" t="s">
        <v>65</v>
      </c>
      <c r="C1167" s="113">
        <v>1000</v>
      </c>
      <c r="D1167" s="115">
        <v>4000</v>
      </c>
      <c r="E1167" s="127">
        <v>10533.6</v>
      </c>
      <c r="F1167" s="127">
        <f t="shared" si="63"/>
        <v>42134.400000000001</v>
      </c>
    </row>
    <row r="1168" spans="1:7" s="16" customFormat="1" ht="22.5" customHeight="1" outlineLevel="1" x14ac:dyDescent="0.25">
      <c r="A1168" s="125">
        <v>13</v>
      </c>
      <c r="B1168" s="133" t="s">
        <v>66</v>
      </c>
      <c r="C1168" s="113">
        <v>1000</v>
      </c>
      <c r="D1168" s="115">
        <v>30879.999999999891</v>
      </c>
      <c r="E1168" s="114">
        <v>5266.8</v>
      </c>
      <c r="F1168" s="127">
        <f t="shared" si="63"/>
        <v>162638.78399999943</v>
      </c>
      <c r="G1168" s="458"/>
    </row>
    <row r="1169" spans="1:6" ht="75.75" outlineLevel="1" x14ac:dyDescent="0.25">
      <c r="A1169" s="125">
        <v>14</v>
      </c>
      <c r="B1169" s="133" t="s">
        <v>40</v>
      </c>
      <c r="C1169" s="126"/>
      <c r="D1169" s="115"/>
      <c r="E1169" s="114"/>
      <c r="F1169" s="114"/>
    </row>
    <row r="1170" spans="1:6" outlineLevel="1" x14ac:dyDescent="0.25">
      <c r="A1170" s="125" t="s">
        <v>67</v>
      </c>
      <c r="B1170" s="133" t="s">
        <v>68</v>
      </c>
      <c r="C1170" s="113">
        <v>100</v>
      </c>
      <c r="D1170" s="115">
        <v>737.28</v>
      </c>
      <c r="E1170" s="114">
        <v>14042.6</v>
      </c>
      <c r="F1170" s="127">
        <f>E1170*D1170/C1170</f>
        <v>103533.28128000001</v>
      </c>
    </row>
    <row r="1171" spans="1:6" outlineLevel="1" x14ac:dyDescent="0.25">
      <c r="A1171" s="125" t="s">
        <v>41</v>
      </c>
      <c r="B1171" s="133" t="s">
        <v>69</v>
      </c>
      <c r="C1171" s="113">
        <v>100</v>
      </c>
      <c r="D1171" s="115">
        <v>8217.7031999999945</v>
      </c>
      <c r="E1171" s="114">
        <v>14042.6</v>
      </c>
      <c r="F1171" s="127">
        <f>E1171*D1171/C1171</f>
        <v>1153979.1895631992</v>
      </c>
    </row>
    <row r="1172" spans="1:6" outlineLevel="1" x14ac:dyDescent="0.25">
      <c r="A1172" s="125" t="s">
        <v>70</v>
      </c>
      <c r="B1172" s="133" t="s">
        <v>71</v>
      </c>
      <c r="C1172" s="113">
        <v>100</v>
      </c>
      <c r="D1172" s="115">
        <v>366</v>
      </c>
      <c r="E1172" s="114">
        <v>14042.6</v>
      </c>
      <c r="F1172" s="127">
        <f>E1172*D1172/C1172</f>
        <v>51395.916000000005</v>
      </c>
    </row>
    <row r="1173" spans="1:6" outlineLevel="1" x14ac:dyDescent="0.25">
      <c r="A1173" s="125" t="s">
        <v>70</v>
      </c>
      <c r="B1173" s="133" t="s">
        <v>72</v>
      </c>
      <c r="C1173" s="113">
        <v>100</v>
      </c>
      <c r="D1173" s="115">
        <v>45</v>
      </c>
      <c r="E1173" s="114">
        <v>14042.6</v>
      </c>
      <c r="F1173" s="127">
        <f>E1173*D1173/C1173</f>
        <v>6319.17</v>
      </c>
    </row>
    <row r="1174" spans="1:6" outlineLevel="1" x14ac:dyDescent="0.25">
      <c r="A1174" s="506" t="s">
        <v>73</v>
      </c>
      <c r="B1174" s="506"/>
      <c r="C1174" s="506"/>
      <c r="D1174" s="506"/>
      <c r="E1174" s="506"/>
      <c r="F1174" s="72">
        <f>SUM(F1150:F1173)</f>
        <v>18894584.898071188</v>
      </c>
    </row>
    <row r="1175" spans="1:6" outlineLevel="1" x14ac:dyDescent="0.25">
      <c r="A1175" s="534" t="s">
        <v>297</v>
      </c>
      <c r="B1175" s="534"/>
      <c r="C1175" s="534"/>
      <c r="D1175" s="534"/>
      <c r="E1175" s="534"/>
      <c r="F1175" s="534"/>
    </row>
    <row r="1176" spans="1:6" ht="75" outlineLevel="1" x14ac:dyDescent="0.25">
      <c r="A1176" s="129">
        <v>1</v>
      </c>
      <c r="B1176" s="133" t="s">
        <v>45</v>
      </c>
      <c r="C1176" s="113">
        <v>1000</v>
      </c>
      <c r="D1176" s="115">
        <v>25000.750577999999</v>
      </c>
      <c r="E1176" s="115">
        <v>12735.6</v>
      </c>
      <c r="F1176" s="127">
        <f>E1176*D1176/C1176</f>
        <v>318399.55906117678</v>
      </c>
    </row>
    <row r="1177" spans="1:6" ht="22.5" customHeight="1" outlineLevel="1" x14ac:dyDescent="0.25">
      <c r="A1177" s="129">
        <v>2</v>
      </c>
      <c r="B1177" s="133" t="s">
        <v>75</v>
      </c>
      <c r="C1177" s="113">
        <v>1000</v>
      </c>
      <c r="D1177" s="115">
        <v>25000.750577999999</v>
      </c>
      <c r="E1177" s="115">
        <v>12038.4</v>
      </c>
      <c r="F1177" s="127">
        <f>E1177*D1177/C1177</f>
        <v>300969.03575819515</v>
      </c>
    </row>
    <row r="1178" spans="1:6" ht="45" outlineLevel="1" x14ac:dyDescent="0.25">
      <c r="A1178" s="125"/>
      <c r="B1178" s="135" t="s">
        <v>23</v>
      </c>
      <c r="C1178" s="122"/>
      <c r="D1178" s="115"/>
      <c r="E1178" s="127"/>
      <c r="F1178" s="127"/>
    </row>
    <row r="1179" spans="1:6" outlineLevel="1" x14ac:dyDescent="0.25">
      <c r="A1179" s="125">
        <v>3</v>
      </c>
      <c r="B1179" s="133" t="s">
        <v>24</v>
      </c>
      <c r="C1179" s="113">
        <v>100</v>
      </c>
      <c r="D1179" s="115">
        <v>733.66772500000002</v>
      </c>
      <c r="E1179" s="115">
        <v>34694.300000000003</v>
      </c>
      <c r="F1179" s="127">
        <f>E1179*D1179/C1179</f>
        <v>254540.88151467501</v>
      </c>
    </row>
    <row r="1180" spans="1:6" outlineLevel="1" x14ac:dyDescent="0.25">
      <c r="A1180" s="125">
        <v>4</v>
      </c>
      <c r="B1180" s="133" t="s">
        <v>125</v>
      </c>
      <c r="C1180" s="113">
        <v>100</v>
      </c>
      <c r="D1180" s="115">
        <v>432.53600000000006</v>
      </c>
      <c r="E1180" s="115">
        <v>47135.9</v>
      </c>
      <c r="F1180" s="127">
        <f>E1180*D1180/C1180</f>
        <v>203879.73642400003</v>
      </c>
    </row>
    <row r="1181" spans="1:6" ht="90" outlineLevel="1" x14ac:dyDescent="0.25">
      <c r="A1181" s="125">
        <v>5</v>
      </c>
      <c r="B1181" s="133" t="s">
        <v>225</v>
      </c>
      <c r="C1181" s="131">
        <v>100</v>
      </c>
      <c r="D1181" s="115">
        <v>40723.133175000003</v>
      </c>
      <c r="E1181" s="136">
        <v>30376.9</v>
      </c>
      <c r="F1181" s="127">
        <f>E1181*D1181/C1181</f>
        <v>12370425.441436578</v>
      </c>
    </row>
    <row r="1182" spans="1:6" ht="120.75" outlineLevel="1" x14ac:dyDescent="0.25">
      <c r="A1182" s="125"/>
      <c r="B1182" s="135" t="s">
        <v>47</v>
      </c>
      <c r="C1182" s="122"/>
      <c r="D1182" s="115"/>
      <c r="E1182" s="127">
        <v>0</v>
      </c>
      <c r="F1182" s="137"/>
    </row>
    <row r="1183" spans="1:6" ht="75" outlineLevel="1" x14ac:dyDescent="0.25">
      <c r="A1183" s="125">
        <v>6</v>
      </c>
      <c r="B1183" s="135" t="s">
        <v>100</v>
      </c>
      <c r="C1183" s="113">
        <v>1</v>
      </c>
      <c r="D1183" s="115">
        <v>5753.3425000000007</v>
      </c>
      <c r="E1183" s="115">
        <v>817.55</v>
      </c>
      <c r="F1183" s="127">
        <f t="shared" ref="F1183:F1203" si="64">E1183*D1183/C1183</f>
        <v>4703645.1608750001</v>
      </c>
    </row>
    <row r="1184" spans="1:6" ht="75" outlineLevel="1" x14ac:dyDescent="0.25">
      <c r="A1184" s="125">
        <v>7</v>
      </c>
      <c r="B1184" s="133" t="s">
        <v>201</v>
      </c>
      <c r="C1184" s="113">
        <v>1</v>
      </c>
      <c r="D1184" s="115">
        <v>3296.2426499999997</v>
      </c>
      <c r="E1184" s="115">
        <v>670.5</v>
      </c>
      <c r="F1184" s="127">
        <f t="shared" si="64"/>
        <v>2210130.696825</v>
      </c>
    </row>
    <row r="1185" spans="1:6" ht="30" outlineLevel="1" x14ac:dyDescent="0.25">
      <c r="A1185" s="125">
        <v>8</v>
      </c>
      <c r="B1185" s="133" t="s">
        <v>52</v>
      </c>
      <c r="C1185" s="120">
        <v>100</v>
      </c>
      <c r="D1185" s="115">
        <v>3466.0362</v>
      </c>
      <c r="E1185" s="127">
        <v>1645.1</v>
      </c>
      <c r="F1185" s="127">
        <f t="shared" si="64"/>
        <v>57019.761526199996</v>
      </c>
    </row>
    <row r="1186" spans="1:6" ht="75" outlineLevel="1" x14ac:dyDescent="0.25">
      <c r="A1186" s="125">
        <v>9</v>
      </c>
      <c r="B1186" s="133" t="s">
        <v>226</v>
      </c>
      <c r="C1186" s="120">
        <v>100</v>
      </c>
      <c r="D1186" s="115">
        <v>648.78250000000003</v>
      </c>
      <c r="E1186" s="115">
        <v>13179.6</v>
      </c>
      <c r="F1186" s="127">
        <f t="shared" si="64"/>
        <v>85506.938370000018</v>
      </c>
    </row>
    <row r="1187" spans="1:6" ht="30" outlineLevel="1" x14ac:dyDescent="0.25">
      <c r="A1187" s="125">
        <v>10</v>
      </c>
      <c r="B1187" s="135" t="s">
        <v>121</v>
      </c>
      <c r="C1187" s="120">
        <v>1</v>
      </c>
      <c r="D1187" s="115">
        <v>648.78250000000003</v>
      </c>
      <c r="E1187" s="115">
        <v>11</v>
      </c>
      <c r="F1187" s="127">
        <f t="shared" si="64"/>
        <v>7136.6075000000001</v>
      </c>
    </row>
    <row r="1188" spans="1:6" ht="45" outlineLevel="1" x14ac:dyDescent="0.25">
      <c r="A1188" s="125">
        <v>11</v>
      </c>
      <c r="B1188" s="135" t="s">
        <v>129</v>
      </c>
      <c r="C1188" s="139">
        <v>1</v>
      </c>
      <c r="D1188" s="115">
        <v>46</v>
      </c>
      <c r="E1188" s="127">
        <v>514.9</v>
      </c>
      <c r="F1188" s="127">
        <f t="shared" si="64"/>
        <v>23685.399999999998</v>
      </c>
    </row>
    <row r="1189" spans="1:6" ht="30" outlineLevel="1" x14ac:dyDescent="0.25">
      <c r="A1189" s="125">
        <v>12</v>
      </c>
      <c r="B1189" s="135" t="s">
        <v>130</v>
      </c>
      <c r="C1189" s="128">
        <v>1</v>
      </c>
      <c r="D1189" s="115">
        <v>4</v>
      </c>
      <c r="E1189" s="127">
        <v>849.7</v>
      </c>
      <c r="F1189" s="127">
        <f t="shared" si="64"/>
        <v>3398.8</v>
      </c>
    </row>
    <row r="1190" spans="1:6" ht="22.5" customHeight="1" outlineLevel="1" x14ac:dyDescent="0.25">
      <c r="A1190" s="125">
        <v>13</v>
      </c>
      <c r="B1190" s="135" t="s">
        <v>131</v>
      </c>
      <c r="C1190" s="128">
        <v>1</v>
      </c>
      <c r="D1190" s="115">
        <v>4</v>
      </c>
      <c r="E1190" s="127">
        <v>1159.6500000000001</v>
      </c>
      <c r="F1190" s="127">
        <f t="shared" si="64"/>
        <v>4638.6000000000004</v>
      </c>
    </row>
    <row r="1191" spans="1:6" ht="180" outlineLevel="1" x14ac:dyDescent="0.25">
      <c r="A1191" s="125">
        <v>14</v>
      </c>
      <c r="B1191" s="133" t="s">
        <v>227</v>
      </c>
      <c r="C1191" s="120">
        <v>1</v>
      </c>
      <c r="D1191" s="115">
        <v>271.92</v>
      </c>
      <c r="E1191" s="115">
        <v>2180.6999999999998</v>
      </c>
      <c r="F1191" s="127">
        <f t="shared" si="64"/>
        <v>592975.94400000002</v>
      </c>
    </row>
    <row r="1192" spans="1:6" ht="45" outlineLevel="1" x14ac:dyDescent="0.25">
      <c r="A1192" s="125">
        <v>15</v>
      </c>
      <c r="B1192" s="133" t="s">
        <v>228</v>
      </c>
      <c r="C1192" s="120">
        <v>1</v>
      </c>
      <c r="D1192" s="115">
        <v>176</v>
      </c>
      <c r="E1192" s="115">
        <v>2767</v>
      </c>
      <c r="F1192" s="127">
        <f t="shared" si="64"/>
        <v>486992</v>
      </c>
    </row>
    <row r="1193" spans="1:6" ht="25.5" customHeight="1" outlineLevel="1" x14ac:dyDescent="0.25">
      <c r="A1193" s="125">
        <v>16</v>
      </c>
      <c r="B1193" s="135" t="s">
        <v>229</v>
      </c>
      <c r="C1193" s="120">
        <v>100</v>
      </c>
      <c r="D1193" s="115">
        <v>2528.6009999999997</v>
      </c>
      <c r="E1193" s="127">
        <v>1212.3499999999999</v>
      </c>
      <c r="F1193" s="127">
        <f t="shared" si="64"/>
        <v>30655.494223499991</v>
      </c>
    </row>
    <row r="1194" spans="1:6" ht="45" outlineLevel="1" x14ac:dyDescent="0.25">
      <c r="A1194" s="125">
        <v>17</v>
      </c>
      <c r="B1194" s="135" t="s">
        <v>133</v>
      </c>
      <c r="C1194" s="120">
        <v>100</v>
      </c>
      <c r="D1194" s="115">
        <v>2362.2509999999997</v>
      </c>
      <c r="E1194" s="127">
        <v>7379.1</v>
      </c>
      <c r="F1194" s="127">
        <f t="shared" si="64"/>
        <v>174312.863541</v>
      </c>
    </row>
    <row r="1195" spans="1:6" ht="30" outlineLevel="1" x14ac:dyDescent="0.25">
      <c r="A1195" s="125">
        <v>18</v>
      </c>
      <c r="B1195" s="135" t="s">
        <v>134</v>
      </c>
      <c r="C1195" s="120">
        <v>100</v>
      </c>
      <c r="D1195" s="115">
        <v>168</v>
      </c>
      <c r="E1195" s="127">
        <v>3052.4</v>
      </c>
      <c r="F1195" s="127">
        <f t="shared" si="64"/>
        <v>5128.0320000000002</v>
      </c>
    </row>
    <row r="1196" spans="1:6" ht="45" outlineLevel="1" x14ac:dyDescent="0.25">
      <c r="A1196" s="125">
        <v>19</v>
      </c>
      <c r="B1196" s="133" t="s">
        <v>230</v>
      </c>
      <c r="C1196" s="128">
        <v>1</v>
      </c>
      <c r="D1196" s="115">
        <v>28</v>
      </c>
      <c r="E1196" s="127">
        <v>680.75</v>
      </c>
      <c r="F1196" s="127">
        <f t="shared" si="64"/>
        <v>19061</v>
      </c>
    </row>
    <row r="1197" spans="1:6" outlineLevel="1" x14ac:dyDescent="0.25">
      <c r="A1197" s="125">
        <v>21</v>
      </c>
      <c r="B1197" s="133" t="s">
        <v>231</v>
      </c>
      <c r="C1197" s="120">
        <v>1</v>
      </c>
      <c r="D1197" s="115">
        <v>184</v>
      </c>
      <c r="E1197" s="127">
        <v>603</v>
      </c>
      <c r="F1197" s="127">
        <f t="shared" si="64"/>
        <v>110952</v>
      </c>
    </row>
    <row r="1198" spans="1:6" ht="75" outlineLevel="1" x14ac:dyDescent="0.25">
      <c r="A1198" s="125">
        <v>22</v>
      </c>
      <c r="B1198" s="133" t="s">
        <v>232</v>
      </c>
      <c r="C1198" s="120">
        <v>1</v>
      </c>
      <c r="D1198" s="115">
        <v>1417.6664000000001</v>
      </c>
      <c r="E1198" s="127">
        <v>205.4</v>
      </c>
      <c r="F1198" s="127">
        <f t="shared" si="64"/>
        <v>291188.67856000003</v>
      </c>
    </row>
    <row r="1199" spans="1:6" ht="30" outlineLevel="1" x14ac:dyDescent="0.25">
      <c r="A1199" s="125">
        <v>23</v>
      </c>
      <c r="B1199" s="133" t="s">
        <v>233</v>
      </c>
      <c r="C1199" s="113">
        <v>100</v>
      </c>
      <c r="D1199" s="115">
        <v>272.49</v>
      </c>
      <c r="E1199" s="127">
        <v>18017.599999999999</v>
      </c>
      <c r="F1199" s="127">
        <f t="shared" si="64"/>
        <v>49096.158239999997</v>
      </c>
    </row>
    <row r="1200" spans="1:6" ht="90" outlineLevel="1" x14ac:dyDescent="0.25">
      <c r="A1200" s="125">
        <v>24</v>
      </c>
      <c r="B1200" s="133" t="s">
        <v>234</v>
      </c>
      <c r="C1200" s="120">
        <v>100</v>
      </c>
      <c r="D1200" s="127">
        <v>648.78250000000003</v>
      </c>
      <c r="E1200" s="127">
        <v>29658.5</v>
      </c>
      <c r="F1200" s="127">
        <f t="shared" si="64"/>
        <v>192419.15776250002</v>
      </c>
    </row>
    <row r="1201" spans="1:6" ht="75" outlineLevel="1" x14ac:dyDescent="0.25">
      <c r="A1201" s="125">
        <v>25</v>
      </c>
      <c r="B1201" s="133" t="s">
        <v>235</v>
      </c>
      <c r="C1201" s="120">
        <v>100</v>
      </c>
      <c r="D1201" s="127">
        <v>53.42</v>
      </c>
      <c r="E1201" s="127">
        <v>19146.849999999999</v>
      </c>
      <c r="F1201" s="127">
        <f t="shared" si="64"/>
        <v>10228.24727</v>
      </c>
    </row>
    <row r="1202" spans="1:6" ht="45" outlineLevel="1" x14ac:dyDescent="0.25">
      <c r="A1202" s="125">
        <v>26</v>
      </c>
      <c r="B1202" s="133" t="s">
        <v>236</v>
      </c>
      <c r="C1202" s="139">
        <v>1</v>
      </c>
      <c r="D1202" s="127">
        <v>389.75</v>
      </c>
      <c r="E1202" s="127">
        <v>39.6</v>
      </c>
      <c r="F1202" s="127">
        <f t="shared" si="64"/>
        <v>15434.1</v>
      </c>
    </row>
    <row r="1203" spans="1:6" ht="60" outlineLevel="1" x14ac:dyDescent="0.25">
      <c r="A1203" s="125">
        <v>27</v>
      </c>
      <c r="B1203" s="138" t="s">
        <v>80</v>
      </c>
      <c r="C1203" s="139">
        <v>1</v>
      </c>
      <c r="D1203" s="115">
        <v>173.29</v>
      </c>
      <c r="E1203" s="115">
        <v>809.4</v>
      </c>
      <c r="F1203" s="127">
        <f t="shared" si="64"/>
        <v>140260.92599999998</v>
      </c>
    </row>
    <row r="1204" spans="1:6" ht="45" outlineLevel="1" x14ac:dyDescent="0.25">
      <c r="A1204" s="125">
        <v>28</v>
      </c>
      <c r="B1204" s="135" t="s">
        <v>136</v>
      </c>
      <c r="C1204" s="122"/>
      <c r="D1204" s="115"/>
      <c r="E1204" s="127"/>
      <c r="F1204" s="127"/>
    </row>
    <row r="1205" spans="1:6" outlineLevel="1" x14ac:dyDescent="0.25">
      <c r="A1205" s="125"/>
      <c r="B1205" s="135" t="s">
        <v>176</v>
      </c>
      <c r="C1205" s="139">
        <v>1</v>
      </c>
      <c r="D1205" s="115">
        <v>100</v>
      </c>
      <c r="E1205" s="127">
        <v>112.25</v>
      </c>
      <c r="F1205" s="127">
        <f>E1205*D1205/C1205</f>
        <v>11225</v>
      </c>
    </row>
    <row r="1206" spans="1:6" outlineLevel="1" x14ac:dyDescent="0.25">
      <c r="A1206" s="125"/>
      <c r="B1206" s="135" t="s">
        <v>177</v>
      </c>
      <c r="C1206" s="139">
        <v>1</v>
      </c>
      <c r="D1206" s="115">
        <v>100</v>
      </c>
      <c r="E1206" s="127">
        <v>133.6</v>
      </c>
      <c r="F1206" s="127">
        <f>E1206*D1206/C1206</f>
        <v>13360</v>
      </c>
    </row>
    <row r="1207" spans="1:6" ht="75" outlineLevel="1" x14ac:dyDescent="0.25">
      <c r="A1207" s="125">
        <v>29</v>
      </c>
      <c r="B1207" s="135" t="s">
        <v>141</v>
      </c>
      <c r="C1207" s="122"/>
      <c r="D1207" s="115"/>
      <c r="E1207" s="127"/>
      <c r="F1207" s="127"/>
    </row>
    <row r="1208" spans="1:6" outlineLevel="1" x14ac:dyDescent="0.25">
      <c r="A1208" s="125"/>
      <c r="B1208" s="135" t="s">
        <v>180</v>
      </c>
      <c r="C1208" s="139">
        <v>1</v>
      </c>
      <c r="D1208" s="115">
        <v>250</v>
      </c>
      <c r="E1208" s="127">
        <v>35.700000000000003</v>
      </c>
      <c r="F1208" s="127">
        <f>E1208*D1208/C1208</f>
        <v>8925</v>
      </c>
    </row>
    <row r="1209" spans="1:6" outlineLevel="1" x14ac:dyDescent="0.25">
      <c r="A1209" s="125"/>
      <c r="B1209" s="135" t="s">
        <v>181</v>
      </c>
      <c r="C1209" s="139">
        <v>1</v>
      </c>
      <c r="D1209" s="115">
        <v>200</v>
      </c>
      <c r="E1209" s="127">
        <v>56.3</v>
      </c>
      <c r="F1209" s="127">
        <f>E1209*D1209/C1209</f>
        <v>11260</v>
      </c>
    </row>
    <row r="1210" spans="1:6" ht="60" outlineLevel="1" x14ac:dyDescent="0.25">
      <c r="A1210" s="125">
        <v>30</v>
      </c>
      <c r="B1210" s="135" t="s">
        <v>145</v>
      </c>
      <c r="C1210" s="122"/>
      <c r="D1210" s="115"/>
      <c r="E1210" s="127"/>
      <c r="F1210" s="127"/>
    </row>
    <row r="1211" spans="1:6" outlineLevel="1" x14ac:dyDescent="0.25">
      <c r="A1211" s="125"/>
      <c r="B1211" s="135" t="s">
        <v>184</v>
      </c>
      <c r="C1211" s="132">
        <v>1</v>
      </c>
      <c r="D1211" s="115">
        <v>3</v>
      </c>
      <c r="E1211" s="127">
        <v>522.75</v>
      </c>
      <c r="F1211" s="127">
        <f t="shared" ref="F1211:F1218" si="65">E1211*D1211/C1211</f>
        <v>1568.25</v>
      </c>
    </row>
    <row r="1212" spans="1:6" ht="20.25" customHeight="1" outlineLevel="1" x14ac:dyDescent="0.25">
      <c r="A1212" s="125">
        <v>31</v>
      </c>
      <c r="B1212" s="135" t="s">
        <v>237</v>
      </c>
      <c r="C1212" s="132">
        <v>1</v>
      </c>
      <c r="D1212" s="115">
        <v>20</v>
      </c>
      <c r="E1212" s="127">
        <v>102.7</v>
      </c>
      <c r="F1212" s="127">
        <f t="shared" si="65"/>
        <v>2054</v>
      </c>
    </row>
    <row r="1213" spans="1:6" ht="30" outlineLevel="1" x14ac:dyDescent="0.25">
      <c r="A1213" s="125">
        <v>32</v>
      </c>
      <c r="B1213" s="135" t="s">
        <v>238</v>
      </c>
      <c r="C1213" s="132">
        <v>1</v>
      </c>
      <c r="D1213" s="115">
        <v>5</v>
      </c>
      <c r="E1213" s="127">
        <v>178.75</v>
      </c>
      <c r="F1213" s="127">
        <f t="shared" si="65"/>
        <v>893.75</v>
      </c>
    </row>
    <row r="1214" spans="1:6" ht="20.25" customHeight="1" outlineLevel="1" x14ac:dyDescent="0.25">
      <c r="A1214" s="125">
        <v>33</v>
      </c>
      <c r="B1214" s="135" t="s">
        <v>150</v>
      </c>
      <c r="C1214" s="132">
        <v>1</v>
      </c>
      <c r="D1214" s="115">
        <v>5</v>
      </c>
      <c r="E1214" s="127">
        <v>96.3</v>
      </c>
      <c r="F1214" s="127">
        <f t="shared" si="65"/>
        <v>481.5</v>
      </c>
    </row>
    <row r="1215" spans="1:6" ht="90.75" outlineLevel="1" x14ac:dyDescent="0.25">
      <c r="A1215" s="125">
        <v>34</v>
      </c>
      <c r="B1215" s="135" t="s">
        <v>239</v>
      </c>
      <c r="C1215" s="128">
        <v>1</v>
      </c>
      <c r="D1215" s="115">
        <v>1</v>
      </c>
      <c r="E1215" s="127">
        <v>5616.25</v>
      </c>
      <c r="F1215" s="127">
        <f t="shared" si="65"/>
        <v>5616.25</v>
      </c>
    </row>
    <row r="1216" spans="1:6" ht="90.75" outlineLevel="1" x14ac:dyDescent="0.25">
      <c r="A1216" s="125">
        <v>35</v>
      </c>
      <c r="B1216" s="135" t="s">
        <v>240</v>
      </c>
      <c r="C1216" s="128">
        <v>1</v>
      </c>
      <c r="D1216" s="115">
        <v>2</v>
      </c>
      <c r="E1216" s="127">
        <v>1453.75</v>
      </c>
      <c r="F1216" s="127">
        <f t="shared" si="65"/>
        <v>2907.5</v>
      </c>
    </row>
    <row r="1217" spans="1:6" ht="75" outlineLevel="1" x14ac:dyDescent="0.25">
      <c r="A1217" s="125">
        <v>36</v>
      </c>
      <c r="B1217" s="133" t="s">
        <v>298</v>
      </c>
      <c r="C1217" s="132">
        <v>1</v>
      </c>
      <c r="D1217" s="115">
        <v>4</v>
      </c>
      <c r="E1217" s="127">
        <v>11398.45</v>
      </c>
      <c r="F1217" s="127">
        <f t="shared" si="65"/>
        <v>45593.8</v>
      </c>
    </row>
    <row r="1218" spans="1:6" ht="60" outlineLevel="1" x14ac:dyDescent="0.25">
      <c r="A1218" s="125">
        <v>37</v>
      </c>
      <c r="B1218" s="135" t="s">
        <v>157</v>
      </c>
      <c r="C1218" s="128">
        <v>1</v>
      </c>
      <c r="D1218" s="115">
        <v>5</v>
      </c>
      <c r="E1218" s="127">
        <v>1995.3</v>
      </c>
      <c r="F1218" s="127">
        <f t="shared" si="65"/>
        <v>9976.5</v>
      </c>
    </row>
    <row r="1219" spans="1:6" outlineLevel="1" x14ac:dyDescent="0.25">
      <c r="A1219" s="125"/>
      <c r="B1219" s="218" t="s">
        <v>273</v>
      </c>
      <c r="C1219" s="157"/>
      <c r="D1219" s="115"/>
      <c r="E1219" s="127"/>
      <c r="F1219" s="137"/>
    </row>
    <row r="1220" spans="1:6" ht="30" outlineLevel="1" x14ac:dyDescent="0.25">
      <c r="A1220" s="150">
        <v>38</v>
      </c>
      <c r="B1220" s="151" t="s">
        <v>65</v>
      </c>
      <c r="C1220" s="113">
        <v>1000</v>
      </c>
      <c r="D1220" s="115">
        <v>10698.490000000002</v>
      </c>
      <c r="E1220" s="127">
        <v>10533.6</v>
      </c>
      <c r="F1220" s="127">
        <f>E1220*D1220/C1220</f>
        <v>112693.61426400002</v>
      </c>
    </row>
    <row r="1221" spans="1:6" ht="60" outlineLevel="1" x14ac:dyDescent="0.25">
      <c r="A1221" s="150">
        <v>39</v>
      </c>
      <c r="B1221" s="151" t="s">
        <v>274</v>
      </c>
      <c r="C1221" s="113">
        <v>1000</v>
      </c>
      <c r="D1221" s="115">
        <v>10698.490000000002</v>
      </c>
      <c r="E1221" s="127">
        <v>1437.5</v>
      </c>
      <c r="F1221" s="127">
        <f>E1221*D1221/C1221</f>
        <v>15379.079375000001</v>
      </c>
    </row>
    <row r="1222" spans="1:6" ht="60" outlineLevel="1" x14ac:dyDescent="0.25">
      <c r="A1222" s="150">
        <v>40</v>
      </c>
      <c r="B1222" s="151" t="s">
        <v>275</v>
      </c>
      <c r="C1222" s="113">
        <v>1000</v>
      </c>
      <c r="D1222" s="115">
        <v>4319.8550000000005</v>
      </c>
      <c r="E1222" s="127">
        <v>5033.7</v>
      </c>
      <c r="F1222" s="127">
        <f>E1222*D1222/C1222</f>
        <v>21744.854113500001</v>
      </c>
    </row>
    <row r="1223" spans="1:6" outlineLevel="1" x14ac:dyDescent="0.25">
      <c r="A1223" s="162"/>
      <c r="B1223" s="151" t="s">
        <v>276</v>
      </c>
      <c r="C1223" s="158"/>
      <c r="D1223" s="115"/>
      <c r="E1223" s="115"/>
      <c r="F1223" s="115"/>
    </row>
    <row r="1224" spans="1:6" outlineLevel="1" x14ac:dyDescent="0.25">
      <c r="A1224" s="162">
        <v>41</v>
      </c>
      <c r="B1224" s="151" t="s">
        <v>277</v>
      </c>
      <c r="C1224" s="120">
        <v>100</v>
      </c>
      <c r="D1224" s="114">
        <v>700</v>
      </c>
      <c r="E1224" s="115">
        <v>6512.05</v>
      </c>
      <c r="F1224" s="127">
        <f>E1224*D1224/C1224</f>
        <v>45584.35</v>
      </c>
    </row>
    <row r="1225" spans="1:6" outlineLevel="1" x14ac:dyDescent="0.25">
      <c r="A1225" s="162">
        <v>42</v>
      </c>
      <c r="B1225" s="151" t="s">
        <v>278</v>
      </c>
      <c r="C1225" s="120">
        <v>100</v>
      </c>
      <c r="D1225" s="114">
        <v>1168</v>
      </c>
      <c r="E1225" s="115">
        <v>7363.45</v>
      </c>
      <c r="F1225" s="127">
        <f>E1225*D1225/C1225</f>
        <v>86005.09599999999</v>
      </c>
    </row>
    <row r="1226" spans="1:6" ht="30" outlineLevel="1" x14ac:dyDescent="0.25">
      <c r="A1226" s="162"/>
      <c r="B1226" s="151" t="s">
        <v>279</v>
      </c>
      <c r="C1226" s="158"/>
      <c r="D1226" s="115"/>
      <c r="E1226" s="114"/>
      <c r="F1226" s="114"/>
    </row>
    <row r="1227" spans="1:6" outlineLevel="1" x14ac:dyDescent="0.25">
      <c r="A1227" s="162">
        <v>43</v>
      </c>
      <c r="B1227" s="151" t="s">
        <v>280</v>
      </c>
      <c r="C1227" s="113">
        <v>100</v>
      </c>
      <c r="D1227" s="115">
        <v>239.75</v>
      </c>
      <c r="E1227" s="114">
        <v>49016.9</v>
      </c>
      <c r="F1227" s="127">
        <f>E1227*D1227/C1227</f>
        <v>117518.01775</v>
      </c>
    </row>
    <row r="1228" spans="1:6" outlineLevel="1" x14ac:dyDescent="0.25">
      <c r="A1228" s="162">
        <v>44</v>
      </c>
      <c r="B1228" s="151" t="s">
        <v>281</v>
      </c>
      <c r="C1228" s="113">
        <v>100</v>
      </c>
      <c r="D1228" s="115">
        <v>400.04</v>
      </c>
      <c r="E1228" s="114">
        <v>51301.8</v>
      </c>
      <c r="F1228" s="127">
        <f>E1228*D1228/C1228</f>
        <v>205227.72072000001</v>
      </c>
    </row>
    <row r="1229" spans="1:6" ht="30" outlineLevel="1" x14ac:dyDescent="0.25">
      <c r="A1229" s="150">
        <v>45</v>
      </c>
      <c r="B1229" s="151" t="s">
        <v>282</v>
      </c>
      <c r="C1229" s="139">
        <v>1</v>
      </c>
      <c r="D1229" s="115">
        <v>186.8</v>
      </c>
      <c r="E1229" s="115">
        <v>17.3</v>
      </c>
      <c r="F1229" s="127">
        <f>E1229*D1229/C1229</f>
        <v>3231.6400000000003</v>
      </c>
    </row>
    <row r="1230" spans="1:6" ht="30" outlineLevel="1" x14ac:dyDescent="0.25">
      <c r="A1230" s="150">
        <v>46</v>
      </c>
      <c r="B1230" s="151" t="s">
        <v>283</v>
      </c>
      <c r="C1230" s="120">
        <v>100</v>
      </c>
      <c r="D1230" s="115">
        <v>93.4</v>
      </c>
      <c r="E1230" s="127">
        <v>1539.8</v>
      </c>
      <c r="F1230" s="127">
        <f>E1230*D1230/C1230</f>
        <v>1438.1732000000002</v>
      </c>
    </row>
    <row r="1231" spans="1:6" outlineLevel="1" x14ac:dyDescent="0.25">
      <c r="A1231" s="125"/>
      <c r="B1231" s="218" t="s">
        <v>242</v>
      </c>
      <c r="C1231" s="154"/>
      <c r="D1231" s="115"/>
      <c r="E1231" s="127"/>
      <c r="F1231" s="127"/>
    </row>
    <row r="1232" spans="1:6" ht="30" outlineLevel="1" x14ac:dyDescent="0.25">
      <c r="A1232" s="125">
        <v>47</v>
      </c>
      <c r="B1232" s="133" t="s">
        <v>85</v>
      </c>
      <c r="C1232" s="113">
        <v>1000</v>
      </c>
      <c r="D1232" s="115">
        <v>6208.72</v>
      </c>
      <c r="E1232" s="115">
        <v>4640.7</v>
      </c>
      <c r="F1232" s="127">
        <f t="shared" ref="F1232:F1242" si="66">E1232*D1232/C1232</f>
        <v>28812.806904000001</v>
      </c>
    </row>
    <row r="1233" spans="1:6" ht="45" outlineLevel="1" x14ac:dyDescent="0.25">
      <c r="A1233" s="125">
        <v>48</v>
      </c>
      <c r="B1233" s="119" t="s">
        <v>243</v>
      </c>
      <c r="C1233" s="113">
        <v>100</v>
      </c>
      <c r="D1233" s="115">
        <v>6208.72</v>
      </c>
      <c r="E1233" s="127">
        <v>6849</v>
      </c>
      <c r="F1233" s="127">
        <f t="shared" si="66"/>
        <v>425235.2328</v>
      </c>
    </row>
    <row r="1234" spans="1:6" ht="20.25" customHeight="1" outlineLevel="1" x14ac:dyDescent="0.25">
      <c r="A1234" s="125">
        <v>49</v>
      </c>
      <c r="B1234" s="119" t="s">
        <v>87</v>
      </c>
      <c r="C1234" s="120">
        <v>100</v>
      </c>
      <c r="D1234" s="115">
        <v>2589.8832000000002</v>
      </c>
      <c r="E1234" s="127">
        <v>2265.1</v>
      </c>
      <c r="F1234" s="127">
        <f t="shared" si="66"/>
        <v>58663.444363200004</v>
      </c>
    </row>
    <row r="1235" spans="1:6" ht="20.25" customHeight="1" outlineLevel="1" x14ac:dyDescent="0.25">
      <c r="A1235" s="125">
        <v>50</v>
      </c>
      <c r="B1235" s="119" t="s">
        <v>88</v>
      </c>
      <c r="C1235" s="120">
        <v>100</v>
      </c>
      <c r="D1235" s="115">
        <v>524.66</v>
      </c>
      <c r="E1235" s="127">
        <v>1660.5</v>
      </c>
      <c r="F1235" s="127">
        <f t="shared" si="66"/>
        <v>8711.9792999999991</v>
      </c>
    </row>
    <row r="1236" spans="1:6" ht="30" outlineLevel="1" x14ac:dyDescent="0.25">
      <c r="A1236" s="125">
        <v>51</v>
      </c>
      <c r="B1236" s="133" t="s">
        <v>244</v>
      </c>
      <c r="C1236" s="113">
        <v>100</v>
      </c>
      <c r="D1236" s="115">
        <v>854.70999999999992</v>
      </c>
      <c r="E1236" s="127">
        <v>18564.099999999999</v>
      </c>
      <c r="F1236" s="127">
        <f t="shared" si="66"/>
        <v>158669.21910999998</v>
      </c>
    </row>
    <row r="1237" spans="1:6" ht="30" outlineLevel="1" x14ac:dyDescent="0.25">
      <c r="A1237" s="125">
        <v>52</v>
      </c>
      <c r="B1237" s="133" t="s">
        <v>245</v>
      </c>
      <c r="C1237" s="113">
        <v>100</v>
      </c>
      <c r="D1237" s="115">
        <v>854.70999999999992</v>
      </c>
      <c r="E1237" s="127">
        <v>18564.099999999999</v>
      </c>
      <c r="F1237" s="127">
        <f t="shared" si="66"/>
        <v>158669.21910999998</v>
      </c>
    </row>
    <row r="1238" spans="1:6" ht="30" outlineLevel="1" x14ac:dyDescent="0.25">
      <c r="A1238" s="125">
        <v>53</v>
      </c>
      <c r="B1238" s="133" t="s">
        <v>246</v>
      </c>
      <c r="C1238" s="113">
        <v>100</v>
      </c>
      <c r="D1238" s="115">
        <v>173.14</v>
      </c>
      <c r="E1238" s="127">
        <v>18017.599999999999</v>
      </c>
      <c r="F1238" s="127">
        <f t="shared" si="66"/>
        <v>31195.672639999993</v>
      </c>
    </row>
    <row r="1239" spans="1:6" ht="30" outlineLevel="1" x14ac:dyDescent="0.25">
      <c r="A1239" s="125">
        <v>54</v>
      </c>
      <c r="B1239" s="133" t="s">
        <v>233</v>
      </c>
      <c r="C1239" s="113">
        <v>100</v>
      </c>
      <c r="D1239" s="115">
        <v>173.14</v>
      </c>
      <c r="E1239" s="127">
        <v>18017.599999999999</v>
      </c>
      <c r="F1239" s="127">
        <f t="shared" si="66"/>
        <v>31195.672639999993</v>
      </c>
    </row>
    <row r="1240" spans="1:6" ht="30" outlineLevel="1" x14ac:dyDescent="0.25">
      <c r="A1240" s="125">
        <v>55</v>
      </c>
      <c r="B1240" s="133" t="s">
        <v>247</v>
      </c>
      <c r="C1240" s="113">
        <v>100</v>
      </c>
      <c r="D1240" s="115">
        <v>2590.02</v>
      </c>
      <c r="E1240" s="127">
        <v>11511</v>
      </c>
      <c r="F1240" s="127">
        <f t="shared" si="66"/>
        <v>298137.2022</v>
      </c>
    </row>
    <row r="1241" spans="1:6" ht="30" outlineLevel="1" x14ac:dyDescent="0.25">
      <c r="A1241" s="125">
        <v>56</v>
      </c>
      <c r="B1241" s="133" t="s">
        <v>248</v>
      </c>
      <c r="C1241" s="113">
        <v>100</v>
      </c>
      <c r="D1241" s="115">
        <v>173.14</v>
      </c>
      <c r="E1241" s="127">
        <v>10570.5</v>
      </c>
      <c r="F1241" s="127">
        <f t="shared" si="66"/>
        <v>18301.7637</v>
      </c>
    </row>
    <row r="1242" spans="1:6" ht="60" outlineLevel="1" x14ac:dyDescent="0.25">
      <c r="A1242" s="125">
        <v>57</v>
      </c>
      <c r="B1242" s="119" t="s">
        <v>249</v>
      </c>
      <c r="C1242" s="113">
        <v>100</v>
      </c>
      <c r="D1242" s="115">
        <v>20947.183422000002</v>
      </c>
      <c r="E1242" s="127">
        <v>14042.6</v>
      </c>
      <c r="F1242" s="127">
        <f t="shared" si="66"/>
        <v>2941529.1792177726</v>
      </c>
    </row>
    <row r="1243" spans="1:6" outlineLevel="1" x14ac:dyDescent="0.25">
      <c r="A1243" s="506" t="s">
        <v>43</v>
      </c>
      <c r="B1243" s="506"/>
      <c r="C1243" s="506"/>
      <c r="D1243" s="506"/>
      <c r="E1243" s="506"/>
      <c r="F1243" s="72">
        <f>SUM(F1176:F1242)</f>
        <v>27543886.708295308</v>
      </c>
    </row>
    <row r="1244" spans="1:6" outlineLevel="1" x14ac:dyDescent="0.25">
      <c r="A1244" s="534" t="s">
        <v>284</v>
      </c>
      <c r="B1244" s="534"/>
      <c r="C1244" s="534"/>
      <c r="D1244" s="534"/>
      <c r="E1244" s="534"/>
      <c r="F1244" s="534"/>
    </row>
    <row r="1245" spans="1:6" ht="75.75" outlineLevel="1" x14ac:dyDescent="0.25">
      <c r="A1245" s="129">
        <v>1</v>
      </c>
      <c r="B1245" s="135" t="s">
        <v>285</v>
      </c>
      <c r="C1245" s="113">
        <v>1000</v>
      </c>
      <c r="D1245" s="115">
        <v>12209.000500000002</v>
      </c>
      <c r="E1245" s="115">
        <v>15824.15</v>
      </c>
      <c r="F1245" s="127">
        <f>E1245*D1245/C1245</f>
        <v>193197.05526207504</v>
      </c>
    </row>
    <row r="1246" spans="1:6" ht="45" outlineLevel="1" x14ac:dyDescent="0.25">
      <c r="A1246" s="546">
        <v>2</v>
      </c>
      <c r="B1246" s="112" t="s">
        <v>124</v>
      </c>
      <c r="C1246" s="111"/>
      <c r="D1246" s="115"/>
      <c r="E1246" s="115">
        <v>0</v>
      </c>
      <c r="F1246" s="116"/>
    </row>
    <row r="1247" spans="1:6" outlineLevel="1" x14ac:dyDescent="0.25">
      <c r="A1247" s="546"/>
      <c r="B1247" s="112" t="s">
        <v>24</v>
      </c>
      <c r="C1247" s="113">
        <v>100</v>
      </c>
      <c r="D1247" s="115">
        <v>1730.8731</v>
      </c>
      <c r="E1247" s="115">
        <v>34694.300000000003</v>
      </c>
      <c r="F1247" s="127">
        <f>E1247*D1247/C1247</f>
        <v>600514.30593330006</v>
      </c>
    </row>
    <row r="1248" spans="1:6" outlineLevel="1" x14ac:dyDescent="0.25">
      <c r="A1248" s="546"/>
      <c r="B1248" s="112" t="s">
        <v>125</v>
      </c>
      <c r="C1248" s="113">
        <v>100</v>
      </c>
      <c r="D1248" s="115">
        <v>180.36562499999994</v>
      </c>
      <c r="E1248" s="115">
        <v>47135.9</v>
      </c>
      <c r="F1248" s="127">
        <f>E1248*D1248/C1248</f>
        <v>85016.960634374977</v>
      </c>
    </row>
    <row r="1249" spans="1:8" ht="30" outlineLevel="1" x14ac:dyDescent="0.25">
      <c r="A1249" s="125">
        <v>3</v>
      </c>
      <c r="B1249" s="135" t="s">
        <v>79</v>
      </c>
      <c r="C1249" s="113">
        <v>100</v>
      </c>
      <c r="D1249" s="115">
        <v>2798.8875000000007</v>
      </c>
      <c r="E1249" s="115">
        <v>35727</v>
      </c>
      <c r="F1249" s="127">
        <f>E1249*D1249/C1249</f>
        <v>999958.53712500026</v>
      </c>
    </row>
    <row r="1250" spans="1:8" ht="120" outlineLevel="1" x14ac:dyDescent="0.25">
      <c r="A1250" s="125">
        <v>4</v>
      </c>
      <c r="B1250" s="135" t="s">
        <v>99</v>
      </c>
      <c r="C1250" s="122"/>
      <c r="D1250" s="115"/>
      <c r="E1250" s="115"/>
      <c r="F1250" s="121"/>
    </row>
    <row r="1251" spans="1:8" ht="75" outlineLevel="1" x14ac:dyDescent="0.25">
      <c r="A1251" s="147"/>
      <c r="B1251" s="135" t="s">
        <v>100</v>
      </c>
      <c r="C1251" s="113">
        <v>1</v>
      </c>
      <c r="D1251" s="115">
        <v>2314.125</v>
      </c>
      <c r="E1251" s="115">
        <v>817.55</v>
      </c>
      <c r="F1251" s="127">
        <f>E1251*D1251/C1251</f>
        <v>1891912.8937499998</v>
      </c>
    </row>
    <row r="1252" spans="1:8" ht="75" outlineLevel="1" x14ac:dyDescent="0.25">
      <c r="A1252" s="147"/>
      <c r="B1252" s="135" t="s">
        <v>201</v>
      </c>
      <c r="C1252" s="113">
        <v>1</v>
      </c>
      <c r="D1252" s="115">
        <v>796.5</v>
      </c>
      <c r="E1252" s="115">
        <v>670.5</v>
      </c>
      <c r="F1252" s="127">
        <f>E1252*D1252/C1252</f>
        <v>534053.25</v>
      </c>
    </row>
    <row r="1253" spans="1:8" ht="90" outlineLevel="1" x14ac:dyDescent="0.25">
      <c r="A1253" s="147">
        <v>5</v>
      </c>
      <c r="B1253" s="135" t="s">
        <v>286</v>
      </c>
      <c r="C1253" s="131">
        <v>100</v>
      </c>
      <c r="D1253" s="115">
        <v>9331.875</v>
      </c>
      <c r="E1253" s="136">
        <v>30376.9</v>
      </c>
      <c r="F1253" s="127">
        <f>E1253*D1253/C1253</f>
        <v>2834734.336875</v>
      </c>
    </row>
    <row r="1254" spans="1:8" ht="30" outlineLevel="1" x14ac:dyDescent="0.25">
      <c r="A1254" s="125">
        <v>6</v>
      </c>
      <c r="B1254" s="119" t="s">
        <v>287</v>
      </c>
      <c r="C1254" s="113">
        <v>100</v>
      </c>
      <c r="D1254" s="115">
        <v>2649.9022000000004</v>
      </c>
      <c r="E1254" s="127">
        <v>6849</v>
      </c>
      <c r="F1254" s="127">
        <f>E1254*D1254/C1254</f>
        <v>181491.80167800002</v>
      </c>
    </row>
    <row r="1255" spans="1:8" ht="31.5" customHeight="1" outlineLevel="1" x14ac:dyDescent="0.25">
      <c r="A1255" s="125">
        <v>14</v>
      </c>
      <c r="B1255" s="133" t="s">
        <v>66</v>
      </c>
      <c r="C1255" s="113">
        <v>1000</v>
      </c>
      <c r="D1255" s="115">
        <v>4720</v>
      </c>
      <c r="E1255" s="114">
        <v>5266.8</v>
      </c>
      <c r="F1255" s="127">
        <f>E1255*D1255/C1255</f>
        <v>24859.295999999998</v>
      </c>
    </row>
    <row r="1256" spans="1:8" ht="75.75" outlineLevel="1" x14ac:dyDescent="0.25">
      <c r="A1256" s="125">
        <v>15</v>
      </c>
      <c r="B1256" s="133" t="s">
        <v>40</v>
      </c>
      <c r="C1256" s="126"/>
      <c r="D1256" s="115"/>
      <c r="E1256" s="114"/>
      <c r="F1256" s="114"/>
    </row>
    <row r="1257" spans="1:8" outlineLevel="1" x14ac:dyDescent="0.25">
      <c r="A1257" s="125" t="s">
        <v>67</v>
      </c>
      <c r="B1257" s="133" t="s">
        <v>68</v>
      </c>
      <c r="C1257" s="113">
        <v>100</v>
      </c>
      <c r="D1257" s="115">
        <v>1661.6381759999999</v>
      </c>
      <c r="E1257" s="114">
        <v>14042.6</v>
      </c>
      <c r="F1257" s="127">
        <f>E1257*D1257/C1257</f>
        <v>233337.202502976</v>
      </c>
    </row>
    <row r="1258" spans="1:8" outlineLevel="1" x14ac:dyDescent="0.25">
      <c r="A1258" s="125" t="s">
        <v>67</v>
      </c>
      <c r="B1258" s="133" t="s">
        <v>42</v>
      </c>
      <c r="C1258" s="113">
        <v>100</v>
      </c>
      <c r="D1258" s="115">
        <v>158.72174999999996</v>
      </c>
      <c r="E1258" s="114">
        <v>14042.6</v>
      </c>
      <c r="F1258" s="127">
        <f>E1258*D1258/C1258</f>
        <v>22288.660465499997</v>
      </c>
    </row>
    <row r="1259" spans="1:8" outlineLevel="1" x14ac:dyDescent="0.25">
      <c r="A1259" s="125" t="s">
        <v>41</v>
      </c>
      <c r="B1259" s="133" t="s">
        <v>69</v>
      </c>
      <c r="C1259" s="113">
        <v>100</v>
      </c>
      <c r="D1259" s="115">
        <v>2612.9249999999997</v>
      </c>
      <c r="E1259" s="114">
        <v>14042.6</v>
      </c>
      <c r="F1259" s="127">
        <f>E1259*D1259/C1259</f>
        <v>366922.60604999994</v>
      </c>
    </row>
    <row r="1260" spans="1:8" outlineLevel="1" x14ac:dyDescent="0.25">
      <c r="A1260" s="125" t="s">
        <v>70</v>
      </c>
      <c r="B1260" s="133" t="s">
        <v>288</v>
      </c>
      <c r="C1260" s="113">
        <v>100</v>
      </c>
      <c r="D1260" s="115">
        <v>3577.3679700000007</v>
      </c>
      <c r="E1260" s="114">
        <v>14042.6</v>
      </c>
      <c r="F1260" s="127">
        <f>E1260*D1260/C1260</f>
        <v>502355.47455522011</v>
      </c>
    </row>
    <row r="1261" spans="1:8" outlineLevel="1" x14ac:dyDescent="0.25">
      <c r="A1261" s="506" t="s">
        <v>43</v>
      </c>
      <c r="B1261" s="506"/>
      <c r="C1261" s="506"/>
      <c r="D1261" s="506"/>
      <c r="E1261" s="506"/>
      <c r="F1261" s="72">
        <f>SUM(F1245:F1260)</f>
        <v>8470642.3808314465</v>
      </c>
    </row>
    <row r="1262" spans="1:8" outlineLevel="1" x14ac:dyDescent="0.25">
      <c r="A1262" s="539" t="s">
        <v>299</v>
      </c>
      <c r="B1262" s="539"/>
      <c r="C1262" s="539"/>
      <c r="D1262" s="539"/>
      <c r="E1262" s="539"/>
      <c r="F1262" s="257">
        <f>F1261+F1243+F1174+F1148+F1128</f>
        <v>92113523.119333774</v>
      </c>
    </row>
    <row r="1263" spans="1:8" ht="25.5" customHeight="1" x14ac:dyDescent="0.25">
      <c r="A1263" s="547" t="s">
        <v>300</v>
      </c>
      <c r="B1263" s="548"/>
      <c r="C1263" s="548"/>
      <c r="D1263" s="548"/>
      <c r="E1263" s="549"/>
      <c r="F1263" s="262">
        <f>F1429</f>
        <v>93766767.514235407</v>
      </c>
      <c r="G1263" s="456">
        <f>H1263-F1263</f>
        <v>0.19537243247032166</v>
      </c>
      <c r="H1263" s="1">
        <v>93766767.70960784</v>
      </c>
    </row>
    <row r="1264" spans="1:8" outlineLevel="1" x14ac:dyDescent="0.25">
      <c r="A1264" s="543" t="s">
        <v>9</v>
      </c>
      <c r="B1264" s="543"/>
      <c r="C1264" s="543"/>
      <c r="D1264" s="543"/>
      <c r="E1264" s="543"/>
      <c r="F1264" s="543"/>
    </row>
    <row r="1265" spans="1:7" ht="60" outlineLevel="1" x14ac:dyDescent="0.25">
      <c r="A1265" s="111">
        <v>1</v>
      </c>
      <c r="B1265" s="112" t="s">
        <v>301</v>
      </c>
      <c r="C1265" s="113">
        <v>1000</v>
      </c>
      <c r="D1265" s="114">
        <v>1671902.1400000001</v>
      </c>
      <c r="E1265" s="115">
        <v>4640.7</v>
      </c>
      <c r="F1265" s="127">
        <f>E1265*D1265/C1265</f>
        <v>7758796.2610980002</v>
      </c>
    </row>
    <row r="1266" spans="1:7" ht="36.75" customHeight="1" outlineLevel="1" x14ac:dyDescent="0.25">
      <c r="A1266" s="111">
        <v>2</v>
      </c>
      <c r="B1266" s="163" t="s">
        <v>11</v>
      </c>
      <c r="C1266" s="113">
        <v>1000</v>
      </c>
      <c r="D1266" s="114">
        <v>1638852.06</v>
      </c>
      <c r="E1266" s="115">
        <v>940.9</v>
      </c>
      <c r="F1266" s="127">
        <f>E1266*D1266/C1266</f>
        <v>1541995.903254</v>
      </c>
    </row>
    <row r="1267" spans="1:7" ht="45" outlineLevel="1" x14ac:dyDescent="0.25">
      <c r="A1267" s="111">
        <v>3</v>
      </c>
      <c r="B1267" s="163" t="s">
        <v>12</v>
      </c>
      <c r="C1267" s="164"/>
      <c r="D1267" s="114"/>
      <c r="E1267" s="121"/>
      <c r="F1267" s="114"/>
    </row>
    <row r="1268" spans="1:7" outlineLevel="1" x14ac:dyDescent="0.25">
      <c r="A1268" s="111"/>
      <c r="B1268" s="163" t="s">
        <v>13</v>
      </c>
      <c r="C1268" s="113">
        <v>1000</v>
      </c>
      <c r="D1268" s="114">
        <v>10467.499999999996</v>
      </c>
      <c r="E1268" s="121">
        <v>1073.2</v>
      </c>
      <c r="F1268" s="127">
        <f>E1268*D1268/C1268</f>
        <v>11233.720999999996</v>
      </c>
    </row>
    <row r="1269" spans="1:7" outlineLevel="1" x14ac:dyDescent="0.25">
      <c r="A1269" s="111"/>
      <c r="B1269" s="163" t="s">
        <v>164</v>
      </c>
      <c r="C1269" s="113">
        <v>1000</v>
      </c>
      <c r="D1269" s="114">
        <v>23964.999999999996</v>
      </c>
      <c r="E1269" s="121">
        <v>1743.95</v>
      </c>
      <c r="F1269" s="127">
        <f>E1269*D1269/C1269</f>
        <v>41793.761749999991</v>
      </c>
    </row>
    <row r="1270" spans="1:7" outlineLevel="1" x14ac:dyDescent="0.25">
      <c r="A1270" s="111"/>
      <c r="B1270" s="163" t="s">
        <v>254</v>
      </c>
      <c r="C1270" s="113">
        <v>1000</v>
      </c>
      <c r="D1270" s="114">
        <v>5747.4999999999964</v>
      </c>
      <c r="E1270" s="121">
        <v>2414.6999999999998</v>
      </c>
      <c r="F1270" s="127">
        <f>E1270*D1270/C1270</f>
        <v>13878.488249999991</v>
      </c>
    </row>
    <row r="1271" spans="1:7" ht="30" outlineLevel="1" x14ac:dyDescent="0.25">
      <c r="A1271" s="545">
        <v>4</v>
      </c>
      <c r="B1271" s="112" t="s">
        <v>191</v>
      </c>
      <c r="C1271" s="113">
        <v>1000</v>
      </c>
      <c r="D1271" s="114"/>
      <c r="E1271" s="115"/>
      <c r="F1271" s="115"/>
    </row>
    <row r="1272" spans="1:7" outlineLevel="1" x14ac:dyDescent="0.25">
      <c r="A1272" s="545"/>
      <c r="B1272" s="112" t="s">
        <v>302</v>
      </c>
      <c r="C1272" s="113">
        <v>1000</v>
      </c>
      <c r="D1272" s="114">
        <v>159193.80000000005</v>
      </c>
      <c r="E1272" s="114">
        <v>18092.2</v>
      </c>
      <c r="F1272" s="127">
        <f>E1272*D1272/C1272</f>
        <v>2880166.0683600013</v>
      </c>
    </row>
    <row r="1273" spans="1:7" ht="60" outlineLevel="1" x14ac:dyDescent="0.25">
      <c r="A1273" s="111">
        <v>7</v>
      </c>
      <c r="B1273" s="112" t="s">
        <v>264</v>
      </c>
      <c r="C1273" s="128">
        <v>1</v>
      </c>
      <c r="D1273" s="114">
        <v>130</v>
      </c>
      <c r="E1273" s="117">
        <v>1326.2</v>
      </c>
      <c r="F1273" s="127">
        <f>E1273*D1273/C1273</f>
        <v>172406</v>
      </c>
    </row>
    <row r="1274" spans="1:7" outlineLevel="1" x14ac:dyDescent="0.25">
      <c r="A1274" s="534" t="s">
        <v>192</v>
      </c>
      <c r="B1274" s="534"/>
      <c r="C1274" s="534"/>
      <c r="D1274" s="534"/>
      <c r="E1274" s="534"/>
      <c r="F1274" s="534"/>
    </row>
    <row r="1275" spans="1:7" ht="64.5" customHeight="1" outlineLevel="1" x14ac:dyDescent="0.25">
      <c r="A1275" s="122">
        <v>1</v>
      </c>
      <c r="B1275" s="123" t="s">
        <v>22</v>
      </c>
      <c r="C1275" s="113">
        <v>1000</v>
      </c>
      <c r="D1275" s="124">
        <v>98</v>
      </c>
      <c r="E1275" s="124">
        <v>15824.15</v>
      </c>
      <c r="F1275" s="127">
        <f>E1275*D1275/C1275</f>
        <v>1550.7666999999999</v>
      </c>
    </row>
    <row r="1276" spans="1:7" s="15" customFormat="1" ht="53.25" customHeight="1" outlineLevel="1" x14ac:dyDescent="0.2">
      <c r="A1276" s="125">
        <v>2</v>
      </c>
      <c r="B1276" s="123" t="s">
        <v>23</v>
      </c>
      <c r="C1276" s="126"/>
      <c r="D1276" s="115"/>
      <c r="E1276" s="127">
        <v>0</v>
      </c>
      <c r="F1276" s="127">
        <v>0</v>
      </c>
      <c r="G1276" s="457"/>
    </row>
    <row r="1277" spans="1:7" s="15" customFormat="1" ht="22.5" customHeight="1" outlineLevel="1" x14ac:dyDescent="0.2">
      <c r="A1277" s="125"/>
      <c r="B1277" s="123" t="s">
        <v>24</v>
      </c>
      <c r="C1277" s="113">
        <v>100</v>
      </c>
      <c r="D1277" s="124">
        <v>24.5</v>
      </c>
      <c r="E1277" s="115">
        <v>34694.300000000003</v>
      </c>
      <c r="F1277" s="127">
        <f t="shared" ref="F1277:F1283" si="67">E1277*D1277/C1277</f>
        <v>8500.1035000000011</v>
      </c>
      <c r="G1277" s="457"/>
    </row>
    <row r="1278" spans="1:7" s="15" customFormat="1" ht="35.25" customHeight="1" outlineLevel="1" x14ac:dyDescent="0.2">
      <c r="A1278" s="125">
        <v>3</v>
      </c>
      <c r="B1278" s="123" t="s">
        <v>25</v>
      </c>
      <c r="C1278" s="113">
        <v>100</v>
      </c>
      <c r="D1278" s="124">
        <v>97.5</v>
      </c>
      <c r="E1278" s="124">
        <v>32675.95</v>
      </c>
      <c r="F1278" s="127">
        <f t="shared" si="67"/>
        <v>31859.05125</v>
      </c>
      <c r="G1278" s="457"/>
    </row>
    <row r="1279" spans="1:7" s="15" customFormat="1" ht="51.75" customHeight="1" outlineLevel="1" x14ac:dyDescent="0.2">
      <c r="A1279" s="125">
        <v>4</v>
      </c>
      <c r="B1279" s="123" t="s">
        <v>26</v>
      </c>
      <c r="C1279" s="120">
        <v>100</v>
      </c>
      <c r="D1279" s="124">
        <v>39</v>
      </c>
      <c r="E1279" s="124">
        <v>11851.7</v>
      </c>
      <c r="F1279" s="127">
        <f t="shared" si="67"/>
        <v>4622.1630000000005</v>
      </c>
      <c r="G1279" s="457"/>
    </row>
    <row r="1280" spans="1:7" ht="34.5" customHeight="1" outlineLevel="1" x14ac:dyDescent="0.25">
      <c r="A1280" s="122">
        <v>5</v>
      </c>
      <c r="B1280" s="123" t="s">
        <v>27</v>
      </c>
      <c r="C1280" s="113">
        <v>100</v>
      </c>
      <c r="D1280" s="124">
        <v>81.703125</v>
      </c>
      <c r="E1280" s="124">
        <v>37620.6</v>
      </c>
      <c r="F1280" s="127">
        <f t="shared" si="67"/>
        <v>30737.205843750002</v>
      </c>
    </row>
    <row r="1281" spans="1:6" ht="21.75" customHeight="1" outlineLevel="1" x14ac:dyDescent="0.25">
      <c r="A1281" s="122">
        <v>6</v>
      </c>
      <c r="B1281" s="123" t="s">
        <v>28</v>
      </c>
      <c r="C1281" s="120">
        <v>100</v>
      </c>
      <c r="D1281" s="124">
        <v>230.64999999999998</v>
      </c>
      <c r="E1281" s="124">
        <v>4334.75</v>
      </c>
      <c r="F1281" s="127">
        <f t="shared" si="67"/>
        <v>9998.1008749999983</v>
      </c>
    </row>
    <row r="1282" spans="1:6" ht="45" outlineLevel="1" x14ac:dyDescent="0.25">
      <c r="A1282" s="122">
        <v>7</v>
      </c>
      <c r="B1282" s="123" t="s">
        <v>29</v>
      </c>
      <c r="C1282" s="120">
        <v>100</v>
      </c>
      <c r="D1282" s="124">
        <v>230.64999999999998</v>
      </c>
      <c r="E1282" s="124">
        <v>7379.1</v>
      </c>
      <c r="F1282" s="127">
        <f t="shared" si="67"/>
        <v>17019.894149999996</v>
      </c>
    </row>
    <row r="1283" spans="1:6" ht="22.5" customHeight="1" outlineLevel="1" x14ac:dyDescent="0.25">
      <c r="A1283" s="122">
        <v>8</v>
      </c>
      <c r="B1283" s="123" t="s">
        <v>30</v>
      </c>
      <c r="C1283" s="128">
        <v>1</v>
      </c>
      <c r="D1283" s="124">
        <v>500</v>
      </c>
      <c r="E1283" s="124">
        <v>30.5</v>
      </c>
      <c r="F1283" s="127">
        <f t="shared" si="67"/>
        <v>15250</v>
      </c>
    </row>
    <row r="1284" spans="1:6" ht="75" outlineLevel="1" x14ac:dyDescent="0.25">
      <c r="A1284" s="122">
        <v>9</v>
      </c>
      <c r="B1284" s="123" t="s">
        <v>31</v>
      </c>
      <c r="C1284" s="126"/>
      <c r="D1284" s="124"/>
      <c r="E1284" s="124"/>
      <c r="F1284" s="124"/>
    </row>
    <row r="1285" spans="1:6" outlineLevel="1" x14ac:dyDescent="0.25">
      <c r="A1285" s="122"/>
      <c r="B1285" s="123" t="s">
        <v>32</v>
      </c>
      <c r="C1285" s="113">
        <v>100</v>
      </c>
      <c r="D1285" s="124">
        <v>4.29</v>
      </c>
      <c r="E1285" s="124">
        <v>14042.6</v>
      </c>
      <c r="F1285" s="127">
        <f>E1285*D1285/C1285</f>
        <v>602.42754000000002</v>
      </c>
    </row>
    <row r="1286" spans="1:6" outlineLevel="1" x14ac:dyDescent="0.25">
      <c r="A1286" s="534" t="s">
        <v>168</v>
      </c>
      <c r="B1286" s="534"/>
      <c r="C1286" s="534"/>
      <c r="D1286" s="534"/>
      <c r="E1286" s="534"/>
      <c r="F1286" s="534"/>
    </row>
    <row r="1287" spans="1:6" ht="21" customHeight="1" outlineLevel="1" x14ac:dyDescent="0.25">
      <c r="A1287" s="129">
        <v>1</v>
      </c>
      <c r="B1287" s="130" t="s">
        <v>34</v>
      </c>
      <c r="C1287" s="113">
        <v>1</v>
      </c>
      <c r="D1287" s="115">
        <v>22.36</v>
      </c>
      <c r="E1287" s="127">
        <v>546.95000000000005</v>
      </c>
      <c r="F1287" s="127">
        <f t="shared" ref="F1287:F1292" si="68">E1287*D1287/C1287</f>
        <v>12229.802000000001</v>
      </c>
    </row>
    <row r="1288" spans="1:6" ht="45" outlineLevel="1" x14ac:dyDescent="0.25">
      <c r="A1288" s="129">
        <v>2</v>
      </c>
      <c r="B1288" s="130" t="s">
        <v>35</v>
      </c>
      <c r="C1288" s="131">
        <v>100</v>
      </c>
      <c r="D1288" s="115">
        <v>51.09</v>
      </c>
      <c r="E1288" s="127">
        <v>30006.1</v>
      </c>
      <c r="F1288" s="127">
        <f t="shared" si="68"/>
        <v>15330.11649</v>
      </c>
    </row>
    <row r="1289" spans="1:6" ht="21" customHeight="1" outlineLevel="1" x14ac:dyDescent="0.25">
      <c r="A1289" s="125">
        <v>3</v>
      </c>
      <c r="B1289" s="130" t="s">
        <v>36</v>
      </c>
      <c r="C1289" s="128">
        <v>1</v>
      </c>
      <c r="D1289" s="115">
        <v>13</v>
      </c>
      <c r="E1289" s="127">
        <v>115.4</v>
      </c>
      <c r="F1289" s="127">
        <f t="shared" si="68"/>
        <v>1500.2</v>
      </c>
    </row>
    <row r="1290" spans="1:6" ht="21" customHeight="1" outlineLevel="1" x14ac:dyDescent="0.25">
      <c r="A1290" s="125">
        <v>4</v>
      </c>
      <c r="B1290" s="130" t="s">
        <v>37</v>
      </c>
      <c r="C1290" s="132">
        <v>1</v>
      </c>
      <c r="D1290" s="115">
        <v>13</v>
      </c>
      <c r="E1290" s="127">
        <v>141.9</v>
      </c>
      <c r="F1290" s="127">
        <f t="shared" si="68"/>
        <v>1844.7</v>
      </c>
    </row>
    <row r="1291" spans="1:6" ht="21" customHeight="1" outlineLevel="1" x14ac:dyDescent="0.25">
      <c r="A1291" s="125">
        <v>5</v>
      </c>
      <c r="B1291" s="130" t="s">
        <v>38</v>
      </c>
      <c r="C1291" s="120">
        <v>100</v>
      </c>
      <c r="D1291" s="115">
        <v>45.5</v>
      </c>
      <c r="E1291" s="127">
        <v>4307.55</v>
      </c>
      <c r="F1291" s="127">
        <f t="shared" si="68"/>
        <v>1959.93525</v>
      </c>
    </row>
    <row r="1292" spans="1:6" ht="30" outlineLevel="1" x14ac:dyDescent="0.25">
      <c r="A1292" s="125">
        <v>6</v>
      </c>
      <c r="B1292" s="130" t="s">
        <v>39</v>
      </c>
      <c r="C1292" s="128">
        <v>1</v>
      </c>
      <c r="D1292" s="115">
        <v>130</v>
      </c>
      <c r="E1292" s="127">
        <v>30.5</v>
      </c>
      <c r="F1292" s="127">
        <f t="shared" si="68"/>
        <v>3965</v>
      </c>
    </row>
    <row r="1293" spans="1:6" ht="75" outlineLevel="1" x14ac:dyDescent="0.25">
      <c r="A1293" s="125">
        <v>7</v>
      </c>
      <c r="B1293" s="133" t="s">
        <v>31</v>
      </c>
      <c r="C1293" s="126"/>
      <c r="D1293" s="115"/>
      <c r="E1293" s="114"/>
      <c r="F1293" s="114"/>
    </row>
    <row r="1294" spans="1:6" outlineLevel="1" x14ac:dyDescent="0.25">
      <c r="A1294" s="125" t="s">
        <v>41</v>
      </c>
      <c r="B1294" s="133" t="s">
        <v>42</v>
      </c>
      <c r="C1294" s="113">
        <v>100</v>
      </c>
      <c r="D1294" s="115">
        <v>19.6768</v>
      </c>
      <c r="E1294" s="114">
        <v>14042.6</v>
      </c>
      <c r="F1294" s="127">
        <f>E1294*D1294/C1294</f>
        <v>2763.1343167999999</v>
      </c>
    </row>
    <row r="1295" spans="1:6" outlineLevel="1" x14ac:dyDescent="0.25">
      <c r="A1295" s="518" t="s">
        <v>43</v>
      </c>
      <c r="B1295" s="518"/>
      <c r="C1295" s="518"/>
      <c r="D1295" s="518"/>
      <c r="E1295" s="518"/>
      <c r="F1295" s="106">
        <f>SUM(F1265:F1294)</f>
        <v>12580002.804627549</v>
      </c>
    </row>
    <row r="1296" spans="1:6" outlineLevel="1" x14ac:dyDescent="0.25">
      <c r="A1296" s="534" t="s">
        <v>265</v>
      </c>
      <c r="B1296" s="534"/>
      <c r="C1296" s="534"/>
      <c r="D1296" s="534"/>
      <c r="E1296" s="534"/>
      <c r="F1296" s="534"/>
    </row>
    <row r="1297" spans="1:6" ht="75" outlineLevel="1" x14ac:dyDescent="0.25">
      <c r="A1297" s="129">
        <v>1</v>
      </c>
      <c r="B1297" s="133" t="s">
        <v>45</v>
      </c>
      <c r="C1297" s="113">
        <v>1000</v>
      </c>
      <c r="D1297" s="115">
        <v>15395.300699999989</v>
      </c>
      <c r="E1297" s="115">
        <v>12735.6</v>
      </c>
      <c r="F1297" s="127">
        <f>E1297*D1297/C1297</f>
        <v>196068.39159491987</v>
      </c>
    </row>
    <row r="1298" spans="1:6" ht="24" customHeight="1" outlineLevel="1" x14ac:dyDescent="0.25">
      <c r="A1298" s="129">
        <v>2</v>
      </c>
      <c r="B1298" s="133" t="s">
        <v>75</v>
      </c>
      <c r="C1298" s="113">
        <v>1000</v>
      </c>
      <c r="D1298" s="115">
        <v>15395.300699999989</v>
      </c>
      <c r="E1298" s="115">
        <v>12038.4</v>
      </c>
      <c r="F1298" s="127">
        <f>E1298*D1298/C1298</f>
        <v>185334.78794687986</v>
      </c>
    </row>
    <row r="1299" spans="1:6" ht="45" outlineLevel="1" x14ac:dyDescent="0.25">
      <c r="A1299" s="125">
        <v>3</v>
      </c>
      <c r="B1299" s="135" t="s">
        <v>23</v>
      </c>
      <c r="C1299" s="126"/>
      <c r="D1299" s="115"/>
      <c r="E1299" s="127">
        <v>0</v>
      </c>
      <c r="F1299" s="127"/>
    </row>
    <row r="1300" spans="1:6" outlineLevel="1" x14ac:dyDescent="0.25">
      <c r="A1300" s="125"/>
      <c r="B1300" s="133" t="s">
        <v>24</v>
      </c>
      <c r="C1300" s="113">
        <v>100</v>
      </c>
      <c r="D1300" s="115">
        <v>1785.0250000000003</v>
      </c>
      <c r="E1300" s="115">
        <v>34694.300000000003</v>
      </c>
      <c r="F1300" s="127">
        <f>E1300*D1300/C1300</f>
        <v>619301.92857500014</v>
      </c>
    </row>
    <row r="1301" spans="1:6" outlineLevel="1" x14ac:dyDescent="0.25">
      <c r="A1301" s="125"/>
      <c r="B1301" s="133" t="s">
        <v>125</v>
      </c>
      <c r="C1301" s="113">
        <v>100</v>
      </c>
      <c r="D1301" s="115">
        <v>238</v>
      </c>
      <c r="E1301" s="115">
        <v>47135.9</v>
      </c>
      <c r="F1301" s="127">
        <f>E1301*D1301/C1301</f>
        <v>112183.44200000001</v>
      </c>
    </row>
    <row r="1302" spans="1:6" ht="90" outlineLevel="1" x14ac:dyDescent="0.25">
      <c r="A1302" s="125">
        <v>4</v>
      </c>
      <c r="B1302" s="133" t="s">
        <v>46</v>
      </c>
      <c r="C1302" s="131">
        <v>100</v>
      </c>
      <c r="D1302" s="115">
        <v>45010.326149999994</v>
      </c>
      <c r="E1302" s="136">
        <v>30376.9</v>
      </c>
      <c r="F1302" s="127">
        <f>E1302*D1302/C1302</f>
        <v>13672741.764259348</v>
      </c>
    </row>
    <row r="1303" spans="1:6" ht="120.75" outlineLevel="1" x14ac:dyDescent="0.25">
      <c r="A1303" s="125">
        <v>5</v>
      </c>
      <c r="B1303" s="135" t="s">
        <v>78</v>
      </c>
      <c r="C1303" s="126"/>
      <c r="D1303" s="115"/>
      <c r="E1303" s="127"/>
      <c r="F1303" s="137"/>
    </row>
    <row r="1304" spans="1:6" ht="75" outlineLevel="1" x14ac:dyDescent="0.25">
      <c r="A1304" s="125"/>
      <c r="B1304" s="135" t="s">
        <v>100</v>
      </c>
      <c r="C1304" s="113">
        <v>1</v>
      </c>
      <c r="D1304" s="115">
        <v>9694.2370499999979</v>
      </c>
      <c r="E1304" s="115">
        <v>817.55</v>
      </c>
      <c r="F1304" s="127">
        <f t="shared" ref="F1304:F1310" si="69">E1304*D1304/C1304</f>
        <v>7925523.5002274979</v>
      </c>
    </row>
    <row r="1305" spans="1:6" ht="75" outlineLevel="1" x14ac:dyDescent="0.25">
      <c r="A1305" s="125"/>
      <c r="B1305" s="135" t="s">
        <v>201</v>
      </c>
      <c r="C1305" s="113">
        <v>1</v>
      </c>
      <c r="D1305" s="115">
        <v>5309.2050000000017</v>
      </c>
      <c r="E1305" s="115">
        <v>670.5</v>
      </c>
      <c r="F1305" s="127">
        <f t="shared" si="69"/>
        <v>3559821.9525000011</v>
      </c>
    </row>
    <row r="1306" spans="1:6" ht="30" outlineLevel="1" x14ac:dyDescent="0.25">
      <c r="A1306" s="125">
        <v>6</v>
      </c>
      <c r="B1306" s="133" t="s">
        <v>52</v>
      </c>
      <c r="C1306" s="120">
        <v>100</v>
      </c>
      <c r="D1306" s="115">
        <v>5822.749799999995</v>
      </c>
      <c r="E1306" s="127">
        <v>1645.1</v>
      </c>
      <c r="F1306" s="127">
        <f t="shared" si="69"/>
        <v>95790.056959799913</v>
      </c>
    </row>
    <row r="1307" spans="1:6" ht="30" outlineLevel="1" x14ac:dyDescent="0.25">
      <c r="A1307" s="125">
        <v>7</v>
      </c>
      <c r="B1307" s="135" t="s">
        <v>79</v>
      </c>
      <c r="C1307" s="113">
        <v>100</v>
      </c>
      <c r="D1307" s="115">
        <v>560</v>
      </c>
      <c r="E1307" s="127">
        <v>35727</v>
      </c>
      <c r="F1307" s="127">
        <f t="shared" si="69"/>
        <v>200071.2</v>
      </c>
    </row>
    <row r="1308" spans="1:6" ht="60" outlineLevel="1" x14ac:dyDescent="0.25">
      <c r="A1308" s="125">
        <v>8</v>
      </c>
      <c r="B1308" s="138" t="s">
        <v>80</v>
      </c>
      <c r="C1308" s="139">
        <v>1</v>
      </c>
      <c r="D1308" s="115">
        <v>1373.78</v>
      </c>
      <c r="E1308" s="115">
        <v>809.4</v>
      </c>
      <c r="F1308" s="127">
        <f t="shared" si="69"/>
        <v>1111937.5319999999</v>
      </c>
    </row>
    <row r="1309" spans="1:6" ht="30" outlineLevel="1" x14ac:dyDescent="0.25">
      <c r="A1309" s="125">
        <v>9</v>
      </c>
      <c r="B1309" s="140" t="s">
        <v>81</v>
      </c>
      <c r="C1309" s="139">
        <v>1</v>
      </c>
      <c r="D1309" s="115">
        <v>470</v>
      </c>
      <c r="E1309" s="115">
        <v>1381</v>
      </c>
      <c r="F1309" s="127">
        <f t="shared" si="69"/>
        <v>649070</v>
      </c>
    </row>
    <row r="1310" spans="1:6" ht="24" customHeight="1" outlineLevel="1" x14ac:dyDescent="0.25">
      <c r="A1310" s="125">
        <v>10</v>
      </c>
      <c r="B1310" s="133" t="s">
        <v>66</v>
      </c>
      <c r="C1310" s="113">
        <v>1000</v>
      </c>
      <c r="D1310" s="115">
        <v>28000</v>
      </c>
      <c r="E1310" s="114">
        <v>5266.8</v>
      </c>
      <c r="F1310" s="127">
        <f t="shared" si="69"/>
        <v>147470.39999999999</v>
      </c>
    </row>
    <row r="1311" spans="1:6" ht="75.75" outlineLevel="1" x14ac:dyDescent="0.25">
      <c r="A1311" s="125">
        <v>11</v>
      </c>
      <c r="B1311" s="133" t="s">
        <v>40</v>
      </c>
      <c r="C1311" s="126"/>
      <c r="D1311" s="115"/>
      <c r="E1311" s="114"/>
      <c r="F1311" s="114"/>
    </row>
    <row r="1312" spans="1:6" outlineLevel="1" x14ac:dyDescent="0.25">
      <c r="A1312" s="125" t="s">
        <v>67</v>
      </c>
      <c r="B1312" s="133" t="s">
        <v>68</v>
      </c>
      <c r="C1312" s="113">
        <v>100</v>
      </c>
      <c r="D1312" s="115">
        <v>1713.6240000000003</v>
      </c>
      <c r="E1312" s="114">
        <v>14042.6</v>
      </c>
      <c r="F1312" s="127">
        <f>E1312*D1312/C1312</f>
        <v>240637.36382400003</v>
      </c>
    </row>
    <row r="1313" spans="1:6" outlineLevel="1" x14ac:dyDescent="0.25">
      <c r="A1313" s="125" t="s">
        <v>41</v>
      </c>
      <c r="B1313" s="133" t="s">
        <v>42</v>
      </c>
      <c r="C1313" s="113">
        <v>100</v>
      </c>
      <c r="D1313" s="115">
        <v>209.44</v>
      </c>
      <c r="E1313" s="114">
        <v>14042.6</v>
      </c>
      <c r="F1313" s="127">
        <f>E1313*D1313/C1313</f>
        <v>29410.82144</v>
      </c>
    </row>
    <row r="1314" spans="1:6" outlineLevel="1" x14ac:dyDescent="0.25">
      <c r="A1314" s="125" t="s">
        <v>70</v>
      </c>
      <c r="B1314" s="133" t="s">
        <v>82</v>
      </c>
      <c r="C1314" s="113">
        <v>100</v>
      </c>
      <c r="D1314" s="115">
        <v>12602.891321999999</v>
      </c>
      <c r="E1314" s="114">
        <v>14042.6</v>
      </c>
      <c r="F1314" s="127">
        <f>E1314*D1314/C1314</f>
        <v>1769773.6167831719</v>
      </c>
    </row>
    <row r="1315" spans="1:6" outlineLevel="1" x14ac:dyDescent="0.25">
      <c r="A1315" s="506" t="s">
        <v>83</v>
      </c>
      <c r="B1315" s="506"/>
      <c r="C1315" s="506"/>
      <c r="D1315" s="506"/>
      <c r="E1315" s="506"/>
      <c r="F1315" s="72">
        <f>SUM(F1297:F1314)</f>
        <v>30515136.758110616</v>
      </c>
    </row>
    <row r="1316" spans="1:6" outlineLevel="1" x14ac:dyDescent="0.25">
      <c r="A1316" s="534" t="s">
        <v>266</v>
      </c>
      <c r="B1316" s="534"/>
      <c r="C1316" s="534"/>
      <c r="D1316" s="534"/>
      <c r="E1316" s="534"/>
      <c r="F1316" s="534"/>
    </row>
    <row r="1317" spans="1:6" ht="75" outlineLevel="1" x14ac:dyDescent="0.25">
      <c r="A1317" s="129">
        <v>1</v>
      </c>
      <c r="B1317" s="133" t="s">
        <v>45</v>
      </c>
      <c r="C1317" s="113">
        <v>1000</v>
      </c>
      <c r="D1317" s="115">
        <v>21204.327294117251</v>
      </c>
      <c r="E1317" s="115">
        <v>12735.6</v>
      </c>
      <c r="F1317" s="127">
        <f>E1317*D1317/C1317</f>
        <v>270049.83068695967</v>
      </c>
    </row>
    <row r="1318" spans="1:6" ht="45" outlineLevel="1" x14ac:dyDescent="0.25">
      <c r="A1318" s="125">
        <v>2</v>
      </c>
      <c r="B1318" s="135" t="s">
        <v>23</v>
      </c>
      <c r="C1318" s="122"/>
      <c r="D1318" s="115"/>
      <c r="E1318" s="115">
        <v>0</v>
      </c>
      <c r="F1318" s="115"/>
    </row>
    <row r="1319" spans="1:6" outlineLevel="1" x14ac:dyDescent="0.25">
      <c r="A1319" s="125"/>
      <c r="B1319" s="133" t="s">
        <v>24</v>
      </c>
      <c r="C1319" s="113">
        <v>100</v>
      </c>
      <c r="D1319" s="115">
        <v>564.5</v>
      </c>
      <c r="E1319" s="115">
        <v>34694.300000000003</v>
      </c>
      <c r="F1319" s="127">
        <f>E1319*D1319/C1319</f>
        <v>195849.32350000003</v>
      </c>
    </row>
    <row r="1320" spans="1:6" ht="90" outlineLevel="1" x14ac:dyDescent="0.25">
      <c r="A1320" s="125">
        <v>3</v>
      </c>
      <c r="B1320" s="133" t="s">
        <v>46</v>
      </c>
      <c r="C1320" s="131">
        <v>100</v>
      </c>
      <c r="D1320" s="115">
        <v>22179.123529411605</v>
      </c>
      <c r="E1320" s="136">
        <v>30376.9</v>
      </c>
      <c r="F1320" s="127">
        <f>E1320*D1320/C1320</f>
        <v>6737330.1754058339</v>
      </c>
    </row>
    <row r="1321" spans="1:6" ht="120.75" outlineLevel="1" x14ac:dyDescent="0.25">
      <c r="A1321" s="125">
        <v>4</v>
      </c>
      <c r="B1321" s="135" t="s">
        <v>47</v>
      </c>
      <c r="C1321" s="122"/>
      <c r="D1321" s="115"/>
      <c r="E1321" s="127"/>
      <c r="F1321" s="127"/>
    </row>
    <row r="1322" spans="1:6" ht="75" outlineLevel="1" x14ac:dyDescent="0.25">
      <c r="A1322" s="125"/>
      <c r="B1322" s="135" t="s">
        <v>100</v>
      </c>
      <c r="C1322" s="113">
        <v>1</v>
      </c>
      <c r="D1322" s="115">
        <v>5135.041176470535</v>
      </c>
      <c r="E1322" s="115">
        <v>817.55</v>
      </c>
      <c r="F1322" s="127">
        <f t="shared" ref="F1322:F1328" si="70">E1322*D1322/C1322</f>
        <v>4198152.9138234854</v>
      </c>
    </row>
    <row r="1323" spans="1:6" ht="75" outlineLevel="1" x14ac:dyDescent="0.25">
      <c r="A1323" s="125"/>
      <c r="B1323" s="135" t="s">
        <v>201</v>
      </c>
      <c r="C1323" s="113">
        <v>1</v>
      </c>
      <c r="D1323" s="115">
        <v>2258</v>
      </c>
      <c r="E1323" s="115">
        <v>670.5</v>
      </c>
      <c r="F1323" s="127">
        <f t="shared" si="70"/>
        <v>1513989</v>
      </c>
    </row>
    <row r="1324" spans="1:6" ht="30" outlineLevel="1" x14ac:dyDescent="0.25">
      <c r="A1324" s="125">
        <v>5</v>
      </c>
      <c r="B1324" s="133" t="s">
        <v>52</v>
      </c>
      <c r="C1324" s="120">
        <v>100</v>
      </c>
      <c r="D1324" s="115">
        <v>4909.2811764705175</v>
      </c>
      <c r="E1324" s="127">
        <v>1645.1</v>
      </c>
      <c r="F1324" s="127">
        <f t="shared" si="70"/>
        <v>80762.584634116472</v>
      </c>
    </row>
    <row r="1325" spans="1:6" ht="45" outlineLevel="1" x14ac:dyDescent="0.25">
      <c r="A1325" s="125">
        <v>6</v>
      </c>
      <c r="B1325" s="133" t="s">
        <v>214</v>
      </c>
      <c r="C1325" s="139">
        <v>1</v>
      </c>
      <c r="D1325" s="115">
        <v>22.5</v>
      </c>
      <c r="E1325" s="127">
        <v>303.8</v>
      </c>
      <c r="F1325" s="127">
        <f t="shared" si="70"/>
        <v>6835.5</v>
      </c>
    </row>
    <row r="1326" spans="1:6" ht="105" outlineLevel="1" x14ac:dyDescent="0.25">
      <c r="A1326" s="125">
        <v>7</v>
      </c>
      <c r="B1326" s="155" t="s">
        <v>54</v>
      </c>
      <c r="C1326" s="113">
        <v>100</v>
      </c>
      <c r="D1326" s="115">
        <v>350</v>
      </c>
      <c r="E1326" s="115">
        <v>10003.5</v>
      </c>
      <c r="F1326" s="127">
        <f t="shared" si="70"/>
        <v>35012.25</v>
      </c>
    </row>
    <row r="1327" spans="1:6" ht="120" outlineLevel="1" x14ac:dyDescent="0.25">
      <c r="A1327" s="125">
        <v>8</v>
      </c>
      <c r="B1327" s="155" t="s">
        <v>267</v>
      </c>
      <c r="C1327" s="113">
        <v>100</v>
      </c>
      <c r="D1327" s="115">
        <v>350</v>
      </c>
      <c r="E1327" s="115">
        <v>13527.4</v>
      </c>
      <c r="F1327" s="127">
        <f t="shared" si="70"/>
        <v>47345.9</v>
      </c>
    </row>
    <row r="1328" spans="1:6" ht="29.25" customHeight="1" outlineLevel="1" x14ac:dyDescent="0.25">
      <c r="A1328" s="125">
        <v>9</v>
      </c>
      <c r="B1328" s="155" t="s">
        <v>268</v>
      </c>
      <c r="C1328" s="139">
        <v>1</v>
      </c>
      <c r="D1328" s="115">
        <v>100</v>
      </c>
      <c r="E1328" s="115">
        <v>64.2</v>
      </c>
      <c r="F1328" s="127">
        <f t="shared" si="70"/>
        <v>6420</v>
      </c>
    </row>
    <row r="1329" spans="1:6" ht="105" outlineLevel="1" x14ac:dyDescent="0.25">
      <c r="A1329" s="125">
        <v>10</v>
      </c>
      <c r="B1329" s="155" t="s">
        <v>269</v>
      </c>
      <c r="C1329" s="156"/>
      <c r="D1329" s="127"/>
      <c r="E1329" s="127"/>
      <c r="F1329" s="127"/>
    </row>
    <row r="1330" spans="1:6" ht="45" outlineLevel="1" x14ac:dyDescent="0.25">
      <c r="A1330" s="125" t="s">
        <v>58</v>
      </c>
      <c r="B1330" s="155" t="s">
        <v>59</v>
      </c>
      <c r="C1330" s="120">
        <v>100</v>
      </c>
      <c r="D1330" s="127">
        <v>700</v>
      </c>
      <c r="E1330" s="127">
        <v>4549.95</v>
      </c>
      <c r="F1330" s="127">
        <f t="shared" ref="F1330:F1335" si="71">E1330*D1330/C1330</f>
        <v>31849.65</v>
      </c>
    </row>
    <row r="1331" spans="1:6" ht="45" outlineLevel="1" x14ac:dyDescent="0.25">
      <c r="A1331" s="125" t="s">
        <v>60</v>
      </c>
      <c r="B1331" s="155" t="s">
        <v>61</v>
      </c>
      <c r="C1331" s="120">
        <v>100</v>
      </c>
      <c r="D1331" s="127">
        <v>700</v>
      </c>
      <c r="E1331" s="127">
        <v>2639.45</v>
      </c>
      <c r="F1331" s="127">
        <f t="shared" si="71"/>
        <v>18476.149999999998</v>
      </c>
    </row>
    <row r="1332" spans="1:6" ht="45" outlineLevel="1" x14ac:dyDescent="0.25">
      <c r="A1332" s="125" t="s">
        <v>62</v>
      </c>
      <c r="B1332" s="155" t="s">
        <v>63</v>
      </c>
      <c r="C1332" s="120">
        <v>100</v>
      </c>
      <c r="D1332" s="127">
        <v>700</v>
      </c>
      <c r="E1332" s="127">
        <v>1960.75</v>
      </c>
      <c r="F1332" s="127">
        <f t="shared" si="71"/>
        <v>13725.25</v>
      </c>
    </row>
    <row r="1333" spans="1:6" ht="45" outlineLevel="1" x14ac:dyDescent="0.25">
      <c r="A1333" s="125">
        <v>11</v>
      </c>
      <c r="B1333" s="155" t="s">
        <v>64</v>
      </c>
      <c r="C1333" s="113">
        <v>100</v>
      </c>
      <c r="D1333" s="127">
        <v>600</v>
      </c>
      <c r="E1333" s="127">
        <v>4017.8</v>
      </c>
      <c r="F1333" s="127">
        <f t="shared" si="71"/>
        <v>24106.799999999999</v>
      </c>
    </row>
    <row r="1334" spans="1:6" ht="30" outlineLevel="1" x14ac:dyDescent="0.25">
      <c r="A1334" s="150">
        <v>12</v>
      </c>
      <c r="B1334" s="151" t="s">
        <v>65</v>
      </c>
      <c r="C1334" s="113">
        <v>1000</v>
      </c>
      <c r="D1334" s="115">
        <v>6400</v>
      </c>
      <c r="E1334" s="127">
        <v>10533.6</v>
      </c>
      <c r="F1334" s="127">
        <f t="shared" si="71"/>
        <v>67415.039999999994</v>
      </c>
    </row>
    <row r="1335" spans="1:6" ht="22.5" customHeight="1" outlineLevel="1" x14ac:dyDescent="0.25">
      <c r="A1335" s="125">
        <v>13</v>
      </c>
      <c r="B1335" s="133" t="s">
        <v>66</v>
      </c>
      <c r="C1335" s="113">
        <v>1000</v>
      </c>
      <c r="D1335" s="115">
        <v>24812.800000000025</v>
      </c>
      <c r="E1335" s="114">
        <v>5266.8</v>
      </c>
      <c r="F1335" s="127">
        <f t="shared" si="71"/>
        <v>130684.05504000014</v>
      </c>
    </row>
    <row r="1336" spans="1:6" ht="75.75" outlineLevel="1" x14ac:dyDescent="0.25">
      <c r="A1336" s="125">
        <v>14</v>
      </c>
      <c r="B1336" s="133" t="s">
        <v>40</v>
      </c>
      <c r="C1336" s="126"/>
      <c r="D1336" s="115"/>
      <c r="E1336" s="114"/>
      <c r="F1336" s="114"/>
    </row>
    <row r="1337" spans="1:6" outlineLevel="1" x14ac:dyDescent="0.25">
      <c r="A1337" s="125" t="s">
        <v>67</v>
      </c>
      <c r="B1337" s="133" t="s">
        <v>68</v>
      </c>
      <c r="C1337" s="113">
        <v>100</v>
      </c>
      <c r="D1337" s="115">
        <v>541.91999999999996</v>
      </c>
      <c r="E1337" s="114">
        <v>14042.6</v>
      </c>
      <c r="F1337" s="127">
        <f>E1337*D1337/C1337</f>
        <v>76099.657919999998</v>
      </c>
    </row>
    <row r="1338" spans="1:6" outlineLevel="1" x14ac:dyDescent="0.25">
      <c r="A1338" s="125" t="s">
        <v>41</v>
      </c>
      <c r="B1338" s="133" t="s">
        <v>69</v>
      </c>
      <c r="C1338" s="113">
        <v>100</v>
      </c>
      <c r="D1338" s="115">
        <v>6210.1545882352493</v>
      </c>
      <c r="E1338" s="114">
        <v>14042.6</v>
      </c>
      <c r="F1338" s="127">
        <f>E1338*D1338/C1338</f>
        <v>872067.16820752306</v>
      </c>
    </row>
    <row r="1339" spans="1:6" outlineLevel="1" x14ac:dyDescent="0.25">
      <c r="A1339" s="125" t="s">
        <v>70</v>
      </c>
      <c r="B1339" s="133" t="s">
        <v>71</v>
      </c>
      <c r="C1339" s="113">
        <v>100</v>
      </c>
      <c r="D1339" s="115">
        <v>427</v>
      </c>
      <c r="E1339" s="114">
        <v>14042.6</v>
      </c>
      <c r="F1339" s="127">
        <f>E1339*D1339/C1339</f>
        <v>59961.902000000002</v>
      </c>
    </row>
    <row r="1340" spans="1:6" outlineLevel="1" x14ac:dyDescent="0.25">
      <c r="A1340" s="125" t="s">
        <v>70</v>
      </c>
      <c r="B1340" s="133" t="s">
        <v>72</v>
      </c>
      <c r="C1340" s="113">
        <v>100</v>
      </c>
      <c r="D1340" s="115">
        <v>52.5</v>
      </c>
      <c r="E1340" s="114">
        <v>14042.6</v>
      </c>
      <c r="F1340" s="127">
        <f>E1340*D1340/C1340</f>
        <v>7372.3649999999998</v>
      </c>
    </row>
    <row r="1341" spans="1:6" outlineLevel="1" x14ac:dyDescent="0.25">
      <c r="A1341" s="506" t="s">
        <v>73</v>
      </c>
      <c r="B1341" s="506"/>
      <c r="C1341" s="506"/>
      <c r="D1341" s="506"/>
      <c r="E1341" s="506"/>
      <c r="F1341" s="72">
        <f>SUM(F1317:F1340)</f>
        <v>14393505.516217919</v>
      </c>
    </row>
    <row r="1342" spans="1:6" outlineLevel="1" x14ac:dyDescent="0.25">
      <c r="A1342" s="534" t="s">
        <v>303</v>
      </c>
      <c r="B1342" s="534"/>
      <c r="C1342" s="534"/>
      <c r="D1342" s="534"/>
      <c r="E1342" s="534"/>
      <c r="F1342" s="534"/>
    </row>
    <row r="1343" spans="1:6" ht="75" outlineLevel="1" x14ac:dyDescent="0.25">
      <c r="A1343" s="129">
        <v>1</v>
      </c>
      <c r="B1343" s="133" t="s">
        <v>45</v>
      </c>
      <c r="C1343" s="113">
        <v>1000</v>
      </c>
      <c r="D1343" s="115">
        <v>21403.790700999998</v>
      </c>
      <c r="E1343" s="115">
        <v>12735.6</v>
      </c>
      <c r="F1343" s="127">
        <f>E1343*D1343/C1343</f>
        <v>272590.11685165559</v>
      </c>
    </row>
    <row r="1344" spans="1:6" ht="22.5" customHeight="1" outlineLevel="1" x14ac:dyDescent="0.25">
      <c r="A1344" s="129">
        <v>2</v>
      </c>
      <c r="B1344" s="133" t="s">
        <v>75</v>
      </c>
      <c r="C1344" s="113">
        <v>1000</v>
      </c>
      <c r="D1344" s="115">
        <v>21403.790700999998</v>
      </c>
      <c r="E1344" s="115">
        <v>12038.4</v>
      </c>
      <c r="F1344" s="127">
        <f>E1344*D1344/C1344</f>
        <v>257667.39397491838</v>
      </c>
    </row>
    <row r="1345" spans="1:6" ht="45" outlineLevel="1" x14ac:dyDescent="0.25">
      <c r="A1345" s="125"/>
      <c r="B1345" s="135" t="s">
        <v>23</v>
      </c>
      <c r="C1345" s="122"/>
      <c r="D1345" s="115"/>
      <c r="E1345" s="127"/>
      <c r="F1345" s="127"/>
    </row>
    <row r="1346" spans="1:6" outlineLevel="1" x14ac:dyDescent="0.25">
      <c r="A1346" s="125">
        <v>3</v>
      </c>
      <c r="B1346" s="133" t="s">
        <v>24</v>
      </c>
      <c r="C1346" s="113">
        <v>100</v>
      </c>
      <c r="D1346" s="115">
        <v>736.12622500000009</v>
      </c>
      <c r="E1346" s="115">
        <v>34694.300000000003</v>
      </c>
      <c r="F1346" s="127">
        <f>E1346*D1346/C1346</f>
        <v>255393.84088017503</v>
      </c>
    </row>
    <row r="1347" spans="1:6" outlineLevel="1" x14ac:dyDescent="0.25">
      <c r="A1347" s="125">
        <v>4</v>
      </c>
      <c r="B1347" s="133" t="s">
        <v>125</v>
      </c>
      <c r="C1347" s="113">
        <v>100</v>
      </c>
      <c r="D1347" s="115">
        <v>432.53600000000006</v>
      </c>
      <c r="E1347" s="115">
        <v>47135.9</v>
      </c>
      <c r="F1347" s="127">
        <f>E1347*D1347/C1347</f>
        <v>203879.73642400003</v>
      </c>
    </row>
    <row r="1348" spans="1:6" ht="90" outlineLevel="1" x14ac:dyDescent="0.25">
      <c r="A1348" s="125">
        <v>5</v>
      </c>
      <c r="B1348" s="133" t="s">
        <v>225</v>
      </c>
      <c r="C1348" s="131">
        <v>100</v>
      </c>
      <c r="D1348" s="115">
        <v>40760.528174999999</v>
      </c>
      <c r="E1348" s="136">
        <v>30376.9</v>
      </c>
      <c r="F1348" s="127">
        <f>E1348*D1348/C1348</f>
        <v>12381784.883191576</v>
      </c>
    </row>
    <row r="1349" spans="1:6" ht="120.75" outlineLevel="1" x14ac:dyDescent="0.25">
      <c r="A1349" s="125"/>
      <c r="B1349" s="135" t="s">
        <v>47</v>
      </c>
      <c r="C1349" s="122"/>
      <c r="D1349" s="115"/>
      <c r="E1349" s="127">
        <v>0</v>
      </c>
      <c r="F1349" s="137"/>
    </row>
    <row r="1350" spans="1:6" ht="75" outlineLevel="1" x14ac:dyDescent="0.25">
      <c r="A1350" s="125">
        <v>6</v>
      </c>
      <c r="B1350" s="135" t="s">
        <v>100</v>
      </c>
      <c r="C1350" s="113">
        <v>1</v>
      </c>
      <c r="D1350" s="115">
        <v>5794.4625000000005</v>
      </c>
      <c r="E1350" s="115">
        <v>817.55</v>
      </c>
      <c r="F1350" s="127">
        <f t="shared" ref="F1350:F1370" si="72">E1350*D1350/C1350</f>
        <v>4737262.8168750005</v>
      </c>
    </row>
    <row r="1351" spans="1:6" ht="75" outlineLevel="1" x14ac:dyDescent="0.25">
      <c r="A1351" s="125">
        <v>7</v>
      </c>
      <c r="B1351" s="133" t="s">
        <v>201</v>
      </c>
      <c r="C1351" s="113">
        <v>1</v>
      </c>
      <c r="D1351" s="115">
        <v>3263.4326499999997</v>
      </c>
      <c r="E1351" s="115">
        <v>670.5</v>
      </c>
      <c r="F1351" s="127">
        <f t="shared" si="72"/>
        <v>2188131.591825</v>
      </c>
    </row>
    <row r="1352" spans="1:6" ht="30" outlineLevel="1" x14ac:dyDescent="0.25">
      <c r="A1352" s="125">
        <v>8</v>
      </c>
      <c r="B1352" s="133" t="s">
        <v>52</v>
      </c>
      <c r="C1352" s="120">
        <v>100</v>
      </c>
      <c r="D1352" s="115">
        <v>3489.5021999999999</v>
      </c>
      <c r="E1352" s="127">
        <v>1645.1</v>
      </c>
      <c r="F1352" s="127">
        <f t="shared" si="72"/>
        <v>57405.800692199999</v>
      </c>
    </row>
    <row r="1353" spans="1:6" ht="75" outlineLevel="1" x14ac:dyDescent="0.25">
      <c r="A1353" s="125">
        <v>9</v>
      </c>
      <c r="B1353" s="133" t="s">
        <v>226</v>
      </c>
      <c r="C1353" s="120">
        <v>100</v>
      </c>
      <c r="D1353" s="115">
        <v>648.78250000000003</v>
      </c>
      <c r="E1353" s="115">
        <v>13179.6</v>
      </c>
      <c r="F1353" s="127">
        <f t="shared" si="72"/>
        <v>85506.938370000018</v>
      </c>
    </row>
    <row r="1354" spans="1:6" ht="30" outlineLevel="1" x14ac:dyDescent="0.25">
      <c r="A1354" s="125">
        <v>10</v>
      </c>
      <c r="B1354" s="135" t="s">
        <v>121</v>
      </c>
      <c r="C1354" s="120">
        <v>1</v>
      </c>
      <c r="D1354" s="115">
        <v>648.78250000000003</v>
      </c>
      <c r="E1354" s="115">
        <v>11</v>
      </c>
      <c r="F1354" s="127">
        <f t="shared" si="72"/>
        <v>7136.6075000000001</v>
      </c>
    </row>
    <row r="1355" spans="1:6" ht="45" outlineLevel="1" x14ac:dyDescent="0.25">
      <c r="A1355" s="125">
        <v>11</v>
      </c>
      <c r="B1355" s="135" t="s">
        <v>129</v>
      </c>
      <c r="C1355" s="120">
        <v>1</v>
      </c>
      <c r="D1355" s="115">
        <v>46</v>
      </c>
      <c r="E1355" s="127">
        <v>514.9</v>
      </c>
      <c r="F1355" s="127">
        <f t="shared" si="72"/>
        <v>23685.399999999998</v>
      </c>
    </row>
    <row r="1356" spans="1:6" outlineLevel="1" x14ac:dyDescent="0.25">
      <c r="A1356" s="125">
        <v>12</v>
      </c>
      <c r="B1356" s="135" t="s">
        <v>571</v>
      </c>
      <c r="C1356" s="128">
        <v>1</v>
      </c>
      <c r="D1356" s="115">
        <v>4</v>
      </c>
      <c r="E1356" s="127">
        <v>849.7</v>
      </c>
      <c r="F1356" s="127">
        <f t="shared" si="72"/>
        <v>3398.8</v>
      </c>
    </row>
    <row r="1357" spans="1:6" ht="21.75" customHeight="1" outlineLevel="1" x14ac:dyDescent="0.25">
      <c r="A1357" s="125">
        <v>13</v>
      </c>
      <c r="B1357" s="135" t="s">
        <v>131</v>
      </c>
      <c r="C1357" s="128">
        <v>1</v>
      </c>
      <c r="D1357" s="115">
        <v>4</v>
      </c>
      <c r="E1357" s="127">
        <v>1159.6500000000001</v>
      </c>
      <c r="F1357" s="127">
        <f t="shared" si="72"/>
        <v>4638.6000000000004</v>
      </c>
    </row>
    <row r="1358" spans="1:6" ht="180" outlineLevel="1" x14ac:dyDescent="0.25">
      <c r="A1358" s="125">
        <v>14</v>
      </c>
      <c r="B1358" s="133" t="s">
        <v>227</v>
      </c>
      <c r="C1358" s="120">
        <v>1</v>
      </c>
      <c r="D1358" s="115">
        <v>271.92</v>
      </c>
      <c r="E1358" s="115">
        <v>2180.6999999999998</v>
      </c>
      <c r="F1358" s="127">
        <f t="shared" si="72"/>
        <v>592975.94400000002</v>
      </c>
    </row>
    <row r="1359" spans="1:6" ht="45" outlineLevel="1" x14ac:dyDescent="0.25">
      <c r="A1359" s="125">
        <v>15</v>
      </c>
      <c r="B1359" s="133" t="s">
        <v>228</v>
      </c>
      <c r="C1359" s="120">
        <v>1</v>
      </c>
      <c r="D1359" s="115">
        <v>176</v>
      </c>
      <c r="E1359" s="115">
        <v>2767</v>
      </c>
      <c r="F1359" s="127">
        <f t="shared" si="72"/>
        <v>486992</v>
      </c>
    </row>
    <row r="1360" spans="1:6" ht="22.5" customHeight="1" outlineLevel="1" x14ac:dyDescent="0.25">
      <c r="A1360" s="125">
        <v>16</v>
      </c>
      <c r="B1360" s="135" t="s">
        <v>229</v>
      </c>
      <c r="C1360" s="120">
        <v>100</v>
      </c>
      <c r="D1360" s="115">
        <v>2528.6009999999997</v>
      </c>
      <c r="E1360" s="127">
        <v>1212.3499999999999</v>
      </c>
      <c r="F1360" s="127">
        <f t="shared" si="72"/>
        <v>30655.494223499991</v>
      </c>
    </row>
    <row r="1361" spans="1:6" ht="45" outlineLevel="1" x14ac:dyDescent="0.25">
      <c r="A1361" s="125">
        <v>17</v>
      </c>
      <c r="B1361" s="135" t="s">
        <v>133</v>
      </c>
      <c r="C1361" s="120">
        <v>100</v>
      </c>
      <c r="D1361" s="115">
        <v>2362.2509999999997</v>
      </c>
      <c r="E1361" s="127">
        <v>7379.1</v>
      </c>
      <c r="F1361" s="127">
        <f t="shared" si="72"/>
        <v>174312.863541</v>
      </c>
    </row>
    <row r="1362" spans="1:6" ht="36" customHeight="1" outlineLevel="1" x14ac:dyDescent="0.25">
      <c r="A1362" s="125">
        <v>18</v>
      </c>
      <c r="B1362" s="135" t="s">
        <v>134</v>
      </c>
      <c r="C1362" s="120">
        <v>100</v>
      </c>
      <c r="D1362" s="115">
        <v>168</v>
      </c>
      <c r="E1362" s="127">
        <v>3052.4</v>
      </c>
      <c r="F1362" s="127">
        <f t="shared" si="72"/>
        <v>5128.0320000000002</v>
      </c>
    </row>
    <row r="1363" spans="1:6" ht="45" outlineLevel="1" x14ac:dyDescent="0.25">
      <c r="A1363" s="125">
        <v>19</v>
      </c>
      <c r="B1363" s="133" t="s">
        <v>230</v>
      </c>
      <c r="C1363" s="128">
        <v>1</v>
      </c>
      <c r="D1363" s="115">
        <v>28</v>
      </c>
      <c r="E1363" s="127">
        <v>680.75</v>
      </c>
      <c r="F1363" s="127">
        <f t="shared" si="72"/>
        <v>19061</v>
      </c>
    </row>
    <row r="1364" spans="1:6" outlineLevel="1" x14ac:dyDescent="0.25">
      <c r="A1364" s="125">
        <v>21</v>
      </c>
      <c r="B1364" s="133" t="s">
        <v>231</v>
      </c>
      <c r="C1364" s="126">
        <v>1</v>
      </c>
      <c r="D1364" s="115">
        <v>184</v>
      </c>
      <c r="E1364" s="127">
        <v>603</v>
      </c>
      <c r="F1364" s="127">
        <f t="shared" si="72"/>
        <v>110952</v>
      </c>
    </row>
    <row r="1365" spans="1:6" ht="75" outlineLevel="1" x14ac:dyDescent="0.25">
      <c r="A1365" s="125">
        <v>22</v>
      </c>
      <c r="B1365" s="133" t="s">
        <v>232</v>
      </c>
      <c r="C1365" s="120">
        <v>1</v>
      </c>
      <c r="D1365" s="115">
        <v>1417.6664000000001</v>
      </c>
      <c r="E1365" s="127">
        <v>205.4</v>
      </c>
      <c r="F1365" s="127">
        <f t="shared" si="72"/>
        <v>291188.67856000003</v>
      </c>
    </row>
    <row r="1366" spans="1:6" ht="32.25" customHeight="1" outlineLevel="1" x14ac:dyDescent="0.25">
      <c r="A1366" s="125">
        <v>23</v>
      </c>
      <c r="B1366" s="133" t="s">
        <v>233</v>
      </c>
      <c r="C1366" s="113">
        <v>100</v>
      </c>
      <c r="D1366" s="115">
        <v>272.49</v>
      </c>
      <c r="E1366" s="127">
        <v>18017.599999999999</v>
      </c>
      <c r="F1366" s="127">
        <f t="shared" si="72"/>
        <v>49096.158239999997</v>
      </c>
    </row>
    <row r="1367" spans="1:6" ht="90" outlineLevel="1" x14ac:dyDescent="0.25">
      <c r="A1367" s="125">
        <v>24</v>
      </c>
      <c r="B1367" s="133" t="s">
        <v>234</v>
      </c>
      <c r="C1367" s="120">
        <v>100</v>
      </c>
      <c r="D1367" s="127">
        <v>648.78250000000003</v>
      </c>
      <c r="E1367" s="127">
        <v>29658.5</v>
      </c>
      <c r="F1367" s="127">
        <f t="shared" si="72"/>
        <v>192419.15776250002</v>
      </c>
    </row>
    <row r="1368" spans="1:6" ht="75" outlineLevel="1" x14ac:dyDescent="0.25">
      <c r="A1368" s="125">
        <v>25</v>
      </c>
      <c r="B1368" s="133" t="s">
        <v>235</v>
      </c>
      <c r="C1368" s="120">
        <v>100</v>
      </c>
      <c r="D1368" s="127">
        <v>53.42</v>
      </c>
      <c r="E1368" s="127">
        <v>19146.849999999999</v>
      </c>
      <c r="F1368" s="127">
        <f t="shared" si="72"/>
        <v>10228.24727</v>
      </c>
    </row>
    <row r="1369" spans="1:6" ht="45" outlineLevel="1" x14ac:dyDescent="0.25">
      <c r="A1369" s="125">
        <v>26</v>
      </c>
      <c r="B1369" s="133" t="s">
        <v>236</v>
      </c>
      <c r="C1369" s="139">
        <v>1</v>
      </c>
      <c r="D1369" s="127">
        <v>389.75</v>
      </c>
      <c r="E1369" s="127">
        <v>39.6</v>
      </c>
      <c r="F1369" s="127">
        <f t="shared" si="72"/>
        <v>15434.1</v>
      </c>
    </row>
    <row r="1370" spans="1:6" ht="60" outlineLevel="1" x14ac:dyDescent="0.25">
      <c r="A1370" s="125">
        <v>27</v>
      </c>
      <c r="B1370" s="138" t="s">
        <v>80</v>
      </c>
      <c r="C1370" s="139">
        <v>1</v>
      </c>
      <c r="D1370" s="115">
        <v>176.57</v>
      </c>
      <c r="E1370" s="115">
        <v>809.4</v>
      </c>
      <c r="F1370" s="127">
        <f t="shared" si="72"/>
        <v>142915.758</v>
      </c>
    </row>
    <row r="1371" spans="1:6" ht="45" outlineLevel="1" x14ac:dyDescent="0.25">
      <c r="A1371" s="125">
        <v>28</v>
      </c>
      <c r="B1371" s="135" t="s">
        <v>136</v>
      </c>
      <c r="C1371" s="122"/>
      <c r="D1371" s="115"/>
      <c r="E1371" s="127"/>
      <c r="F1371" s="137"/>
    </row>
    <row r="1372" spans="1:6" outlineLevel="1" x14ac:dyDescent="0.25">
      <c r="A1372" s="125"/>
      <c r="B1372" s="135" t="s">
        <v>176</v>
      </c>
      <c r="C1372" s="139">
        <v>1</v>
      </c>
      <c r="D1372" s="115">
        <v>100</v>
      </c>
      <c r="E1372" s="127">
        <v>112.25</v>
      </c>
      <c r="F1372" s="127">
        <f>E1372*D1372/C1372</f>
        <v>11225</v>
      </c>
    </row>
    <row r="1373" spans="1:6" outlineLevel="1" x14ac:dyDescent="0.25">
      <c r="A1373" s="125"/>
      <c r="B1373" s="135" t="s">
        <v>177</v>
      </c>
      <c r="C1373" s="139">
        <v>1</v>
      </c>
      <c r="D1373" s="115">
        <v>100</v>
      </c>
      <c r="E1373" s="127">
        <v>133.6</v>
      </c>
      <c r="F1373" s="127">
        <f>E1373*D1373/C1373</f>
        <v>13360</v>
      </c>
    </row>
    <row r="1374" spans="1:6" ht="75" outlineLevel="1" x14ac:dyDescent="0.25">
      <c r="A1374" s="125">
        <v>29</v>
      </c>
      <c r="B1374" s="135" t="s">
        <v>141</v>
      </c>
      <c r="C1374" s="122"/>
      <c r="D1374" s="115"/>
      <c r="E1374" s="127"/>
      <c r="F1374" s="137"/>
    </row>
    <row r="1375" spans="1:6" outlineLevel="1" x14ac:dyDescent="0.25">
      <c r="A1375" s="125"/>
      <c r="B1375" s="135" t="s">
        <v>180</v>
      </c>
      <c r="C1375" s="139">
        <v>1</v>
      </c>
      <c r="D1375" s="115">
        <v>250</v>
      </c>
      <c r="E1375" s="127">
        <v>35.700000000000003</v>
      </c>
      <c r="F1375" s="127">
        <f>E1375*D1375/C1375</f>
        <v>8925</v>
      </c>
    </row>
    <row r="1376" spans="1:6" outlineLevel="1" x14ac:dyDescent="0.25">
      <c r="A1376" s="125"/>
      <c r="B1376" s="135" t="s">
        <v>181</v>
      </c>
      <c r="C1376" s="139">
        <v>1</v>
      </c>
      <c r="D1376" s="115">
        <v>200</v>
      </c>
      <c r="E1376" s="127">
        <v>56.3</v>
      </c>
      <c r="F1376" s="127">
        <f>E1376*D1376/C1376</f>
        <v>11260</v>
      </c>
    </row>
    <row r="1377" spans="1:6" ht="60" outlineLevel="1" x14ac:dyDescent="0.25">
      <c r="A1377" s="125">
        <v>30</v>
      </c>
      <c r="B1377" s="135" t="s">
        <v>145</v>
      </c>
      <c r="C1377" s="122"/>
      <c r="D1377" s="115"/>
      <c r="E1377" s="127"/>
      <c r="F1377" s="137"/>
    </row>
    <row r="1378" spans="1:6" outlineLevel="1" x14ac:dyDescent="0.25">
      <c r="A1378" s="125"/>
      <c r="B1378" s="135" t="s">
        <v>184</v>
      </c>
      <c r="C1378" s="132">
        <v>1</v>
      </c>
      <c r="D1378" s="115">
        <v>3</v>
      </c>
      <c r="E1378" s="127">
        <v>522.75</v>
      </c>
      <c r="F1378" s="127">
        <f t="shared" ref="F1378:F1385" si="73">E1378*D1378/C1378</f>
        <v>1568.25</v>
      </c>
    </row>
    <row r="1379" spans="1:6" ht="21" customHeight="1" outlineLevel="1" x14ac:dyDescent="0.25">
      <c r="A1379" s="125">
        <v>31</v>
      </c>
      <c r="B1379" s="135" t="s">
        <v>237</v>
      </c>
      <c r="C1379" s="132">
        <v>1</v>
      </c>
      <c r="D1379" s="115">
        <v>20</v>
      </c>
      <c r="E1379" s="127">
        <v>102.7</v>
      </c>
      <c r="F1379" s="127">
        <f t="shared" si="73"/>
        <v>2054</v>
      </c>
    </row>
    <row r="1380" spans="1:6" ht="30" outlineLevel="1" x14ac:dyDescent="0.25">
      <c r="A1380" s="125">
        <v>32</v>
      </c>
      <c r="B1380" s="135" t="s">
        <v>238</v>
      </c>
      <c r="C1380" s="132">
        <v>1</v>
      </c>
      <c r="D1380" s="115">
        <v>5</v>
      </c>
      <c r="E1380" s="127">
        <v>178.75</v>
      </c>
      <c r="F1380" s="127">
        <f t="shared" si="73"/>
        <v>893.75</v>
      </c>
    </row>
    <row r="1381" spans="1:6" ht="24" customHeight="1" outlineLevel="1" x14ac:dyDescent="0.25">
      <c r="A1381" s="125">
        <v>33</v>
      </c>
      <c r="B1381" s="135" t="s">
        <v>150</v>
      </c>
      <c r="C1381" s="132">
        <v>1</v>
      </c>
      <c r="D1381" s="115">
        <v>5</v>
      </c>
      <c r="E1381" s="127">
        <v>96.3</v>
      </c>
      <c r="F1381" s="127">
        <f t="shared" si="73"/>
        <v>481.5</v>
      </c>
    </row>
    <row r="1382" spans="1:6" ht="90.75" outlineLevel="1" x14ac:dyDescent="0.25">
      <c r="A1382" s="125">
        <v>34</v>
      </c>
      <c r="B1382" s="135" t="s">
        <v>239</v>
      </c>
      <c r="C1382" s="128">
        <v>1</v>
      </c>
      <c r="D1382" s="115">
        <v>1</v>
      </c>
      <c r="E1382" s="127">
        <v>5616.25</v>
      </c>
      <c r="F1382" s="127">
        <f t="shared" si="73"/>
        <v>5616.25</v>
      </c>
    </row>
    <row r="1383" spans="1:6" ht="90.75" outlineLevel="1" x14ac:dyDescent="0.25">
      <c r="A1383" s="125">
        <v>35</v>
      </c>
      <c r="B1383" s="135" t="s">
        <v>240</v>
      </c>
      <c r="C1383" s="128">
        <v>1</v>
      </c>
      <c r="D1383" s="115">
        <v>2</v>
      </c>
      <c r="E1383" s="127">
        <v>1453.75</v>
      </c>
      <c r="F1383" s="127">
        <f t="shared" si="73"/>
        <v>2907.5</v>
      </c>
    </row>
    <row r="1384" spans="1:6" ht="75" outlineLevel="1" x14ac:dyDescent="0.25">
      <c r="A1384" s="125">
        <v>36</v>
      </c>
      <c r="B1384" s="133" t="s">
        <v>298</v>
      </c>
      <c r="C1384" s="132">
        <v>1</v>
      </c>
      <c r="D1384" s="115">
        <v>4</v>
      </c>
      <c r="E1384" s="127">
        <v>11398.45</v>
      </c>
      <c r="F1384" s="127">
        <f t="shared" si="73"/>
        <v>45593.8</v>
      </c>
    </row>
    <row r="1385" spans="1:6" ht="60" outlineLevel="1" x14ac:dyDescent="0.25">
      <c r="A1385" s="125">
        <v>37</v>
      </c>
      <c r="B1385" s="135" t="s">
        <v>157</v>
      </c>
      <c r="C1385" s="128">
        <v>1</v>
      </c>
      <c r="D1385" s="115">
        <v>5</v>
      </c>
      <c r="E1385" s="127">
        <v>1995.3</v>
      </c>
      <c r="F1385" s="127">
        <f t="shared" si="73"/>
        <v>9976.5</v>
      </c>
    </row>
    <row r="1386" spans="1:6" outlineLevel="1" x14ac:dyDescent="0.25">
      <c r="A1386" s="125"/>
      <c r="B1386" s="218" t="s">
        <v>273</v>
      </c>
      <c r="C1386" s="157"/>
      <c r="D1386" s="115"/>
      <c r="E1386" s="127"/>
      <c r="F1386" s="137"/>
    </row>
    <row r="1387" spans="1:6" ht="30" outlineLevel="1" x14ac:dyDescent="0.25">
      <c r="A1387" s="150">
        <v>38</v>
      </c>
      <c r="B1387" s="151" t="s">
        <v>65</v>
      </c>
      <c r="C1387" s="113">
        <v>1000</v>
      </c>
      <c r="D1387" s="115">
        <v>14034.924999999999</v>
      </c>
      <c r="E1387" s="127">
        <v>10533.6</v>
      </c>
      <c r="F1387" s="127">
        <f>E1387*D1387/C1387</f>
        <v>147838.28597999999</v>
      </c>
    </row>
    <row r="1388" spans="1:6" ht="60" outlineLevel="1" x14ac:dyDescent="0.25">
      <c r="A1388" s="150">
        <v>39</v>
      </c>
      <c r="B1388" s="151" t="s">
        <v>274</v>
      </c>
      <c r="C1388" s="113">
        <v>1000</v>
      </c>
      <c r="D1388" s="115">
        <v>14034.924999999999</v>
      </c>
      <c r="E1388" s="127">
        <v>1437.5</v>
      </c>
      <c r="F1388" s="127">
        <f>E1388*D1388/C1388</f>
        <v>20175.204687500001</v>
      </c>
    </row>
    <row r="1389" spans="1:6" ht="60" outlineLevel="1" x14ac:dyDescent="0.25">
      <c r="A1389" s="150">
        <v>40</v>
      </c>
      <c r="B1389" s="151" t="s">
        <v>275</v>
      </c>
      <c r="C1389" s="113">
        <v>1000</v>
      </c>
      <c r="D1389" s="115">
        <v>4319.8550000000005</v>
      </c>
      <c r="E1389" s="127">
        <v>5033.7</v>
      </c>
      <c r="F1389" s="127">
        <f>E1389*D1389/C1389</f>
        <v>21744.854113500001</v>
      </c>
    </row>
    <row r="1390" spans="1:6" outlineLevel="1" x14ac:dyDescent="0.25">
      <c r="A1390" s="162"/>
      <c r="B1390" s="151" t="s">
        <v>276</v>
      </c>
      <c r="C1390" s="158"/>
      <c r="D1390" s="115"/>
      <c r="E1390" s="115"/>
      <c r="F1390" s="115"/>
    </row>
    <row r="1391" spans="1:6" outlineLevel="1" x14ac:dyDescent="0.25">
      <c r="A1391" s="150">
        <v>41</v>
      </c>
      <c r="B1391" s="151" t="s">
        <v>277</v>
      </c>
      <c r="C1391" s="113">
        <v>100</v>
      </c>
      <c r="D1391" s="114">
        <v>700</v>
      </c>
      <c r="E1391" s="115">
        <v>6512.05</v>
      </c>
      <c r="F1391" s="127">
        <f>E1391*D1391/C1391</f>
        <v>45584.35</v>
      </c>
    </row>
    <row r="1392" spans="1:6" outlineLevel="1" x14ac:dyDescent="0.25">
      <c r="A1392" s="150">
        <v>42</v>
      </c>
      <c r="B1392" s="151" t="s">
        <v>278</v>
      </c>
      <c r="C1392" s="113">
        <v>100</v>
      </c>
      <c r="D1392" s="114">
        <v>1168</v>
      </c>
      <c r="E1392" s="115">
        <v>7363.45</v>
      </c>
      <c r="F1392" s="127">
        <f>E1392*D1392/C1392</f>
        <v>86005.09599999999</v>
      </c>
    </row>
    <row r="1393" spans="1:6" ht="30" outlineLevel="1" x14ac:dyDescent="0.25">
      <c r="A1393" s="150"/>
      <c r="B1393" s="151" t="s">
        <v>279</v>
      </c>
      <c r="C1393" s="158"/>
      <c r="D1393" s="115"/>
      <c r="E1393" s="114"/>
      <c r="F1393" s="114"/>
    </row>
    <row r="1394" spans="1:6" outlineLevel="1" x14ac:dyDescent="0.25">
      <c r="A1394" s="150">
        <v>43</v>
      </c>
      <c r="B1394" s="151" t="s">
        <v>280</v>
      </c>
      <c r="C1394" s="113">
        <v>100</v>
      </c>
      <c r="D1394" s="115">
        <v>239.75</v>
      </c>
      <c r="E1394" s="114">
        <v>49016.9</v>
      </c>
      <c r="F1394" s="127">
        <f>E1394*D1394/C1394</f>
        <v>117518.01775</v>
      </c>
    </row>
    <row r="1395" spans="1:6" outlineLevel="1" x14ac:dyDescent="0.25">
      <c r="A1395" s="150">
        <v>44</v>
      </c>
      <c r="B1395" s="151" t="s">
        <v>281</v>
      </c>
      <c r="C1395" s="113">
        <v>100</v>
      </c>
      <c r="D1395" s="115">
        <v>400.04</v>
      </c>
      <c r="E1395" s="114">
        <v>51301.8</v>
      </c>
      <c r="F1395" s="127">
        <f>E1395*D1395/C1395</f>
        <v>205227.72072000001</v>
      </c>
    </row>
    <row r="1396" spans="1:6" ht="30" outlineLevel="1" x14ac:dyDescent="0.25">
      <c r="A1396" s="150">
        <v>45</v>
      </c>
      <c r="B1396" s="151" t="s">
        <v>282</v>
      </c>
      <c r="C1396" s="139">
        <v>1</v>
      </c>
      <c r="D1396" s="115">
        <v>186.8</v>
      </c>
      <c r="E1396" s="115">
        <v>17.3</v>
      </c>
      <c r="F1396" s="127">
        <f>E1396*D1396/C1396</f>
        <v>3231.6400000000003</v>
      </c>
    </row>
    <row r="1397" spans="1:6" ht="30" outlineLevel="1" x14ac:dyDescent="0.25">
      <c r="A1397" s="150">
        <v>46</v>
      </c>
      <c r="B1397" s="151" t="s">
        <v>283</v>
      </c>
      <c r="C1397" s="120">
        <v>100</v>
      </c>
      <c r="D1397" s="115">
        <v>93.4</v>
      </c>
      <c r="E1397" s="127">
        <v>1539.8</v>
      </c>
      <c r="F1397" s="127">
        <f>E1397*D1397/C1397</f>
        <v>1438.1732000000002</v>
      </c>
    </row>
    <row r="1398" spans="1:6" outlineLevel="1" x14ac:dyDescent="0.25">
      <c r="A1398" s="125"/>
      <c r="B1398" s="218" t="s">
        <v>242</v>
      </c>
      <c r="C1398" s="154"/>
      <c r="D1398" s="115"/>
      <c r="E1398" s="127"/>
      <c r="F1398" s="127"/>
    </row>
    <row r="1399" spans="1:6" ht="30" outlineLevel="1" x14ac:dyDescent="0.25">
      <c r="A1399" s="125">
        <v>47</v>
      </c>
      <c r="B1399" s="133" t="s">
        <v>85</v>
      </c>
      <c r="C1399" s="113">
        <v>1000</v>
      </c>
      <c r="D1399" s="115">
        <v>6208.72</v>
      </c>
      <c r="E1399" s="115">
        <v>4640.7</v>
      </c>
      <c r="F1399" s="127">
        <f t="shared" ref="F1399:F1409" si="74">E1399*D1399/C1399</f>
        <v>28812.806904000001</v>
      </c>
    </row>
    <row r="1400" spans="1:6" ht="45" outlineLevel="1" x14ac:dyDescent="0.25">
      <c r="A1400" s="125">
        <v>48</v>
      </c>
      <c r="B1400" s="119" t="s">
        <v>243</v>
      </c>
      <c r="C1400" s="113">
        <v>100</v>
      </c>
      <c r="D1400" s="115">
        <v>6208.72</v>
      </c>
      <c r="E1400" s="127">
        <v>6849</v>
      </c>
      <c r="F1400" s="127">
        <f t="shared" si="74"/>
        <v>425235.2328</v>
      </c>
    </row>
    <row r="1401" spans="1:6" ht="22.5" customHeight="1" outlineLevel="1" x14ac:dyDescent="0.25">
      <c r="A1401" s="125">
        <v>49</v>
      </c>
      <c r="B1401" s="119" t="s">
        <v>87</v>
      </c>
      <c r="C1401" s="120">
        <v>100</v>
      </c>
      <c r="D1401" s="115">
        <v>3457.1106</v>
      </c>
      <c r="E1401" s="127">
        <v>2265.1</v>
      </c>
      <c r="F1401" s="127">
        <f t="shared" si="74"/>
        <v>78307.012200599987</v>
      </c>
    </row>
    <row r="1402" spans="1:6" ht="22.5" customHeight="1" outlineLevel="1" x14ac:dyDescent="0.25">
      <c r="A1402" s="125">
        <v>50</v>
      </c>
      <c r="B1402" s="119" t="s">
        <v>88</v>
      </c>
      <c r="C1402" s="120">
        <v>100</v>
      </c>
      <c r="D1402" s="115">
        <v>524.66</v>
      </c>
      <c r="E1402" s="127">
        <v>1660.5</v>
      </c>
      <c r="F1402" s="127">
        <f t="shared" si="74"/>
        <v>8711.9792999999991</v>
      </c>
    </row>
    <row r="1403" spans="1:6" ht="30" outlineLevel="1" x14ac:dyDescent="0.25">
      <c r="A1403" s="125">
        <v>51</v>
      </c>
      <c r="B1403" s="133" t="s">
        <v>244</v>
      </c>
      <c r="C1403" s="113">
        <v>100</v>
      </c>
      <c r="D1403" s="115">
        <v>1140.8899999999999</v>
      </c>
      <c r="E1403" s="127">
        <v>18564.099999999999</v>
      </c>
      <c r="F1403" s="127">
        <f t="shared" si="74"/>
        <v>211795.96048999994</v>
      </c>
    </row>
    <row r="1404" spans="1:6" ht="30" outlineLevel="1" x14ac:dyDescent="0.25">
      <c r="A1404" s="125">
        <v>52</v>
      </c>
      <c r="B1404" s="133" t="s">
        <v>245</v>
      </c>
      <c r="C1404" s="113">
        <v>100</v>
      </c>
      <c r="D1404" s="115">
        <v>1140.8899999999999</v>
      </c>
      <c r="E1404" s="127">
        <v>18564.099999999999</v>
      </c>
      <c r="F1404" s="127">
        <f t="shared" si="74"/>
        <v>211795.96048999994</v>
      </c>
    </row>
    <row r="1405" spans="1:6" ht="30" outlineLevel="1" x14ac:dyDescent="0.25">
      <c r="A1405" s="125">
        <v>53</v>
      </c>
      <c r="B1405" s="133" t="s">
        <v>246</v>
      </c>
      <c r="C1405" s="113">
        <v>100</v>
      </c>
      <c r="D1405" s="115">
        <v>173.14</v>
      </c>
      <c r="E1405" s="127">
        <v>18017.599999999999</v>
      </c>
      <c r="F1405" s="127">
        <f t="shared" si="74"/>
        <v>31195.672639999993</v>
      </c>
    </row>
    <row r="1406" spans="1:6" ht="30" outlineLevel="1" x14ac:dyDescent="0.25">
      <c r="A1406" s="125">
        <v>54</v>
      </c>
      <c r="B1406" s="133" t="s">
        <v>233</v>
      </c>
      <c r="C1406" s="113">
        <v>100</v>
      </c>
      <c r="D1406" s="115">
        <v>173.14</v>
      </c>
      <c r="E1406" s="127">
        <v>18017.599999999999</v>
      </c>
      <c r="F1406" s="127">
        <f t="shared" si="74"/>
        <v>31195.672639999993</v>
      </c>
    </row>
    <row r="1407" spans="1:6" ht="30" outlineLevel="1" x14ac:dyDescent="0.25">
      <c r="A1407" s="125">
        <v>55</v>
      </c>
      <c r="B1407" s="133" t="s">
        <v>247</v>
      </c>
      <c r="C1407" s="113">
        <v>100</v>
      </c>
      <c r="D1407" s="115">
        <v>3457.25</v>
      </c>
      <c r="E1407" s="127">
        <v>11511</v>
      </c>
      <c r="F1407" s="127">
        <f t="shared" si="74"/>
        <v>397964.04749999999</v>
      </c>
    </row>
    <row r="1408" spans="1:6" ht="30" outlineLevel="1" x14ac:dyDescent="0.25">
      <c r="A1408" s="125">
        <v>56</v>
      </c>
      <c r="B1408" s="133" t="s">
        <v>248</v>
      </c>
      <c r="C1408" s="113">
        <v>100</v>
      </c>
      <c r="D1408" s="115">
        <v>173.14</v>
      </c>
      <c r="E1408" s="127">
        <v>10570.5</v>
      </c>
      <c r="F1408" s="127">
        <f t="shared" si="74"/>
        <v>18301.7637</v>
      </c>
    </row>
    <row r="1409" spans="1:6" ht="60" outlineLevel="1" x14ac:dyDescent="0.25">
      <c r="A1409" s="125">
        <v>57</v>
      </c>
      <c r="B1409" s="119" t="s">
        <v>249</v>
      </c>
      <c r="C1409" s="113">
        <v>100</v>
      </c>
      <c r="D1409" s="115">
        <v>21997.199982000006</v>
      </c>
      <c r="E1409" s="127">
        <v>14042.6</v>
      </c>
      <c r="F1409" s="127">
        <f t="shared" si="74"/>
        <v>3088978.8046723329</v>
      </c>
    </row>
    <row r="1410" spans="1:6" outlineLevel="1" x14ac:dyDescent="0.25">
      <c r="A1410" s="506" t="s">
        <v>43</v>
      </c>
      <c r="B1410" s="506"/>
      <c r="C1410" s="506"/>
      <c r="D1410" s="506"/>
      <c r="E1410" s="506"/>
      <c r="F1410" s="72">
        <f>SUM(F1343:F1409)</f>
        <v>27894761.765969474</v>
      </c>
    </row>
    <row r="1411" spans="1:6" outlineLevel="1" x14ac:dyDescent="0.25">
      <c r="A1411" s="534" t="s">
        <v>293</v>
      </c>
      <c r="B1411" s="534"/>
      <c r="C1411" s="534"/>
      <c r="D1411" s="534"/>
      <c r="E1411" s="534"/>
      <c r="F1411" s="534"/>
    </row>
    <row r="1412" spans="1:6" ht="75.75" outlineLevel="1" x14ac:dyDescent="0.25">
      <c r="A1412" s="129">
        <v>1</v>
      </c>
      <c r="B1412" s="135" t="s">
        <v>285</v>
      </c>
      <c r="C1412" s="113">
        <v>1000</v>
      </c>
      <c r="D1412" s="115">
        <v>11890.325300000002</v>
      </c>
      <c r="E1412" s="115">
        <v>15824.15</v>
      </c>
      <c r="F1412" s="127">
        <f>E1412*D1412/C1412</f>
        <v>188154.29109599505</v>
      </c>
    </row>
    <row r="1413" spans="1:6" ht="45" outlineLevel="1" x14ac:dyDescent="0.25">
      <c r="A1413" s="546">
        <v>2</v>
      </c>
      <c r="B1413" s="112" t="s">
        <v>124</v>
      </c>
      <c r="C1413" s="111"/>
      <c r="D1413" s="115"/>
      <c r="E1413" s="115">
        <v>0</v>
      </c>
      <c r="F1413" s="116"/>
    </row>
    <row r="1414" spans="1:6" outlineLevel="1" x14ac:dyDescent="0.25">
      <c r="A1414" s="546"/>
      <c r="B1414" s="112" t="s">
        <v>24</v>
      </c>
      <c r="C1414" s="113">
        <v>100</v>
      </c>
      <c r="D1414" s="115">
        <v>1730.8731</v>
      </c>
      <c r="E1414" s="115">
        <v>34694.300000000003</v>
      </c>
      <c r="F1414" s="127">
        <f>E1414*D1414/C1414</f>
        <v>600514.30593330006</v>
      </c>
    </row>
    <row r="1415" spans="1:6" outlineLevel="1" x14ac:dyDescent="0.25">
      <c r="A1415" s="546"/>
      <c r="B1415" s="112" t="s">
        <v>125</v>
      </c>
      <c r="C1415" s="113">
        <v>100</v>
      </c>
      <c r="D1415" s="115">
        <v>180.36562499999994</v>
      </c>
      <c r="E1415" s="115">
        <v>47135.9</v>
      </c>
      <c r="F1415" s="127">
        <f>E1415*D1415/C1415</f>
        <v>85016.960634374977</v>
      </c>
    </row>
    <row r="1416" spans="1:6" ht="30" outlineLevel="1" x14ac:dyDescent="0.25">
      <c r="A1416" s="125">
        <v>3</v>
      </c>
      <c r="B1416" s="135" t="s">
        <v>79</v>
      </c>
      <c r="C1416" s="113">
        <v>100</v>
      </c>
      <c r="D1416" s="115">
        <v>2798.8875000000007</v>
      </c>
      <c r="E1416" s="115">
        <v>35727</v>
      </c>
      <c r="F1416" s="127">
        <f>E1416*D1416/C1416</f>
        <v>999958.53712500026</v>
      </c>
    </row>
    <row r="1417" spans="1:6" ht="120" outlineLevel="1" x14ac:dyDescent="0.25">
      <c r="A1417" s="125">
        <v>4</v>
      </c>
      <c r="B1417" s="135" t="s">
        <v>99</v>
      </c>
      <c r="C1417" s="122"/>
      <c r="D1417" s="115"/>
      <c r="E1417" s="115"/>
      <c r="F1417" s="121"/>
    </row>
    <row r="1418" spans="1:6" ht="75" outlineLevel="1" x14ac:dyDescent="0.25">
      <c r="A1418" s="147" t="s">
        <v>48</v>
      </c>
      <c r="B1418" s="135" t="s">
        <v>100</v>
      </c>
      <c r="C1418" s="113">
        <v>1</v>
      </c>
      <c r="D1418" s="115">
        <v>2314.125</v>
      </c>
      <c r="E1418" s="115">
        <v>817.55</v>
      </c>
      <c r="F1418" s="127">
        <f>E1418*D1418/C1418</f>
        <v>1891912.8937499998</v>
      </c>
    </row>
    <row r="1419" spans="1:6" ht="75" outlineLevel="1" x14ac:dyDescent="0.25">
      <c r="A1419" s="147" t="s">
        <v>50</v>
      </c>
      <c r="B1419" s="135" t="s">
        <v>201</v>
      </c>
      <c r="C1419" s="113">
        <v>1</v>
      </c>
      <c r="D1419" s="115">
        <v>796.5</v>
      </c>
      <c r="E1419" s="115">
        <v>670.5</v>
      </c>
      <c r="F1419" s="127">
        <f>E1419*D1419/C1419</f>
        <v>534053.25</v>
      </c>
    </row>
    <row r="1420" spans="1:6" ht="90" outlineLevel="1" x14ac:dyDescent="0.25">
      <c r="A1420" s="147">
        <v>5</v>
      </c>
      <c r="B1420" s="135" t="s">
        <v>286</v>
      </c>
      <c r="C1420" s="131">
        <v>100</v>
      </c>
      <c r="D1420" s="115">
        <v>9331.875</v>
      </c>
      <c r="E1420" s="136">
        <v>30376.9</v>
      </c>
      <c r="F1420" s="127">
        <f>E1420*D1420/C1420</f>
        <v>2834734.336875</v>
      </c>
    </row>
    <row r="1421" spans="1:6" ht="30" outlineLevel="1" x14ac:dyDescent="0.25">
      <c r="A1421" s="125">
        <v>6</v>
      </c>
      <c r="B1421" s="119" t="s">
        <v>287</v>
      </c>
      <c r="C1421" s="113">
        <v>100</v>
      </c>
      <c r="D1421" s="115">
        <v>2331.2270000000012</v>
      </c>
      <c r="E1421" s="127">
        <v>6849</v>
      </c>
      <c r="F1421" s="127">
        <f>E1421*D1421/C1421</f>
        <v>159665.73723000009</v>
      </c>
    </row>
    <row r="1422" spans="1:6" ht="25.5" customHeight="1" outlineLevel="1" x14ac:dyDescent="0.25">
      <c r="A1422" s="125">
        <v>14</v>
      </c>
      <c r="B1422" s="133" t="s">
        <v>66</v>
      </c>
      <c r="C1422" s="113">
        <v>1000</v>
      </c>
      <c r="D1422" s="115">
        <v>4720</v>
      </c>
      <c r="E1422" s="114">
        <v>5266.8</v>
      </c>
      <c r="F1422" s="127">
        <f>E1422*D1422/C1422</f>
        <v>24859.295999999998</v>
      </c>
    </row>
    <row r="1423" spans="1:6" ht="75.75" outlineLevel="1" x14ac:dyDescent="0.25">
      <c r="A1423" s="125">
        <v>15</v>
      </c>
      <c r="B1423" s="133" t="s">
        <v>40</v>
      </c>
      <c r="C1423" s="126"/>
      <c r="D1423" s="115"/>
      <c r="E1423" s="114"/>
      <c r="F1423" s="114"/>
    </row>
    <row r="1424" spans="1:6" outlineLevel="1" x14ac:dyDescent="0.25">
      <c r="A1424" s="125" t="s">
        <v>67</v>
      </c>
      <c r="B1424" s="133" t="s">
        <v>68</v>
      </c>
      <c r="C1424" s="113">
        <v>100</v>
      </c>
      <c r="D1424" s="115">
        <v>1661.6381759999999</v>
      </c>
      <c r="E1424" s="114">
        <v>14042.6</v>
      </c>
      <c r="F1424" s="127">
        <f>E1424*D1424/C1424</f>
        <v>233337.202502976</v>
      </c>
    </row>
    <row r="1425" spans="1:8" outlineLevel="1" x14ac:dyDescent="0.25">
      <c r="A1425" s="125" t="s">
        <v>67</v>
      </c>
      <c r="B1425" s="133" t="s">
        <v>42</v>
      </c>
      <c r="C1425" s="113">
        <v>100</v>
      </c>
      <c r="D1425" s="115">
        <v>158.72174999999996</v>
      </c>
      <c r="E1425" s="114">
        <v>14042.6</v>
      </c>
      <c r="F1425" s="127">
        <f>E1425*D1425/C1425</f>
        <v>22288.660465499997</v>
      </c>
    </row>
    <row r="1426" spans="1:8" outlineLevel="1" x14ac:dyDescent="0.25">
      <c r="A1426" s="125" t="s">
        <v>41</v>
      </c>
      <c r="B1426" s="133" t="s">
        <v>69</v>
      </c>
      <c r="C1426" s="113">
        <v>100</v>
      </c>
      <c r="D1426" s="115">
        <v>2612.9249999999997</v>
      </c>
      <c r="E1426" s="114">
        <v>14042.6</v>
      </c>
      <c r="F1426" s="127">
        <f>E1426*D1426/C1426</f>
        <v>366922.60604999994</v>
      </c>
    </row>
    <row r="1427" spans="1:8" outlineLevel="1" x14ac:dyDescent="0.25">
      <c r="A1427" s="125" t="s">
        <v>70</v>
      </c>
      <c r="B1427" s="133" t="s">
        <v>288</v>
      </c>
      <c r="C1427" s="113">
        <v>100</v>
      </c>
      <c r="D1427" s="115">
        <v>3147.1564500000018</v>
      </c>
      <c r="E1427" s="114">
        <v>14042.6</v>
      </c>
      <c r="F1427" s="127">
        <f>E1427*D1427/C1427</f>
        <v>441942.59164770029</v>
      </c>
    </row>
    <row r="1428" spans="1:8" outlineLevel="1" x14ac:dyDescent="0.25">
      <c r="A1428" s="506" t="s">
        <v>43</v>
      </c>
      <c r="B1428" s="506"/>
      <c r="C1428" s="506"/>
      <c r="D1428" s="506"/>
      <c r="E1428" s="506"/>
      <c r="F1428" s="72">
        <f>SUM(F1412:F1427)</f>
        <v>8383360.6693098471</v>
      </c>
    </row>
    <row r="1429" spans="1:8" outlineLevel="1" x14ac:dyDescent="0.25">
      <c r="A1429" s="539" t="s">
        <v>304</v>
      </c>
      <c r="B1429" s="539"/>
      <c r="C1429" s="539"/>
      <c r="D1429" s="539"/>
      <c r="E1429" s="539"/>
      <c r="F1429" s="257">
        <f>F1428+F1410+F1341+F1315+F1295</f>
        <v>93766767.514235407</v>
      </c>
    </row>
    <row r="1430" spans="1:8" ht="25.5" customHeight="1" x14ac:dyDescent="0.25">
      <c r="A1430" s="547" t="s">
        <v>305</v>
      </c>
      <c r="B1430" s="548"/>
      <c r="C1430" s="548"/>
      <c r="D1430" s="548"/>
      <c r="E1430" s="549"/>
      <c r="F1430" s="262">
        <f>F1588</f>
        <v>21217048.380981624</v>
      </c>
      <c r="G1430" s="456">
        <f>H1430-F1430</f>
        <v>4.9997121095657349E-5</v>
      </c>
      <c r="H1430" s="1">
        <v>21217048.381031621</v>
      </c>
    </row>
    <row r="1431" spans="1:8" outlineLevel="1" x14ac:dyDescent="0.25">
      <c r="A1431" s="543" t="s">
        <v>9</v>
      </c>
      <c r="B1431" s="543"/>
      <c r="C1431" s="543"/>
      <c r="D1431" s="543"/>
      <c r="E1431" s="543"/>
      <c r="F1431" s="543"/>
    </row>
    <row r="1432" spans="1:8" ht="75" outlineLevel="1" x14ac:dyDescent="0.25">
      <c r="A1432" s="111">
        <v>1</v>
      </c>
      <c r="B1432" s="112" t="s">
        <v>10</v>
      </c>
      <c r="C1432" s="113">
        <v>1000</v>
      </c>
      <c r="D1432" s="114">
        <v>307260.39</v>
      </c>
      <c r="E1432" s="115">
        <v>4640.7</v>
      </c>
      <c r="F1432" s="114">
        <f>E1432*D1432/C1432</f>
        <v>1425903.2918729999</v>
      </c>
    </row>
    <row r="1433" spans="1:8" ht="30" outlineLevel="1" x14ac:dyDescent="0.25">
      <c r="A1433" s="111">
        <v>2</v>
      </c>
      <c r="B1433" s="112" t="s">
        <v>11</v>
      </c>
      <c r="C1433" s="113">
        <v>1000</v>
      </c>
      <c r="D1433" s="114">
        <v>392780.14500000002</v>
      </c>
      <c r="E1433" s="115">
        <v>940.9</v>
      </c>
      <c r="F1433" s="114">
        <f>E1433*D1433/C1433</f>
        <v>369566.83843050001</v>
      </c>
    </row>
    <row r="1434" spans="1:8" ht="45" outlineLevel="1" x14ac:dyDescent="0.25">
      <c r="A1434" s="111">
        <v>3</v>
      </c>
      <c r="B1434" s="163" t="s">
        <v>12</v>
      </c>
      <c r="C1434" s="164"/>
      <c r="D1434" s="114"/>
      <c r="E1434" s="121"/>
      <c r="F1434" s="121"/>
    </row>
    <row r="1435" spans="1:8" outlineLevel="1" x14ac:dyDescent="0.25">
      <c r="A1435" s="111"/>
      <c r="B1435" s="163" t="s">
        <v>254</v>
      </c>
      <c r="C1435" s="113">
        <v>1000</v>
      </c>
      <c r="D1435" s="114">
        <v>11732.790000000008</v>
      </c>
      <c r="E1435" s="114">
        <v>2414.6999999999998</v>
      </c>
      <c r="F1435" s="114">
        <v>28331.16801300002</v>
      </c>
    </row>
    <row r="1436" spans="1:8" ht="30" outlineLevel="1" x14ac:dyDescent="0.25">
      <c r="A1436" s="545">
        <v>3</v>
      </c>
      <c r="B1436" s="112" t="s">
        <v>191</v>
      </c>
      <c r="C1436" s="113">
        <v>1000</v>
      </c>
      <c r="D1436" s="114"/>
      <c r="E1436" s="115"/>
      <c r="F1436" s="115"/>
    </row>
    <row r="1437" spans="1:8" outlineLevel="1" x14ac:dyDescent="0.25">
      <c r="A1437" s="545"/>
      <c r="B1437" s="112" t="s">
        <v>306</v>
      </c>
      <c r="C1437" s="113">
        <v>1000</v>
      </c>
      <c r="D1437" s="114">
        <v>97969.465000000011</v>
      </c>
      <c r="E1437" s="114">
        <v>12948.3</v>
      </c>
      <c r="F1437" s="114">
        <v>1268538.0236595001</v>
      </c>
    </row>
    <row r="1438" spans="1:8" ht="60" outlineLevel="1" x14ac:dyDescent="0.25">
      <c r="A1438" s="111">
        <v>4</v>
      </c>
      <c r="B1438" s="112" t="s">
        <v>264</v>
      </c>
      <c r="C1438" s="128">
        <v>1</v>
      </c>
      <c r="D1438" s="114">
        <v>30</v>
      </c>
      <c r="E1438" s="117">
        <v>1326.2</v>
      </c>
      <c r="F1438" s="114">
        <v>39786</v>
      </c>
    </row>
    <row r="1439" spans="1:8" outlineLevel="1" x14ac:dyDescent="0.25">
      <c r="A1439" s="534" t="s">
        <v>192</v>
      </c>
      <c r="B1439" s="534"/>
      <c r="C1439" s="534"/>
      <c r="D1439" s="534"/>
      <c r="E1439" s="534"/>
      <c r="F1439" s="534"/>
    </row>
    <row r="1440" spans="1:8" ht="65.25" customHeight="1" outlineLevel="1" x14ac:dyDescent="0.25">
      <c r="A1440" s="122">
        <v>1</v>
      </c>
      <c r="B1440" s="123" t="s">
        <v>22</v>
      </c>
      <c r="C1440" s="113">
        <v>1000</v>
      </c>
      <c r="D1440" s="124">
        <v>98</v>
      </c>
      <c r="E1440" s="124">
        <v>15824.15</v>
      </c>
      <c r="F1440" s="124">
        <f>D1440*E1440/1000</f>
        <v>1550.7666999999999</v>
      </c>
    </row>
    <row r="1441" spans="1:7" s="15" customFormat="1" ht="51.75" customHeight="1" outlineLevel="1" x14ac:dyDescent="0.2">
      <c r="A1441" s="125">
        <v>2</v>
      </c>
      <c r="B1441" s="123" t="s">
        <v>23</v>
      </c>
      <c r="C1441" s="126"/>
      <c r="D1441" s="115"/>
      <c r="E1441" s="127">
        <v>0</v>
      </c>
      <c r="F1441" s="127">
        <v>0</v>
      </c>
      <c r="G1441" s="457"/>
    </row>
    <row r="1442" spans="1:7" s="15" customFormat="1" ht="22.5" customHeight="1" outlineLevel="1" x14ac:dyDescent="0.2">
      <c r="A1442" s="125"/>
      <c r="B1442" s="123" t="s">
        <v>24</v>
      </c>
      <c r="C1442" s="113">
        <v>100</v>
      </c>
      <c r="D1442" s="124">
        <v>24.5</v>
      </c>
      <c r="E1442" s="115">
        <v>34694.300000000003</v>
      </c>
      <c r="F1442" s="124">
        <f t="shared" ref="F1442:F1447" si="75">D1442*E1442/100</f>
        <v>8500.1035000000011</v>
      </c>
      <c r="G1442" s="457"/>
    </row>
    <row r="1443" spans="1:7" s="15" customFormat="1" ht="34.5" customHeight="1" outlineLevel="1" x14ac:dyDescent="0.2">
      <c r="A1443" s="125">
        <v>3</v>
      </c>
      <c r="B1443" s="123" t="s">
        <v>25</v>
      </c>
      <c r="C1443" s="113">
        <v>100</v>
      </c>
      <c r="D1443" s="124">
        <v>97.5</v>
      </c>
      <c r="E1443" s="124">
        <v>32675.95</v>
      </c>
      <c r="F1443" s="124">
        <f t="shared" si="75"/>
        <v>31859.05125</v>
      </c>
      <c r="G1443" s="457"/>
    </row>
    <row r="1444" spans="1:7" s="15" customFormat="1" ht="50.25" customHeight="1" outlineLevel="1" x14ac:dyDescent="0.2">
      <c r="A1444" s="125">
        <v>4</v>
      </c>
      <c r="B1444" s="123" t="s">
        <v>26</v>
      </c>
      <c r="C1444" s="120">
        <v>100</v>
      </c>
      <c r="D1444" s="124">
        <v>39</v>
      </c>
      <c r="E1444" s="124">
        <v>11851.7</v>
      </c>
      <c r="F1444" s="124">
        <f t="shared" si="75"/>
        <v>4622.1630000000005</v>
      </c>
      <c r="G1444" s="457"/>
    </row>
    <row r="1445" spans="1:7" ht="37.5" customHeight="1" outlineLevel="1" x14ac:dyDescent="0.25">
      <c r="A1445" s="122">
        <v>5</v>
      </c>
      <c r="B1445" s="123" t="s">
        <v>27</v>
      </c>
      <c r="C1445" s="113">
        <v>100</v>
      </c>
      <c r="D1445" s="124">
        <v>81.703125</v>
      </c>
      <c r="E1445" s="124">
        <v>37620.6</v>
      </c>
      <c r="F1445" s="124">
        <f t="shared" si="75"/>
        <v>30737.205843750002</v>
      </c>
    </row>
    <row r="1446" spans="1:7" ht="24" customHeight="1" outlineLevel="1" x14ac:dyDescent="0.25">
      <c r="A1446" s="122">
        <v>6</v>
      </c>
      <c r="B1446" s="123" t="s">
        <v>28</v>
      </c>
      <c r="C1446" s="120">
        <v>100</v>
      </c>
      <c r="D1446" s="124">
        <v>230.64999999999998</v>
      </c>
      <c r="E1446" s="124">
        <v>4334.75</v>
      </c>
      <c r="F1446" s="124">
        <f t="shared" si="75"/>
        <v>9998.1008749999983</v>
      </c>
    </row>
    <row r="1447" spans="1:7" ht="45" outlineLevel="1" x14ac:dyDescent="0.25">
      <c r="A1447" s="122">
        <v>7</v>
      </c>
      <c r="B1447" s="123" t="s">
        <v>29</v>
      </c>
      <c r="C1447" s="120">
        <v>100</v>
      </c>
      <c r="D1447" s="124">
        <v>230.64999999999998</v>
      </c>
      <c r="E1447" s="124">
        <v>7379.1</v>
      </c>
      <c r="F1447" s="124">
        <f t="shared" si="75"/>
        <v>17019.894149999996</v>
      </c>
    </row>
    <row r="1448" spans="1:7" ht="25.5" customHeight="1" outlineLevel="1" x14ac:dyDescent="0.25">
      <c r="A1448" s="122">
        <v>8</v>
      </c>
      <c r="B1448" s="123" t="s">
        <v>30</v>
      </c>
      <c r="C1448" s="128">
        <v>1</v>
      </c>
      <c r="D1448" s="124">
        <v>500</v>
      </c>
      <c r="E1448" s="124">
        <v>30.5</v>
      </c>
      <c r="F1448" s="124">
        <f>D1448*E1448</f>
        <v>15250</v>
      </c>
    </row>
    <row r="1449" spans="1:7" ht="81" customHeight="1" outlineLevel="1" x14ac:dyDescent="0.25">
      <c r="A1449" s="122">
        <v>9</v>
      </c>
      <c r="B1449" s="123" t="s">
        <v>31</v>
      </c>
      <c r="C1449" s="126"/>
      <c r="D1449" s="124"/>
      <c r="E1449" s="124"/>
      <c r="F1449" s="124"/>
    </row>
    <row r="1450" spans="1:7" outlineLevel="1" x14ac:dyDescent="0.25">
      <c r="A1450" s="122"/>
      <c r="B1450" s="123" t="s">
        <v>32</v>
      </c>
      <c r="C1450" s="113">
        <v>100</v>
      </c>
      <c r="D1450" s="124">
        <v>4.29</v>
      </c>
      <c r="E1450" s="124">
        <v>14042.6</v>
      </c>
      <c r="F1450" s="124">
        <f>D1450*E1450/100</f>
        <v>602.42754000000002</v>
      </c>
    </row>
    <row r="1451" spans="1:7" outlineLevel="1" x14ac:dyDescent="0.25">
      <c r="A1451" s="534" t="s">
        <v>168</v>
      </c>
      <c r="B1451" s="534"/>
      <c r="C1451" s="534"/>
      <c r="D1451" s="534"/>
      <c r="E1451" s="534"/>
      <c r="F1451" s="534"/>
    </row>
    <row r="1452" spans="1:7" ht="22.5" customHeight="1" outlineLevel="1" x14ac:dyDescent="0.25">
      <c r="A1452" s="129">
        <v>1</v>
      </c>
      <c r="B1452" s="130" t="s">
        <v>34</v>
      </c>
      <c r="C1452" s="113">
        <v>1</v>
      </c>
      <c r="D1452" s="115">
        <v>5.16</v>
      </c>
      <c r="E1452" s="127">
        <v>546.95000000000005</v>
      </c>
      <c r="F1452" s="114">
        <v>2822.2620000000002</v>
      </c>
    </row>
    <row r="1453" spans="1:7" ht="45" outlineLevel="1" x14ac:dyDescent="0.25">
      <c r="A1453" s="129">
        <v>2</v>
      </c>
      <c r="B1453" s="130" t="s">
        <v>35</v>
      </c>
      <c r="C1453" s="131">
        <v>100</v>
      </c>
      <c r="D1453" s="115">
        <v>11.790000000000001</v>
      </c>
      <c r="E1453" s="127">
        <v>30006.1</v>
      </c>
      <c r="F1453" s="114">
        <v>3537.7191899999998</v>
      </c>
    </row>
    <row r="1454" spans="1:7" ht="20.25" customHeight="1" outlineLevel="1" x14ac:dyDescent="0.25">
      <c r="A1454" s="125">
        <v>3</v>
      </c>
      <c r="B1454" s="130" t="s">
        <v>36</v>
      </c>
      <c r="C1454" s="128">
        <v>1</v>
      </c>
      <c r="D1454" s="115">
        <v>3</v>
      </c>
      <c r="E1454" s="127">
        <v>115.4</v>
      </c>
      <c r="F1454" s="114">
        <v>346.20000000000005</v>
      </c>
    </row>
    <row r="1455" spans="1:7" ht="20.25" customHeight="1" outlineLevel="1" x14ac:dyDescent="0.25">
      <c r="A1455" s="125">
        <v>4</v>
      </c>
      <c r="B1455" s="130" t="s">
        <v>37</v>
      </c>
      <c r="C1455" s="132">
        <v>1</v>
      </c>
      <c r="D1455" s="115">
        <v>3</v>
      </c>
      <c r="E1455" s="127">
        <v>141.9</v>
      </c>
      <c r="F1455" s="114">
        <v>425.70000000000005</v>
      </c>
    </row>
    <row r="1456" spans="1:7" ht="20.25" customHeight="1" outlineLevel="1" x14ac:dyDescent="0.25">
      <c r="A1456" s="125">
        <v>5</v>
      </c>
      <c r="B1456" s="130" t="s">
        <v>38</v>
      </c>
      <c r="C1456" s="120">
        <v>100</v>
      </c>
      <c r="D1456" s="115">
        <v>10.5</v>
      </c>
      <c r="E1456" s="127">
        <v>4307.55</v>
      </c>
      <c r="F1456" s="114">
        <v>452.29275000000001</v>
      </c>
    </row>
    <row r="1457" spans="1:6" ht="32.25" customHeight="1" outlineLevel="1" x14ac:dyDescent="0.25">
      <c r="A1457" s="125">
        <v>6</v>
      </c>
      <c r="B1457" s="130" t="s">
        <v>39</v>
      </c>
      <c r="C1457" s="128">
        <v>1</v>
      </c>
      <c r="D1457" s="115">
        <v>30</v>
      </c>
      <c r="E1457" s="127">
        <v>30.5</v>
      </c>
      <c r="F1457" s="114">
        <v>915</v>
      </c>
    </row>
    <row r="1458" spans="1:6" ht="75" outlineLevel="1" x14ac:dyDescent="0.25">
      <c r="A1458" s="125">
        <v>7</v>
      </c>
      <c r="B1458" s="133" t="s">
        <v>31</v>
      </c>
      <c r="C1458" s="126"/>
      <c r="D1458" s="115"/>
      <c r="E1458" s="114"/>
      <c r="F1458" s="114"/>
    </row>
    <row r="1459" spans="1:6" outlineLevel="1" x14ac:dyDescent="0.25">
      <c r="A1459" s="125" t="s">
        <v>41</v>
      </c>
      <c r="B1459" s="133" t="s">
        <v>42</v>
      </c>
      <c r="C1459" s="113">
        <v>100</v>
      </c>
      <c r="D1459" s="115">
        <v>4.5407999999999999</v>
      </c>
      <c r="E1459" s="114">
        <v>14042.6</v>
      </c>
      <c r="F1459" s="114">
        <v>637.64638080000009</v>
      </c>
    </row>
    <row r="1460" spans="1:6" ht="21" customHeight="1" outlineLevel="1" x14ac:dyDescent="0.25">
      <c r="A1460" s="518" t="s">
        <v>43</v>
      </c>
      <c r="B1460" s="518"/>
      <c r="C1460" s="518"/>
      <c r="D1460" s="518"/>
      <c r="E1460" s="518"/>
      <c r="F1460" s="106">
        <f>SUM(F1432:F1459)</f>
        <v>3261401.8551555504</v>
      </c>
    </row>
    <row r="1461" spans="1:6" outlineLevel="1" x14ac:dyDescent="0.25">
      <c r="A1461" s="534" t="s">
        <v>265</v>
      </c>
      <c r="B1461" s="534"/>
      <c r="C1461" s="534"/>
      <c r="D1461" s="534"/>
      <c r="E1461" s="534"/>
      <c r="F1461" s="534"/>
    </row>
    <row r="1462" spans="1:6" ht="75" outlineLevel="1" x14ac:dyDescent="0.25">
      <c r="A1462" s="129">
        <v>1</v>
      </c>
      <c r="B1462" s="133" t="s">
        <v>45</v>
      </c>
      <c r="C1462" s="113">
        <v>1000</v>
      </c>
      <c r="D1462" s="115">
        <v>1949.3305000000028</v>
      </c>
      <c r="E1462" s="115">
        <v>12735.6</v>
      </c>
      <c r="F1462" s="114">
        <f>E1462*D1462/C1462</f>
        <v>24825.893515800035</v>
      </c>
    </row>
    <row r="1463" spans="1:6" ht="24" customHeight="1" outlineLevel="1" x14ac:dyDescent="0.25">
      <c r="A1463" s="129">
        <v>2</v>
      </c>
      <c r="B1463" s="133" t="s">
        <v>75</v>
      </c>
      <c r="C1463" s="113">
        <v>1000</v>
      </c>
      <c r="D1463" s="115">
        <v>1949.3305000000028</v>
      </c>
      <c r="E1463" s="115">
        <v>12038.4</v>
      </c>
      <c r="F1463" s="114">
        <f>E1463*D1463/C1463</f>
        <v>23466.820291200034</v>
      </c>
    </row>
    <row r="1464" spans="1:6" ht="45" outlineLevel="1" x14ac:dyDescent="0.25">
      <c r="A1464" s="125">
        <v>3</v>
      </c>
      <c r="B1464" s="135" t="s">
        <v>23</v>
      </c>
      <c r="C1464" s="126"/>
      <c r="D1464" s="115"/>
      <c r="E1464" s="127"/>
      <c r="F1464" s="127"/>
    </row>
    <row r="1465" spans="1:6" outlineLevel="1" x14ac:dyDescent="0.25">
      <c r="A1465" s="125"/>
      <c r="B1465" s="133" t="s">
        <v>24</v>
      </c>
      <c r="C1465" s="113">
        <v>100</v>
      </c>
      <c r="D1465" s="115">
        <v>458.78250000000003</v>
      </c>
      <c r="E1465" s="115">
        <v>34694.300000000003</v>
      </c>
      <c r="F1465" s="114">
        <f>E1465*D1465/C1465</f>
        <v>159171.37689750001</v>
      </c>
    </row>
    <row r="1466" spans="1:6" outlineLevel="1" x14ac:dyDescent="0.25">
      <c r="A1466" s="125"/>
      <c r="B1466" s="133" t="s">
        <v>125</v>
      </c>
      <c r="C1466" s="113">
        <v>100</v>
      </c>
      <c r="D1466" s="115">
        <v>68</v>
      </c>
      <c r="E1466" s="115">
        <v>47135.9</v>
      </c>
      <c r="F1466" s="114">
        <f>E1466*D1466/C1466</f>
        <v>32052.412</v>
      </c>
    </row>
    <row r="1467" spans="1:6" ht="90" outlineLevel="1" x14ac:dyDescent="0.25">
      <c r="A1467" s="125">
        <v>4</v>
      </c>
      <c r="B1467" s="133" t="s">
        <v>46</v>
      </c>
      <c r="C1467" s="131">
        <v>100</v>
      </c>
      <c r="D1467" s="115">
        <v>9117.4861500000006</v>
      </c>
      <c r="E1467" s="136">
        <v>30376.9</v>
      </c>
      <c r="F1467" s="114">
        <f>E1467*D1467/C1467</f>
        <v>2769609.6502993507</v>
      </c>
    </row>
    <row r="1468" spans="1:6" ht="120.75" outlineLevel="1" x14ac:dyDescent="0.25">
      <c r="A1468" s="125">
        <v>5</v>
      </c>
      <c r="B1468" s="135" t="s">
        <v>78</v>
      </c>
      <c r="C1468" s="126"/>
      <c r="D1468" s="115"/>
      <c r="E1468" s="127"/>
      <c r="F1468" s="137"/>
    </row>
    <row r="1469" spans="1:6" ht="60" outlineLevel="1" x14ac:dyDescent="0.25">
      <c r="A1469" s="125" t="s">
        <v>48</v>
      </c>
      <c r="B1469" s="135" t="s">
        <v>205</v>
      </c>
      <c r="C1469" s="113">
        <v>1</v>
      </c>
      <c r="D1469" s="115">
        <v>1761.1120500000006</v>
      </c>
      <c r="E1469" s="115">
        <v>817.55</v>
      </c>
      <c r="F1469" s="114">
        <f t="shared" ref="F1469:F1475" si="76">E1469*D1469/C1469</f>
        <v>1439797.1564775005</v>
      </c>
    </row>
    <row r="1470" spans="1:6" ht="75" outlineLevel="1" x14ac:dyDescent="0.25">
      <c r="A1470" s="125" t="s">
        <v>50</v>
      </c>
      <c r="B1470" s="135" t="s">
        <v>217</v>
      </c>
      <c r="C1470" s="113">
        <v>1</v>
      </c>
      <c r="D1470" s="115">
        <v>1278.0500000000002</v>
      </c>
      <c r="E1470" s="115">
        <v>670.5</v>
      </c>
      <c r="F1470" s="114">
        <f t="shared" si="76"/>
        <v>856932.52500000014</v>
      </c>
    </row>
    <row r="1471" spans="1:6" ht="30" outlineLevel="1" x14ac:dyDescent="0.25">
      <c r="A1471" s="125">
        <v>6</v>
      </c>
      <c r="B1471" s="133" t="s">
        <v>52</v>
      </c>
      <c r="C1471" s="120">
        <v>100</v>
      </c>
      <c r="D1471" s="115">
        <v>986.23980000000086</v>
      </c>
      <c r="E1471" s="127">
        <v>1645.1</v>
      </c>
      <c r="F1471" s="114">
        <f t="shared" si="76"/>
        <v>16224.630949800012</v>
      </c>
    </row>
    <row r="1472" spans="1:6" ht="30" outlineLevel="1" x14ac:dyDescent="0.25">
      <c r="A1472" s="125">
        <v>7</v>
      </c>
      <c r="B1472" s="135" t="s">
        <v>79</v>
      </c>
      <c r="C1472" s="113">
        <v>100</v>
      </c>
      <c r="D1472" s="115">
        <v>160</v>
      </c>
      <c r="E1472" s="127">
        <v>35727</v>
      </c>
      <c r="F1472" s="114">
        <f t="shared" si="76"/>
        <v>57163.199999999997</v>
      </c>
    </row>
    <row r="1473" spans="1:6" ht="60" outlineLevel="1" x14ac:dyDescent="0.25">
      <c r="A1473" s="125">
        <v>8</v>
      </c>
      <c r="B1473" s="138" t="s">
        <v>80</v>
      </c>
      <c r="C1473" s="139">
        <v>1</v>
      </c>
      <c r="D1473" s="115">
        <v>213.57999999999998</v>
      </c>
      <c r="E1473" s="115">
        <v>809.4</v>
      </c>
      <c r="F1473" s="114">
        <f t="shared" si="76"/>
        <v>172871.65199999997</v>
      </c>
    </row>
    <row r="1474" spans="1:6" ht="30" outlineLevel="1" x14ac:dyDescent="0.25">
      <c r="A1474" s="125">
        <v>9</v>
      </c>
      <c r="B1474" s="140" t="s">
        <v>81</v>
      </c>
      <c r="C1474" s="139">
        <v>1</v>
      </c>
      <c r="D1474" s="115">
        <v>90</v>
      </c>
      <c r="E1474" s="115">
        <v>1381</v>
      </c>
      <c r="F1474" s="114">
        <f t="shared" si="76"/>
        <v>124290</v>
      </c>
    </row>
    <row r="1475" spans="1:6" ht="23.25" customHeight="1" outlineLevel="1" x14ac:dyDescent="0.25">
      <c r="A1475" s="125">
        <v>10</v>
      </c>
      <c r="B1475" s="133" t="s">
        <v>66</v>
      </c>
      <c r="C1475" s="113">
        <v>1000</v>
      </c>
      <c r="D1475" s="115">
        <v>8000</v>
      </c>
      <c r="E1475" s="114">
        <v>5266.8</v>
      </c>
      <c r="F1475" s="114">
        <f t="shared" si="76"/>
        <v>42134.400000000001</v>
      </c>
    </row>
    <row r="1476" spans="1:6" ht="75.75" outlineLevel="1" x14ac:dyDescent="0.25">
      <c r="A1476" s="125">
        <v>11</v>
      </c>
      <c r="B1476" s="133" t="s">
        <v>40</v>
      </c>
      <c r="C1476" s="126"/>
      <c r="D1476" s="115"/>
      <c r="E1476" s="114"/>
      <c r="F1476" s="114"/>
    </row>
    <row r="1477" spans="1:6" outlineLevel="1" x14ac:dyDescent="0.25">
      <c r="A1477" s="125" t="s">
        <v>67</v>
      </c>
      <c r="B1477" s="133" t="s">
        <v>68</v>
      </c>
      <c r="C1477" s="113">
        <v>100</v>
      </c>
      <c r="D1477" s="115">
        <v>440.43119999999999</v>
      </c>
      <c r="E1477" s="114">
        <v>14042.6</v>
      </c>
      <c r="F1477" s="114">
        <f>E1477*D1477/C1477</f>
        <v>61847.991691199997</v>
      </c>
    </row>
    <row r="1478" spans="1:6" outlineLevel="1" x14ac:dyDescent="0.25">
      <c r="A1478" s="125" t="s">
        <v>41</v>
      </c>
      <c r="B1478" s="133" t="s">
        <v>42</v>
      </c>
      <c r="C1478" s="113">
        <v>100</v>
      </c>
      <c r="D1478" s="115">
        <v>59.84</v>
      </c>
      <c r="E1478" s="114">
        <v>14042.6</v>
      </c>
      <c r="F1478" s="114">
        <f>E1478*D1478/C1478</f>
        <v>8403.091840000001</v>
      </c>
    </row>
    <row r="1479" spans="1:6" outlineLevel="1" x14ac:dyDescent="0.25">
      <c r="A1479" s="125" t="s">
        <v>70</v>
      </c>
      <c r="B1479" s="133" t="s">
        <v>82</v>
      </c>
      <c r="C1479" s="113">
        <v>100</v>
      </c>
      <c r="D1479" s="115">
        <v>2552.8961220000006</v>
      </c>
      <c r="E1479" s="114">
        <v>14042.6</v>
      </c>
      <c r="F1479" s="114">
        <f>E1479*D1479/C1479</f>
        <v>358492.99082797207</v>
      </c>
    </row>
    <row r="1480" spans="1:6" outlineLevel="1" x14ac:dyDescent="0.25">
      <c r="A1480" s="506" t="s">
        <v>83</v>
      </c>
      <c r="B1480" s="506"/>
      <c r="C1480" s="506"/>
      <c r="D1480" s="506"/>
      <c r="E1480" s="506"/>
      <c r="F1480" s="72">
        <f>SUM(F1462:F1479)</f>
        <v>6147283.7917903243</v>
      </c>
    </row>
    <row r="1481" spans="1:6" outlineLevel="1" x14ac:dyDescent="0.25">
      <c r="A1481" s="534" t="s">
        <v>266</v>
      </c>
      <c r="B1481" s="534"/>
      <c r="C1481" s="534"/>
      <c r="D1481" s="534"/>
      <c r="E1481" s="534"/>
      <c r="F1481" s="534"/>
    </row>
    <row r="1482" spans="1:6" ht="75" outlineLevel="1" x14ac:dyDescent="0.25">
      <c r="A1482" s="129">
        <v>1</v>
      </c>
      <c r="B1482" s="133" t="s">
        <v>45</v>
      </c>
      <c r="C1482" s="113">
        <v>1000</v>
      </c>
      <c r="D1482" s="115">
        <v>11161.160000000029</v>
      </c>
      <c r="E1482" s="115">
        <v>12735.6</v>
      </c>
      <c r="F1482" s="114">
        <f>E1482*D1482/C1482</f>
        <v>142144.06929600035</v>
      </c>
    </row>
    <row r="1483" spans="1:6" ht="45" outlineLevel="1" x14ac:dyDescent="0.25">
      <c r="A1483" s="125">
        <v>2</v>
      </c>
      <c r="B1483" s="135" t="s">
        <v>23</v>
      </c>
      <c r="C1483" s="122"/>
      <c r="D1483" s="115"/>
      <c r="E1483" s="115"/>
      <c r="F1483" s="115"/>
    </row>
    <row r="1484" spans="1:6" outlineLevel="1" x14ac:dyDescent="0.25">
      <c r="A1484" s="125"/>
      <c r="B1484" s="133" t="s">
        <v>24</v>
      </c>
      <c r="C1484" s="113">
        <v>100</v>
      </c>
      <c r="D1484" s="115">
        <v>252</v>
      </c>
      <c r="E1484" s="115">
        <v>34694.300000000003</v>
      </c>
      <c r="F1484" s="114">
        <f>E1484*D1484/C1484</f>
        <v>87429.636000000013</v>
      </c>
    </row>
    <row r="1485" spans="1:6" ht="90" outlineLevel="1" x14ac:dyDescent="0.25">
      <c r="A1485" s="125">
        <v>3</v>
      </c>
      <c r="B1485" s="133" t="s">
        <v>46</v>
      </c>
      <c r="C1485" s="131">
        <v>100</v>
      </c>
      <c r="D1485" s="115">
        <v>10673.280000000015</v>
      </c>
      <c r="E1485" s="136">
        <v>30376.9</v>
      </c>
      <c r="F1485" s="114">
        <f>E1485*D1485/C1485</f>
        <v>3242211.5923200045</v>
      </c>
    </row>
    <row r="1486" spans="1:6" ht="120.75" outlineLevel="1" x14ac:dyDescent="0.25">
      <c r="A1486" s="125">
        <v>4</v>
      </c>
      <c r="B1486" s="135" t="s">
        <v>47</v>
      </c>
      <c r="C1486" s="122"/>
      <c r="D1486" s="115"/>
      <c r="E1486" s="127"/>
      <c r="F1486" s="127"/>
    </row>
    <row r="1487" spans="1:6" ht="75" outlineLevel="1" x14ac:dyDescent="0.25">
      <c r="A1487" s="125" t="s">
        <v>48</v>
      </c>
      <c r="B1487" s="135" t="s">
        <v>100</v>
      </c>
      <c r="C1487" s="113">
        <v>1</v>
      </c>
      <c r="D1487" s="115">
        <v>2549.7600000000048</v>
      </c>
      <c r="E1487" s="115">
        <v>817.55</v>
      </c>
      <c r="F1487" s="114">
        <f>E1487*D1487/C1487</f>
        <v>2084556.2880000037</v>
      </c>
    </row>
    <row r="1488" spans="1:6" ht="75" outlineLevel="1" x14ac:dyDescent="0.25">
      <c r="A1488" s="125" t="s">
        <v>50</v>
      </c>
      <c r="B1488" s="135" t="s">
        <v>201</v>
      </c>
      <c r="C1488" s="113">
        <v>1</v>
      </c>
      <c r="D1488" s="115">
        <v>1008</v>
      </c>
      <c r="E1488" s="115">
        <v>670.5</v>
      </c>
      <c r="F1488" s="114">
        <f>E1488*D1488/C1488</f>
        <v>675864</v>
      </c>
    </row>
    <row r="1489" spans="1:6" ht="33.75" customHeight="1" outlineLevel="1" x14ac:dyDescent="0.25">
      <c r="A1489" s="125">
        <v>5</v>
      </c>
      <c r="B1489" s="133" t="s">
        <v>52</v>
      </c>
      <c r="C1489" s="120">
        <v>100</v>
      </c>
      <c r="D1489" s="115">
        <v>2884.8000000000065</v>
      </c>
      <c r="E1489" s="127">
        <v>1645.1</v>
      </c>
      <c r="F1489" s="114">
        <f>E1489*D1489/C1489</f>
        <v>47457.844800000108</v>
      </c>
    </row>
    <row r="1490" spans="1:6" ht="45" outlineLevel="1" x14ac:dyDescent="0.25">
      <c r="A1490" s="125">
        <v>6</v>
      </c>
      <c r="B1490" s="133" t="s">
        <v>214</v>
      </c>
      <c r="C1490" s="139">
        <v>1</v>
      </c>
      <c r="D1490" s="115">
        <v>13.5</v>
      </c>
      <c r="E1490" s="127">
        <v>303.8</v>
      </c>
      <c r="F1490" s="114">
        <f>E1490*D1490/C1490</f>
        <v>4101.3</v>
      </c>
    </row>
    <row r="1491" spans="1:6" ht="23.25" customHeight="1" outlineLevel="1" x14ac:dyDescent="0.25">
      <c r="A1491" s="125">
        <v>7</v>
      </c>
      <c r="B1491" s="133" t="s">
        <v>66</v>
      </c>
      <c r="C1491" s="113">
        <v>1000</v>
      </c>
      <c r="D1491" s="115">
        <v>11520</v>
      </c>
      <c r="E1491" s="114">
        <v>5266.8</v>
      </c>
      <c r="F1491" s="114">
        <f>E1491*D1491/C1491</f>
        <v>60673.536</v>
      </c>
    </row>
    <row r="1492" spans="1:6" ht="75.75" outlineLevel="1" x14ac:dyDescent="0.25">
      <c r="A1492" s="125">
        <v>18</v>
      </c>
      <c r="B1492" s="133" t="s">
        <v>40</v>
      </c>
      <c r="C1492" s="126"/>
      <c r="D1492" s="115"/>
      <c r="E1492" s="114"/>
      <c r="F1492" s="114"/>
    </row>
    <row r="1493" spans="1:6" outlineLevel="1" x14ac:dyDescent="0.25">
      <c r="A1493" s="125" t="s">
        <v>67</v>
      </c>
      <c r="B1493" s="133" t="s">
        <v>68</v>
      </c>
      <c r="C1493" s="113">
        <v>100</v>
      </c>
      <c r="D1493" s="115">
        <v>241.92</v>
      </c>
      <c r="E1493" s="114">
        <v>14042.6</v>
      </c>
      <c r="F1493" s="114">
        <f>E1493*D1493/C1493</f>
        <v>33971.857920000002</v>
      </c>
    </row>
    <row r="1494" spans="1:6" outlineLevel="1" x14ac:dyDescent="0.25">
      <c r="A1494" s="125" t="s">
        <v>41</v>
      </c>
      <c r="B1494" s="133" t="s">
        <v>69</v>
      </c>
      <c r="C1494" s="113">
        <v>100</v>
      </c>
      <c r="D1494" s="115">
        <v>2988.518400000004</v>
      </c>
      <c r="E1494" s="114">
        <v>14042.6</v>
      </c>
      <c r="F1494" s="114">
        <f>E1494*D1494/C1494</f>
        <v>419665.68483840057</v>
      </c>
    </row>
    <row r="1495" spans="1:6" outlineLevel="1" x14ac:dyDescent="0.25">
      <c r="A1495" s="506" t="s">
        <v>73</v>
      </c>
      <c r="B1495" s="506"/>
      <c r="C1495" s="506"/>
      <c r="D1495" s="506"/>
      <c r="E1495" s="506"/>
      <c r="F1495" s="72">
        <f>SUM(F1482:F1494)</f>
        <v>6798075.8091744091</v>
      </c>
    </row>
    <row r="1496" spans="1:6" outlineLevel="1" x14ac:dyDescent="0.25">
      <c r="A1496" s="534" t="s">
        <v>307</v>
      </c>
      <c r="B1496" s="534"/>
      <c r="C1496" s="534"/>
      <c r="D1496" s="534"/>
      <c r="E1496" s="534"/>
      <c r="F1496" s="534"/>
    </row>
    <row r="1497" spans="1:6" ht="75.75" outlineLevel="1" x14ac:dyDescent="0.25">
      <c r="A1497" s="129">
        <v>1</v>
      </c>
      <c r="B1497" s="135" t="s">
        <v>285</v>
      </c>
      <c r="C1497" s="113">
        <v>1000</v>
      </c>
      <c r="D1497" s="115">
        <v>4728.6509999999998</v>
      </c>
      <c r="E1497" s="115">
        <v>15824.15</v>
      </c>
      <c r="F1497" s="114">
        <f>E1497*D1497/C1497</f>
        <v>74826.882721649992</v>
      </c>
    </row>
    <row r="1498" spans="1:6" ht="45" outlineLevel="1" x14ac:dyDescent="0.25">
      <c r="A1498" s="546">
        <v>2</v>
      </c>
      <c r="B1498" s="112" t="s">
        <v>124</v>
      </c>
      <c r="C1498" s="111"/>
      <c r="D1498" s="115"/>
      <c r="E1498" s="115">
        <v>0</v>
      </c>
      <c r="F1498" s="116"/>
    </row>
    <row r="1499" spans="1:6" outlineLevel="1" x14ac:dyDescent="0.25">
      <c r="A1499" s="546"/>
      <c r="B1499" s="112" t="s">
        <v>24</v>
      </c>
      <c r="C1499" s="113">
        <v>100</v>
      </c>
      <c r="D1499" s="115">
        <v>695.07900000000018</v>
      </c>
      <c r="E1499" s="115">
        <v>34694.300000000003</v>
      </c>
      <c r="F1499" s="114">
        <f>E1499*D1499/C1499</f>
        <v>241152.79349700006</v>
      </c>
    </row>
    <row r="1500" spans="1:6" outlineLevel="1" x14ac:dyDescent="0.25">
      <c r="A1500" s="546"/>
      <c r="B1500" s="112" t="s">
        <v>125</v>
      </c>
      <c r="C1500" s="113">
        <v>100</v>
      </c>
      <c r="D1500" s="115">
        <v>72.146249999999995</v>
      </c>
      <c r="E1500" s="115">
        <v>47135.9</v>
      </c>
      <c r="F1500" s="114">
        <f>E1500*D1500/C1500</f>
        <v>34006.784253749996</v>
      </c>
    </row>
    <row r="1501" spans="1:6" ht="32.25" customHeight="1" outlineLevel="1" x14ac:dyDescent="0.25">
      <c r="A1501" s="125">
        <v>3</v>
      </c>
      <c r="B1501" s="135" t="s">
        <v>79</v>
      </c>
      <c r="C1501" s="113">
        <v>100</v>
      </c>
      <c r="D1501" s="115">
        <v>1119.5550000000001</v>
      </c>
      <c r="E1501" s="115">
        <v>35727</v>
      </c>
      <c r="F1501" s="114">
        <f>E1501*D1501/C1501</f>
        <v>399983.41485</v>
      </c>
    </row>
    <row r="1502" spans="1:6" ht="120" outlineLevel="1" x14ac:dyDescent="0.25">
      <c r="A1502" s="125">
        <v>4</v>
      </c>
      <c r="B1502" s="135" t="s">
        <v>99</v>
      </c>
      <c r="C1502" s="122"/>
      <c r="D1502" s="115"/>
      <c r="E1502" s="115"/>
      <c r="F1502" s="121"/>
    </row>
    <row r="1503" spans="1:6" ht="75" outlineLevel="1" x14ac:dyDescent="0.25">
      <c r="A1503" s="147" t="s">
        <v>48</v>
      </c>
      <c r="B1503" s="135" t="s">
        <v>100</v>
      </c>
      <c r="C1503" s="113">
        <v>1</v>
      </c>
      <c r="D1503" s="115">
        <v>938.25</v>
      </c>
      <c r="E1503" s="115">
        <v>817.55</v>
      </c>
      <c r="F1503" s="114">
        <f>E1503*D1503/C1503</f>
        <v>767066.28749999998</v>
      </c>
    </row>
    <row r="1504" spans="1:6" ht="75" outlineLevel="1" x14ac:dyDescent="0.25">
      <c r="A1504" s="147" t="s">
        <v>50</v>
      </c>
      <c r="B1504" s="135" t="s">
        <v>201</v>
      </c>
      <c r="C1504" s="113">
        <v>1</v>
      </c>
      <c r="D1504" s="115">
        <v>324</v>
      </c>
      <c r="E1504" s="115">
        <v>670.5</v>
      </c>
      <c r="F1504" s="114">
        <f>E1504*D1504/C1504</f>
        <v>217242</v>
      </c>
    </row>
    <row r="1505" spans="1:6" ht="90" outlineLevel="1" x14ac:dyDescent="0.25">
      <c r="A1505" s="147">
        <v>5</v>
      </c>
      <c r="B1505" s="135" t="s">
        <v>286</v>
      </c>
      <c r="C1505" s="131">
        <v>100</v>
      </c>
      <c r="D1505" s="115">
        <v>3786.75</v>
      </c>
      <c r="E1505" s="136">
        <v>30376.9</v>
      </c>
      <c r="F1505" s="114">
        <f>E1505*D1505/C1505</f>
        <v>1150297.2607500001</v>
      </c>
    </row>
    <row r="1506" spans="1:6" ht="30" outlineLevel="1" x14ac:dyDescent="0.25">
      <c r="A1506" s="125">
        <v>6</v>
      </c>
      <c r="B1506" s="119" t="s">
        <v>287</v>
      </c>
      <c r="C1506" s="113">
        <v>100</v>
      </c>
      <c r="D1506" s="115">
        <v>881.64719999999977</v>
      </c>
      <c r="E1506" s="127">
        <v>6849</v>
      </c>
      <c r="F1506" s="114">
        <f>E1506*D1506/C1506</f>
        <v>60384.016727999988</v>
      </c>
    </row>
    <row r="1507" spans="1:6" ht="23.25" customHeight="1" outlineLevel="1" x14ac:dyDescent="0.25">
      <c r="A1507" s="125">
        <v>7</v>
      </c>
      <c r="B1507" s="133" t="s">
        <v>66</v>
      </c>
      <c r="C1507" s="113">
        <v>1000</v>
      </c>
      <c r="D1507" s="115">
        <v>1920</v>
      </c>
      <c r="E1507" s="114">
        <v>5266.8</v>
      </c>
      <c r="F1507" s="114">
        <f>E1507*D1507/C1507</f>
        <v>10112.255999999999</v>
      </c>
    </row>
    <row r="1508" spans="1:6" ht="75.75" outlineLevel="1" x14ac:dyDescent="0.25">
      <c r="A1508" s="125">
        <v>8</v>
      </c>
      <c r="B1508" s="133" t="s">
        <v>40</v>
      </c>
      <c r="C1508" s="126"/>
      <c r="D1508" s="115"/>
      <c r="E1508" s="114"/>
      <c r="F1508" s="114"/>
    </row>
    <row r="1509" spans="1:6" outlineLevel="1" x14ac:dyDescent="0.25">
      <c r="A1509" s="125" t="s">
        <v>67</v>
      </c>
      <c r="B1509" s="133" t="s">
        <v>68</v>
      </c>
      <c r="C1509" s="113">
        <v>100</v>
      </c>
      <c r="D1509" s="115">
        <v>667.27584000000013</v>
      </c>
      <c r="E1509" s="114">
        <v>14042.6</v>
      </c>
      <c r="F1509" s="114">
        <f>E1509*D1509/C1509</f>
        <v>93702.877107840017</v>
      </c>
    </row>
    <row r="1510" spans="1:6" outlineLevel="1" x14ac:dyDescent="0.25">
      <c r="A1510" s="125" t="s">
        <v>67</v>
      </c>
      <c r="B1510" s="133" t="s">
        <v>42</v>
      </c>
      <c r="C1510" s="113">
        <v>100</v>
      </c>
      <c r="D1510" s="115">
        <v>63.488699999999994</v>
      </c>
      <c r="E1510" s="114">
        <v>14042.6</v>
      </c>
      <c r="F1510" s="114">
        <f>E1510*D1510/C1510</f>
        <v>8915.4641861999989</v>
      </c>
    </row>
    <row r="1511" spans="1:6" outlineLevel="1" x14ac:dyDescent="0.25">
      <c r="A1511" s="125" t="s">
        <v>41</v>
      </c>
      <c r="B1511" s="133" t="s">
        <v>69</v>
      </c>
      <c r="C1511" s="113">
        <v>100</v>
      </c>
      <c r="D1511" s="115">
        <v>1060.29</v>
      </c>
      <c r="E1511" s="114">
        <v>14042.6</v>
      </c>
      <c r="F1511" s="114">
        <f>E1511*D1511/C1511</f>
        <v>148892.28354</v>
      </c>
    </row>
    <row r="1512" spans="1:6" outlineLevel="1" x14ac:dyDescent="0.25">
      <c r="A1512" s="125" t="s">
        <v>70</v>
      </c>
      <c r="B1512" s="133" t="s">
        <v>288</v>
      </c>
      <c r="C1512" s="113">
        <v>100</v>
      </c>
      <c r="D1512" s="115">
        <v>1190.2237199999997</v>
      </c>
      <c r="E1512" s="114">
        <v>14042.6</v>
      </c>
      <c r="F1512" s="114">
        <f>E1512*D1512/C1512</f>
        <v>167138.35610471998</v>
      </c>
    </row>
    <row r="1513" spans="1:6" outlineLevel="1" x14ac:dyDescent="0.25">
      <c r="A1513" s="506" t="s">
        <v>43</v>
      </c>
      <c r="B1513" s="506"/>
      <c r="C1513" s="506"/>
      <c r="D1513" s="506"/>
      <c r="E1513" s="506"/>
      <c r="F1513" s="72">
        <f>SUM(F1497:F1512)</f>
        <v>3373720.6772391605</v>
      </c>
    </row>
    <row r="1514" spans="1:6" outlineLevel="1" x14ac:dyDescent="0.25">
      <c r="A1514" s="534" t="s">
        <v>308</v>
      </c>
      <c r="B1514" s="534"/>
      <c r="C1514" s="534"/>
      <c r="D1514" s="534"/>
      <c r="E1514" s="534"/>
      <c r="F1514" s="534"/>
    </row>
    <row r="1515" spans="1:6" ht="75" outlineLevel="1" x14ac:dyDescent="0.25">
      <c r="A1515" s="129">
        <v>1</v>
      </c>
      <c r="B1515" s="135" t="s">
        <v>10</v>
      </c>
      <c r="C1515" s="113">
        <v>1000</v>
      </c>
      <c r="D1515" s="115">
        <v>148.5</v>
      </c>
      <c r="E1515" s="115">
        <v>4640.7</v>
      </c>
      <c r="F1515" s="114">
        <f t="shared" ref="F1515:F1525" si="77">E1515*D1515/C1515</f>
        <v>689.1439499999999</v>
      </c>
    </row>
    <row r="1516" spans="1:6" ht="30" outlineLevel="1" x14ac:dyDescent="0.25">
      <c r="A1516" s="129">
        <v>2</v>
      </c>
      <c r="B1516" s="135" t="s">
        <v>86</v>
      </c>
      <c r="C1516" s="113">
        <v>100</v>
      </c>
      <c r="D1516" s="115">
        <v>148.5</v>
      </c>
      <c r="E1516" s="127">
        <v>6849</v>
      </c>
      <c r="F1516" s="114">
        <f t="shared" si="77"/>
        <v>10170.764999999999</v>
      </c>
    </row>
    <row r="1517" spans="1:6" ht="21" customHeight="1" outlineLevel="1" x14ac:dyDescent="0.25">
      <c r="A1517" s="125">
        <v>3</v>
      </c>
      <c r="B1517" s="119" t="s">
        <v>87</v>
      </c>
      <c r="C1517" s="120">
        <v>100</v>
      </c>
      <c r="D1517" s="115">
        <v>422.73</v>
      </c>
      <c r="E1517" s="127">
        <v>2265.1</v>
      </c>
      <c r="F1517" s="114">
        <f t="shared" si="77"/>
        <v>9575.2572299999993</v>
      </c>
    </row>
    <row r="1518" spans="1:6" ht="21" customHeight="1" outlineLevel="1" x14ac:dyDescent="0.25">
      <c r="A1518" s="125">
        <v>4</v>
      </c>
      <c r="B1518" s="119" t="s">
        <v>88</v>
      </c>
      <c r="C1518" s="120">
        <v>100</v>
      </c>
      <c r="D1518" s="115">
        <v>126</v>
      </c>
      <c r="E1518" s="127">
        <v>1660.5</v>
      </c>
      <c r="F1518" s="114">
        <f t="shared" si="77"/>
        <v>2092.23</v>
      </c>
    </row>
    <row r="1519" spans="1:6" ht="21" customHeight="1" outlineLevel="1" x14ac:dyDescent="0.25">
      <c r="A1519" s="129">
        <v>5</v>
      </c>
      <c r="B1519" s="135" t="s">
        <v>89</v>
      </c>
      <c r="C1519" s="113">
        <v>100</v>
      </c>
      <c r="D1519" s="115">
        <v>139.5</v>
      </c>
      <c r="E1519" s="127">
        <v>18564.099999999999</v>
      </c>
      <c r="F1519" s="114">
        <f t="shared" si="77"/>
        <v>25896.919499999996</v>
      </c>
    </row>
    <row r="1520" spans="1:6" ht="21" customHeight="1" outlineLevel="1" x14ac:dyDescent="0.25">
      <c r="A1520" s="129">
        <v>6</v>
      </c>
      <c r="B1520" s="135" t="s">
        <v>90</v>
      </c>
      <c r="C1520" s="113">
        <v>100</v>
      </c>
      <c r="D1520" s="115">
        <v>139.5</v>
      </c>
      <c r="E1520" s="127">
        <v>18564.099999999999</v>
      </c>
      <c r="F1520" s="114">
        <f t="shared" si="77"/>
        <v>25896.919499999996</v>
      </c>
    </row>
    <row r="1521" spans="1:6" ht="21" customHeight="1" outlineLevel="1" x14ac:dyDescent="0.25">
      <c r="A1521" s="129">
        <v>7</v>
      </c>
      <c r="B1521" s="135" t="s">
        <v>91</v>
      </c>
      <c r="C1521" s="113">
        <v>100</v>
      </c>
      <c r="D1521" s="115">
        <v>41.58</v>
      </c>
      <c r="E1521" s="127">
        <v>18017.599999999999</v>
      </c>
      <c r="F1521" s="114">
        <f t="shared" si="77"/>
        <v>7491.7180799999996</v>
      </c>
    </row>
    <row r="1522" spans="1:6" ht="21" customHeight="1" outlineLevel="1" x14ac:dyDescent="0.25">
      <c r="A1522" s="129">
        <v>8</v>
      </c>
      <c r="B1522" s="135" t="s">
        <v>92</v>
      </c>
      <c r="C1522" s="113">
        <v>100</v>
      </c>
      <c r="D1522" s="115">
        <v>41.58</v>
      </c>
      <c r="E1522" s="127">
        <v>18017.599999999999</v>
      </c>
      <c r="F1522" s="114">
        <f t="shared" si="77"/>
        <v>7491.7180799999996</v>
      </c>
    </row>
    <row r="1523" spans="1:6" ht="21" customHeight="1" outlineLevel="1" x14ac:dyDescent="0.25">
      <c r="A1523" s="129">
        <v>9</v>
      </c>
      <c r="B1523" s="135" t="s">
        <v>93</v>
      </c>
      <c r="C1523" s="113">
        <v>100</v>
      </c>
      <c r="D1523" s="115">
        <v>422.73</v>
      </c>
      <c r="E1523" s="127">
        <v>11511</v>
      </c>
      <c r="F1523" s="114">
        <f t="shared" si="77"/>
        <v>48660.450300000004</v>
      </c>
    </row>
    <row r="1524" spans="1:6" ht="21" customHeight="1" outlineLevel="1" x14ac:dyDescent="0.25">
      <c r="A1524" s="129">
        <v>10</v>
      </c>
      <c r="B1524" s="135" t="s">
        <v>94</v>
      </c>
      <c r="C1524" s="113">
        <v>100</v>
      </c>
      <c r="D1524" s="115">
        <v>126</v>
      </c>
      <c r="E1524" s="127">
        <v>10570.5</v>
      </c>
      <c r="F1524" s="114">
        <f t="shared" si="77"/>
        <v>13318.83</v>
      </c>
    </row>
    <row r="1525" spans="1:6" ht="60" outlineLevel="1" x14ac:dyDescent="0.25">
      <c r="A1525" s="129">
        <v>11</v>
      </c>
      <c r="B1525" s="135" t="s">
        <v>95</v>
      </c>
      <c r="C1525" s="113">
        <v>100</v>
      </c>
      <c r="D1525" s="115">
        <v>858.95100000000002</v>
      </c>
      <c r="E1525" s="127">
        <v>14042.6</v>
      </c>
      <c r="F1525" s="114">
        <f t="shared" si="77"/>
        <v>120619.053126</v>
      </c>
    </row>
    <row r="1526" spans="1:6" outlineLevel="1" x14ac:dyDescent="0.25">
      <c r="A1526" s="506" t="s">
        <v>43</v>
      </c>
      <c r="B1526" s="506"/>
      <c r="C1526" s="506"/>
      <c r="D1526" s="506"/>
      <c r="E1526" s="506"/>
      <c r="F1526" s="72">
        <f>SUM(F1515:F1525)</f>
        <v>271903.00476599997</v>
      </c>
    </row>
    <row r="1527" spans="1:6" outlineLevel="1" x14ac:dyDescent="0.25">
      <c r="A1527" s="534" t="s">
        <v>107</v>
      </c>
      <c r="B1527" s="534"/>
      <c r="C1527" s="534"/>
      <c r="D1527" s="534"/>
      <c r="E1527" s="534"/>
      <c r="F1527" s="534"/>
    </row>
    <row r="1528" spans="1:6" ht="75" outlineLevel="1" x14ac:dyDescent="0.25">
      <c r="A1528" s="129">
        <v>1</v>
      </c>
      <c r="B1528" s="133" t="s">
        <v>108</v>
      </c>
      <c r="C1528" s="113">
        <v>1000</v>
      </c>
      <c r="D1528" s="115">
        <v>544.8919083198</v>
      </c>
      <c r="E1528" s="115">
        <v>15824.15</v>
      </c>
      <c r="F1528" s="114">
        <f>E1528*D1528/C1528</f>
        <v>8622.4512910387621</v>
      </c>
    </row>
    <row r="1529" spans="1:6" ht="105" outlineLevel="1" x14ac:dyDescent="0.25">
      <c r="A1529" s="129">
        <v>2</v>
      </c>
      <c r="B1529" s="145" t="s">
        <v>109</v>
      </c>
      <c r="C1529" s="120">
        <v>1</v>
      </c>
      <c r="D1529" s="115">
        <v>508.5</v>
      </c>
      <c r="E1529" s="127">
        <v>12.55</v>
      </c>
      <c r="F1529" s="114">
        <f>E1529*D1529/C1529</f>
        <v>6381.6750000000002</v>
      </c>
    </row>
    <row r="1530" spans="1:6" ht="45" outlineLevel="1" x14ac:dyDescent="0.25">
      <c r="A1530" s="125">
        <v>3</v>
      </c>
      <c r="B1530" s="135" t="s">
        <v>23</v>
      </c>
      <c r="C1530" s="126"/>
      <c r="D1530" s="115"/>
      <c r="E1530" s="127">
        <v>0</v>
      </c>
      <c r="F1530" s="127"/>
    </row>
    <row r="1531" spans="1:6" outlineLevel="1" x14ac:dyDescent="0.25">
      <c r="A1531" s="125"/>
      <c r="B1531" s="133" t="s">
        <v>24</v>
      </c>
      <c r="C1531" s="113">
        <v>100</v>
      </c>
      <c r="D1531" s="115">
        <v>105.61244432480001</v>
      </c>
      <c r="E1531" s="115">
        <v>34694.300000000003</v>
      </c>
      <c r="F1531" s="114">
        <f t="shared" ref="F1531:F1536" si="78">E1531*D1531/C1531</f>
        <v>36641.498271379096</v>
      </c>
    </row>
    <row r="1532" spans="1:6" ht="35.25" customHeight="1" outlineLevel="1" x14ac:dyDescent="0.25">
      <c r="A1532" s="125">
        <v>4</v>
      </c>
      <c r="B1532" s="135" t="s">
        <v>25</v>
      </c>
      <c r="C1532" s="113">
        <v>100</v>
      </c>
      <c r="D1532" s="115">
        <v>315.04000000000002</v>
      </c>
      <c r="E1532" s="115">
        <v>32675.95</v>
      </c>
      <c r="F1532" s="114">
        <f t="shared" si="78"/>
        <v>102942.31288000001</v>
      </c>
    </row>
    <row r="1533" spans="1:6" ht="60" outlineLevel="1" x14ac:dyDescent="0.25">
      <c r="A1533" s="125">
        <v>5</v>
      </c>
      <c r="B1533" s="135" t="s">
        <v>110</v>
      </c>
      <c r="C1533" s="120">
        <v>100</v>
      </c>
      <c r="D1533" s="115">
        <v>64.5</v>
      </c>
      <c r="E1533" s="115">
        <v>11460.2</v>
      </c>
      <c r="F1533" s="114">
        <f t="shared" si="78"/>
        <v>7391.8290000000006</v>
      </c>
    </row>
    <row r="1534" spans="1:6" ht="60" outlineLevel="1" x14ac:dyDescent="0.25">
      <c r="A1534" s="125">
        <v>6</v>
      </c>
      <c r="B1534" s="133" t="s">
        <v>111</v>
      </c>
      <c r="C1534" s="120">
        <v>100</v>
      </c>
      <c r="D1534" s="115">
        <v>120</v>
      </c>
      <c r="E1534" s="115">
        <v>7607.35</v>
      </c>
      <c r="F1534" s="114">
        <f t="shared" si="78"/>
        <v>9128.82</v>
      </c>
    </row>
    <row r="1535" spans="1:6" ht="30" outlineLevel="1" x14ac:dyDescent="0.25">
      <c r="A1535" s="125">
        <v>7</v>
      </c>
      <c r="B1535" s="135" t="s">
        <v>112</v>
      </c>
      <c r="C1535" s="113">
        <v>1000</v>
      </c>
      <c r="D1535" s="115">
        <v>150</v>
      </c>
      <c r="E1535" s="115">
        <v>7547.75</v>
      </c>
      <c r="F1535" s="114">
        <f t="shared" si="78"/>
        <v>1132.1624999999999</v>
      </c>
    </row>
    <row r="1536" spans="1:6" ht="30" outlineLevel="1" x14ac:dyDescent="0.25">
      <c r="A1536" s="125">
        <v>8</v>
      </c>
      <c r="B1536" s="133" t="s">
        <v>173</v>
      </c>
      <c r="C1536" s="113">
        <v>100</v>
      </c>
      <c r="D1536" s="115">
        <v>290.89999999999998</v>
      </c>
      <c r="E1536" s="115">
        <v>35830.6</v>
      </c>
      <c r="F1536" s="114">
        <f t="shared" si="78"/>
        <v>104231.21539999999</v>
      </c>
    </row>
    <row r="1537" spans="1:6" ht="120.75" outlineLevel="1" x14ac:dyDescent="0.25">
      <c r="A1537" s="546">
        <v>9</v>
      </c>
      <c r="B1537" s="135" t="s">
        <v>47</v>
      </c>
      <c r="C1537" s="122"/>
      <c r="D1537" s="115"/>
      <c r="E1537" s="115"/>
      <c r="F1537" s="137"/>
    </row>
    <row r="1538" spans="1:6" ht="60" outlineLevel="1" x14ac:dyDescent="0.25">
      <c r="A1538" s="546"/>
      <c r="B1538" s="135" t="s">
        <v>309</v>
      </c>
      <c r="C1538" s="113">
        <v>1</v>
      </c>
      <c r="D1538" s="115">
        <v>154.16579999999999</v>
      </c>
      <c r="E1538" s="115">
        <v>741.85</v>
      </c>
      <c r="F1538" s="114">
        <f t="shared" ref="F1538:F1547" si="79">E1538*D1538/C1538</f>
        <v>114367.89873</v>
      </c>
    </row>
    <row r="1539" spans="1:6" ht="75" outlineLevel="1" x14ac:dyDescent="0.25">
      <c r="A1539" s="146">
        <v>10</v>
      </c>
      <c r="B1539" s="133" t="s">
        <v>251</v>
      </c>
      <c r="C1539" s="113">
        <v>1</v>
      </c>
      <c r="D1539" s="115">
        <v>18.407812499999999</v>
      </c>
      <c r="E1539" s="115">
        <v>595</v>
      </c>
      <c r="F1539" s="114">
        <f t="shared" si="79"/>
        <v>10952.6484375</v>
      </c>
    </row>
    <row r="1540" spans="1:6" ht="90" outlineLevel="1" x14ac:dyDescent="0.25">
      <c r="A1540" s="147">
        <v>11</v>
      </c>
      <c r="B1540" s="135" t="s">
        <v>116</v>
      </c>
      <c r="C1540" s="131">
        <v>100</v>
      </c>
      <c r="D1540" s="115">
        <v>1035.441675</v>
      </c>
      <c r="E1540" s="115">
        <v>30376.9</v>
      </c>
      <c r="F1540" s="114">
        <f t="shared" si="79"/>
        <v>314535.08217307506</v>
      </c>
    </row>
    <row r="1541" spans="1:6" ht="180" outlineLevel="1" x14ac:dyDescent="0.25">
      <c r="A1541" s="125">
        <v>12</v>
      </c>
      <c r="B1541" s="135" t="s">
        <v>117</v>
      </c>
      <c r="C1541" s="120">
        <v>1</v>
      </c>
      <c r="D1541" s="115">
        <v>32</v>
      </c>
      <c r="E1541" s="115">
        <v>2180.6999999999998</v>
      </c>
      <c r="F1541" s="114">
        <f t="shared" si="79"/>
        <v>69782.399999999994</v>
      </c>
    </row>
    <row r="1542" spans="1:6" ht="60" outlineLevel="1" x14ac:dyDescent="0.25">
      <c r="A1542" s="125">
        <v>13</v>
      </c>
      <c r="B1542" s="135" t="s">
        <v>118</v>
      </c>
      <c r="C1542" s="120">
        <v>1</v>
      </c>
      <c r="D1542" s="115">
        <v>40</v>
      </c>
      <c r="E1542" s="115">
        <v>457.1</v>
      </c>
      <c r="F1542" s="114">
        <f t="shared" si="79"/>
        <v>18284</v>
      </c>
    </row>
    <row r="1543" spans="1:6" ht="45" outlineLevel="1" x14ac:dyDescent="0.25">
      <c r="A1543" s="125">
        <v>14</v>
      </c>
      <c r="B1543" s="135" t="s">
        <v>119</v>
      </c>
      <c r="C1543" s="120">
        <v>1</v>
      </c>
      <c r="D1543" s="115">
        <v>49</v>
      </c>
      <c r="E1543" s="115">
        <v>2767</v>
      </c>
      <c r="F1543" s="114">
        <f t="shared" si="79"/>
        <v>135583</v>
      </c>
    </row>
    <row r="1544" spans="1:6" ht="75" outlineLevel="1" x14ac:dyDescent="0.25">
      <c r="A1544" s="129">
        <v>15</v>
      </c>
      <c r="B1544" s="135" t="s">
        <v>120</v>
      </c>
      <c r="C1544" s="120">
        <v>100</v>
      </c>
      <c r="D1544" s="115">
        <v>95.5625</v>
      </c>
      <c r="E1544" s="115">
        <v>13179.6</v>
      </c>
      <c r="F1544" s="114">
        <f t="shared" si="79"/>
        <v>12594.755250000002</v>
      </c>
    </row>
    <row r="1545" spans="1:6" ht="30" outlineLevel="1" x14ac:dyDescent="0.25">
      <c r="A1545" s="129">
        <v>16</v>
      </c>
      <c r="B1545" s="135" t="s">
        <v>121</v>
      </c>
      <c r="C1545" s="120">
        <v>1</v>
      </c>
      <c r="D1545" s="115">
        <v>99.5625</v>
      </c>
      <c r="E1545" s="115">
        <v>11</v>
      </c>
      <c r="F1545" s="114">
        <f t="shared" si="79"/>
        <v>1095.1875</v>
      </c>
    </row>
    <row r="1546" spans="1:6" ht="24" customHeight="1" outlineLevel="1" x14ac:dyDescent="0.25">
      <c r="A1546" s="125">
        <v>17</v>
      </c>
      <c r="B1546" s="135" t="s">
        <v>122</v>
      </c>
      <c r="C1546" s="113">
        <v>100</v>
      </c>
      <c r="D1546" s="115">
        <v>40.9375</v>
      </c>
      <c r="E1546" s="127">
        <v>3987</v>
      </c>
      <c r="F1546" s="114">
        <f t="shared" si="79"/>
        <v>1632.1781249999999</v>
      </c>
    </row>
    <row r="1547" spans="1:6" ht="45" outlineLevel="1" x14ac:dyDescent="0.25">
      <c r="A1547" s="129">
        <v>18</v>
      </c>
      <c r="B1547" s="135" t="s">
        <v>123</v>
      </c>
      <c r="C1547" s="113">
        <v>100</v>
      </c>
      <c r="D1547" s="115">
        <v>48.9375</v>
      </c>
      <c r="E1547" s="127">
        <v>12801.2</v>
      </c>
      <c r="F1547" s="114">
        <f t="shared" si="79"/>
        <v>6264.5872500000005</v>
      </c>
    </row>
    <row r="1548" spans="1:6" ht="45" outlineLevel="1" x14ac:dyDescent="0.25">
      <c r="A1548" s="546">
        <v>19</v>
      </c>
      <c r="B1548" s="112" t="s">
        <v>124</v>
      </c>
      <c r="C1548" s="122"/>
      <c r="D1548" s="115"/>
      <c r="E1548" s="115">
        <v>0</v>
      </c>
      <c r="F1548" s="127"/>
    </row>
    <row r="1549" spans="1:6" outlineLevel="1" x14ac:dyDescent="0.25">
      <c r="A1549" s="546"/>
      <c r="B1549" s="112" t="s">
        <v>125</v>
      </c>
      <c r="C1549" s="113">
        <v>100</v>
      </c>
      <c r="D1549" s="115">
        <v>45.86</v>
      </c>
      <c r="E1549" s="115">
        <v>47135.9</v>
      </c>
      <c r="F1549" s="114">
        <f t="shared" ref="F1549:F1559" si="80">E1549*D1549/C1549</f>
        <v>21616.523739999997</v>
      </c>
    </row>
    <row r="1550" spans="1:6" ht="30" outlineLevel="1" x14ac:dyDescent="0.25">
      <c r="A1550" s="125">
        <v>20</v>
      </c>
      <c r="B1550" s="135" t="s">
        <v>126</v>
      </c>
      <c r="C1550" s="120">
        <v>100</v>
      </c>
      <c r="D1550" s="115">
        <v>568.30500000000006</v>
      </c>
      <c r="E1550" s="127">
        <v>4614.1000000000004</v>
      </c>
      <c r="F1550" s="114">
        <f t="shared" si="80"/>
        <v>26222.161005000005</v>
      </c>
    </row>
    <row r="1551" spans="1:6" ht="30" outlineLevel="1" x14ac:dyDescent="0.25">
      <c r="A1551" s="125">
        <v>21</v>
      </c>
      <c r="B1551" s="135" t="s">
        <v>207</v>
      </c>
      <c r="C1551" s="120">
        <v>100</v>
      </c>
      <c r="D1551" s="115">
        <v>114.52</v>
      </c>
      <c r="E1551" s="127">
        <v>5264.65</v>
      </c>
      <c r="F1551" s="114">
        <f t="shared" si="80"/>
        <v>6029.0771800000002</v>
      </c>
    </row>
    <row r="1552" spans="1:6" ht="60" outlineLevel="1" x14ac:dyDescent="0.25">
      <c r="A1552" s="125">
        <v>22</v>
      </c>
      <c r="B1552" s="135" t="s">
        <v>128</v>
      </c>
      <c r="C1552" s="120">
        <v>100</v>
      </c>
      <c r="D1552" s="115">
        <v>489.875</v>
      </c>
      <c r="E1552" s="127">
        <v>5012.6499999999996</v>
      </c>
      <c r="F1552" s="114">
        <f t="shared" si="80"/>
        <v>24555.719187499999</v>
      </c>
    </row>
    <row r="1553" spans="1:6" ht="45" outlineLevel="1" x14ac:dyDescent="0.25">
      <c r="A1553" s="125">
        <v>23</v>
      </c>
      <c r="B1553" s="135" t="s">
        <v>129</v>
      </c>
      <c r="C1553" s="139">
        <v>1</v>
      </c>
      <c r="D1553" s="115">
        <v>13</v>
      </c>
      <c r="E1553" s="127">
        <v>514.9</v>
      </c>
      <c r="F1553" s="114">
        <f t="shared" si="80"/>
        <v>6693.7</v>
      </c>
    </row>
    <row r="1554" spans="1:6" outlineLevel="1" x14ac:dyDescent="0.25">
      <c r="A1554" s="125">
        <v>24</v>
      </c>
      <c r="B1554" s="135" t="s">
        <v>571</v>
      </c>
      <c r="C1554" s="128">
        <v>1</v>
      </c>
      <c r="D1554" s="115">
        <v>2</v>
      </c>
      <c r="E1554" s="127">
        <v>849.7</v>
      </c>
      <c r="F1554" s="114">
        <f t="shared" si="80"/>
        <v>1699.4</v>
      </c>
    </row>
    <row r="1555" spans="1:6" ht="23.25" customHeight="1" outlineLevel="1" x14ac:dyDescent="0.25">
      <c r="A1555" s="125">
        <v>25</v>
      </c>
      <c r="B1555" s="135" t="s">
        <v>131</v>
      </c>
      <c r="C1555" s="128">
        <v>1</v>
      </c>
      <c r="D1555" s="115">
        <v>1</v>
      </c>
      <c r="E1555" s="127">
        <v>1159.6500000000001</v>
      </c>
      <c r="F1555" s="114">
        <f t="shared" si="80"/>
        <v>1159.6500000000001</v>
      </c>
    </row>
    <row r="1556" spans="1:6" ht="23.25" customHeight="1" outlineLevel="1" x14ac:dyDescent="0.25">
      <c r="A1556" s="125">
        <v>26</v>
      </c>
      <c r="B1556" s="135" t="s">
        <v>132</v>
      </c>
      <c r="C1556" s="120">
        <v>100</v>
      </c>
      <c r="D1556" s="115">
        <v>510.27</v>
      </c>
      <c r="E1556" s="127">
        <v>1548.2</v>
      </c>
      <c r="F1556" s="114">
        <f t="shared" si="80"/>
        <v>7900.0001400000001</v>
      </c>
    </row>
    <row r="1557" spans="1:6" ht="45" outlineLevel="1" x14ac:dyDescent="0.25">
      <c r="A1557" s="125">
        <v>27</v>
      </c>
      <c r="B1557" s="135" t="s">
        <v>133</v>
      </c>
      <c r="C1557" s="120">
        <v>100</v>
      </c>
      <c r="D1557" s="115">
        <v>172.55500000000001</v>
      </c>
      <c r="E1557" s="127">
        <v>7379.1</v>
      </c>
      <c r="F1557" s="114">
        <f t="shared" si="80"/>
        <v>12733.006005000001</v>
      </c>
    </row>
    <row r="1558" spans="1:6" ht="30" outlineLevel="1" x14ac:dyDescent="0.25">
      <c r="A1558" s="125">
        <v>28</v>
      </c>
      <c r="B1558" s="135" t="s">
        <v>134</v>
      </c>
      <c r="C1558" s="120">
        <v>100</v>
      </c>
      <c r="D1558" s="115">
        <v>89</v>
      </c>
      <c r="E1558" s="127">
        <v>3052.4</v>
      </c>
      <c r="F1558" s="114">
        <f t="shared" si="80"/>
        <v>2716.6360000000004</v>
      </c>
    </row>
    <row r="1559" spans="1:6" ht="60" outlineLevel="1" x14ac:dyDescent="0.25">
      <c r="A1559" s="125">
        <v>29</v>
      </c>
      <c r="B1559" s="112" t="s">
        <v>135</v>
      </c>
      <c r="C1559" s="131">
        <v>100</v>
      </c>
      <c r="D1559" s="115">
        <v>334.95872267077925</v>
      </c>
      <c r="E1559" s="115">
        <v>37098.85</v>
      </c>
      <c r="F1559" s="114">
        <f t="shared" si="80"/>
        <v>124265.83408554838</v>
      </c>
    </row>
    <row r="1560" spans="1:6" ht="45" outlineLevel="1" x14ac:dyDescent="0.25">
      <c r="A1560" s="546">
        <v>30</v>
      </c>
      <c r="B1560" s="135" t="s">
        <v>136</v>
      </c>
      <c r="C1560" s="122"/>
      <c r="D1560" s="115"/>
      <c r="E1560" s="127">
        <v>0</v>
      </c>
      <c r="F1560" s="127"/>
    </row>
    <row r="1561" spans="1:6" outlineLevel="1" x14ac:dyDescent="0.25">
      <c r="A1561" s="546"/>
      <c r="B1561" s="135" t="s">
        <v>176</v>
      </c>
      <c r="C1561" s="139">
        <v>1</v>
      </c>
      <c r="D1561" s="115">
        <v>60</v>
      </c>
      <c r="E1561" s="127">
        <v>112.25</v>
      </c>
      <c r="F1561" s="114">
        <f>E1561*D1561/C1561</f>
        <v>6735</v>
      </c>
    </row>
    <row r="1562" spans="1:6" outlineLevel="1" x14ac:dyDescent="0.25">
      <c r="A1562" s="546"/>
      <c r="B1562" s="135" t="s">
        <v>177</v>
      </c>
      <c r="C1562" s="139">
        <v>1</v>
      </c>
      <c r="D1562" s="115">
        <v>30</v>
      </c>
      <c r="E1562" s="127">
        <v>133.6</v>
      </c>
      <c r="F1562" s="114">
        <f>E1562*D1562/C1562</f>
        <v>4008</v>
      </c>
    </row>
    <row r="1563" spans="1:6" outlineLevel="1" x14ac:dyDescent="0.25">
      <c r="A1563" s="125"/>
      <c r="B1563" s="135" t="s">
        <v>178</v>
      </c>
      <c r="C1563" s="139">
        <v>1</v>
      </c>
      <c r="D1563" s="115">
        <v>15</v>
      </c>
      <c r="E1563" s="127">
        <v>231.55</v>
      </c>
      <c r="F1563" s="114">
        <f>E1563*D1563/C1563</f>
        <v>3473.25</v>
      </c>
    </row>
    <row r="1564" spans="1:6" ht="75" outlineLevel="1" x14ac:dyDescent="0.25">
      <c r="A1564" s="546">
        <v>31</v>
      </c>
      <c r="B1564" s="135" t="s">
        <v>141</v>
      </c>
      <c r="C1564" s="122"/>
      <c r="D1564" s="115"/>
      <c r="E1564" s="127">
        <v>0</v>
      </c>
      <c r="F1564" s="137"/>
    </row>
    <row r="1565" spans="1:6" outlineLevel="1" x14ac:dyDescent="0.25">
      <c r="A1565" s="546"/>
      <c r="B1565" s="135" t="s">
        <v>180</v>
      </c>
      <c r="C1565" s="139">
        <v>1</v>
      </c>
      <c r="D1565" s="115">
        <v>180</v>
      </c>
      <c r="E1565" s="127">
        <v>35.700000000000003</v>
      </c>
      <c r="F1565" s="114">
        <f>E1565*D1565/C1565</f>
        <v>6426.0000000000009</v>
      </c>
    </row>
    <row r="1566" spans="1:6" outlineLevel="1" x14ac:dyDescent="0.25">
      <c r="A1566" s="146"/>
      <c r="B1566" s="135" t="s">
        <v>181</v>
      </c>
      <c r="C1566" s="139">
        <v>1</v>
      </c>
      <c r="D1566" s="115">
        <v>60</v>
      </c>
      <c r="E1566" s="127">
        <v>56.3</v>
      </c>
      <c r="F1566" s="114">
        <f>E1566*D1566/C1566</f>
        <v>3378</v>
      </c>
    </row>
    <row r="1567" spans="1:6" ht="75" outlineLevel="1" x14ac:dyDescent="0.25">
      <c r="A1567" s="125">
        <v>32</v>
      </c>
      <c r="B1567" s="135" t="s">
        <v>144</v>
      </c>
      <c r="C1567" s="139">
        <v>1</v>
      </c>
      <c r="D1567" s="115">
        <v>40</v>
      </c>
      <c r="E1567" s="127">
        <v>237.65</v>
      </c>
      <c r="F1567" s="114">
        <f>E1567*D1567/C1567</f>
        <v>9506</v>
      </c>
    </row>
    <row r="1568" spans="1:6" ht="60" outlineLevel="1" x14ac:dyDescent="0.25">
      <c r="A1568" s="546">
        <v>33</v>
      </c>
      <c r="B1568" s="135" t="s">
        <v>145</v>
      </c>
      <c r="C1568" s="122"/>
      <c r="D1568" s="115"/>
      <c r="E1568" s="127">
        <v>0</v>
      </c>
      <c r="F1568" s="137"/>
    </row>
    <row r="1569" spans="1:6" outlineLevel="1" x14ac:dyDescent="0.25">
      <c r="A1569" s="546"/>
      <c r="B1569" s="135" t="s">
        <v>183</v>
      </c>
      <c r="C1569" s="132">
        <v>1</v>
      </c>
      <c r="D1569" s="115">
        <v>1</v>
      </c>
      <c r="E1569" s="127">
        <v>382.3</v>
      </c>
      <c r="F1569" s="114">
        <f t="shared" ref="F1569:F1581" si="81">E1569*D1569/C1569</f>
        <v>382.3</v>
      </c>
    </row>
    <row r="1570" spans="1:6" outlineLevel="1" x14ac:dyDescent="0.25">
      <c r="A1570" s="546"/>
      <c r="B1570" s="135" t="s">
        <v>184</v>
      </c>
      <c r="C1570" s="132">
        <v>1</v>
      </c>
      <c r="D1570" s="115">
        <v>1</v>
      </c>
      <c r="E1570" s="127">
        <v>522.75</v>
      </c>
      <c r="F1570" s="114">
        <f t="shared" si="81"/>
        <v>522.75</v>
      </c>
    </row>
    <row r="1571" spans="1:6" outlineLevel="1" x14ac:dyDescent="0.25">
      <c r="A1571" s="546"/>
      <c r="B1571" s="135" t="s">
        <v>185</v>
      </c>
      <c r="C1571" s="132">
        <v>1</v>
      </c>
      <c r="D1571" s="115">
        <v>1</v>
      </c>
      <c r="E1571" s="127">
        <v>668.8</v>
      </c>
      <c r="F1571" s="114">
        <f t="shared" si="81"/>
        <v>668.8</v>
      </c>
    </row>
    <row r="1572" spans="1:6" ht="23.25" customHeight="1" outlineLevel="1" x14ac:dyDescent="0.25">
      <c r="A1572" s="125">
        <v>34</v>
      </c>
      <c r="B1572" s="135" t="s">
        <v>237</v>
      </c>
      <c r="C1572" s="132">
        <v>1</v>
      </c>
      <c r="D1572" s="115">
        <v>20</v>
      </c>
      <c r="E1572" s="127">
        <v>102.7</v>
      </c>
      <c r="F1572" s="114">
        <f t="shared" si="81"/>
        <v>2054</v>
      </c>
    </row>
    <row r="1573" spans="1:6" ht="22.5" customHeight="1" outlineLevel="1" x14ac:dyDescent="0.25">
      <c r="A1573" s="125">
        <v>35</v>
      </c>
      <c r="B1573" s="135" t="s">
        <v>150</v>
      </c>
      <c r="C1573" s="132">
        <v>1</v>
      </c>
      <c r="D1573" s="115">
        <v>4</v>
      </c>
      <c r="E1573" s="127">
        <v>96.3</v>
      </c>
      <c r="F1573" s="114">
        <f t="shared" si="81"/>
        <v>385.2</v>
      </c>
    </row>
    <row r="1574" spans="1:6" ht="22.5" customHeight="1" outlineLevel="1" x14ac:dyDescent="0.25">
      <c r="A1574" s="125">
        <v>36</v>
      </c>
      <c r="B1574" s="135" t="s">
        <v>151</v>
      </c>
      <c r="C1574" s="132">
        <v>1</v>
      </c>
      <c r="D1574" s="115">
        <v>2</v>
      </c>
      <c r="E1574" s="127">
        <v>204.7</v>
      </c>
      <c r="F1574" s="114">
        <f t="shared" si="81"/>
        <v>409.4</v>
      </c>
    </row>
    <row r="1575" spans="1:6" ht="30" outlineLevel="1" x14ac:dyDescent="0.25">
      <c r="A1575" s="125">
        <v>37</v>
      </c>
      <c r="B1575" s="135" t="s">
        <v>186</v>
      </c>
      <c r="C1575" s="132">
        <v>1</v>
      </c>
      <c r="D1575" s="115">
        <v>1</v>
      </c>
      <c r="E1575" s="127">
        <v>213.1</v>
      </c>
      <c r="F1575" s="114">
        <f t="shared" si="81"/>
        <v>213.1</v>
      </c>
    </row>
    <row r="1576" spans="1:6" ht="135" outlineLevel="1" x14ac:dyDescent="0.25">
      <c r="A1576" s="125">
        <v>38</v>
      </c>
      <c r="B1576" s="133" t="s">
        <v>208</v>
      </c>
      <c r="C1576" s="128">
        <v>1</v>
      </c>
      <c r="D1576" s="115">
        <v>1</v>
      </c>
      <c r="E1576" s="127">
        <v>24422.65</v>
      </c>
      <c r="F1576" s="114">
        <f t="shared" si="81"/>
        <v>24422.65</v>
      </c>
    </row>
    <row r="1577" spans="1:6" ht="90" outlineLevel="1" x14ac:dyDescent="0.25">
      <c r="A1577" s="125">
        <v>39</v>
      </c>
      <c r="B1577" s="135" t="s">
        <v>154</v>
      </c>
      <c r="C1577" s="128">
        <v>1</v>
      </c>
      <c r="D1577" s="115">
        <v>6</v>
      </c>
      <c r="E1577" s="127">
        <v>1453.75</v>
      </c>
      <c r="F1577" s="114">
        <f t="shared" si="81"/>
        <v>8722.5</v>
      </c>
    </row>
    <row r="1578" spans="1:6" ht="135" outlineLevel="1" x14ac:dyDescent="0.25">
      <c r="A1578" s="125">
        <v>40</v>
      </c>
      <c r="B1578" s="133" t="s">
        <v>155</v>
      </c>
      <c r="C1578" s="128">
        <v>1</v>
      </c>
      <c r="D1578" s="115">
        <v>2</v>
      </c>
      <c r="E1578" s="127">
        <v>13796.3</v>
      </c>
      <c r="F1578" s="114">
        <f t="shared" si="81"/>
        <v>27592.6</v>
      </c>
    </row>
    <row r="1579" spans="1:6" ht="150" outlineLevel="1" x14ac:dyDescent="0.25">
      <c r="A1579" s="125">
        <v>41</v>
      </c>
      <c r="B1579" s="133" t="s">
        <v>156</v>
      </c>
      <c r="C1579" s="128">
        <v>1</v>
      </c>
      <c r="D1579" s="115">
        <v>1</v>
      </c>
      <c r="E1579" s="127">
        <v>19859.400000000001</v>
      </c>
      <c r="F1579" s="114">
        <f t="shared" si="81"/>
        <v>19859.400000000001</v>
      </c>
    </row>
    <row r="1580" spans="1:6" ht="60" outlineLevel="1" x14ac:dyDescent="0.25">
      <c r="A1580" s="125">
        <v>42</v>
      </c>
      <c r="B1580" s="135" t="s">
        <v>157</v>
      </c>
      <c r="C1580" s="128">
        <v>1</v>
      </c>
      <c r="D1580" s="115">
        <v>3</v>
      </c>
      <c r="E1580" s="127">
        <v>1995.3</v>
      </c>
      <c r="F1580" s="114">
        <f t="shared" si="81"/>
        <v>5985.9</v>
      </c>
    </row>
    <row r="1581" spans="1:6" ht="30" outlineLevel="1" x14ac:dyDescent="0.25">
      <c r="A1581" s="125">
        <v>43</v>
      </c>
      <c r="B1581" s="135" t="s">
        <v>158</v>
      </c>
      <c r="C1581" s="128">
        <v>1</v>
      </c>
      <c r="D1581" s="115">
        <v>3</v>
      </c>
      <c r="E1581" s="127">
        <v>178.75</v>
      </c>
      <c r="F1581" s="114">
        <f t="shared" si="81"/>
        <v>536.25</v>
      </c>
    </row>
    <row r="1582" spans="1:6" ht="75.75" outlineLevel="1" x14ac:dyDescent="0.25">
      <c r="A1582" s="125">
        <v>44</v>
      </c>
      <c r="B1582" s="133" t="s">
        <v>40</v>
      </c>
      <c r="C1582" s="126"/>
      <c r="D1582" s="115"/>
      <c r="E1582" s="114"/>
      <c r="F1582" s="114"/>
    </row>
    <row r="1583" spans="1:6" outlineLevel="1" x14ac:dyDescent="0.25">
      <c r="A1583" s="125" t="s">
        <v>67</v>
      </c>
      <c r="B1583" s="133" t="s">
        <v>68</v>
      </c>
      <c r="C1583" s="113">
        <v>100</v>
      </c>
      <c r="D1583" s="115">
        <v>101.387946551808</v>
      </c>
      <c r="E1583" s="114">
        <v>14042.6</v>
      </c>
      <c r="F1583" s="114">
        <f>E1583*D1583/C1583</f>
        <v>14237.503782484191</v>
      </c>
    </row>
    <row r="1584" spans="1:6" outlineLevel="1" x14ac:dyDescent="0.25">
      <c r="A1584" s="125" t="s">
        <v>41</v>
      </c>
      <c r="B1584" s="133" t="s">
        <v>42</v>
      </c>
      <c r="C1584" s="113">
        <v>100</v>
      </c>
      <c r="D1584" s="115">
        <v>40.3568</v>
      </c>
      <c r="E1584" s="114">
        <v>14042.6</v>
      </c>
      <c r="F1584" s="114">
        <f>E1584*D1584/C1584</f>
        <v>5667.1439968000004</v>
      </c>
    </row>
    <row r="1585" spans="1:8" outlineLevel="1" x14ac:dyDescent="0.25">
      <c r="A1585" s="125" t="s">
        <v>70</v>
      </c>
      <c r="B1585" s="133" t="s">
        <v>159</v>
      </c>
      <c r="C1585" s="113">
        <v>100</v>
      </c>
      <c r="D1585" s="115">
        <v>151.864779</v>
      </c>
      <c r="E1585" s="114">
        <v>14042.6</v>
      </c>
      <c r="F1585" s="114">
        <f>E1585*D1585/C1585</f>
        <v>21325.763455854001</v>
      </c>
    </row>
    <row r="1586" spans="1:8" outlineLevel="1" x14ac:dyDescent="0.25">
      <c r="A1586" s="125" t="s">
        <v>160</v>
      </c>
      <c r="B1586" s="133" t="s">
        <v>161</v>
      </c>
      <c r="C1586" s="113">
        <v>100</v>
      </c>
      <c r="D1586" s="115">
        <v>7.0949999999999998</v>
      </c>
      <c r="E1586" s="114">
        <v>14042.6</v>
      </c>
      <c r="F1586" s="114">
        <f>E1586*D1586/C1586</f>
        <v>996.32247000000007</v>
      </c>
    </row>
    <row r="1587" spans="1:8" outlineLevel="1" x14ac:dyDescent="0.25">
      <c r="A1587" s="506" t="s">
        <v>83</v>
      </c>
      <c r="B1587" s="506"/>
      <c r="C1587" s="506"/>
      <c r="D1587" s="506"/>
      <c r="E1587" s="506"/>
      <c r="F1587" s="72">
        <f>SUM(F1528:F1586)</f>
        <v>1364663.2428561794</v>
      </c>
    </row>
    <row r="1588" spans="1:8" outlineLevel="1" x14ac:dyDescent="0.25">
      <c r="A1588" s="539" t="s">
        <v>310</v>
      </c>
      <c r="B1588" s="539"/>
      <c r="C1588" s="539"/>
      <c r="D1588" s="539"/>
      <c r="E1588" s="539"/>
      <c r="F1588" s="257">
        <f>F1587+F1526+F1513+F1495+F1480+F1460</f>
        <v>21217048.380981624</v>
      </c>
    </row>
    <row r="1589" spans="1:8" s="6" customFormat="1" ht="25.5" customHeight="1" x14ac:dyDescent="0.25">
      <c r="A1589" s="547" t="s">
        <v>552</v>
      </c>
      <c r="B1589" s="548"/>
      <c r="C1589" s="548"/>
      <c r="D1589" s="548"/>
      <c r="E1589" s="549"/>
      <c r="F1589" s="262">
        <f>F1842</f>
        <v>294349620.56384778</v>
      </c>
      <c r="G1589" s="456">
        <f>H1589-F1589</f>
        <v>-12.243847787380219</v>
      </c>
      <c r="H1589" s="6">
        <v>294349608.31999999</v>
      </c>
    </row>
    <row r="1590" spans="1:8" s="7" customFormat="1" ht="31.5" customHeight="1" outlineLevel="1" x14ac:dyDescent="0.25">
      <c r="A1590" s="551" t="s">
        <v>476</v>
      </c>
      <c r="B1590" s="551"/>
      <c r="C1590" s="551"/>
      <c r="D1590" s="551"/>
      <c r="E1590" s="551"/>
      <c r="F1590" s="551"/>
      <c r="G1590" s="454"/>
    </row>
    <row r="1591" spans="1:8" s="7" customFormat="1" ht="15" customHeight="1" outlineLevel="1" x14ac:dyDescent="0.25">
      <c r="A1591" s="552" t="s">
        <v>477</v>
      </c>
      <c r="B1591" s="552"/>
      <c r="C1591" s="552"/>
      <c r="D1591" s="552"/>
      <c r="E1591" s="552"/>
      <c r="F1591" s="552"/>
      <c r="G1591" s="454"/>
    </row>
    <row r="1592" spans="1:8" s="7" customFormat="1" outlineLevel="1" x14ac:dyDescent="0.25">
      <c r="A1592" s="221">
        <v>1</v>
      </c>
      <c r="B1592" s="222" t="s">
        <v>409</v>
      </c>
      <c r="C1592" s="221" t="s">
        <v>474</v>
      </c>
      <c r="D1592" s="222">
        <v>25</v>
      </c>
      <c r="E1592" s="222">
        <v>71344</v>
      </c>
      <c r="F1592" s="223">
        <v>1783600</v>
      </c>
      <c r="G1592" s="454"/>
    </row>
    <row r="1593" spans="1:8" s="7" customFormat="1" outlineLevel="1" x14ac:dyDescent="0.25">
      <c r="A1593" s="221">
        <v>2</v>
      </c>
      <c r="B1593" s="222" t="s">
        <v>410</v>
      </c>
      <c r="C1593" s="221" t="s">
        <v>474</v>
      </c>
      <c r="D1593" s="222">
        <v>700</v>
      </c>
      <c r="E1593" s="222">
        <v>71680</v>
      </c>
      <c r="F1593" s="223">
        <v>50176000</v>
      </c>
      <c r="G1593" s="454"/>
    </row>
    <row r="1594" spans="1:8" s="7" customFormat="1" outlineLevel="1" x14ac:dyDescent="0.25">
      <c r="A1594" s="221">
        <v>3</v>
      </c>
      <c r="B1594" s="222" t="s">
        <v>411</v>
      </c>
      <c r="C1594" s="221" t="s">
        <v>474</v>
      </c>
      <c r="D1594" s="222">
        <v>700</v>
      </c>
      <c r="E1594" s="222">
        <v>5488</v>
      </c>
      <c r="F1594" s="223">
        <v>3841600</v>
      </c>
      <c r="G1594" s="454"/>
    </row>
    <row r="1595" spans="1:8" s="7" customFormat="1" outlineLevel="1" x14ac:dyDescent="0.25">
      <c r="A1595" s="221">
        <v>4</v>
      </c>
      <c r="B1595" s="222" t="s">
        <v>412</v>
      </c>
      <c r="C1595" s="221" t="s">
        <v>474</v>
      </c>
      <c r="D1595" s="222">
        <v>1000</v>
      </c>
      <c r="E1595" s="222">
        <v>8333</v>
      </c>
      <c r="F1595" s="223">
        <v>8333000</v>
      </c>
      <c r="G1595" s="454"/>
    </row>
    <row r="1596" spans="1:8" s="7" customFormat="1" outlineLevel="1" x14ac:dyDescent="0.25">
      <c r="A1596" s="221">
        <v>5</v>
      </c>
      <c r="B1596" s="222" t="s">
        <v>413</v>
      </c>
      <c r="C1596" s="221" t="s">
        <v>474</v>
      </c>
      <c r="D1596" s="222">
        <v>1500</v>
      </c>
      <c r="E1596" s="222">
        <v>4250</v>
      </c>
      <c r="F1596" s="223">
        <v>6375000</v>
      </c>
      <c r="G1596" s="454"/>
    </row>
    <row r="1597" spans="1:8" s="7" customFormat="1" outlineLevel="1" x14ac:dyDescent="0.25">
      <c r="A1597" s="221">
        <v>6</v>
      </c>
      <c r="B1597" s="222" t="s">
        <v>414</v>
      </c>
      <c r="C1597" s="221" t="s">
        <v>474</v>
      </c>
      <c r="D1597" s="222">
        <v>1200</v>
      </c>
      <c r="E1597" s="222">
        <v>609</v>
      </c>
      <c r="F1597" s="223">
        <v>730800</v>
      </c>
      <c r="G1597" s="454"/>
    </row>
    <row r="1598" spans="1:8" s="7" customFormat="1" outlineLevel="1" x14ac:dyDescent="0.25">
      <c r="A1598" s="221">
        <v>7</v>
      </c>
      <c r="B1598" s="222" t="s">
        <v>415</v>
      </c>
      <c r="C1598" s="221" t="s">
        <v>474</v>
      </c>
      <c r="D1598" s="222">
        <v>250</v>
      </c>
      <c r="E1598" s="222">
        <v>1797</v>
      </c>
      <c r="F1598" s="223">
        <v>449250</v>
      </c>
      <c r="G1598" s="454"/>
    </row>
    <row r="1599" spans="1:8" s="7" customFormat="1" outlineLevel="1" x14ac:dyDescent="0.25">
      <c r="A1599" s="221">
        <v>8</v>
      </c>
      <c r="B1599" s="222" t="s">
        <v>416</v>
      </c>
      <c r="C1599" s="221" t="s">
        <v>474</v>
      </c>
      <c r="D1599" s="222">
        <v>1000</v>
      </c>
      <c r="E1599" s="222">
        <v>599</v>
      </c>
      <c r="F1599" s="223">
        <v>599000</v>
      </c>
      <c r="G1599" s="454"/>
    </row>
    <row r="1600" spans="1:8" s="7" customFormat="1" outlineLevel="1" x14ac:dyDescent="0.25">
      <c r="A1600" s="221">
        <v>9</v>
      </c>
      <c r="B1600" s="222" t="s">
        <v>417</v>
      </c>
      <c r="C1600" s="221" t="s">
        <v>474</v>
      </c>
      <c r="D1600" s="222">
        <v>700</v>
      </c>
      <c r="E1600" s="222">
        <v>358</v>
      </c>
      <c r="F1600" s="223">
        <v>250600</v>
      </c>
      <c r="G1600" s="454"/>
    </row>
    <row r="1601" spans="1:7" s="7" customFormat="1" outlineLevel="1" x14ac:dyDescent="0.25">
      <c r="A1601" s="221">
        <v>10</v>
      </c>
      <c r="B1601" s="222" t="s">
        <v>418</v>
      </c>
      <c r="C1601" s="221" t="s">
        <v>474</v>
      </c>
      <c r="D1601" s="222">
        <v>500</v>
      </c>
      <c r="E1601" s="222">
        <v>208</v>
      </c>
      <c r="F1601" s="223">
        <v>104000</v>
      </c>
      <c r="G1601" s="454"/>
    </row>
    <row r="1602" spans="1:7" s="7" customFormat="1" outlineLevel="1" x14ac:dyDescent="0.25">
      <c r="A1602" s="221">
        <v>11</v>
      </c>
      <c r="B1602" s="222" t="s">
        <v>419</v>
      </c>
      <c r="C1602" s="221" t="s">
        <v>474</v>
      </c>
      <c r="D1602" s="222">
        <v>500</v>
      </c>
      <c r="E1602" s="222">
        <v>184</v>
      </c>
      <c r="F1602" s="223">
        <v>92000</v>
      </c>
      <c r="G1602" s="454"/>
    </row>
    <row r="1603" spans="1:7" s="7" customFormat="1" outlineLevel="1" x14ac:dyDescent="0.25">
      <c r="A1603" s="221">
        <v>12</v>
      </c>
      <c r="B1603" s="222" t="s">
        <v>420</v>
      </c>
      <c r="C1603" s="221" t="s">
        <v>474</v>
      </c>
      <c r="D1603" s="222">
        <v>200</v>
      </c>
      <c r="E1603" s="222">
        <v>49</v>
      </c>
      <c r="F1603" s="223">
        <v>9800</v>
      </c>
      <c r="G1603" s="454"/>
    </row>
    <row r="1604" spans="1:7" s="7" customFormat="1" outlineLevel="1" x14ac:dyDescent="0.25">
      <c r="A1604" s="221">
        <v>13</v>
      </c>
      <c r="B1604" s="222" t="s">
        <v>421</v>
      </c>
      <c r="C1604" s="221" t="s">
        <v>474</v>
      </c>
      <c r="D1604" s="222">
        <v>150</v>
      </c>
      <c r="E1604" s="222">
        <v>3935</v>
      </c>
      <c r="F1604" s="223">
        <v>590250</v>
      </c>
      <c r="G1604" s="454"/>
    </row>
    <row r="1605" spans="1:7" s="7" customFormat="1" outlineLevel="1" x14ac:dyDescent="0.25">
      <c r="A1605" s="221">
        <v>14</v>
      </c>
      <c r="B1605" s="222" t="s">
        <v>422</v>
      </c>
      <c r="C1605" s="221" t="s">
        <v>558</v>
      </c>
      <c r="D1605" s="222">
        <v>1200</v>
      </c>
      <c r="E1605" s="222">
        <v>399</v>
      </c>
      <c r="F1605" s="223">
        <v>478800</v>
      </c>
      <c r="G1605" s="454"/>
    </row>
    <row r="1606" spans="1:7" s="7" customFormat="1" outlineLevel="1" x14ac:dyDescent="0.25">
      <c r="A1606" s="221">
        <v>15</v>
      </c>
      <c r="B1606" s="222" t="s">
        <v>423</v>
      </c>
      <c r="C1606" s="221" t="s">
        <v>474</v>
      </c>
      <c r="D1606" s="222">
        <v>55000</v>
      </c>
      <c r="E1606" s="222">
        <v>246</v>
      </c>
      <c r="F1606" s="223">
        <v>13530000</v>
      </c>
      <c r="G1606" s="454"/>
    </row>
    <row r="1607" spans="1:7" customFormat="1" outlineLevel="1" x14ac:dyDescent="0.25">
      <c r="A1607" s="553" t="s">
        <v>475</v>
      </c>
      <c r="B1607" s="554"/>
      <c r="C1607" s="554"/>
      <c r="D1607" s="554"/>
      <c r="E1607" s="555"/>
      <c r="F1607" s="220">
        <f>SUM(F1592:F1606)</f>
        <v>87343700</v>
      </c>
      <c r="G1607" s="459"/>
    </row>
    <row r="1608" spans="1:7" customFormat="1" ht="15" customHeight="1" outlineLevel="1" x14ac:dyDescent="0.25">
      <c r="A1608" s="552" t="s">
        <v>478</v>
      </c>
      <c r="B1608" s="552"/>
      <c r="C1608" s="552"/>
      <c r="D1608" s="552"/>
      <c r="E1608" s="552"/>
      <c r="F1608" s="552"/>
      <c r="G1608" s="459"/>
    </row>
    <row r="1609" spans="1:7" s="7" customFormat="1" outlineLevel="1" x14ac:dyDescent="0.25">
      <c r="A1609" s="221">
        <v>1</v>
      </c>
      <c r="B1609" s="222" t="s">
        <v>424</v>
      </c>
      <c r="C1609" s="221" t="s">
        <v>474</v>
      </c>
      <c r="D1609" s="222">
        <v>2</v>
      </c>
      <c r="E1609" s="222">
        <v>2189000</v>
      </c>
      <c r="F1609" s="223">
        <v>4378000</v>
      </c>
      <c r="G1609" s="454"/>
    </row>
    <row r="1610" spans="1:7" s="7" customFormat="1" outlineLevel="1" x14ac:dyDescent="0.25">
      <c r="A1610" s="221">
        <v>2</v>
      </c>
      <c r="B1610" s="222" t="s">
        <v>425</v>
      </c>
      <c r="C1610" s="221" t="s">
        <v>474</v>
      </c>
      <c r="D1610" s="222">
        <v>5</v>
      </c>
      <c r="E1610" s="222">
        <v>506760</v>
      </c>
      <c r="F1610" s="223">
        <v>2533800</v>
      </c>
      <c r="G1610" s="454"/>
    </row>
    <row r="1611" spans="1:7" s="7" customFormat="1" outlineLevel="1" x14ac:dyDescent="0.25">
      <c r="A1611" s="221">
        <v>3</v>
      </c>
      <c r="B1611" s="222" t="s">
        <v>426</v>
      </c>
      <c r="C1611" s="221" t="s">
        <v>474</v>
      </c>
      <c r="D1611" s="222">
        <v>5</v>
      </c>
      <c r="E1611" s="222">
        <v>400567</v>
      </c>
      <c r="F1611" s="223">
        <v>2002835</v>
      </c>
      <c r="G1611" s="454"/>
    </row>
    <row r="1612" spans="1:7" s="7" customFormat="1" outlineLevel="1" x14ac:dyDescent="0.25">
      <c r="A1612" s="221">
        <v>4</v>
      </c>
      <c r="B1612" s="222" t="s">
        <v>427</v>
      </c>
      <c r="C1612" s="221" t="s">
        <v>474</v>
      </c>
      <c r="D1612" s="222">
        <v>40</v>
      </c>
      <c r="E1612" s="222">
        <v>286340</v>
      </c>
      <c r="F1612" s="223">
        <v>11453600</v>
      </c>
      <c r="G1612" s="454"/>
    </row>
    <row r="1613" spans="1:7" s="7" customFormat="1" outlineLevel="1" x14ac:dyDescent="0.25">
      <c r="A1613" s="221">
        <v>5</v>
      </c>
      <c r="B1613" s="222" t="s">
        <v>411</v>
      </c>
      <c r="C1613" s="221" t="s">
        <v>474</v>
      </c>
      <c r="D1613" s="222">
        <v>120</v>
      </c>
      <c r="E1613" s="222">
        <v>5488</v>
      </c>
      <c r="F1613" s="223">
        <v>658560</v>
      </c>
      <c r="G1613" s="454"/>
    </row>
    <row r="1614" spans="1:7" s="7" customFormat="1" outlineLevel="1" x14ac:dyDescent="0.25">
      <c r="A1614" s="221">
        <v>6</v>
      </c>
      <c r="B1614" s="222" t="s">
        <v>412</v>
      </c>
      <c r="C1614" s="221" t="s">
        <v>474</v>
      </c>
      <c r="D1614" s="222">
        <v>700</v>
      </c>
      <c r="E1614" s="222">
        <v>8333</v>
      </c>
      <c r="F1614" s="223">
        <v>5833100</v>
      </c>
      <c r="G1614" s="454"/>
    </row>
    <row r="1615" spans="1:7" s="7" customFormat="1" outlineLevel="1" x14ac:dyDescent="0.25">
      <c r="A1615" s="221">
        <v>7</v>
      </c>
      <c r="B1615" s="222" t="s">
        <v>415</v>
      </c>
      <c r="C1615" s="221" t="s">
        <v>474</v>
      </c>
      <c r="D1615" s="222">
        <v>2100</v>
      </c>
      <c r="E1615" s="222">
        <v>1797</v>
      </c>
      <c r="F1615" s="223">
        <v>3773700</v>
      </c>
      <c r="G1615" s="454"/>
    </row>
    <row r="1616" spans="1:7" s="7" customFormat="1" outlineLevel="1" x14ac:dyDescent="0.25">
      <c r="A1616" s="221">
        <v>8</v>
      </c>
      <c r="B1616" s="222" t="s">
        <v>428</v>
      </c>
      <c r="C1616" s="221" t="s">
        <v>474</v>
      </c>
      <c r="D1616" s="222">
        <v>60</v>
      </c>
      <c r="E1616" s="222">
        <v>24290</v>
      </c>
      <c r="F1616" s="223">
        <v>1457400</v>
      </c>
      <c r="G1616" s="454"/>
    </row>
    <row r="1617" spans="1:7" s="7" customFormat="1" outlineLevel="1" x14ac:dyDescent="0.25">
      <c r="A1617" s="221">
        <v>9</v>
      </c>
      <c r="B1617" s="222" t="s">
        <v>423</v>
      </c>
      <c r="C1617" s="221" t="s">
        <v>474</v>
      </c>
      <c r="D1617" s="222">
        <v>3200</v>
      </c>
      <c r="E1617" s="222">
        <v>246</v>
      </c>
      <c r="F1617" s="223">
        <v>787200</v>
      </c>
      <c r="G1617" s="454"/>
    </row>
    <row r="1618" spans="1:7" s="7" customFormat="1" outlineLevel="1" x14ac:dyDescent="0.25">
      <c r="A1618" s="221">
        <v>10</v>
      </c>
      <c r="B1618" s="222" t="s">
        <v>429</v>
      </c>
      <c r="C1618" s="221" t="s">
        <v>474</v>
      </c>
      <c r="D1618" s="222">
        <v>500</v>
      </c>
      <c r="E1618" s="222">
        <v>198</v>
      </c>
      <c r="F1618" s="223">
        <v>99000</v>
      </c>
      <c r="G1618" s="454"/>
    </row>
    <row r="1619" spans="1:7" s="7" customFormat="1" outlineLevel="1" x14ac:dyDescent="0.25">
      <c r="A1619" s="221">
        <v>11</v>
      </c>
      <c r="B1619" s="222" t="s">
        <v>430</v>
      </c>
      <c r="C1619" s="221" t="s">
        <v>474</v>
      </c>
      <c r="D1619" s="222">
        <v>150</v>
      </c>
      <c r="E1619" s="222">
        <v>18250</v>
      </c>
      <c r="F1619" s="223">
        <v>2737500</v>
      </c>
      <c r="G1619" s="454"/>
    </row>
    <row r="1620" spans="1:7" s="7" customFormat="1" outlineLevel="1" x14ac:dyDescent="0.25">
      <c r="A1620" s="221">
        <v>12</v>
      </c>
      <c r="B1620" s="222" t="s">
        <v>431</v>
      </c>
      <c r="C1620" s="221" t="s">
        <v>474</v>
      </c>
      <c r="D1620" s="222">
        <v>50</v>
      </c>
      <c r="E1620" s="222">
        <v>4770</v>
      </c>
      <c r="F1620" s="223">
        <v>238500</v>
      </c>
      <c r="G1620" s="454"/>
    </row>
    <row r="1621" spans="1:7" s="7" customFormat="1" outlineLevel="1" x14ac:dyDescent="0.25">
      <c r="A1621" s="221">
        <v>13</v>
      </c>
      <c r="B1621" s="222" t="s">
        <v>432</v>
      </c>
      <c r="C1621" s="221" t="s">
        <v>474</v>
      </c>
      <c r="D1621" s="222">
        <v>50</v>
      </c>
      <c r="E1621" s="222">
        <v>10900</v>
      </c>
      <c r="F1621" s="223">
        <v>545000</v>
      </c>
      <c r="G1621" s="454"/>
    </row>
    <row r="1622" spans="1:7" s="7" customFormat="1" outlineLevel="1" x14ac:dyDescent="0.25">
      <c r="A1622" s="221">
        <v>14</v>
      </c>
      <c r="B1622" s="222" t="s">
        <v>433</v>
      </c>
      <c r="C1622" s="221" t="s">
        <v>474</v>
      </c>
      <c r="D1622" s="222">
        <v>500</v>
      </c>
      <c r="E1622" s="222">
        <v>23650</v>
      </c>
      <c r="F1622" s="223">
        <v>11825000</v>
      </c>
      <c r="G1622" s="454"/>
    </row>
    <row r="1623" spans="1:7" s="7" customFormat="1" ht="44.25" customHeight="1" outlineLevel="1" x14ac:dyDescent="0.25">
      <c r="A1623" s="221">
        <v>15</v>
      </c>
      <c r="B1623" s="224" t="s">
        <v>434</v>
      </c>
      <c r="C1623" s="221" t="s">
        <v>474</v>
      </c>
      <c r="D1623" s="222">
        <v>200</v>
      </c>
      <c r="E1623" s="222">
        <v>3378.5</v>
      </c>
      <c r="F1623" s="223">
        <v>675700</v>
      </c>
      <c r="G1623" s="454"/>
    </row>
    <row r="1624" spans="1:7" s="7" customFormat="1" ht="58.5" customHeight="1" outlineLevel="1" x14ac:dyDescent="0.25">
      <c r="A1624" s="221">
        <v>16</v>
      </c>
      <c r="B1624" s="224" t="s">
        <v>515</v>
      </c>
      <c r="C1624" s="221" t="s">
        <v>474</v>
      </c>
      <c r="D1624" s="222">
        <v>200</v>
      </c>
      <c r="E1624" s="222">
        <v>6949.8</v>
      </c>
      <c r="F1624" s="223">
        <v>1389960</v>
      </c>
      <c r="G1624" s="454"/>
    </row>
    <row r="1625" spans="1:7" s="7" customFormat="1" ht="31.5" outlineLevel="1" x14ac:dyDescent="0.25">
      <c r="A1625" s="221">
        <v>17</v>
      </c>
      <c r="B1625" s="224" t="s">
        <v>435</v>
      </c>
      <c r="C1625" s="221" t="s">
        <v>474</v>
      </c>
      <c r="D1625" s="222">
        <v>200</v>
      </c>
      <c r="E1625" s="222">
        <v>4113.3</v>
      </c>
      <c r="F1625" s="223">
        <v>822660</v>
      </c>
      <c r="G1625" s="454"/>
    </row>
    <row r="1626" spans="1:7" s="7" customFormat="1" outlineLevel="1" x14ac:dyDescent="0.25">
      <c r="A1626" s="553" t="s">
        <v>475</v>
      </c>
      <c r="B1626" s="554"/>
      <c r="C1626" s="554"/>
      <c r="D1626" s="554"/>
      <c r="E1626" s="555"/>
      <c r="F1626" s="241">
        <f>SUM(F1609:F1625)</f>
        <v>51211515</v>
      </c>
      <c r="G1626" s="454"/>
    </row>
    <row r="1627" spans="1:7" s="7" customFormat="1" ht="15" customHeight="1" outlineLevel="1" x14ac:dyDescent="0.25">
      <c r="A1627" s="552" t="s">
        <v>479</v>
      </c>
      <c r="B1627" s="552"/>
      <c r="C1627" s="552"/>
      <c r="D1627" s="552"/>
      <c r="E1627" s="552"/>
      <c r="F1627" s="552"/>
      <c r="G1627" s="454"/>
    </row>
    <row r="1628" spans="1:7" s="7" customFormat="1" outlineLevel="1" x14ac:dyDescent="0.25">
      <c r="A1628" s="221">
        <v>1</v>
      </c>
      <c r="B1628" s="222" t="s">
        <v>436</v>
      </c>
      <c r="C1628" s="221" t="s">
        <v>474</v>
      </c>
      <c r="D1628" s="222">
        <v>5000</v>
      </c>
      <c r="E1628" s="222">
        <v>976</v>
      </c>
      <c r="F1628" s="223">
        <v>4880000</v>
      </c>
      <c r="G1628" s="454"/>
    </row>
    <row r="1629" spans="1:7" s="7" customFormat="1" outlineLevel="1" x14ac:dyDescent="0.25">
      <c r="A1629" s="221">
        <v>2</v>
      </c>
      <c r="B1629" s="222" t="s">
        <v>437</v>
      </c>
      <c r="C1629" s="221" t="s">
        <v>474</v>
      </c>
      <c r="D1629" s="222">
        <v>50</v>
      </c>
      <c r="E1629" s="222">
        <v>48900</v>
      </c>
      <c r="F1629" s="223">
        <v>2445000</v>
      </c>
      <c r="G1629" s="454"/>
    </row>
    <row r="1630" spans="1:7" s="7" customFormat="1" outlineLevel="1" x14ac:dyDescent="0.25">
      <c r="A1630" s="221">
        <v>3</v>
      </c>
      <c r="B1630" s="222" t="s">
        <v>438</v>
      </c>
      <c r="C1630" s="221" t="s">
        <v>474</v>
      </c>
      <c r="D1630" s="222">
        <v>10</v>
      </c>
      <c r="E1630" s="222">
        <v>31300</v>
      </c>
      <c r="F1630" s="223">
        <v>313000</v>
      </c>
      <c r="G1630" s="454"/>
    </row>
    <row r="1631" spans="1:7" s="7" customFormat="1" outlineLevel="1" x14ac:dyDescent="0.25">
      <c r="A1631" s="221">
        <v>4</v>
      </c>
      <c r="B1631" s="222" t="s">
        <v>439</v>
      </c>
      <c r="C1631" s="221" t="s">
        <v>474</v>
      </c>
      <c r="D1631" s="222">
        <v>20</v>
      </c>
      <c r="E1631" s="222">
        <v>5488</v>
      </c>
      <c r="F1631" s="223">
        <v>109760</v>
      </c>
      <c r="G1631" s="454"/>
    </row>
    <row r="1632" spans="1:7" s="7" customFormat="1" outlineLevel="1" x14ac:dyDescent="0.25">
      <c r="A1632" s="221">
        <v>5</v>
      </c>
      <c r="B1632" s="222" t="s">
        <v>440</v>
      </c>
      <c r="C1632" s="221" t="s">
        <v>474</v>
      </c>
      <c r="D1632" s="222">
        <v>80</v>
      </c>
      <c r="E1632" s="222">
        <v>10530</v>
      </c>
      <c r="F1632" s="223">
        <v>842400</v>
      </c>
      <c r="G1632" s="454"/>
    </row>
    <row r="1633" spans="1:7" s="7" customFormat="1" outlineLevel="1" x14ac:dyDescent="0.25">
      <c r="A1633" s="553" t="s">
        <v>475</v>
      </c>
      <c r="B1633" s="554"/>
      <c r="C1633" s="554"/>
      <c r="D1633" s="554"/>
      <c r="E1633" s="555"/>
      <c r="F1633" s="241">
        <f>SUM(F1628:F1632)</f>
        <v>8590160</v>
      </c>
      <c r="G1633" s="454"/>
    </row>
    <row r="1634" spans="1:7" s="7" customFormat="1" ht="15" customHeight="1" outlineLevel="1" x14ac:dyDescent="0.25">
      <c r="A1634" s="552" t="s">
        <v>480</v>
      </c>
      <c r="B1634" s="552"/>
      <c r="C1634" s="552"/>
      <c r="D1634" s="552"/>
      <c r="E1634" s="552"/>
      <c r="F1634" s="552"/>
      <c r="G1634" s="454"/>
    </row>
    <row r="1635" spans="1:7" s="7" customFormat="1" outlineLevel="1" x14ac:dyDescent="0.25">
      <c r="A1635" s="221">
        <v>1</v>
      </c>
      <c r="B1635" s="222" t="s">
        <v>441</v>
      </c>
      <c r="C1635" s="221" t="s">
        <v>474</v>
      </c>
      <c r="D1635" s="222"/>
      <c r="E1635" s="222">
        <v>16263340</v>
      </c>
      <c r="F1635" s="223">
        <v>16263340</v>
      </c>
      <c r="G1635" s="454"/>
    </row>
    <row r="1636" spans="1:7" s="7" customFormat="1" outlineLevel="1" x14ac:dyDescent="0.25">
      <c r="A1636" s="221">
        <v>2</v>
      </c>
      <c r="B1636" s="222" t="s">
        <v>442</v>
      </c>
      <c r="C1636" s="221" t="s">
        <v>474</v>
      </c>
      <c r="D1636" s="222"/>
      <c r="E1636" s="222">
        <v>5598490</v>
      </c>
      <c r="F1636" s="223">
        <v>5598490</v>
      </c>
      <c r="G1636" s="454"/>
    </row>
    <row r="1637" spans="1:7" s="7" customFormat="1" outlineLevel="1" x14ac:dyDescent="0.25">
      <c r="A1637" s="221">
        <v>3</v>
      </c>
      <c r="B1637" s="222" t="s">
        <v>443</v>
      </c>
      <c r="C1637" s="221" t="s">
        <v>474</v>
      </c>
      <c r="D1637" s="222"/>
      <c r="E1637" s="222">
        <v>1034832</v>
      </c>
      <c r="F1637" s="223">
        <v>1034832</v>
      </c>
      <c r="G1637" s="454"/>
    </row>
    <row r="1638" spans="1:7" s="7" customFormat="1" outlineLevel="1" x14ac:dyDescent="0.25">
      <c r="A1638" s="553" t="s">
        <v>475</v>
      </c>
      <c r="B1638" s="554"/>
      <c r="C1638" s="554"/>
      <c r="D1638" s="554"/>
      <c r="E1638" s="555"/>
      <c r="F1638" s="241">
        <f>SUM(F1635:F1637)</f>
        <v>22896662</v>
      </c>
      <c r="G1638" s="454"/>
    </row>
    <row r="1639" spans="1:7" s="7" customFormat="1" ht="15" customHeight="1" outlineLevel="1" x14ac:dyDescent="0.25">
      <c r="A1639" s="552" t="s">
        <v>481</v>
      </c>
      <c r="B1639" s="552"/>
      <c r="C1639" s="552"/>
      <c r="D1639" s="552"/>
      <c r="E1639" s="552"/>
      <c r="F1639" s="552"/>
      <c r="G1639" s="454"/>
    </row>
    <row r="1640" spans="1:7" s="7" customFormat="1" outlineLevel="1" x14ac:dyDescent="0.25">
      <c r="A1640" s="221">
        <v>1</v>
      </c>
      <c r="B1640" s="222" t="s">
        <v>444</v>
      </c>
      <c r="C1640" s="221" t="s">
        <v>474</v>
      </c>
      <c r="D1640" s="222"/>
      <c r="E1640" s="222"/>
      <c r="F1640" s="223">
        <v>8064000</v>
      </c>
      <c r="G1640" s="454"/>
    </row>
    <row r="1641" spans="1:7" s="7" customFormat="1" outlineLevel="1" x14ac:dyDescent="0.25">
      <c r="A1641" s="553" t="s">
        <v>475</v>
      </c>
      <c r="B1641" s="554"/>
      <c r="C1641" s="554"/>
      <c r="D1641" s="554"/>
      <c r="E1641" s="555"/>
      <c r="F1641" s="241">
        <f>SUM(F1640)</f>
        <v>8064000</v>
      </c>
      <c r="G1641" s="454"/>
    </row>
    <row r="1642" spans="1:7" s="7" customFormat="1" ht="15" customHeight="1" outlineLevel="1" x14ac:dyDescent="0.25">
      <c r="A1642" s="552" t="s">
        <v>482</v>
      </c>
      <c r="B1642" s="552"/>
      <c r="C1642" s="552"/>
      <c r="D1642" s="552"/>
      <c r="E1642" s="552"/>
      <c r="F1642" s="552"/>
      <c r="G1642" s="454"/>
    </row>
    <row r="1643" spans="1:7" s="7" customFormat="1" outlineLevel="1" x14ac:dyDescent="0.25">
      <c r="A1643" s="221">
        <v>1</v>
      </c>
      <c r="B1643" s="222" t="s">
        <v>445</v>
      </c>
      <c r="C1643" s="221" t="s">
        <v>474</v>
      </c>
      <c r="D1643" s="222"/>
      <c r="E1643" s="222"/>
      <c r="F1643" s="244">
        <v>42000000</v>
      </c>
      <c r="G1643" s="454"/>
    </row>
    <row r="1644" spans="1:7" s="7" customFormat="1" outlineLevel="1" x14ac:dyDescent="0.25">
      <c r="A1644" s="496" t="s">
        <v>475</v>
      </c>
      <c r="B1644" s="496"/>
      <c r="C1644" s="496"/>
      <c r="D1644" s="496"/>
      <c r="E1644" s="496"/>
      <c r="F1644" s="225">
        <f>SUM(F1643)</f>
        <v>42000000</v>
      </c>
      <c r="G1644" s="454"/>
    </row>
    <row r="1645" spans="1:7" s="7" customFormat="1" ht="15" customHeight="1" outlineLevel="1" x14ac:dyDescent="0.25">
      <c r="A1645" s="552" t="s">
        <v>483</v>
      </c>
      <c r="B1645" s="552"/>
      <c r="C1645" s="552"/>
      <c r="D1645" s="552"/>
      <c r="E1645" s="552"/>
      <c r="F1645" s="552"/>
      <c r="G1645" s="454"/>
    </row>
    <row r="1646" spans="1:7" s="7" customFormat="1" outlineLevel="1" x14ac:dyDescent="0.25">
      <c r="A1646" s="221">
        <v>1</v>
      </c>
      <c r="B1646" s="222" t="s">
        <v>446</v>
      </c>
      <c r="C1646" s="221" t="s">
        <v>474</v>
      </c>
      <c r="D1646" s="222"/>
      <c r="E1646" s="222"/>
      <c r="F1646" s="223">
        <v>2000000</v>
      </c>
      <c r="G1646" s="454"/>
    </row>
    <row r="1647" spans="1:7" s="7" customFormat="1" outlineLevel="1" x14ac:dyDescent="0.25">
      <c r="A1647" s="553" t="s">
        <v>475</v>
      </c>
      <c r="B1647" s="554"/>
      <c r="C1647" s="554"/>
      <c r="D1647" s="554"/>
      <c r="E1647" s="555"/>
      <c r="F1647" s="241">
        <f>SUM(F1646)</f>
        <v>2000000</v>
      </c>
      <c r="G1647" s="454"/>
    </row>
    <row r="1648" spans="1:7" s="7" customFormat="1" outlineLevel="1" x14ac:dyDescent="0.25">
      <c r="A1648" s="553" t="s">
        <v>475</v>
      </c>
      <c r="B1648" s="554"/>
      <c r="C1648" s="554"/>
      <c r="D1648" s="554"/>
      <c r="E1648" s="555"/>
      <c r="F1648" s="243">
        <f>F1647+F1644+F1641+F1638+F1633+F1626+F1607</f>
        <v>222106037</v>
      </c>
      <c r="G1648" s="454"/>
    </row>
    <row r="1649" spans="1:7" s="7" customFormat="1" ht="36.75" customHeight="1" outlineLevel="1" x14ac:dyDescent="0.25">
      <c r="A1649" s="557" t="s">
        <v>484</v>
      </c>
      <c r="B1649" s="557"/>
      <c r="C1649" s="557"/>
      <c r="D1649" s="557"/>
      <c r="E1649" s="557"/>
      <c r="F1649" s="557"/>
      <c r="G1649" s="454"/>
    </row>
    <row r="1650" spans="1:7" s="7" customFormat="1" ht="21" customHeight="1" outlineLevel="1" x14ac:dyDescent="0.25">
      <c r="A1650" s="552" t="s">
        <v>485</v>
      </c>
      <c r="B1650" s="552"/>
      <c r="C1650" s="552"/>
      <c r="D1650" s="552"/>
      <c r="E1650" s="552"/>
      <c r="F1650" s="552"/>
      <c r="G1650" s="454"/>
    </row>
    <row r="1651" spans="1:7" s="7" customFormat="1" outlineLevel="1" x14ac:dyDescent="0.25">
      <c r="A1651" s="226">
        <v>1</v>
      </c>
      <c r="B1651" s="227" t="s">
        <v>447</v>
      </c>
      <c r="C1651" s="221" t="s">
        <v>448</v>
      </c>
      <c r="D1651" s="222">
        <v>1</v>
      </c>
      <c r="E1651" s="222">
        <v>286340</v>
      </c>
      <c r="F1651" s="222">
        <v>286340</v>
      </c>
      <c r="G1651" s="454"/>
    </row>
    <row r="1652" spans="1:7" s="7" customFormat="1" outlineLevel="1" x14ac:dyDescent="0.25">
      <c r="A1652" s="226">
        <v>2</v>
      </c>
      <c r="B1652" s="227" t="s">
        <v>449</v>
      </c>
      <c r="C1652" s="221" t="s">
        <v>448</v>
      </c>
      <c r="D1652" s="222">
        <v>1</v>
      </c>
      <c r="E1652" s="222">
        <v>15786</v>
      </c>
      <c r="F1652" s="222">
        <v>15786</v>
      </c>
      <c r="G1652" s="454"/>
    </row>
    <row r="1653" spans="1:7" s="7" customFormat="1" outlineLevel="1" x14ac:dyDescent="0.25">
      <c r="A1653" s="226">
        <v>3</v>
      </c>
      <c r="B1653" s="227" t="s">
        <v>450</v>
      </c>
      <c r="C1653" s="221" t="s">
        <v>448</v>
      </c>
      <c r="D1653" s="222">
        <v>3</v>
      </c>
      <c r="E1653" s="222">
        <v>33000</v>
      </c>
      <c r="F1653" s="222">
        <v>99000</v>
      </c>
      <c r="G1653" s="454"/>
    </row>
    <row r="1654" spans="1:7" s="7" customFormat="1" outlineLevel="1" x14ac:dyDescent="0.25">
      <c r="A1654" s="226">
        <v>4</v>
      </c>
      <c r="B1654" s="227" t="s">
        <v>412</v>
      </c>
      <c r="C1654" s="221" t="s">
        <v>448</v>
      </c>
      <c r="D1654" s="222">
        <v>9</v>
      </c>
      <c r="E1654" s="222">
        <v>8333</v>
      </c>
      <c r="F1654" s="222">
        <v>74997</v>
      </c>
      <c r="G1654" s="454"/>
    </row>
    <row r="1655" spans="1:7" s="7" customFormat="1" outlineLevel="1" x14ac:dyDescent="0.25">
      <c r="A1655" s="226">
        <v>5</v>
      </c>
      <c r="B1655" s="227" t="s">
        <v>451</v>
      </c>
      <c r="C1655" s="221" t="s">
        <v>448</v>
      </c>
      <c r="D1655" s="222">
        <v>3</v>
      </c>
      <c r="E1655" s="222">
        <v>18250</v>
      </c>
      <c r="F1655" s="222">
        <v>54750</v>
      </c>
      <c r="G1655" s="454"/>
    </row>
    <row r="1656" spans="1:7" s="7" customFormat="1" outlineLevel="1" x14ac:dyDescent="0.25">
      <c r="A1656" s="226">
        <v>6</v>
      </c>
      <c r="B1656" s="227" t="s">
        <v>452</v>
      </c>
      <c r="C1656" s="221" t="s">
        <v>453</v>
      </c>
      <c r="D1656" s="222">
        <v>930</v>
      </c>
      <c r="E1656" s="222">
        <v>245.67</v>
      </c>
      <c r="F1656" s="228">
        <v>228473.09999999998</v>
      </c>
      <c r="G1656" s="454"/>
    </row>
    <row r="1657" spans="1:7" s="7" customFormat="1" outlineLevel="1" x14ac:dyDescent="0.25">
      <c r="A1657" s="226">
        <v>7</v>
      </c>
      <c r="B1657" s="227" t="s">
        <v>454</v>
      </c>
      <c r="C1657" s="221" t="s">
        <v>448</v>
      </c>
      <c r="D1657" s="222">
        <v>1</v>
      </c>
      <c r="E1657" s="222">
        <v>35200</v>
      </c>
      <c r="F1657" s="222">
        <v>35200</v>
      </c>
      <c r="G1657" s="454"/>
    </row>
    <row r="1658" spans="1:7" s="7" customFormat="1" outlineLevel="1" x14ac:dyDescent="0.25">
      <c r="A1658" s="226">
        <v>8</v>
      </c>
      <c r="B1658" s="227" t="s">
        <v>455</v>
      </c>
      <c r="C1658" s="221" t="s">
        <v>448</v>
      </c>
      <c r="D1658" s="222">
        <v>9</v>
      </c>
      <c r="E1658" s="222">
        <v>1797</v>
      </c>
      <c r="F1658" s="222">
        <v>16173</v>
      </c>
      <c r="G1658" s="454"/>
    </row>
    <row r="1659" spans="1:7" s="7" customFormat="1" outlineLevel="1" x14ac:dyDescent="0.25">
      <c r="A1659" s="226">
        <v>9</v>
      </c>
      <c r="B1659" s="227" t="s">
        <v>456</v>
      </c>
      <c r="C1659" s="221" t="s">
        <v>448</v>
      </c>
      <c r="D1659" s="222">
        <v>6</v>
      </c>
      <c r="E1659" s="222">
        <v>4250</v>
      </c>
      <c r="F1659" s="222">
        <v>25500</v>
      </c>
      <c r="G1659" s="454"/>
    </row>
    <row r="1660" spans="1:7" s="7" customFormat="1" outlineLevel="1" x14ac:dyDescent="0.25">
      <c r="A1660" s="226">
        <v>10</v>
      </c>
      <c r="B1660" s="227" t="s">
        <v>457</v>
      </c>
      <c r="C1660" s="221" t="s">
        <v>448</v>
      </c>
      <c r="D1660" s="222">
        <v>4</v>
      </c>
      <c r="E1660" s="222">
        <v>3591</v>
      </c>
      <c r="F1660" s="222">
        <v>14364</v>
      </c>
      <c r="G1660" s="454"/>
    </row>
    <row r="1661" spans="1:7" s="7" customFormat="1" outlineLevel="1" x14ac:dyDescent="0.25">
      <c r="A1661" s="226">
        <v>11</v>
      </c>
      <c r="B1661" s="227" t="s">
        <v>422</v>
      </c>
      <c r="C1661" s="221" t="s">
        <v>458</v>
      </c>
      <c r="D1661" s="222">
        <v>110</v>
      </c>
      <c r="E1661" s="222">
        <v>399</v>
      </c>
      <c r="F1661" s="222">
        <v>43890</v>
      </c>
      <c r="G1661" s="454"/>
    </row>
    <row r="1662" spans="1:7" s="7" customFormat="1" outlineLevel="1" x14ac:dyDescent="0.25">
      <c r="A1662" s="226">
        <v>12</v>
      </c>
      <c r="B1662" s="227" t="s">
        <v>459</v>
      </c>
      <c r="C1662" s="221" t="s">
        <v>448</v>
      </c>
      <c r="D1662" s="222">
        <v>7</v>
      </c>
      <c r="E1662" s="222">
        <v>1498</v>
      </c>
      <c r="F1662" s="222">
        <v>10486</v>
      </c>
      <c r="G1662" s="454"/>
    </row>
    <row r="1663" spans="1:7" s="7" customFormat="1" outlineLevel="1" x14ac:dyDescent="0.25">
      <c r="A1663" s="226">
        <v>13</v>
      </c>
      <c r="B1663" s="227" t="s">
        <v>460</v>
      </c>
      <c r="C1663" s="221" t="s">
        <v>453</v>
      </c>
      <c r="D1663" s="222">
        <v>30</v>
      </c>
      <c r="E1663" s="222">
        <v>435</v>
      </c>
      <c r="F1663" s="222">
        <v>13050</v>
      </c>
      <c r="G1663" s="454"/>
    </row>
    <row r="1664" spans="1:7" s="7" customFormat="1" outlineLevel="1" x14ac:dyDescent="0.25">
      <c r="A1664" s="226">
        <v>14</v>
      </c>
      <c r="B1664" s="227" t="s">
        <v>461</v>
      </c>
      <c r="C1664" s="221" t="s">
        <v>462</v>
      </c>
      <c r="D1664" s="222">
        <v>1</v>
      </c>
      <c r="E1664" s="222">
        <v>20000</v>
      </c>
      <c r="F1664" s="222">
        <v>20000</v>
      </c>
      <c r="G1664" s="454"/>
    </row>
    <row r="1665" spans="1:7" s="7" customFormat="1" outlineLevel="1" x14ac:dyDescent="0.25">
      <c r="A1665" s="240"/>
      <c r="B1665" s="245" t="s">
        <v>475</v>
      </c>
      <c r="C1665" s="242"/>
      <c r="D1665" s="246"/>
      <c r="E1665" s="246"/>
      <c r="F1665" s="247">
        <f>SUM(F1651:F1664)</f>
        <v>938009.1</v>
      </c>
      <c r="G1665" s="454"/>
    </row>
    <row r="1666" spans="1:7" s="7" customFormat="1" outlineLevel="1" x14ac:dyDescent="0.25">
      <c r="A1666" s="168"/>
      <c r="B1666" s="227" t="s">
        <v>463</v>
      </c>
      <c r="C1666" s="221"/>
      <c r="D1666" s="222"/>
      <c r="E1666" s="222"/>
      <c r="F1666" s="228">
        <v>187601.82</v>
      </c>
      <c r="G1666" s="454"/>
    </row>
    <row r="1667" spans="1:7" s="7" customFormat="1" outlineLevel="1" x14ac:dyDescent="0.25">
      <c r="A1667" s="168"/>
      <c r="B1667" s="227" t="s">
        <v>464</v>
      </c>
      <c r="C1667" s="221" t="s">
        <v>448</v>
      </c>
      <c r="D1667" s="222">
        <v>3</v>
      </c>
      <c r="E1667" s="222">
        <v>15000</v>
      </c>
      <c r="F1667" s="222">
        <v>45000</v>
      </c>
      <c r="G1667" s="454"/>
    </row>
    <row r="1668" spans="1:7" s="7" customFormat="1" outlineLevel="1" x14ac:dyDescent="0.25">
      <c r="A1668" s="168"/>
      <c r="B1668" s="227" t="s">
        <v>465</v>
      </c>
      <c r="C1668" s="221"/>
      <c r="D1668" s="222"/>
      <c r="E1668" s="222"/>
      <c r="F1668" s="222">
        <v>40000</v>
      </c>
      <c r="G1668" s="454"/>
    </row>
    <row r="1669" spans="1:7" s="7" customFormat="1" outlineLevel="1" x14ac:dyDescent="0.25">
      <c r="A1669" s="240"/>
      <c r="B1669" s="496" t="s">
        <v>475</v>
      </c>
      <c r="C1669" s="496"/>
      <c r="D1669" s="496"/>
      <c r="E1669" s="496"/>
      <c r="F1669" s="239">
        <v>1210610.92</v>
      </c>
      <c r="G1669" s="454"/>
    </row>
    <row r="1670" spans="1:7" s="7" customFormat="1" outlineLevel="1" x14ac:dyDescent="0.25">
      <c r="A1670" s="552" t="s">
        <v>486</v>
      </c>
      <c r="B1670" s="552"/>
      <c r="C1670" s="552"/>
      <c r="D1670" s="552"/>
      <c r="E1670" s="552"/>
      <c r="F1670" s="552"/>
      <c r="G1670" s="454"/>
    </row>
    <row r="1671" spans="1:7" s="7" customFormat="1" outlineLevel="1" x14ac:dyDescent="0.25">
      <c r="A1671" s="226">
        <v>1</v>
      </c>
      <c r="B1671" s="227" t="s">
        <v>447</v>
      </c>
      <c r="C1671" s="221" t="s">
        <v>448</v>
      </c>
      <c r="D1671" s="221">
        <v>1</v>
      </c>
      <c r="E1671" s="221">
        <v>286340</v>
      </c>
      <c r="F1671" s="229">
        <v>286340</v>
      </c>
      <c r="G1671" s="454"/>
    </row>
    <row r="1672" spans="1:7" s="7" customFormat="1" outlineLevel="1" x14ac:dyDescent="0.25">
      <c r="A1672" s="226">
        <v>2</v>
      </c>
      <c r="B1672" s="227" t="s">
        <v>449</v>
      </c>
      <c r="C1672" s="221" t="s">
        <v>448</v>
      </c>
      <c r="D1672" s="221">
        <v>1</v>
      </c>
      <c r="E1672" s="221">
        <v>15786</v>
      </c>
      <c r="F1672" s="229">
        <v>15786</v>
      </c>
      <c r="G1672" s="454"/>
    </row>
    <row r="1673" spans="1:7" s="7" customFormat="1" outlineLevel="1" x14ac:dyDescent="0.25">
      <c r="A1673" s="226">
        <v>3</v>
      </c>
      <c r="B1673" s="227" t="s">
        <v>450</v>
      </c>
      <c r="C1673" s="221" t="s">
        <v>448</v>
      </c>
      <c r="D1673" s="221">
        <v>1</v>
      </c>
      <c r="E1673" s="221">
        <v>33000</v>
      </c>
      <c r="F1673" s="229">
        <v>33000</v>
      </c>
      <c r="G1673" s="454"/>
    </row>
    <row r="1674" spans="1:7" s="7" customFormat="1" outlineLevel="1" x14ac:dyDescent="0.25">
      <c r="A1674" s="226">
        <v>4</v>
      </c>
      <c r="B1674" s="227" t="s">
        <v>412</v>
      </c>
      <c r="C1674" s="221" t="s">
        <v>448</v>
      </c>
      <c r="D1674" s="221">
        <v>3</v>
      </c>
      <c r="E1674" s="221">
        <v>8333</v>
      </c>
      <c r="F1674" s="229">
        <v>24999</v>
      </c>
      <c r="G1674" s="454"/>
    </row>
    <row r="1675" spans="1:7" s="7" customFormat="1" outlineLevel="1" x14ac:dyDescent="0.25">
      <c r="A1675" s="226">
        <v>5</v>
      </c>
      <c r="B1675" s="227" t="s">
        <v>451</v>
      </c>
      <c r="C1675" s="221" t="s">
        <v>448</v>
      </c>
      <c r="D1675" s="221">
        <v>3</v>
      </c>
      <c r="E1675" s="221">
        <v>18250</v>
      </c>
      <c r="F1675" s="229">
        <v>54750</v>
      </c>
      <c r="G1675" s="454"/>
    </row>
    <row r="1676" spans="1:7" s="7" customFormat="1" outlineLevel="1" x14ac:dyDescent="0.25">
      <c r="A1676" s="226">
        <v>6</v>
      </c>
      <c r="B1676" s="227" t="s">
        <v>452</v>
      </c>
      <c r="C1676" s="221" t="s">
        <v>453</v>
      </c>
      <c r="D1676" s="221">
        <v>30</v>
      </c>
      <c r="E1676" s="221">
        <v>245</v>
      </c>
      <c r="F1676" s="229">
        <v>7350</v>
      </c>
      <c r="G1676" s="454"/>
    </row>
    <row r="1677" spans="1:7" s="7" customFormat="1" outlineLevel="1" x14ac:dyDescent="0.25">
      <c r="A1677" s="226">
        <v>7</v>
      </c>
      <c r="B1677" s="227" t="s">
        <v>454</v>
      </c>
      <c r="C1677" s="221" t="s">
        <v>448</v>
      </c>
      <c r="D1677" s="221">
        <v>1</v>
      </c>
      <c r="E1677" s="221">
        <v>35200</v>
      </c>
      <c r="F1677" s="229">
        <v>35200</v>
      </c>
      <c r="G1677" s="454"/>
    </row>
    <row r="1678" spans="1:7" s="7" customFormat="1" outlineLevel="1" x14ac:dyDescent="0.25">
      <c r="A1678" s="226">
        <v>8</v>
      </c>
      <c r="B1678" s="227" t="s">
        <v>455</v>
      </c>
      <c r="C1678" s="221" t="s">
        <v>448</v>
      </c>
      <c r="D1678" s="221">
        <v>6</v>
      </c>
      <c r="E1678" s="221">
        <v>1797</v>
      </c>
      <c r="F1678" s="229">
        <v>10782</v>
      </c>
      <c r="G1678" s="454"/>
    </row>
    <row r="1679" spans="1:7" s="7" customFormat="1" outlineLevel="1" x14ac:dyDescent="0.25">
      <c r="A1679" s="226">
        <v>9</v>
      </c>
      <c r="B1679" s="227" t="s">
        <v>422</v>
      </c>
      <c r="C1679" s="221" t="s">
        <v>458</v>
      </c>
      <c r="D1679" s="221">
        <v>30</v>
      </c>
      <c r="E1679" s="221">
        <v>399</v>
      </c>
      <c r="F1679" s="229">
        <v>11970</v>
      </c>
      <c r="G1679" s="454"/>
    </row>
    <row r="1680" spans="1:7" s="7" customFormat="1" outlineLevel="1" x14ac:dyDescent="0.25">
      <c r="A1680" s="226">
        <v>10</v>
      </c>
      <c r="B1680" s="227" t="s">
        <v>459</v>
      </c>
      <c r="C1680" s="221" t="s">
        <v>448</v>
      </c>
      <c r="D1680" s="221">
        <v>3</v>
      </c>
      <c r="E1680" s="221">
        <v>1498</v>
      </c>
      <c r="F1680" s="229">
        <v>4494</v>
      </c>
      <c r="G1680" s="454"/>
    </row>
    <row r="1681" spans="1:7" s="7" customFormat="1" outlineLevel="1" x14ac:dyDescent="0.25">
      <c r="A1681" s="226">
        <v>11</v>
      </c>
      <c r="B1681" s="227" t="s">
        <v>460</v>
      </c>
      <c r="C1681" s="221" t="s">
        <v>453</v>
      </c>
      <c r="D1681" s="221">
        <v>30</v>
      </c>
      <c r="E1681" s="221">
        <v>435</v>
      </c>
      <c r="F1681" s="229">
        <v>13050</v>
      </c>
      <c r="G1681" s="454"/>
    </row>
    <row r="1682" spans="1:7" s="7" customFormat="1" outlineLevel="1" x14ac:dyDescent="0.25">
      <c r="A1682" s="226">
        <v>12</v>
      </c>
      <c r="B1682" s="227" t="s">
        <v>461</v>
      </c>
      <c r="C1682" s="221" t="s">
        <v>462</v>
      </c>
      <c r="D1682" s="221">
        <v>1</v>
      </c>
      <c r="E1682" s="221">
        <v>10000</v>
      </c>
      <c r="F1682" s="229">
        <v>10000</v>
      </c>
      <c r="G1682" s="454"/>
    </row>
    <row r="1683" spans="1:7" s="7" customFormat="1" outlineLevel="1" x14ac:dyDescent="0.25">
      <c r="A1683" s="248"/>
      <c r="B1683" s="245" t="s">
        <v>475</v>
      </c>
      <c r="C1683" s="242"/>
      <c r="D1683" s="246"/>
      <c r="E1683" s="246"/>
      <c r="F1683" s="241">
        <v>507721</v>
      </c>
      <c r="G1683" s="454"/>
    </row>
    <row r="1684" spans="1:7" s="7" customFormat="1" outlineLevel="1" x14ac:dyDescent="0.25">
      <c r="A1684" s="226"/>
      <c r="B1684" s="227" t="s">
        <v>463</v>
      </c>
      <c r="C1684" s="221"/>
      <c r="D1684" s="222"/>
      <c r="E1684" s="222"/>
      <c r="F1684" s="223">
        <v>101544.2</v>
      </c>
      <c r="G1684" s="454"/>
    </row>
    <row r="1685" spans="1:7" s="7" customFormat="1" outlineLevel="1" x14ac:dyDescent="0.25">
      <c r="A1685" s="168"/>
      <c r="B1685" s="227" t="s">
        <v>464</v>
      </c>
      <c r="C1685" s="221" t="s">
        <v>448</v>
      </c>
      <c r="D1685" s="222">
        <v>1</v>
      </c>
      <c r="E1685" s="222">
        <v>15000</v>
      </c>
      <c r="F1685" s="223">
        <v>15000</v>
      </c>
      <c r="G1685" s="454"/>
    </row>
    <row r="1686" spans="1:7" s="7" customFormat="1" outlineLevel="1" x14ac:dyDescent="0.25">
      <c r="A1686" s="168"/>
      <c r="B1686" s="227" t="s">
        <v>465</v>
      </c>
      <c r="C1686" s="221"/>
      <c r="D1686" s="222"/>
      <c r="E1686" s="222"/>
      <c r="F1686" s="169">
        <v>40000</v>
      </c>
      <c r="G1686" s="454"/>
    </row>
    <row r="1687" spans="1:7" s="7" customFormat="1" outlineLevel="1" x14ac:dyDescent="0.25">
      <c r="A1687" s="240"/>
      <c r="B1687" s="496" t="s">
        <v>475</v>
      </c>
      <c r="C1687" s="496"/>
      <c r="D1687" s="496"/>
      <c r="E1687" s="496"/>
      <c r="F1687" s="239">
        <v>664265.19999999995</v>
      </c>
      <c r="G1687" s="454"/>
    </row>
    <row r="1688" spans="1:7" s="7" customFormat="1" outlineLevel="1" x14ac:dyDescent="0.25">
      <c r="A1688" s="552" t="s">
        <v>487</v>
      </c>
      <c r="B1688" s="552"/>
      <c r="C1688" s="552"/>
      <c r="D1688" s="552"/>
      <c r="E1688" s="552"/>
      <c r="F1688" s="552"/>
      <c r="G1688" s="454"/>
    </row>
    <row r="1689" spans="1:7" s="7" customFormat="1" outlineLevel="1" x14ac:dyDescent="0.25">
      <c r="A1689" s="226">
        <v>1</v>
      </c>
      <c r="B1689" s="227" t="s">
        <v>447</v>
      </c>
      <c r="C1689" s="221" t="s">
        <v>448</v>
      </c>
      <c r="D1689" s="222">
        <v>1</v>
      </c>
      <c r="E1689" s="222">
        <v>286340</v>
      </c>
      <c r="F1689" s="222">
        <v>286340</v>
      </c>
      <c r="G1689" s="454"/>
    </row>
    <row r="1690" spans="1:7" s="7" customFormat="1" outlineLevel="1" x14ac:dyDescent="0.25">
      <c r="A1690" s="226">
        <v>2</v>
      </c>
      <c r="B1690" s="227" t="s">
        <v>449</v>
      </c>
      <c r="C1690" s="221" t="s">
        <v>448</v>
      </c>
      <c r="D1690" s="222">
        <v>1</v>
      </c>
      <c r="E1690" s="222">
        <v>15786</v>
      </c>
      <c r="F1690" s="222">
        <v>15786</v>
      </c>
      <c r="G1690" s="454"/>
    </row>
    <row r="1691" spans="1:7" s="7" customFormat="1" outlineLevel="1" x14ac:dyDescent="0.25">
      <c r="A1691" s="226">
        <v>3</v>
      </c>
      <c r="B1691" s="227" t="s">
        <v>450</v>
      </c>
      <c r="C1691" s="221" t="s">
        <v>448</v>
      </c>
      <c r="D1691" s="222">
        <v>1</v>
      </c>
      <c r="E1691" s="222">
        <v>33000</v>
      </c>
      <c r="F1691" s="222">
        <v>33000</v>
      </c>
      <c r="G1691" s="454"/>
    </row>
    <row r="1692" spans="1:7" s="7" customFormat="1" outlineLevel="1" x14ac:dyDescent="0.25">
      <c r="A1692" s="226">
        <v>4</v>
      </c>
      <c r="B1692" s="227" t="s">
        <v>412</v>
      </c>
      <c r="C1692" s="221" t="s">
        <v>448</v>
      </c>
      <c r="D1692" s="222">
        <v>6</v>
      </c>
      <c r="E1692" s="222">
        <v>8333</v>
      </c>
      <c r="F1692" s="222">
        <v>49998</v>
      </c>
      <c r="G1692" s="454"/>
    </row>
    <row r="1693" spans="1:7" s="7" customFormat="1" outlineLevel="1" x14ac:dyDescent="0.25">
      <c r="A1693" s="226">
        <v>5</v>
      </c>
      <c r="B1693" s="227" t="s">
        <v>451</v>
      </c>
      <c r="C1693" s="221" t="s">
        <v>448</v>
      </c>
      <c r="D1693" s="222">
        <v>3</v>
      </c>
      <c r="E1693" s="222">
        <v>18250</v>
      </c>
      <c r="F1693" s="222">
        <v>54750</v>
      </c>
      <c r="G1693" s="454"/>
    </row>
    <row r="1694" spans="1:7" s="7" customFormat="1" outlineLevel="1" x14ac:dyDescent="0.25">
      <c r="A1694" s="226">
        <v>6</v>
      </c>
      <c r="B1694" s="227" t="s">
        <v>452</v>
      </c>
      <c r="C1694" s="221" t="s">
        <v>453</v>
      </c>
      <c r="D1694" s="222">
        <v>380</v>
      </c>
      <c r="E1694" s="222">
        <v>245</v>
      </c>
      <c r="F1694" s="222">
        <v>93100</v>
      </c>
      <c r="G1694" s="454"/>
    </row>
    <row r="1695" spans="1:7" s="7" customFormat="1" outlineLevel="1" x14ac:dyDescent="0.25">
      <c r="A1695" s="226">
        <v>7</v>
      </c>
      <c r="B1695" s="227" t="s">
        <v>454</v>
      </c>
      <c r="C1695" s="221" t="s">
        <v>448</v>
      </c>
      <c r="D1695" s="222">
        <v>1</v>
      </c>
      <c r="E1695" s="222">
        <v>35200</v>
      </c>
      <c r="F1695" s="222">
        <v>35200</v>
      </c>
      <c r="G1695" s="454"/>
    </row>
    <row r="1696" spans="1:7" s="7" customFormat="1" outlineLevel="1" x14ac:dyDescent="0.25">
      <c r="A1696" s="226">
        <v>8</v>
      </c>
      <c r="B1696" s="227" t="s">
        <v>466</v>
      </c>
      <c r="C1696" s="221" t="s">
        <v>448</v>
      </c>
      <c r="D1696" s="222">
        <v>6</v>
      </c>
      <c r="E1696" s="222">
        <v>1797</v>
      </c>
      <c r="F1696" s="222">
        <v>10782</v>
      </c>
      <c r="G1696" s="454"/>
    </row>
    <row r="1697" spans="1:7" s="7" customFormat="1" outlineLevel="1" x14ac:dyDescent="0.25">
      <c r="A1697" s="226">
        <v>9</v>
      </c>
      <c r="B1697" s="227" t="s">
        <v>456</v>
      </c>
      <c r="C1697" s="221" t="s">
        <v>448</v>
      </c>
      <c r="D1697" s="222">
        <v>6</v>
      </c>
      <c r="E1697" s="222">
        <v>4250</v>
      </c>
      <c r="F1697" s="222">
        <v>25500</v>
      </c>
      <c r="G1697" s="454"/>
    </row>
    <row r="1698" spans="1:7" s="7" customFormat="1" outlineLevel="1" x14ac:dyDescent="0.25">
      <c r="A1698" s="226">
        <v>10</v>
      </c>
      <c r="B1698" s="227" t="s">
        <v>457</v>
      </c>
      <c r="C1698" s="221" t="s">
        <v>448</v>
      </c>
      <c r="D1698" s="222">
        <v>2</v>
      </c>
      <c r="E1698" s="222">
        <v>3591</v>
      </c>
      <c r="F1698" s="222">
        <v>7182</v>
      </c>
      <c r="G1698" s="454"/>
    </row>
    <row r="1699" spans="1:7" s="7" customFormat="1" outlineLevel="1" x14ac:dyDescent="0.25">
      <c r="A1699" s="226">
        <v>11</v>
      </c>
      <c r="B1699" s="227" t="s">
        <v>422</v>
      </c>
      <c r="C1699" s="221" t="s">
        <v>458</v>
      </c>
      <c r="D1699" s="222">
        <v>60</v>
      </c>
      <c r="E1699" s="222">
        <v>399</v>
      </c>
      <c r="F1699" s="222">
        <v>23940</v>
      </c>
      <c r="G1699" s="454"/>
    </row>
    <row r="1700" spans="1:7" s="7" customFormat="1" outlineLevel="1" x14ac:dyDescent="0.25">
      <c r="A1700" s="226">
        <v>12</v>
      </c>
      <c r="B1700" s="227" t="s">
        <v>459</v>
      </c>
      <c r="C1700" s="221" t="s">
        <v>448</v>
      </c>
      <c r="D1700" s="222">
        <v>4</v>
      </c>
      <c r="E1700" s="222">
        <v>1498</v>
      </c>
      <c r="F1700" s="222">
        <v>5992</v>
      </c>
      <c r="G1700" s="454"/>
    </row>
    <row r="1701" spans="1:7" s="7" customFormat="1" outlineLevel="1" x14ac:dyDescent="0.25">
      <c r="A1701" s="226">
        <v>13</v>
      </c>
      <c r="B1701" s="227" t="s">
        <v>460</v>
      </c>
      <c r="C1701" s="221" t="s">
        <v>453</v>
      </c>
      <c r="D1701" s="222">
        <v>30</v>
      </c>
      <c r="E1701" s="222">
        <v>435</v>
      </c>
      <c r="F1701" s="222">
        <v>13050</v>
      </c>
      <c r="G1701" s="454"/>
    </row>
    <row r="1702" spans="1:7" s="7" customFormat="1" outlineLevel="1" x14ac:dyDescent="0.25">
      <c r="A1702" s="226">
        <v>14</v>
      </c>
      <c r="B1702" s="227" t="s">
        <v>461</v>
      </c>
      <c r="C1702" s="221" t="s">
        <v>462</v>
      </c>
      <c r="D1702" s="222">
        <v>1</v>
      </c>
      <c r="E1702" s="222">
        <v>20000</v>
      </c>
      <c r="F1702" s="222">
        <v>20000</v>
      </c>
      <c r="G1702" s="454"/>
    </row>
    <row r="1703" spans="1:7" s="7" customFormat="1" outlineLevel="1" x14ac:dyDescent="0.25">
      <c r="A1703" s="240"/>
      <c r="B1703" s="245" t="s">
        <v>475</v>
      </c>
      <c r="C1703" s="242"/>
      <c r="D1703" s="246"/>
      <c r="E1703" s="246"/>
      <c r="F1703" s="241">
        <v>674620</v>
      </c>
      <c r="G1703" s="454"/>
    </row>
    <row r="1704" spans="1:7" s="7" customFormat="1" outlineLevel="1" x14ac:dyDescent="0.25">
      <c r="A1704" s="168"/>
      <c r="B1704" s="227" t="s">
        <v>463</v>
      </c>
      <c r="C1704" s="221"/>
      <c r="D1704" s="222"/>
      <c r="E1704" s="222"/>
      <c r="F1704" s="223">
        <v>134924</v>
      </c>
      <c r="G1704" s="454"/>
    </row>
    <row r="1705" spans="1:7" s="7" customFormat="1" outlineLevel="1" x14ac:dyDescent="0.25">
      <c r="A1705" s="168"/>
      <c r="B1705" s="227" t="s">
        <v>464</v>
      </c>
      <c r="C1705" s="221" t="s">
        <v>448</v>
      </c>
      <c r="D1705" s="222">
        <v>1</v>
      </c>
      <c r="E1705" s="222">
        <v>15000</v>
      </c>
      <c r="F1705" s="223">
        <v>15000</v>
      </c>
      <c r="G1705" s="454"/>
    </row>
    <row r="1706" spans="1:7" s="7" customFormat="1" outlineLevel="1" x14ac:dyDescent="0.25">
      <c r="A1706" s="168"/>
      <c r="B1706" s="227" t="s">
        <v>465</v>
      </c>
      <c r="C1706" s="221"/>
      <c r="D1706" s="222"/>
      <c r="E1706" s="222"/>
      <c r="F1706" s="169">
        <v>40000</v>
      </c>
      <c r="G1706" s="454"/>
    </row>
    <row r="1707" spans="1:7" s="7" customFormat="1" outlineLevel="1" x14ac:dyDescent="0.25">
      <c r="A1707" s="240"/>
      <c r="B1707" s="496" t="s">
        <v>475</v>
      </c>
      <c r="C1707" s="496"/>
      <c r="D1707" s="496"/>
      <c r="E1707" s="496"/>
      <c r="F1707" s="239">
        <v>864544</v>
      </c>
      <c r="G1707" s="454"/>
    </row>
    <row r="1708" spans="1:7" s="7" customFormat="1" outlineLevel="1" x14ac:dyDescent="0.25">
      <c r="A1708" s="556" t="s">
        <v>488</v>
      </c>
      <c r="B1708" s="556"/>
      <c r="C1708" s="556"/>
      <c r="D1708" s="556"/>
      <c r="E1708" s="556"/>
      <c r="F1708" s="556"/>
      <c r="G1708" s="454"/>
    </row>
    <row r="1709" spans="1:7" s="7" customFormat="1" outlineLevel="1" x14ac:dyDescent="0.25">
      <c r="A1709" s="226">
        <v>1</v>
      </c>
      <c r="B1709" s="227" t="s">
        <v>447</v>
      </c>
      <c r="C1709" s="221" t="s">
        <v>448</v>
      </c>
      <c r="D1709" s="222">
        <v>1</v>
      </c>
      <c r="E1709" s="222">
        <v>286340</v>
      </c>
      <c r="F1709" s="222">
        <v>286340</v>
      </c>
      <c r="G1709" s="454"/>
    </row>
    <row r="1710" spans="1:7" s="7" customFormat="1" outlineLevel="1" x14ac:dyDescent="0.25">
      <c r="A1710" s="226">
        <v>2</v>
      </c>
      <c r="B1710" s="227" t="s">
        <v>449</v>
      </c>
      <c r="C1710" s="221" t="s">
        <v>448</v>
      </c>
      <c r="D1710" s="222">
        <v>1</v>
      </c>
      <c r="E1710" s="222">
        <v>15786</v>
      </c>
      <c r="F1710" s="222">
        <v>15786</v>
      </c>
      <c r="G1710" s="454"/>
    </row>
    <row r="1711" spans="1:7" s="7" customFormat="1" outlineLevel="1" x14ac:dyDescent="0.25">
      <c r="A1711" s="226">
        <v>3</v>
      </c>
      <c r="B1711" s="227" t="s">
        <v>450</v>
      </c>
      <c r="C1711" s="221" t="s">
        <v>448</v>
      </c>
      <c r="D1711" s="222">
        <v>4</v>
      </c>
      <c r="E1711" s="222">
        <v>33000</v>
      </c>
      <c r="F1711" s="222">
        <v>132000</v>
      </c>
      <c r="G1711" s="454"/>
    </row>
    <row r="1712" spans="1:7" s="7" customFormat="1" outlineLevel="1" x14ac:dyDescent="0.25">
      <c r="A1712" s="226">
        <v>4</v>
      </c>
      <c r="B1712" s="227" t="s">
        <v>412</v>
      </c>
      <c r="C1712" s="221" t="s">
        <v>448</v>
      </c>
      <c r="D1712" s="222">
        <v>10</v>
      </c>
      <c r="E1712" s="222">
        <v>8333</v>
      </c>
      <c r="F1712" s="222">
        <v>83330</v>
      </c>
      <c r="G1712" s="454"/>
    </row>
    <row r="1713" spans="1:7" s="7" customFormat="1" outlineLevel="1" x14ac:dyDescent="0.25">
      <c r="A1713" s="226">
        <v>5</v>
      </c>
      <c r="B1713" s="227" t="s">
        <v>451</v>
      </c>
      <c r="C1713" s="221" t="s">
        <v>448</v>
      </c>
      <c r="D1713" s="222">
        <v>3</v>
      </c>
      <c r="E1713" s="222">
        <v>18250</v>
      </c>
      <c r="F1713" s="222">
        <v>54750</v>
      </c>
      <c r="G1713" s="454"/>
    </row>
    <row r="1714" spans="1:7" s="7" customFormat="1" outlineLevel="1" x14ac:dyDescent="0.25">
      <c r="A1714" s="226">
        <v>6</v>
      </c>
      <c r="B1714" s="227" t="s">
        <v>452</v>
      </c>
      <c r="C1714" s="221" t="s">
        <v>453</v>
      </c>
      <c r="D1714" s="222">
        <v>1130</v>
      </c>
      <c r="E1714" s="222">
        <v>245</v>
      </c>
      <c r="F1714" s="222">
        <v>276850</v>
      </c>
      <c r="G1714" s="454"/>
    </row>
    <row r="1715" spans="1:7" s="7" customFormat="1" outlineLevel="1" x14ac:dyDescent="0.25">
      <c r="A1715" s="226">
        <v>7</v>
      </c>
      <c r="B1715" s="227" t="s">
        <v>454</v>
      </c>
      <c r="C1715" s="221" t="s">
        <v>448</v>
      </c>
      <c r="D1715" s="222">
        <v>1</v>
      </c>
      <c r="E1715" s="222">
        <v>35200</v>
      </c>
      <c r="F1715" s="222">
        <v>35200</v>
      </c>
      <c r="G1715" s="454"/>
    </row>
    <row r="1716" spans="1:7" s="7" customFormat="1" outlineLevel="1" x14ac:dyDescent="0.25">
      <c r="A1716" s="226">
        <v>8</v>
      </c>
      <c r="B1716" s="227" t="s">
        <v>466</v>
      </c>
      <c r="C1716" s="221" t="s">
        <v>448</v>
      </c>
      <c r="D1716" s="222">
        <v>12</v>
      </c>
      <c r="E1716" s="222">
        <v>1797</v>
      </c>
      <c r="F1716" s="222">
        <v>21564</v>
      </c>
      <c r="G1716" s="454"/>
    </row>
    <row r="1717" spans="1:7" s="7" customFormat="1" outlineLevel="1" x14ac:dyDescent="0.25">
      <c r="A1717" s="226">
        <v>9</v>
      </c>
      <c r="B1717" s="227" t="s">
        <v>456</v>
      </c>
      <c r="C1717" s="221" t="s">
        <v>448</v>
      </c>
      <c r="D1717" s="222">
        <v>6</v>
      </c>
      <c r="E1717" s="222">
        <v>4250</v>
      </c>
      <c r="F1717" s="222">
        <v>25500</v>
      </c>
      <c r="G1717" s="454"/>
    </row>
    <row r="1718" spans="1:7" s="7" customFormat="1" outlineLevel="1" x14ac:dyDescent="0.25">
      <c r="A1718" s="226">
        <v>10</v>
      </c>
      <c r="B1718" s="227" t="s">
        <v>457</v>
      </c>
      <c r="C1718" s="221" t="s">
        <v>448</v>
      </c>
      <c r="D1718" s="222">
        <v>4</v>
      </c>
      <c r="E1718" s="222">
        <v>3591</v>
      </c>
      <c r="F1718" s="222">
        <v>14364</v>
      </c>
      <c r="G1718" s="454"/>
    </row>
    <row r="1719" spans="1:7" s="7" customFormat="1" outlineLevel="1" x14ac:dyDescent="0.25">
      <c r="A1719" s="226">
        <v>11</v>
      </c>
      <c r="B1719" s="227" t="s">
        <v>422</v>
      </c>
      <c r="C1719" s="221" t="s">
        <v>458</v>
      </c>
      <c r="D1719" s="222">
        <v>120</v>
      </c>
      <c r="E1719" s="222">
        <v>399</v>
      </c>
      <c r="F1719" s="222">
        <v>47880</v>
      </c>
      <c r="G1719" s="454"/>
    </row>
    <row r="1720" spans="1:7" s="7" customFormat="1" outlineLevel="1" x14ac:dyDescent="0.25">
      <c r="A1720" s="226">
        <v>12</v>
      </c>
      <c r="B1720" s="227" t="s">
        <v>459</v>
      </c>
      <c r="C1720" s="221" t="s">
        <v>448</v>
      </c>
      <c r="D1720" s="222">
        <v>8</v>
      </c>
      <c r="E1720" s="222">
        <v>1498</v>
      </c>
      <c r="F1720" s="222">
        <v>11984</v>
      </c>
      <c r="G1720" s="454"/>
    </row>
    <row r="1721" spans="1:7" s="7" customFormat="1" outlineLevel="1" x14ac:dyDescent="0.25">
      <c r="A1721" s="226">
        <v>13</v>
      </c>
      <c r="B1721" s="227" t="s">
        <v>460</v>
      </c>
      <c r="C1721" s="221" t="s">
        <v>453</v>
      </c>
      <c r="D1721" s="222">
        <v>30</v>
      </c>
      <c r="E1721" s="222">
        <v>435</v>
      </c>
      <c r="F1721" s="222">
        <v>13050</v>
      </c>
      <c r="G1721" s="454"/>
    </row>
    <row r="1722" spans="1:7" s="7" customFormat="1" outlineLevel="1" x14ac:dyDescent="0.25">
      <c r="A1722" s="226">
        <v>14</v>
      </c>
      <c r="B1722" s="227" t="s">
        <v>461</v>
      </c>
      <c r="C1722" s="221" t="s">
        <v>462</v>
      </c>
      <c r="D1722" s="222">
        <v>1</v>
      </c>
      <c r="E1722" s="222">
        <v>20000</v>
      </c>
      <c r="F1722" s="222">
        <v>20000</v>
      </c>
      <c r="G1722" s="454"/>
    </row>
    <row r="1723" spans="1:7" s="7" customFormat="1" outlineLevel="1" x14ac:dyDescent="0.25">
      <c r="A1723" s="240"/>
      <c r="B1723" s="245" t="s">
        <v>475</v>
      </c>
      <c r="C1723" s="242"/>
      <c r="D1723" s="246"/>
      <c r="E1723" s="246"/>
      <c r="F1723" s="241">
        <v>1038598</v>
      </c>
      <c r="G1723" s="454"/>
    </row>
    <row r="1724" spans="1:7" s="7" customFormat="1" outlineLevel="1" x14ac:dyDescent="0.25">
      <c r="A1724" s="168"/>
      <c r="B1724" s="227" t="s">
        <v>463</v>
      </c>
      <c r="C1724" s="221"/>
      <c r="D1724" s="222"/>
      <c r="E1724" s="222"/>
      <c r="F1724" s="223">
        <v>207719.6</v>
      </c>
      <c r="G1724" s="454"/>
    </row>
    <row r="1725" spans="1:7" s="7" customFormat="1" outlineLevel="1" x14ac:dyDescent="0.25">
      <c r="A1725" s="168"/>
      <c r="B1725" s="227" t="s">
        <v>464</v>
      </c>
      <c r="C1725" s="221" t="s">
        <v>448</v>
      </c>
      <c r="D1725" s="222">
        <v>4</v>
      </c>
      <c r="E1725" s="222">
        <v>15000</v>
      </c>
      <c r="F1725" s="223">
        <v>60000</v>
      </c>
      <c r="G1725" s="454"/>
    </row>
    <row r="1726" spans="1:7" s="7" customFormat="1" outlineLevel="1" x14ac:dyDescent="0.25">
      <c r="A1726" s="168"/>
      <c r="B1726" s="227" t="s">
        <v>465</v>
      </c>
      <c r="C1726" s="221"/>
      <c r="D1726" s="222"/>
      <c r="E1726" s="222"/>
      <c r="F1726" s="169">
        <v>40000</v>
      </c>
      <c r="G1726" s="454"/>
    </row>
    <row r="1727" spans="1:7" s="7" customFormat="1" outlineLevel="1" x14ac:dyDescent="0.25">
      <c r="A1727" s="240"/>
      <c r="B1727" s="496" t="s">
        <v>475</v>
      </c>
      <c r="C1727" s="496"/>
      <c r="D1727" s="496"/>
      <c r="E1727" s="496"/>
      <c r="F1727" s="239">
        <v>1346317.6</v>
      </c>
      <c r="G1727" s="454"/>
    </row>
    <row r="1728" spans="1:7" s="7" customFormat="1" outlineLevel="1" x14ac:dyDescent="0.25">
      <c r="A1728" s="556" t="s">
        <v>489</v>
      </c>
      <c r="B1728" s="556"/>
      <c r="C1728" s="556"/>
      <c r="D1728" s="556"/>
      <c r="E1728" s="556"/>
      <c r="F1728" s="556"/>
      <c r="G1728" s="454"/>
    </row>
    <row r="1729" spans="1:7" s="7" customFormat="1" outlineLevel="1" x14ac:dyDescent="0.25">
      <c r="A1729" s="226">
        <v>1</v>
      </c>
      <c r="B1729" s="227" t="s">
        <v>467</v>
      </c>
      <c r="C1729" s="221" t="s">
        <v>448</v>
      </c>
      <c r="D1729" s="222">
        <v>1</v>
      </c>
      <c r="E1729" s="222">
        <v>904422</v>
      </c>
      <c r="F1729" s="222">
        <v>904422</v>
      </c>
      <c r="G1729" s="454"/>
    </row>
    <row r="1730" spans="1:7" s="7" customFormat="1" outlineLevel="1" x14ac:dyDescent="0.25">
      <c r="A1730" s="226">
        <v>2</v>
      </c>
      <c r="B1730" s="227" t="s">
        <v>468</v>
      </c>
      <c r="C1730" s="221" t="s">
        <v>448</v>
      </c>
      <c r="D1730" s="222">
        <v>1</v>
      </c>
      <c r="E1730" s="222">
        <v>24290</v>
      </c>
      <c r="F1730" s="222">
        <v>24290</v>
      </c>
      <c r="G1730" s="454"/>
    </row>
    <row r="1731" spans="1:7" s="7" customFormat="1" outlineLevel="1" x14ac:dyDescent="0.25">
      <c r="A1731" s="226">
        <v>3</v>
      </c>
      <c r="B1731" s="227" t="s">
        <v>469</v>
      </c>
      <c r="C1731" s="221" t="s">
        <v>448</v>
      </c>
      <c r="D1731" s="222">
        <v>1</v>
      </c>
      <c r="E1731" s="222">
        <v>23650</v>
      </c>
      <c r="F1731" s="222">
        <v>23650</v>
      </c>
      <c r="G1731" s="454"/>
    </row>
    <row r="1732" spans="1:7" s="7" customFormat="1" outlineLevel="1" x14ac:dyDescent="0.25">
      <c r="A1732" s="226">
        <v>4</v>
      </c>
      <c r="B1732" s="227" t="s">
        <v>412</v>
      </c>
      <c r="C1732" s="221" t="s">
        <v>448</v>
      </c>
      <c r="D1732" s="222">
        <v>4</v>
      </c>
      <c r="E1732" s="222">
        <v>8333</v>
      </c>
      <c r="F1732" s="222">
        <v>33332</v>
      </c>
      <c r="G1732" s="454"/>
    </row>
    <row r="1733" spans="1:7" s="7" customFormat="1" outlineLevel="1" x14ac:dyDescent="0.25">
      <c r="A1733" s="226">
        <v>5</v>
      </c>
      <c r="B1733" s="227" t="s">
        <v>451</v>
      </c>
      <c r="C1733" s="221" t="s">
        <v>448</v>
      </c>
      <c r="D1733" s="222">
        <v>3</v>
      </c>
      <c r="E1733" s="222">
        <v>18250</v>
      </c>
      <c r="F1733" s="222">
        <v>54750</v>
      </c>
      <c r="G1733" s="454"/>
    </row>
    <row r="1734" spans="1:7" s="7" customFormat="1" outlineLevel="1" x14ac:dyDescent="0.25">
      <c r="A1734" s="226">
        <v>6</v>
      </c>
      <c r="B1734" s="227" t="s">
        <v>452</v>
      </c>
      <c r="C1734" s="221" t="s">
        <v>453</v>
      </c>
      <c r="D1734" s="222">
        <v>50</v>
      </c>
      <c r="E1734" s="222">
        <v>245</v>
      </c>
      <c r="F1734" s="222">
        <v>12250</v>
      </c>
      <c r="G1734" s="454"/>
    </row>
    <row r="1735" spans="1:7" s="7" customFormat="1" outlineLevel="1" x14ac:dyDescent="0.25">
      <c r="A1735" s="226">
        <v>7</v>
      </c>
      <c r="B1735" s="227" t="s">
        <v>454</v>
      </c>
      <c r="C1735" s="221" t="s">
        <v>448</v>
      </c>
      <c r="D1735" s="222">
        <v>1</v>
      </c>
      <c r="E1735" s="222">
        <v>35200</v>
      </c>
      <c r="F1735" s="222">
        <v>35200</v>
      </c>
      <c r="G1735" s="454"/>
    </row>
    <row r="1736" spans="1:7" s="7" customFormat="1" outlineLevel="1" x14ac:dyDescent="0.25">
      <c r="A1736" s="226">
        <v>8</v>
      </c>
      <c r="B1736" s="227" t="s">
        <v>466</v>
      </c>
      <c r="C1736" s="221" t="s">
        <v>448</v>
      </c>
      <c r="D1736" s="222">
        <v>6</v>
      </c>
      <c r="E1736" s="222">
        <v>1797</v>
      </c>
      <c r="F1736" s="222">
        <v>10782</v>
      </c>
      <c r="G1736" s="454"/>
    </row>
    <row r="1737" spans="1:7" s="7" customFormat="1" outlineLevel="1" x14ac:dyDescent="0.25">
      <c r="A1737" s="226">
        <v>9</v>
      </c>
      <c r="B1737" s="227" t="s">
        <v>470</v>
      </c>
      <c r="C1737" s="221" t="s">
        <v>448</v>
      </c>
      <c r="D1737" s="222">
        <v>2</v>
      </c>
      <c r="E1737" s="222">
        <v>31300</v>
      </c>
      <c r="F1737" s="222">
        <v>62600</v>
      </c>
      <c r="G1737" s="454"/>
    </row>
    <row r="1738" spans="1:7" s="7" customFormat="1" outlineLevel="1" x14ac:dyDescent="0.25">
      <c r="A1738" s="226">
        <v>10</v>
      </c>
      <c r="B1738" s="227" t="s">
        <v>471</v>
      </c>
      <c r="C1738" s="221" t="s">
        <v>448</v>
      </c>
      <c r="D1738" s="222">
        <v>8</v>
      </c>
      <c r="E1738" s="222">
        <v>10530</v>
      </c>
      <c r="F1738" s="222">
        <v>84240</v>
      </c>
      <c r="G1738" s="454"/>
    </row>
    <row r="1739" spans="1:7" s="7" customFormat="1" outlineLevel="1" x14ac:dyDescent="0.25">
      <c r="A1739" s="226">
        <v>11</v>
      </c>
      <c r="B1739" s="227" t="s">
        <v>422</v>
      </c>
      <c r="C1739" s="221" t="s">
        <v>458</v>
      </c>
      <c r="D1739" s="222">
        <v>40</v>
      </c>
      <c r="E1739" s="222">
        <v>399</v>
      </c>
      <c r="F1739" s="222">
        <v>15960</v>
      </c>
      <c r="G1739" s="454"/>
    </row>
    <row r="1740" spans="1:7" s="7" customFormat="1" outlineLevel="1" x14ac:dyDescent="0.25">
      <c r="A1740" s="226">
        <v>12</v>
      </c>
      <c r="B1740" s="227" t="s">
        <v>459</v>
      </c>
      <c r="C1740" s="221" t="s">
        <v>448</v>
      </c>
      <c r="D1740" s="222">
        <v>4</v>
      </c>
      <c r="E1740" s="222">
        <v>1498</v>
      </c>
      <c r="F1740" s="222">
        <v>5992</v>
      </c>
      <c r="G1740" s="454"/>
    </row>
    <row r="1741" spans="1:7" s="7" customFormat="1" outlineLevel="1" x14ac:dyDescent="0.25">
      <c r="A1741" s="226">
        <v>13</v>
      </c>
      <c r="B1741" s="227" t="s">
        <v>472</v>
      </c>
      <c r="C1741" s="221" t="s">
        <v>453</v>
      </c>
      <c r="D1741" s="222">
        <v>100</v>
      </c>
      <c r="E1741" s="222">
        <v>975</v>
      </c>
      <c r="F1741" s="222">
        <v>97500</v>
      </c>
      <c r="G1741" s="454"/>
    </row>
    <row r="1742" spans="1:7" s="7" customFormat="1" outlineLevel="1" x14ac:dyDescent="0.25">
      <c r="A1742" s="226">
        <v>14</v>
      </c>
      <c r="B1742" s="227" t="s">
        <v>461</v>
      </c>
      <c r="C1742" s="221" t="s">
        <v>462</v>
      </c>
      <c r="D1742" s="222">
        <v>1</v>
      </c>
      <c r="E1742" s="222">
        <v>10000</v>
      </c>
      <c r="F1742" s="222">
        <v>10000</v>
      </c>
      <c r="G1742" s="454"/>
    </row>
    <row r="1743" spans="1:7" s="7" customFormat="1" outlineLevel="1" x14ac:dyDescent="0.25">
      <c r="A1743" s="240"/>
      <c r="B1743" s="245" t="s">
        <v>475</v>
      </c>
      <c r="C1743" s="242"/>
      <c r="D1743" s="246"/>
      <c r="E1743" s="246"/>
      <c r="F1743" s="241">
        <v>1374968</v>
      </c>
      <c r="G1743" s="454"/>
    </row>
    <row r="1744" spans="1:7" s="7" customFormat="1" outlineLevel="1" x14ac:dyDescent="0.25">
      <c r="A1744" s="168"/>
      <c r="B1744" s="227" t="s">
        <v>463</v>
      </c>
      <c r="C1744" s="221"/>
      <c r="D1744" s="222"/>
      <c r="E1744" s="222"/>
      <c r="F1744" s="223">
        <v>274993.59999999998</v>
      </c>
      <c r="G1744" s="454"/>
    </row>
    <row r="1745" spans="1:7" s="7" customFormat="1" outlineLevel="1" x14ac:dyDescent="0.25">
      <c r="A1745" s="168"/>
      <c r="B1745" s="227" t="s">
        <v>464</v>
      </c>
      <c r="C1745" s="221" t="s">
        <v>448</v>
      </c>
      <c r="D1745" s="222">
        <v>1</v>
      </c>
      <c r="E1745" s="222">
        <v>15000</v>
      </c>
      <c r="F1745" s="223">
        <v>15000</v>
      </c>
      <c r="G1745" s="454"/>
    </row>
    <row r="1746" spans="1:7" s="7" customFormat="1" outlineLevel="1" x14ac:dyDescent="0.25">
      <c r="A1746" s="168"/>
      <c r="B1746" s="227" t="s">
        <v>465</v>
      </c>
      <c r="C1746" s="221"/>
      <c r="D1746" s="222"/>
      <c r="E1746" s="222"/>
      <c r="F1746" s="169">
        <v>40000</v>
      </c>
      <c r="G1746" s="454"/>
    </row>
    <row r="1747" spans="1:7" s="7" customFormat="1" outlineLevel="1" x14ac:dyDescent="0.25">
      <c r="A1747" s="240"/>
      <c r="B1747" s="496" t="s">
        <v>475</v>
      </c>
      <c r="C1747" s="496"/>
      <c r="D1747" s="496"/>
      <c r="E1747" s="496"/>
      <c r="F1747" s="239">
        <v>1821741.6</v>
      </c>
      <c r="G1747" s="454"/>
    </row>
    <row r="1748" spans="1:7" s="7" customFormat="1" outlineLevel="1" x14ac:dyDescent="0.25">
      <c r="A1748" s="556" t="s">
        <v>490</v>
      </c>
      <c r="B1748" s="556"/>
      <c r="C1748" s="556"/>
      <c r="D1748" s="556"/>
      <c r="E1748" s="556"/>
      <c r="F1748" s="556"/>
      <c r="G1748" s="454"/>
    </row>
    <row r="1749" spans="1:7" s="7" customFormat="1" outlineLevel="1" x14ac:dyDescent="0.25">
      <c r="A1749" s="226">
        <v>1</v>
      </c>
      <c r="B1749" s="227" t="s">
        <v>447</v>
      </c>
      <c r="C1749" s="221" t="s">
        <v>448</v>
      </c>
      <c r="D1749" s="222">
        <v>1</v>
      </c>
      <c r="E1749" s="222">
        <v>286340</v>
      </c>
      <c r="F1749" s="222">
        <v>286340</v>
      </c>
      <c r="G1749" s="454"/>
    </row>
    <row r="1750" spans="1:7" s="7" customFormat="1" outlineLevel="1" x14ac:dyDescent="0.25">
      <c r="A1750" s="226">
        <v>2</v>
      </c>
      <c r="B1750" s="227" t="s">
        <v>449</v>
      </c>
      <c r="C1750" s="221" t="s">
        <v>448</v>
      </c>
      <c r="D1750" s="222">
        <v>1</v>
      </c>
      <c r="E1750" s="222">
        <v>15786</v>
      </c>
      <c r="F1750" s="222">
        <v>15786</v>
      </c>
      <c r="G1750" s="454"/>
    </row>
    <row r="1751" spans="1:7" s="7" customFormat="1" outlineLevel="1" x14ac:dyDescent="0.25">
      <c r="A1751" s="226">
        <v>3</v>
      </c>
      <c r="B1751" s="227" t="s">
        <v>450</v>
      </c>
      <c r="C1751" s="221" t="s">
        <v>448</v>
      </c>
      <c r="D1751" s="222">
        <v>1</v>
      </c>
      <c r="E1751" s="222">
        <v>33000</v>
      </c>
      <c r="F1751" s="222">
        <v>33000</v>
      </c>
      <c r="G1751" s="454"/>
    </row>
    <row r="1752" spans="1:7" s="7" customFormat="1" outlineLevel="1" x14ac:dyDescent="0.25">
      <c r="A1752" s="226">
        <v>4</v>
      </c>
      <c r="B1752" s="227" t="s">
        <v>412</v>
      </c>
      <c r="C1752" s="221" t="s">
        <v>448</v>
      </c>
      <c r="D1752" s="222">
        <v>6</v>
      </c>
      <c r="E1752" s="222">
        <v>8333</v>
      </c>
      <c r="F1752" s="222">
        <v>49998</v>
      </c>
      <c r="G1752" s="454"/>
    </row>
    <row r="1753" spans="1:7" s="7" customFormat="1" outlineLevel="1" x14ac:dyDescent="0.25">
      <c r="A1753" s="226">
        <v>5</v>
      </c>
      <c r="B1753" s="227" t="s">
        <v>451</v>
      </c>
      <c r="C1753" s="221" t="s">
        <v>448</v>
      </c>
      <c r="D1753" s="222">
        <v>3</v>
      </c>
      <c r="E1753" s="222">
        <v>18250</v>
      </c>
      <c r="F1753" s="222">
        <v>54750</v>
      </c>
      <c r="G1753" s="454"/>
    </row>
    <row r="1754" spans="1:7" s="7" customFormat="1" outlineLevel="1" x14ac:dyDescent="0.25">
      <c r="A1754" s="226">
        <v>6</v>
      </c>
      <c r="B1754" s="227" t="s">
        <v>452</v>
      </c>
      <c r="C1754" s="221" t="s">
        <v>453</v>
      </c>
      <c r="D1754" s="222">
        <v>380</v>
      </c>
      <c r="E1754" s="222">
        <v>245</v>
      </c>
      <c r="F1754" s="222">
        <v>93100</v>
      </c>
      <c r="G1754" s="454"/>
    </row>
    <row r="1755" spans="1:7" s="7" customFormat="1" outlineLevel="1" x14ac:dyDescent="0.25">
      <c r="A1755" s="226">
        <v>7</v>
      </c>
      <c r="B1755" s="227" t="s">
        <v>454</v>
      </c>
      <c r="C1755" s="221" t="s">
        <v>448</v>
      </c>
      <c r="D1755" s="222">
        <v>1</v>
      </c>
      <c r="E1755" s="222">
        <v>35200</v>
      </c>
      <c r="F1755" s="222">
        <v>35200</v>
      </c>
      <c r="G1755" s="454"/>
    </row>
    <row r="1756" spans="1:7" s="7" customFormat="1" outlineLevel="1" x14ac:dyDescent="0.25">
      <c r="A1756" s="226">
        <v>8</v>
      </c>
      <c r="B1756" s="227" t="s">
        <v>455</v>
      </c>
      <c r="C1756" s="221" t="s">
        <v>448</v>
      </c>
      <c r="D1756" s="222">
        <v>6</v>
      </c>
      <c r="E1756" s="222">
        <v>1797</v>
      </c>
      <c r="F1756" s="222">
        <v>10782</v>
      </c>
      <c r="G1756" s="454"/>
    </row>
    <row r="1757" spans="1:7" s="7" customFormat="1" outlineLevel="1" x14ac:dyDescent="0.25">
      <c r="A1757" s="226">
        <v>9</v>
      </c>
      <c r="B1757" s="227" t="s">
        <v>456</v>
      </c>
      <c r="C1757" s="221" t="s">
        <v>448</v>
      </c>
      <c r="D1757" s="222">
        <v>6</v>
      </c>
      <c r="E1757" s="222">
        <v>4250</v>
      </c>
      <c r="F1757" s="222">
        <v>25500</v>
      </c>
      <c r="G1757" s="454"/>
    </row>
    <row r="1758" spans="1:7" s="7" customFormat="1" outlineLevel="1" x14ac:dyDescent="0.25">
      <c r="A1758" s="226">
        <v>10</v>
      </c>
      <c r="B1758" s="227" t="s">
        <v>457</v>
      </c>
      <c r="C1758" s="221" t="s">
        <v>448</v>
      </c>
      <c r="D1758" s="222">
        <v>2</v>
      </c>
      <c r="E1758" s="222">
        <v>3591</v>
      </c>
      <c r="F1758" s="222">
        <v>7182</v>
      </c>
      <c r="G1758" s="454"/>
    </row>
    <row r="1759" spans="1:7" s="7" customFormat="1" outlineLevel="1" x14ac:dyDescent="0.25">
      <c r="A1759" s="226">
        <v>11</v>
      </c>
      <c r="B1759" s="227" t="s">
        <v>422</v>
      </c>
      <c r="C1759" s="221" t="s">
        <v>458</v>
      </c>
      <c r="D1759" s="222">
        <v>60</v>
      </c>
      <c r="E1759" s="222">
        <v>399</v>
      </c>
      <c r="F1759" s="222">
        <v>23940</v>
      </c>
      <c r="G1759" s="454"/>
    </row>
    <row r="1760" spans="1:7" s="7" customFormat="1" outlineLevel="1" x14ac:dyDescent="0.25">
      <c r="A1760" s="226">
        <v>12</v>
      </c>
      <c r="B1760" s="227" t="s">
        <v>459</v>
      </c>
      <c r="C1760" s="221" t="s">
        <v>448</v>
      </c>
      <c r="D1760" s="222">
        <v>4</v>
      </c>
      <c r="E1760" s="222">
        <v>1498</v>
      </c>
      <c r="F1760" s="222">
        <v>5992</v>
      </c>
      <c r="G1760" s="454"/>
    </row>
    <row r="1761" spans="1:7" s="7" customFormat="1" outlineLevel="1" x14ac:dyDescent="0.25">
      <c r="A1761" s="226">
        <v>13</v>
      </c>
      <c r="B1761" s="227" t="s">
        <v>460</v>
      </c>
      <c r="C1761" s="221" t="s">
        <v>453</v>
      </c>
      <c r="D1761" s="222">
        <v>100</v>
      </c>
      <c r="E1761" s="222">
        <v>435</v>
      </c>
      <c r="F1761" s="222">
        <v>43500</v>
      </c>
      <c r="G1761" s="454"/>
    </row>
    <row r="1762" spans="1:7" s="7" customFormat="1" outlineLevel="1" x14ac:dyDescent="0.25">
      <c r="A1762" s="226">
        <v>14</v>
      </c>
      <c r="B1762" s="227" t="s">
        <v>461</v>
      </c>
      <c r="C1762" s="221" t="s">
        <v>462</v>
      </c>
      <c r="D1762" s="222">
        <v>1</v>
      </c>
      <c r="E1762" s="222">
        <v>20000</v>
      </c>
      <c r="F1762" s="222">
        <v>20000</v>
      </c>
      <c r="G1762" s="454"/>
    </row>
    <row r="1763" spans="1:7" s="7" customFormat="1" outlineLevel="1" x14ac:dyDescent="0.25">
      <c r="A1763" s="240"/>
      <c r="B1763" s="245" t="s">
        <v>475</v>
      </c>
      <c r="C1763" s="242"/>
      <c r="D1763" s="246"/>
      <c r="E1763" s="246"/>
      <c r="F1763" s="241">
        <v>705070</v>
      </c>
      <c r="G1763" s="454"/>
    </row>
    <row r="1764" spans="1:7" s="7" customFormat="1" outlineLevel="1" x14ac:dyDescent="0.25">
      <c r="A1764" s="168"/>
      <c r="B1764" s="227" t="s">
        <v>463</v>
      </c>
      <c r="C1764" s="221"/>
      <c r="D1764" s="222"/>
      <c r="E1764" s="222"/>
      <c r="F1764" s="223">
        <v>141014</v>
      </c>
      <c r="G1764" s="454"/>
    </row>
    <row r="1765" spans="1:7" s="7" customFormat="1" outlineLevel="1" x14ac:dyDescent="0.25">
      <c r="A1765" s="168"/>
      <c r="B1765" s="227" t="s">
        <v>464</v>
      </c>
      <c r="C1765" s="221" t="s">
        <v>448</v>
      </c>
      <c r="D1765" s="222">
        <v>1</v>
      </c>
      <c r="E1765" s="222">
        <v>15000</v>
      </c>
      <c r="F1765" s="223">
        <v>15000</v>
      </c>
      <c r="G1765" s="454"/>
    </row>
    <row r="1766" spans="1:7" s="7" customFormat="1" outlineLevel="1" x14ac:dyDescent="0.25">
      <c r="A1766" s="168"/>
      <c r="B1766" s="227" t="s">
        <v>465</v>
      </c>
      <c r="C1766" s="221"/>
      <c r="D1766" s="222"/>
      <c r="E1766" s="222"/>
      <c r="F1766" s="169">
        <v>40000</v>
      </c>
      <c r="G1766" s="454"/>
    </row>
    <row r="1767" spans="1:7" s="7" customFormat="1" outlineLevel="1" x14ac:dyDescent="0.25">
      <c r="A1767" s="240"/>
      <c r="B1767" s="496" t="s">
        <v>475</v>
      </c>
      <c r="C1767" s="496"/>
      <c r="D1767" s="496"/>
      <c r="E1767" s="496"/>
      <c r="F1767" s="239">
        <v>901084</v>
      </c>
      <c r="G1767" s="454"/>
    </row>
    <row r="1768" spans="1:7" s="7" customFormat="1" outlineLevel="1" x14ac:dyDescent="0.25">
      <c r="A1768" s="556" t="s">
        <v>491</v>
      </c>
      <c r="B1768" s="556"/>
      <c r="C1768" s="556"/>
      <c r="D1768" s="556"/>
      <c r="E1768" s="556"/>
      <c r="F1768" s="556"/>
      <c r="G1768" s="454"/>
    </row>
    <row r="1769" spans="1:7" s="7" customFormat="1" outlineLevel="1" x14ac:dyDescent="0.25">
      <c r="A1769" s="226">
        <v>1</v>
      </c>
      <c r="B1769" s="230" t="s">
        <v>467</v>
      </c>
      <c r="C1769" s="221" t="s">
        <v>448</v>
      </c>
      <c r="D1769" s="222">
        <v>1</v>
      </c>
      <c r="E1769" s="222">
        <v>904422</v>
      </c>
      <c r="F1769" s="222">
        <v>904422</v>
      </c>
      <c r="G1769" s="454"/>
    </row>
    <row r="1770" spans="1:7" s="7" customFormat="1" outlineLevel="1" x14ac:dyDescent="0.25">
      <c r="A1770" s="226">
        <v>2</v>
      </c>
      <c r="B1770" s="230" t="s">
        <v>468</v>
      </c>
      <c r="C1770" s="221" t="s">
        <v>448</v>
      </c>
      <c r="D1770" s="222">
        <v>1</v>
      </c>
      <c r="E1770" s="222">
        <v>24290</v>
      </c>
      <c r="F1770" s="222">
        <v>24290</v>
      </c>
      <c r="G1770" s="454"/>
    </row>
    <row r="1771" spans="1:7" s="7" customFormat="1" outlineLevel="1" x14ac:dyDescent="0.25">
      <c r="A1771" s="226">
        <v>3</v>
      </c>
      <c r="B1771" s="230" t="s">
        <v>450</v>
      </c>
      <c r="C1771" s="221" t="s">
        <v>448</v>
      </c>
      <c r="D1771" s="222">
        <v>1</v>
      </c>
      <c r="E1771" s="222">
        <v>33000</v>
      </c>
      <c r="F1771" s="222">
        <v>33000</v>
      </c>
      <c r="G1771" s="454"/>
    </row>
    <row r="1772" spans="1:7" s="7" customFormat="1" outlineLevel="1" x14ac:dyDescent="0.25">
      <c r="A1772" s="226">
        <v>4</v>
      </c>
      <c r="B1772" s="230" t="s">
        <v>469</v>
      </c>
      <c r="C1772" s="221" t="s">
        <v>448</v>
      </c>
      <c r="D1772" s="222">
        <v>1</v>
      </c>
      <c r="E1772" s="222">
        <v>23650</v>
      </c>
      <c r="F1772" s="222">
        <v>23650</v>
      </c>
      <c r="G1772" s="454"/>
    </row>
    <row r="1773" spans="1:7" s="7" customFormat="1" outlineLevel="1" x14ac:dyDescent="0.25">
      <c r="A1773" s="226">
        <v>5</v>
      </c>
      <c r="B1773" s="230" t="s">
        <v>412</v>
      </c>
      <c r="C1773" s="221" t="s">
        <v>448</v>
      </c>
      <c r="D1773" s="222">
        <v>4</v>
      </c>
      <c r="E1773" s="222">
        <v>8333</v>
      </c>
      <c r="F1773" s="222">
        <v>33332</v>
      </c>
      <c r="G1773" s="454"/>
    </row>
    <row r="1774" spans="1:7" s="7" customFormat="1" outlineLevel="1" x14ac:dyDescent="0.25">
      <c r="A1774" s="226">
        <v>6</v>
      </c>
      <c r="B1774" s="230" t="s">
        <v>451</v>
      </c>
      <c r="C1774" s="221" t="s">
        <v>448</v>
      </c>
      <c r="D1774" s="222">
        <v>3</v>
      </c>
      <c r="E1774" s="222">
        <v>18250</v>
      </c>
      <c r="F1774" s="222">
        <v>54750</v>
      </c>
      <c r="G1774" s="454"/>
    </row>
    <row r="1775" spans="1:7" s="7" customFormat="1" outlineLevel="1" x14ac:dyDescent="0.25">
      <c r="A1775" s="226">
        <v>7</v>
      </c>
      <c r="B1775" s="230" t="s">
        <v>452</v>
      </c>
      <c r="C1775" s="221" t="s">
        <v>453</v>
      </c>
      <c r="D1775" s="222">
        <v>50</v>
      </c>
      <c r="E1775" s="222">
        <v>245</v>
      </c>
      <c r="F1775" s="222">
        <v>12250</v>
      </c>
      <c r="G1775" s="454"/>
    </row>
    <row r="1776" spans="1:7" s="7" customFormat="1" outlineLevel="1" x14ac:dyDescent="0.25">
      <c r="A1776" s="226">
        <v>8</v>
      </c>
      <c r="B1776" s="230" t="s">
        <v>454</v>
      </c>
      <c r="C1776" s="221" t="s">
        <v>448</v>
      </c>
      <c r="D1776" s="222">
        <v>1</v>
      </c>
      <c r="E1776" s="222">
        <v>35200</v>
      </c>
      <c r="F1776" s="222">
        <v>35200</v>
      </c>
      <c r="G1776" s="454"/>
    </row>
    <row r="1777" spans="1:7" s="7" customFormat="1" outlineLevel="1" x14ac:dyDescent="0.25">
      <c r="A1777" s="226">
        <v>9</v>
      </c>
      <c r="B1777" s="230" t="s">
        <v>466</v>
      </c>
      <c r="C1777" s="221" t="s">
        <v>448</v>
      </c>
      <c r="D1777" s="222">
        <v>6</v>
      </c>
      <c r="E1777" s="222">
        <v>1797</v>
      </c>
      <c r="F1777" s="222">
        <v>10782</v>
      </c>
      <c r="G1777" s="454"/>
    </row>
    <row r="1778" spans="1:7" s="7" customFormat="1" outlineLevel="1" x14ac:dyDescent="0.25">
      <c r="A1778" s="226">
        <v>10</v>
      </c>
      <c r="B1778" s="230" t="s">
        <v>470</v>
      </c>
      <c r="C1778" s="221" t="s">
        <v>448</v>
      </c>
      <c r="D1778" s="222">
        <v>2</v>
      </c>
      <c r="E1778" s="222">
        <v>31300</v>
      </c>
      <c r="F1778" s="222">
        <v>62600</v>
      </c>
      <c r="G1778" s="454"/>
    </row>
    <row r="1779" spans="1:7" s="7" customFormat="1" outlineLevel="1" x14ac:dyDescent="0.25">
      <c r="A1779" s="226">
        <v>11</v>
      </c>
      <c r="B1779" s="230" t="s">
        <v>471</v>
      </c>
      <c r="C1779" s="221" t="s">
        <v>448</v>
      </c>
      <c r="D1779" s="222">
        <v>8</v>
      </c>
      <c r="E1779" s="222">
        <v>10530</v>
      </c>
      <c r="F1779" s="222">
        <v>84240</v>
      </c>
      <c r="G1779" s="454"/>
    </row>
    <row r="1780" spans="1:7" s="7" customFormat="1" outlineLevel="1" x14ac:dyDescent="0.25">
      <c r="A1780" s="226">
        <v>12</v>
      </c>
      <c r="B1780" s="230" t="s">
        <v>422</v>
      </c>
      <c r="C1780" s="221" t="s">
        <v>458</v>
      </c>
      <c r="D1780" s="222">
        <v>40</v>
      </c>
      <c r="E1780" s="222">
        <v>399</v>
      </c>
      <c r="F1780" s="222">
        <v>15960</v>
      </c>
      <c r="G1780" s="454"/>
    </row>
    <row r="1781" spans="1:7" s="7" customFormat="1" outlineLevel="1" x14ac:dyDescent="0.25">
      <c r="A1781" s="226">
        <v>13</v>
      </c>
      <c r="B1781" s="230" t="s">
        <v>459</v>
      </c>
      <c r="C1781" s="221" t="s">
        <v>448</v>
      </c>
      <c r="D1781" s="222">
        <v>4</v>
      </c>
      <c r="E1781" s="222">
        <v>1498</v>
      </c>
      <c r="F1781" s="222">
        <v>5992</v>
      </c>
      <c r="G1781" s="454"/>
    </row>
    <row r="1782" spans="1:7" s="7" customFormat="1" outlineLevel="1" x14ac:dyDescent="0.25">
      <c r="A1782" s="226">
        <v>14</v>
      </c>
      <c r="B1782" s="230" t="s">
        <v>472</v>
      </c>
      <c r="C1782" s="221" t="s">
        <v>453</v>
      </c>
      <c r="D1782" s="222">
        <v>200</v>
      </c>
      <c r="E1782" s="222">
        <v>975</v>
      </c>
      <c r="F1782" s="222">
        <v>195000</v>
      </c>
      <c r="G1782" s="454"/>
    </row>
    <row r="1783" spans="1:7" s="7" customFormat="1" outlineLevel="1" x14ac:dyDescent="0.25">
      <c r="A1783" s="168"/>
      <c r="B1783" s="230" t="s">
        <v>461</v>
      </c>
      <c r="C1783" s="221" t="s">
        <v>462</v>
      </c>
      <c r="D1783" s="222">
        <v>1</v>
      </c>
      <c r="E1783" s="222">
        <v>10000</v>
      </c>
      <c r="F1783" s="222">
        <v>10000</v>
      </c>
      <c r="G1783" s="454"/>
    </row>
    <row r="1784" spans="1:7" s="7" customFormat="1" outlineLevel="1" x14ac:dyDescent="0.25">
      <c r="A1784" s="240"/>
      <c r="B1784" s="245" t="s">
        <v>475</v>
      </c>
      <c r="C1784" s="242"/>
      <c r="D1784" s="246"/>
      <c r="E1784" s="246"/>
      <c r="F1784" s="241">
        <v>1505468</v>
      </c>
      <c r="G1784" s="454"/>
    </row>
    <row r="1785" spans="1:7" s="7" customFormat="1" outlineLevel="1" x14ac:dyDescent="0.25">
      <c r="A1785" s="168"/>
      <c r="B1785" s="227" t="s">
        <v>463</v>
      </c>
      <c r="C1785" s="221"/>
      <c r="D1785" s="222"/>
      <c r="E1785" s="222"/>
      <c r="F1785" s="223">
        <v>301093.59999999998</v>
      </c>
      <c r="G1785" s="454"/>
    </row>
    <row r="1786" spans="1:7" s="7" customFormat="1" outlineLevel="1" x14ac:dyDescent="0.25">
      <c r="A1786" s="168"/>
      <c r="B1786" s="227" t="s">
        <v>464</v>
      </c>
      <c r="C1786" s="221" t="s">
        <v>448</v>
      </c>
      <c r="D1786" s="222">
        <v>2</v>
      </c>
      <c r="E1786" s="222">
        <v>15000</v>
      </c>
      <c r="F1786" s="223">
        <v>30000</v>
      </c>
      <c r="G1786" s="454"/>
    </row>
    <row r="1787" spans="1:7" s="7" customFormat="1" outlineLevel="1" x14ac:dyDescent="0.25">
      <c r="A1787" s="168"/>
      <c r="B1787" s="227" t="s">
        <v>465</v>
      </c>
      <c r="C1787" s="221"/>
      <c r="D1787" s="222"/>
      <c r="E1787" s="222"/>
      <c r="F1787" s="169">
        <v>156780</v>
      </c>
      <c r="G1787" s="454"/>
    </row>
    <row r="1788" spans="1:7" s="7" customFormat="1" outlineLevel="1" x14ac:dyDescent="0.25">
      <c r="A1788" s="240"/>
      <c r="B1788" s="496" t="s">
        <v>475</v>
      </c>
      <c r="C1788" s="496"/>
      <c r="D1788" s="496"/>
      <c r="E1788" s="496"/>
      <c r="F1788" s="239">
        <v>1993341.6</v>
      </c>
      <c r="G1788" s="454"/>
    </row>
    <row r="1789" spans="1:7" s="7" customFormat="1" outlineLevel="1" x14ac:dyDescent="0.25">
      <c r="A1789" s="556" t="s">
        <v>492</v>
      </c>
      <c r="B1789" s="556"/>
      <c r="C1789" s="556"/>
      <c r="D1789" s="556"/>
      <c r="E1789" s="556"/>
      <c r="F1789" s="556"/>
      <c r="G1789" s="454"/>
    </row>
    <row r="1790" spans="1:7" s="7" customFormat="1" outlineLevel="1" x14ac:dyDescent="0.25">
      <c r="A1790" s="226">
        <v>1</v>
      </c>
      <c r="B1790" s="230" t="s">
        <v>447</v>
      </c>
      <c r="C1790" s="221" t="s">
        <v>448</v>
      </c>
      <c r="D1790" s="222">
        <v>1</v>
      </c>
      <c r="E1790" s="222">
        <v>286340</v>
      </c>
      <c r="F1790" s="222">
        <v>286340</v>
      </c>
      <c r="G1790" s="454"/>
    </row>
    <row r="1791" spans="1:7" s="7" customFormat="1" outlineLevel="1" x14ac:dyDescent="0.25">
      <c r="A1791" s="226">
        <v>2</v>
      </c>
      <c r="B1791" s="230" t="s">
        <v>449</v>
      </c>
      <c r="C1791" s="221" t="s">
        <v>448</v>
      </c>
      <c r="D1791" s="222">
        <v>1</v>
      </c>
      <c r="E1791" s="222">
        <v>15786</v>
      </c>
      <c r="F1791" s="222">
        <v>15786</v>
      </c>
      <c r="G1791" s="454"/>
    </row>
    <row r="1792" spans="1:7" s="7" customFormat="1" outlineLevel="1" x14ac:dyDescent="0.25">
      <c r="A1792" s="226">
        <v>3</v>
      </c>
      <c r="B1792" s="230" t="s">
        <v>450</v>
      </c>
      <c r="C1792" s="221" t="s">
        <v>448</v>
      </c>
      <c r="D1792" s="222">
        <v>1</v>
      </c>
      <c r="E1792" s="222">
        <v>33000</v>
      </c>
      <c r="F1792" s="222">
        <v>33000</v>
      </c>
      <c r="G1792" s="454"/>
    </row>
    <row r="1793" spans="1:7" s="7" customFormat="1" outlineLevel="1" x14ac:dyDescent="0.25">
      <c r="A1793" s="226">
        <v>4</v>
      </c>
      <c r="B1793" s="230" t="s">
        <v>412</v>
      </c>
      <c r="C1793" s="221" t="s">
        <v>448</v>
      </c>
      <c r="D1793" s="222">
        <v>6</v>
      </c>
      <c r="E1793" s="222">
        <v>8333</v>
      </c>
      <c r="F1793" s="222">
        <v>49998</v>
      </c>
      <c r="G1793" s="454"/>
    </row>
    <row r="1794" spans="1:7" s="7" customFormat="1" outlineLevel="1" x14ac:dyDescent="0.25">
      <c r="A1794" s="226">
        <v>5</v>
      </c>
      <c r="B1794" s="230" t="s">
        <v>451</v>
      </c>
      <c r="C1794" s="221" t="s">
        <v>448</v>
      </c>
      <c r="D1794" s="222">
        <v>3</v>
      </c>
      <c r="E1794" s="222">
        <v>18250</v>
      </c>
      <c r="F1794" s="222">
        <v>54750</v>
      </c>
      <c r="G1794" s="454"/>
    </row>
    <row r="1795" spans="1:7" s="7" customFormat="1" outlineLevel="1" x14ac:dyDescent="0.25">
      <c r="A1795" s="226">
        <v>6</v>
      </c>
      <c r="B1795" s="230" t="s">
        <v>452</v>
      </c>
      <c r="C1795" s="221" t="s">
        <v>453</v>
      </c>
      <c r="D1795" s="222">
        <v>290</v>
      </c>
      <c r="E1795" s="222">
        <v>245</v>
      </c>
      <c r="F1795" s="222">
        <v>71050</v>
      </c>
      <c r="G1795" s="454"/>
    </row>
    <row r="1796" spans="1:7" s="7" customFormat="1" outlineLevel="1" x14ac:dyDescent="0.25">
      <c r="A1796" s="226">
        <v>7</v>
      </c>
      <c r="B1796" s="230" t="s">
        <v>454</v>
      </c>
      <c r="C1796" s="221" t="s">
        <v>448</v>
      </c>
      <c r="D1796" s="222">
        <v>1</v>
      </c>
      <c r="E1796" s="222">
        <v>35200</v>
      </c>
      <c r="F1796" s="222">
        <v>35200</v>
      </c>
      <c r="G1796" s="454"/>
    </row>
    <row r="1797" spans="1:7" s="7" customFormat="1" outlineLevel="1" x14ac:dyDescent="0.25">
      <c r="A1797" s="226">
        <v>8</v>
      </c>
      <c r="B1797" s="230" t="s">
        <v>455</v>
      </c>
      <c r="C1797" s="221" t="s">
        <v>448</v>
      </c>
      <c r="D1797" s="222">
        <v>6</v>
      </c>
      <c r="E1797" s="222">
        <v>1797</v>
      </c>
      <c r="F1797" s="222">
        <v>10782</v>
      </c>
      <c r="G1797" s="454"/>
    </row>
    <row r="1798" spans="1:7" s="7" customFormat="1" outlineLevel="1" x14ac:dyDescent="0.25">
      <c r="A1798" s="226">
        <v>9</v>
      </c>
      <c r="B1798" s="230" t="s">
        <v>456</v>
      </c>
      <c r="C1798" s="221" t="s">
        <v>448</v>
      </c>
      <c r="D1798" s="222">
        <v>6</v>
      </c>
      <c r="E1798" s="222">
        <v>4250</v>
      </c>
      <c r="F1798" s="222">
        <v>25500</v>
      </c>
      <c r="G1798" s="454"/>
    </row>
    <row r="1799" spans="1:7" s="7" customFormat="1" outlineLevel="1" x14ac:dyDescent="0.25">
      <c r="A1799" s="226">
        <v>10</v>
      </c>
      <c r="B1799" s="230" t="s">
        <v>457</v>
      </c>
      <c r="C1799" s="221" t="s">
        <v>448</v>
      </c>
      <c r="D1799" s="222">
        <v>2</v>
      </c>
      <c r="E1799" s="222">
        <v>3591</v>
      </c>
      <c r="F1799" s="222">
        <v>7182</v>
      </c>
      <c r="G1799" s="454"/>
    </row>
    <row r="1800" spans="1:7" s="7" customFormat="1" outlineLevel="1" x14ac:dyDescent="0.25">
      <c r="A1800" s="226">
        <v>11</v>
      </c>
      <c r="B1800" s="230" t="s">
        <v>422</v>
      </c>
      <c r="C1800" s="221" t="s">
        <v>458</v>
      </c>
      <c r="D1800" s="222">
        <v>60</v>
      </c>
      <c r="E1800" s="222">
        <v>399</v>
      </c>
      <c r="F1800" s="222">
        <v>23940</v>
      </c>
      <c r="G1800" s="454"/>
    </row>
    <row r="1801" spans="1:7" s="7" customFormat="1" outlineLevel="1" x14ac:dyDescent="0.25">
      <c r="A1801" s="226">
        <v>12</v>
      </c>
      <c r="B1801" s="230" t="s">
        <v>459</v>
      </c>
      <c r="C1801" s="221" t="s">
        <v>448</v>
      </c>
      <c r="D1801" s="222">
        <v>4</v>
      </c>
      <c r="E1801" s="222">
        <v>1498</v>
      </c>
      <c r="F1801" s="222">
        <v>5992</v>
      </c>
      <c r="G1801" s="454"/>
    </row>
    <row r="1802" spans="1:7" s="7" customFormat="1" outlineLevel="1" x14ac:dyDescent="0.25">
      <c r="A1802" s="226">
        <v>13</v>
      </c>
      <c r="B1802" s="230" t="s">
        <v>460</v>
      </c>
      <c r="C1802" s="221" t="s">
        <v>453</v>
      </c>
      <c r="D1802" s="222">
        <v>200</v>
      </c>
      <c r="E1802" s="222">
        <v>435</v>
      </c>
      <c r="F1802" s="222">
        <v>87000</v>
      </c>
      <c r="G1802" s="454"/>
    </row>
    <row r="1803" spans="1:7" s="7" customFormat="1" outlineLevel="1" x14ac:dyDescent="0.25">
      <c r="A1803" s="226">
        <v>14</v>
      </c>
      <c r="B1803" s="230" t="s">
        <v>461</v>
      </c>
      <c r="C1803" s="221" t="s">
        <v>462</v>
      </c>
      <c r="D1803" s="222">
        <v>1</v>
      </c>
      <c r="E1803" s="222">
        <v>10000</v>
      </c>
      <c r="F1803" s="222">
        <v>10000</v>
      </c>
      <c r="G1803" s="454"/>
    </row>
    <row r="1804" spans="1:7" s="7" customFormat="1" outlineLevel="1" x14ac:dyDescent="0.25">
      <c r="A1804" s="240"/>
      <c r="B1804" s="245" t="s">
        <v>475</v>
      </c>
      <c r="C1804" s="242"/>
      <c r="D1804" s="246"/>
      <c r="E1804" s="246"/>
      <c r="F1804" s="241">
        <v>716520</v>
      </c>
      <c r="G1804" s="454"/>
    </row>
    <row r="1805" spans="1:7" s="7" customFormat="1" outlineLevel="1" x14ac:dyDescent="0.25">
      <c r="A1805" s="168"/>
      <c r="B1805" s="227" t="s">
        <v>463</v>
      </c>
      <c r="C1805" s="221"/>
      <c r="D1805" s="222"/>
      <c r="E1805" s="222"/>
      <c r="F1805" s="223">
        <v>143304</v>
      </c>
      <c r="G1805" s="454"/>
    </row>
    <row r="1806" spans="1:7" s="7" customFormat="1" outlineLevel="1" x14ac:dyDescent="0.25">
      <c r="A1806" s="168"/>
      <c r="B1806" s="227" t="s">
        <v>464</v>
      </c>
      <c r="C1806" s="221" t="s">
        <v>448</v>
      </c>
      <c r="D1806" s="222">
        <v>1</v>
      </c>
      <c r="E1806" s="222">
        <v>15000</v>
      </c>
      <c r="F1806" s="223">
        <v>15000</v>
      </c>
      <c r="G1806" s="454"/>
    </row>
    <row r="1807" spans="1:7" s="7" customFormat="1" outlineLevel="1" x14ac:dyDescent="0.25">
      <c r="A1807" s="168"/>
      <c r="B1807" s="227" t="s">
        <v>465</v>
      </c>
      <c r="C1807" s="221"/>
      <c r="D1807" s="222"/>
      <c r="E1807" s="222"/>
      <c r="F1807" s="169">
        <v>40000</v>
      </c>
      <c r="G1807" s="454"/>
    </row>
    <row r="1808" spans="1:7" s="7" customFormat="1" outlineLevel="1" x14ac:dyDescent="0.25">
      <c r="A1808" s="240"/>
      <c r="B1808" s="496" t="s">
        <v>475</v>
      </c>
      <c r="C1808" s="496"/>
      <c r="D1808" s="496"/>
      <c r="E1808" s="496"/>
      <c r="F1808" s="239">
        <v>914824</v>
      </c>
      <c r="G1808" s="454"/>
    </row>
    <row r="1809" spans="1:7" s="7" customFormat="1" outlineLevel="1" x14ac:dyDescent="0.25">
      <c r="A1809" s="556" t="s">
        <v>493</v>
      </c>
      <c r="B1809" s="556"/>
      <c r="C1809" s="556"/>
      <c r="D1809" s="556"/>
      <c r="E1809" s="556"/>
      <c r="F1809" s="556"/>
      <c r="G1809" s="454"/>
    </row>
    <row r="1810" spans="1:7" s="7" customFormat="1" outlineLevel="1" x14ac:dyDescent="0.25">
      <c r="A1810" s="226">
        <v>1</v>
      </c>
      <c r="B1810" s="222" t="s">
        <v>473</v>
      </c>
      <c r="C1810" s="221" t="s">
        <v>448</v>
      </c>
      <c r="D1810" s="222">
        <v>2</v>
      </c>
      <c r="E1810" s="222">
        <v>2375000</v>
      </c>
      <c r="F1810" s="222">
        <v>4750000</v>
      </c>
      <c r="G1810" s="454"/>
    </row>
    <row r="1811" spans="1:7" s="7" customFormat="1" outlineLevel="1" x14ac:dyDescent="0.25">
      <c r="A1811" s="226">
        <v>2</v>
      </c>
      <c r="B1811" s="222" t="s">
        <v>468</v>
      </c>
      <c r="C1811" s="221" t="s">
        <v>448</v>
      </c>
      <c r="D1811" s="222">
        <v>5</v>
      </c>
      <c r="E1811" s="222">
        <v>24290</v>
      </c>
      <c r="F1811" s="222">
        <v>121450</v>
      </c>
      <c r="G1811" s="454"/>
    </row>
    <row r="1812" spans="1:7" s="7" customFormat="1" outlineLevel="1" x14ac:dyDescent="0.25">
      <c r="A1812" s="226">
        <v>3</v>
      </c>
      <c r="B1812" s="222" t="s">
        <v>469</v>
      </c>
      <c r="C1812" s="221" t="s">
        <v>448</v>
      </c>
      <c r="D1812" s="222">
        <v>25</v>
      </c>
      <c r="E1812" s="222">
        <v>23650</v>
      </c>
      <c r="F1812" s="222">
        <v>591250</v>
      </c>
      <c r="G1812" s="454"/>
    </row>
    <row r="1813" spans="1:7" s="7" customFormat="1" outlineLevel="1" x14ac:dyDescent="0.25">
      <c r="A1813" s="226">
        <v>4</v>
      </c>
      <c r="B1813" s="222" t="s">
        <v>412</v>
      </c>
      <c r="C1813" s="221" t="s">
        <v>448</v>
      </c>
      <c r="D1813" s="222">
        <v>12</v>
      </c>
      <c r="E1813" s="222">
        <v>8333</v>
      </c>
      <c r="F1813" s="222">
        <v>99996</v>
      </c>
      <c r="G1813" s="454"/>
    </row>
    <row r="1814" spans="1:7" s="7" customFormat="1" outlineLevel="1" x14ac:dyDescent="0.25">
      <c r="A1814" s="226">
        <v>5</v>
      </c>
      <c r="B1814" s="222" t="s">
        <v>451</v>
      </c>
      <c r="C1814" s="221" t="s">
        <v>448</v>
      </c>
      <c r="D1814" s="222">
        <v>9</v>
      </c>
      <c r="E1814" s="222">
        <v>18250</v>
      </c>
      <c r="F1814" s="222">
        <v>164250</v>
      </c>
      <c r="G1814" s="454"/>
    </row>
    <row r="1815" spans="1:7" s="7" customFormat="1" outlineLevel="1" x14ac:dyDescent="0.25">
      <c r="A1815" s="226">
        <v>6</v>
      </c>
      <c r="B1815" s="222" t="s">
        <v>452</v>
      </c>
      <c r="C1815" s="221" t="s">
        <v>453</v>
      </c>
      <c r="D1815" s="222">
        <v>150</v>
      </c>
      <c r="E1815" s="222">
        <v>245</v>
      </c>
      <c r="F1815" s="222">
        <v>36750</v>
      </c>
      <c r="G1815" s="454"/>
    </row>
    <row r="1816" spans="1:7" s="7" customFormat="1" outlineLevel="1" x14ac:dyDescent="0.25">
      <c r="A1816" s="226">
        <v>7</v>
      </c>
      <c r="B1816" s="222" t="s">
        <v>454</v>
      </c>
      <c r="C1816" s="221" t="s">
        <v>448</v>
      </c>
      <c r="D1816" s="222">
        <v>1</v>
      </c>
      <c r="E1816" s="222">
        <v>35200</v>
      </c>
      <c r="F1816" s="222">
        <v>35200</v>
      </c>
      <c r="G1816" s="454"/>
    </row>
    <row r="1817" spans="1:7" s="7" customFormat="1" outlineLevel="1" x14ac:dyDescent="0.25">
      <c r="A1817" s="226">
        <v>8</v>
      </c>
      <c r="B1817" s="222" t="s">
        <v>466</v>
      </c>
      <c r="C1817" s="221" t="s">
        <v>448</v>
      </c>
      <c r="D1817" s="222">
        <v>8</v>
      </c>
      <c r="E1817" s="222">
        <v>1797</v>
      </c>
      <c r="F1817" s="222">
        <v>14376</v>
      </c>
      <c r="G1817" s="454"/>
    </row>
    <row r="1818" spans="1:7" s="7" customFormat="1" outlineLevel="1" x14ac:dyDescent="0.25">
      <c r="A1818" s="226">
        <v>9</v>
      </c>
      <c r="B1818" s="222" t="s">
        <v>470</v>
      </c>
      <c r="C1818" s="221" t="s">
        <v>448</v>
      </c>
      <c r="D1818" s="222">
        <v>3</v>
      </c>
      <c r="E1818" s="222">
        <v>31300</v>
      </c>
      <c r="F1818" s="222">
        <v>93900</v>
      </c>
      <c r="G1818" s="454"/>
    </row>
    <row r="1819" spans="1:7" s="7" customFormat="1" outlineLevel="1" x14ac:dyDescent="0.25">
      <c r="A1819" s="226">
        <v>10</v>
      </c>
      <c r="B1819" s="222" t="s">
        <v>471</v>
      </c>
      <c r="C1819" s="221" t="s">
        <v>448</v>
      </c>
      <c r="D1819" s="222">
        <v>12</v>
      </c>
      <c r="E1819" s="222">
        <v>10530</v>
      </c>
      <c r="F1819" s="222">
        <v>126360</v>
      </c>
      <c r="G1819" s="454"/>
    </row>
    <row r="1820" spans="1:7" s="7" customFormat="1" outlineLevel="1" x14ac:dyDescent="0.25">
      <c r="A1820" s="226">
        <v>11</v>
      </c>
      <c r="B1820" s="222" t="s">
        <v>422</v>
      </c>
      <c r="C1820" s="221" t="s">
        <v>458</v>
      </c>
      <c r="D1820" s="222">
        <v>150</v>
      </c>
      <c r="E1820" s="222">
        <v>399</v>
      </c>
      <c r="F1820" s="222">
        <v>59850</v>
      </c>
      <c r="G1820" s="454"/>
    </row>
    <row r="1821" spans="1:7" s="7" customFormat="1" outlineLevel="1" x14ac:dyDescent="0.25">
      <c r="A1821" s="226">
        <v>12</v>
      </c>
      <c r="B1821" s="222" t="s">
        <v>459</v>
      </c>
      <c r="C1821" s="221" t="s">
        <v>448</v>
      </c>
      <c r="D1821" s="222">
        <v>20</v>
      </c>
      <c r="E1821" s="222">
        <v>1498</v>
      </c>
      <c r="F1821" s="222">
        <v>29960</v>
      </c>
      <c r="G1821" s="454"/>
    </row>
    <row r="1822" spans="1:7" s="7" customFormat="1" outlineLevel="1" x14ac:dyDescent="0.25">
      <c r="A1822" s="226">
        <v>13</v>
      </c>
      <c r="B1822" s="222" t="s">
        <v>472</v>
      </c>
      <c r="C1822" s="221" t="s">
        <v>453</v>
      </c>
      <c r="D1822" s="222">
        <v>1000</v>
      </c>
      <c r="E1822" s="222">
        <v>975</v>
      </c>
      <c r="F1822" s="222">
        <v>975000</v>
      </c>
      <c r="G1822" s="454"/>
    </row>
    <row r="1823" spans="1:7" s="7" customFormat="1" outlineLevel="1" x14ac:dyDescent="0.25">
      <c r="A1823" s="226">
        <v>14</v>
      </c>
      <c r="B1823" s="222" t="s">
        <v>461</v>
      </c>
      <c r="C1823" s="221" t="s">
        <v>462</v>
      </c>
      <c r="D1823" s="222">
        <v>1</v>
      </c>
      <c r="E1823" s="222">
        <v>35000</v>
      </c>
      <c r="F1823" s="222">
        <v>35000</v>
      </c>
      <c r="G1823" s="454"/>
    </row>
    <row r="1824" spans="1:7" s="7" customFormat="1" outlineLevel="1" x14ac:dyDescent="0.25">
      <c r="A1824" s="242"/>
      <c r="B1824" s="245" t="s">
        <v>475</v>
      </c>
      <c r="C1824" s="242"/>
      <c r="D1824" s="246"/>
      <c r="E1824" s="246"/>
      <c r="F1824" s="241">
        <v>7133342</v>
      </c>
      <c r="G1824" s="454"/>
    </row>
    <row r="1825" spans="1:7" s="7" customFormat="1" outlineLevel="1" x14ac:dyDescent="0.25">
      <c r="A1825" s="221"/>
      <c r="B1825" s="227" t="s">
        <v>463</v>
      </c>
      <c r="C1825" s="221"/>
      <c r="D1825" s="222"/>
      <c r="E1825" s="222"/>
      <c r="F1825" s="223">
        <v>1426668.4</v>
      </c>
      <c r="G1825" s="454"/>
    </row>
    <row r="1826" spans="1:7" s="7" customFormat="1" outlineLevel="1" x14ac:dyDescent="0.25">
      <c r="A1826" s="221"/>
      <c r="B1826" s="227" t="s">
        <v>464</v>
      </c>
      <c r="C1826" s="221" t="s">
        <v>448</v>
      </c>
      <c r="D1826" s="222">
        <v>1</v>
      </c>
      <c r="E1826" s="222">
        <v>15000</v>
      </c>
      <c r="F1826" s="223">
        <v>15000</v>
      </c>
      <c r="G1826" s="454"/>
    </row>
    <row r="1827" spans="1:7" s="7" customFormat="1" outlineLevel="1" x14ac:dyDescent="0.25">
      <c r="A1827" s="221"/>
      <c r="B1827" s="227" t="s">
        <v>465</v>
      </c>
      <c r="C1827" s="221"/>
      <c r="D1827" s="222"/>
      <c r="E1827" s="222"/>
      <c r="F1827" s="169">
        <v>156780</v>
      </c>
      <c r="G1827" s="454"/>
    </row>
    <row r="1828" spans="1:7" s="7" customFormat="1" outlineLevel="1" x14ac:dyDescent="0.25">
      <c r="A1828" s="242"/>
      <c r="B1828" s="496" t="s">
        <v>475</v>
      </c>
      <c r="C1828" s="496"/>
      <c r="D1828" s="496"/>
      <c r="E1828" s="496"/>
      <c r="F1828" s="239">
        <v>8731790.4000000004</v>
      </c>
      <c r="G1828" s="454"/>
    </row>
    <row r="1829" spans="1:7" s="7" customFormat="1" outlineLevel="1" x14ac:dyDescent="0.25">
      <c r="A1829" s="249"/>
      <c r="B1829" s="558" t="s">
        <v>475</v>
      </c>
      <c r="C1829" s="558"/>
      <c r="D1829" s="558"/>
      <c r="E1829" s="558"/>
      <c r="F1829" s="250">
        <f>F1828+F1808+F1788+F1767+F1747+F1727+F1707+F1687+F1669</f>
        <v>18448519.32</v>
      </c>
      <c r="G1829" s="454"/>
    </row>
    <row r="1830" spans="1:7" s="7" customFormat="1" outlineLevel="1" x14ac:dyDescent="0.25">
      <c r="A1830" s="559" t="s">
        <v>494</v>
      </c>
      <c r="B1830" s="559"/>
      <c r="C1830" s="559"/>
      <c r="D1830" s="559"/>
      <c r="E1830" s="559"/>
      <c r="F1830" s="559"/>
      <c r="G1830" s="454"/>
    </row>
    <row r="1831" spans="1:7" s="7" customFormat="1" ht="87.75" customHeight="1" outlineLevel="1" x14ac:dyDescent="0.25">
      <c r="A1831" s="170">
        <v>1</v>
      </c>
      <c r="B1831" s="231" t="s">
        <v>400</v>
      </c>
      <c r="C1831" s="232">
        <v>49390</v>
      </c>
      <c r="D1831" s="233">
        <v>100</v>
      </c>
      <c r="E1831" s="234">
        <v>69347.899999999994</v>
      </c>
      <c r="F1831" s="235">
        <f>C1831*E1831/D1831</f>
        <v>34250927.809999995</v>
      </c>
      <c r="G1831" s="454"/>
    </row>
    <row r="1832" spans="1:7" s="7" customFormat="1" ht="63.75" customHeight="1" outlineLevel="1" x14ac:dyDescent="0.25">
      <c r="A1832" s="170">
        <v>2</v>
      </c>
      <c r="B1832" s="231" t="s">
        <v>401</v>
      </c>
      <c r="C1832" s="232">
        <v>2062.9820000000004</v>
      </c>
      <c r="D1832" s="236">
        <v>1000</v>
      </c>
      <c r="E1832" s="234">
        <v>15824.15</v>
      </c>
      <c r="F1832" s="235">
        <f t="shared" ref="F1832:F1840" si="82">C1832*E1832/D1832</f>
        <v>32644.936615300008</v>
      </c>
      <c r="G1832" s="454"/>
    </row>
    <row r="1833" spans="1:7" s="7" customFormat="1" ht="48" customHeight="1" outlineLevel="1" x14ac:dyDescent="0.25">
      <c r="A1833" s="170">
        <v>2</v>
      </c>
      <c r="B1833" s="231" t="s">
        <v>402</v>
      </c>
      <c r="C1833" s="232">
        <v>515.74550000000011</v>
      </c>
      <c r="D1833" s="236">
        <v>100</v>
      </c>
      <c r="E1833" s="234">
        <v>34694.300000000003</v>
      </c>
      <c r="F1833" s="235">
        <f t="shared" si="82"/>
        <v>178934.29100650005</v>
      </c>
      <c r="G1833" s="454"/>
    </row>
    <row r="1834" spans="1:7" s="7" customFormat="1" ht="30" outlineLevel="1" x14ac:dyDescent="0.25">
      <c r="A1834" s="170">
        <v>3</v>
      </c>
      <c r="B1834" s="231" t="s">
        <v>25</v>
      </c>
      <c r="C1834" s="232">
        <v>745.64550000000008</v>
      </c>
      <c r="D1834" s="236">
        <v>100</v>
      </c>
      <c r="E1834" s="234">
        <v>32675.95</v>
      </c>
      <c r="F1834" s="235">
        <f t="shared" si="82"/>
        <v>243646.75075725003</v>
      </c>
      <c r="G1834" s="454"/>
    </row>
    <row r="1835" spans="1:7" s="7" customFormat="1" ht="46.5" customHeight="1" outlineLevel="1" x14ac:dyDescent="0.25">
      <c r="A1835" s="170">
        <v>4</v>
      </c>
      <c r="B1835" s="231" t="s">
        <v>403</v>
      </c>
      <c r="C1835" s="232">
        <v>427.5</v>
      </c>
      <c r="D1835" s="237">
        <v>100</v>
      </c>
      <c r="E1835" s="234">
        <v>11851.7</v>
      </c>
      <c r="F1835" s="235">
        <f t="shared" si="82"/>
        <v>50666.017500000002</v>
      </c>
      <c r="G1835" s="454"/>
    </row>
    <row r="1836" spans="1:7" s="7" customFormat="1" ht="27" customHeight="1" outlineLevel="1" x14ac:dyDescent="0.25">
      <c r="A1836" s="170">
        <v>5</v>
      </c>
      <c r="B1836" s="231" t="s">
        <v>404</v>
      </c>
      <c r="C1836" s="232">
        <v>1656.5625</v>
      </c>
      <c r="D1836" s="236">
        <v>100</v>
      </c>
      <c r="E1836" s="234">
        <v>35727</v>
      </c>
      <c r="F1836" s="235">
        <f t="shared" si="82"/>
        <v>591840.08437499998</v>
      </c>
      <c r="G1836" s="454"/>
    </row>
    <row r="1837" spans="1:7" s="7" customFormat="1" ht="27" customHeight="1" outlineLevel="1" x14ac:dyDescent="0.25">
      <c r="A1837" s="170">
        <v>6</v>
      </c>
      <c r="B1837" s="231" t="s">
        <v>405</v>
      </c>
      <c r="C1837" s="232">
        <v>6225.46875</v>
      </c>
      <c r="D1837" s="238">
        <v>100</v>
      </c>
      <c r="E1837" s="234">
        <v>4614.1000000000004</v>
      </c>
      <c r="F1837" s="235">
        <f t="shared" si="82"/>
        <v>287249.35359375004</v>
      </c>
      <c r="G1837" s="454"/>
    </row>
    <row r="1838" spans="1:7" s="7" customFormat="1" ht="132.75" customHeight="1" outlineLevel="1" x14ac:dyDescent="0.25">
      <c r="A1838" s="170">
        <v>7</v>
      </c>
      <c r="B1838" s="231" t="s">
        <v>406</v>
      </c>
      <c r="C1838" s="232">
        <v>6650</v>
      </c>
      <c r="D1838" s="238">
        <v>1</v>
      </c>
      <c r="E1838" s="234">
        <v>1985.95</v>
      </c>
      <c r="F1838" s="235">
        <f t="shared" si="82"/>
        <v>13206567.5</v>
      </c>
      <c r="G1838" s="454"/>
    </row>
    <row r="1839" spans="1:7" s="7" customFormat="1" ht="45" outlineLevel="1" x14ac:dyDescent="0.25">
      <c r="A1839" s="170">
        <v>8</v>
      </c>
      <c r="B1839" s="231" t="s">
        <v>407</v>
      </c>
      <c r="C1839" s="232">
        <v>14250</v>
      </c>
      <c r="D1839" s="233">
        <v>1</v>
      </c>
      <c r="E1839" s="234">
        <v>234.95</v>
      </c>
      <c r="F1839" s="235">
        <f t="shared" si="82"/>
        <v>3348037.5</v>
      </c>
      <c r="G1839" s="454"/>
    </row>
    <row r="1840" spans="1:7" s="7" customFormat="1" ht="60" outlineLevel="1" x14ac:dyDescent="0.25">
      <c r="A1840" s="170">
        <v>9</v>
      </c>
      <c r="B1840" s="231" t="s">
        <v>408</v>
      </c>
      <c r="C1840" s="232">
        <v>28500</v>
      </c>
      <c r="D1840" s="233">
        <v>1</v>
      </c>
      <c r="E1840" s="234">
        <v>56.3</v>
      </c>
      <c r="F1840" s="235">
        <f t="shared" si="82"/>
        <v>1604550</v>
      </c>
      <c r="G1840" s="454"/>
    </row>
    <row r="1841" spans="1:8" s="7" customFormat="1" ht="21.75" customHeight="1" outlineLevel="1" x14ac:dyDescent="0.25">
      <c r="A1841" s="510" t="s">
        <v>514</v>
      </c>
      <c r="B1841" s="510"/>
      <c r="C1841" s="510"/>
      <c r="D1841" s="510"/>
      <c r="E1841" s="510"/>
      <c r="F1841" s="251">
        <f>SUM(F1831:F1840)</f>
        <v>53795064.243847795</v>
      </c>
      <c r="G1841" s="454"/>
    </row>
    <row r="1842" spans="1:8" s="7" customFormat="1" ht="21.75" customHeight="1" outlineLevel="1" x14ac:dyDescent="0.25">
      <c r="A1842" s="561" t="s">
        <v>514</v>
      </c>
      <c r="B1842" s="561"/>
      <c r="C1842" s="561"/>
      <c r="D1842" s="561"/>
      <c r="E1842" s="561"/>
      <c r="F1842" s="171">
        <f>F1841+F1829+F1648</f>
        <v>294349620.56384778</v>
      </c>
      <c r="G1842" s="454"/>
    </row>
    <row r="1843" spans="1:8" customFormat="1" ht="18" customHeight="1" x14ac:dyDescent="0.25">
      <c r="A1843" s="547" t="s">
        <v>562</v>
      </c>
      <c r="B1843" s="548"/>
      <c r="C1843" s="548"/>
      <c r="D1843" s="548"/>
      <c r="E1843" s="549"/>
      <c r="F1843" s="262">
        <f>F1861</f>
        <v>272635552.13199997</v>
      </c>
      <c r="G1843" s="456">
        <f>H1843-F1843</f>
        <v>29.868000030517578</v>
      </c>
      <c r="H1843">
        <v>272635582</v>
      </c>
    </row>
    <row r="1844" spans="1:8" customFormat="1" ht="216.75" outlineLevel="1" x14ac:dyDescent="0.25">
      <c r="A1844" s="170">
        <v>1</v>
      </c>
      <c r="B1844" s="172" t="s">
        <v>495</v>
      </c>
      <c r="C1844" s="122" t="s">
        <v>474</v>
      </c>
      <c r="D1844" s="173">
        <v>37</v>
      </c>
      <c r="E1844" s="174">
        <v>4350150</v>
      </c>
      <c r="F1844" s="174">
        <f>+ROUND(ROUND(D1844,2)*E1844,0)</f>
        <v>160955550</v>
      </c>
      <c r="G1844" s="459"/>
    </row>
    <row r="1845" spans="1:8" customFormat="1" ht="45" outlineLevel="1" x14ac:dyDescent="0.25">
      <c r="A1845" s="165">
        <v>2</v>
      </c>
      <c r="B1845" s="175" t="s">
        <v>553</v>
      </c>
      <c r="C1845" s="165" t="s">
        <v>496</v>
      </c>
      <c r="D1845" s="165">
        <v>8140</v>
      </c>
      <c r="E1845" s="165">
        <v>864.05</v>
      </c>
      <c r="F1845" s="165">
        <f>E1845*D1845</f>
        <v>7033367</v>
      </c>
      <c r="G1845" s="459"/>
    </row>
    <row r="1846" spans="1:8" customFormat="1" ht="30" outlineLevel="1" x14ac:dyDescent="0.25">
      <c r="A1846" s="165">
        <v>3</v>
      </c>
      <c r="B1846" s="175" t="s">
        <v>497</v>
      </c>
      <c r="C1846" s="165" t="s">
        <v>498</v>
      </c>
      <c r="D1846" s="165">
        <v>1628</v>
      </c>
      <c r="E1846" s="165">
        <v>80</v>
      </c>
      <c r="F1846" s="165">
        <f t="shared" ref="F1846:F1860" si="83">E1846*D1846</f>
        <v>130240</v>
      </c>
      <c r="G1846" s="459"/>
    </row>
    <row r="1847" spans="1:8" customFormat="1" ht="27.75" customHeight="1" outlineLevel="1" x14ac:dyDescent="0.25">
      <c r="A1847" s="165">
        <v>4</v>
      </c>
      <c r="B1847" s="175" t="s">
        <v>499</v>
      </c>
      <c r="C1847" s="176" t="s">
        <v>500</v>
      </c>
      <c r="D1847" s="165">
        <v>37</v>
      </c>
      <c r="E1847" s="165">
        <v>232.8</v>
      </c>
      <c r="F1847" s="165">
        <f t="shared" si="83"/>
        <v>8613.6</v>
      </c>
      <c r="G1847" s="459"/>
    </row>
    <row r="1848" spans="1:8" customFormat="1" ht="60" outlineLevel="1" x14ac:dyDescent="0.25">
      <c r="A1848" s="165">
        <v>5</v>
      </c>
      <c r="B1848" s="175" t="s">
        <v>501</v>
      </c>
      <c r="C1848" s="165" t="s">
        <v>496</v>
      </c>
      <c r="D1848" s="165">
        <v>2590</v>
      </c>
      <c r="E1848" s="165">
        <v>5371</v>
      </c>
      <c r="F1848" s="165">
        <f t="shared" si="83"/>
        <v>13910890</v>
      </c>
      <c r="G1848" s="459"/>
    </row>
    <row r="1849" spans="1:8" customFormat="1" ht="45" outlineLevel="1" x14ac:dyDescent="0.25">
      <c r="A1849" s="165">
        <v>6</v>
      </c>
      <c r="B1849" s="175" t="s">
        <v>502</v>
      </c>
      <c r="C1849" s="165" t="s">
        <v>503</v>
      </c>
      <c r="D1849" s="165">
        <v>74</v>
      </c>
      <c r="E1849" s="165">
        <v>35582</v>
      </c>
      <c r="F1849" s="165">
        <f t="shared" si="83"/>
        <v>2633068</v>
      </c>
      <c r="G1849" s="459"/>
    </row>
    <row r="1850" spans="1:8" customFormat="1" ht="75" outlineLevel="1" x14ac:dyDescent="0.25">
      <c r="A1850" s="165">
        <v>7</v>
      </c>
      <c r="B1850" s="175" t="s">
        <v>554</v>
      </c>
      <c r="C1850" s="165" t="s">
        <v>496</v>
      </c>
      <c r="D1850" s="165">
        <v>4440</v>
      </c>
      <c r="E1850" s="165">
        <v>3866.45</v>
      </c>
      <c r="F1850" s="165">
        <f t="shared" si="83"/>
        <v>17167038</v>
      </c>
      <c r="G1850" s="459"/>
    </row>
    <row r="1851" spans="1:8" customFormat="1" ht="51" customHeight="1" outlineLevel="1" x14ac:dyDescent="0.25">
      <c r="A1851" s="165">
        <v>8</v>
      </c>
      <c r="B1851" s="175" t="s">
        <v>555</v>
      </c>
      <c r="C1851" s="165" t="s">
        <v>496</v>
      </c>
      <c r="D1851" s="165">
        <v>740</v>
      </c>
      <c r="E1851" s="165">
        <v>3583</v>
      </c>
      <c r="F1851" s="165">
        <f t="shared" si="83"/>
        <v>2651420</v>
      </c>
      <c r="G1851" s="459"/>
    </row>
    <row r="1852" spans="1:8" customFormat="1" ht="75" outlineLevel="1" x14ac:dyDescent="0.25">
      <c r="A1852" s="165">
        <v>9</v>
      </c>
      <c r="B1852" s="175" t="s">
        <v>504</v>
      </c>
      <c r="C1852" s="165" t="s">
        <v>496</v>
      </c>
      <c r="D1852" s="165">
        <v>370</v>
      </c>
      <c r="E1852" s="165">
        <v>3735.5</v>
      </c>
      <c r="F1852" s="165">
        <f t="shared" si="83"/>
        <v>1382135</v>
      </c>
      <c r="G1852" s="459"/>
    </row>
    <row r="1853" spans="1:8" customFormat="1" ht="30" outlineLevel="1" x14ac:dyDescent="0.25">
      <c r="A1853" s="165">
        <v>10</v>
      </c>
      <c r="B1853" s="175" t="s">
        <v>505</v>
      </c>
      <c r="C1853" s="165" t="s">
        <v>506</v>
      </c>
      <c r="D1853" s="165">
        <v>148</v>
      </c>
      <c r="E1853" s="165">
        <v>1148</v>
      </c>
      <c r="F1853" s="165">
        <f t="shared" si="83"/>
        <v>169904</v>
      </c>
      <c r="G1853" s="459"/>
    </row>
    <row r="1854" spans="1:8" customFormat="1" ht="30" outlineLevel="1" x14ac:dyDescent="0.25">
      <c r="A1854" s="165">
        <v>11</v>
      </c>
      <c r="B1854" s="175" t="s">
        <v>507</v>
      </c>
      <c r="C1854" s="165" t="s">
        <v>508</v>
      </c>
      <c r="D1854" s="165">
        <v>6520.88</v>
      </c>
      <c r="E1854" s="165">
        <v>186.65</v>
      </c>
      <c r="F1854" s="165">
        <f t="shared" si="83"/>
        <v>1217122.2520000001</v>
      </c>
      <c r="G1854" s="459"/>
    </row>
    <row r="1855" spans="1:8" customFormat="1" ht="45" outlineLevel="1" x14ac:dyDescent="0.25">
      <c r="A1855" s="165">
        <v>12</v>
      </c>
      <c r="B1855" s="175" t="s">
        <v>509</v>
      </c>
      <c r="C1855" s="165" t="s">
        <v>510</v>
      </c>
      <c r="D1855" s="165">
        <v>2664</v>
      </c>
      <c r="E1855" s="165">
        <v>3253.1</v>
      </c>
      <c r="F1855" s="165">
        <f t="shared" si="83"/>
        <v>8666258.4000000004</v>
      </c>
      <c r="G1855" s="459"/>
    </row>
    <row r="1856" spans="1:8" customFormat="1" ht="45" outlineLevel="1" x14ac:dyDescent="0.25">
      <c r="A1856" s="165">
        <v>13</v>
      </c>
      <c r="B1856" s="175" t="s">
        <v>511</v>
      </c>
      <c r="C1856" s="165" t="s">
        <v>496</v>
      </c>
      <c r="D1856" s="165">
        <v>1850</v>
      </c>
      <c r="E1856" s="165">
        <v>924.05</v>
      </c>
      <c r="F1856" s="165">
        <f t="shared" si="83"/>
        <v>1709492.5</v>
      </c>
      <c r="G1856" s="459"/>
    </row>
    <row r="1857" spans="1:8" customFormat="1" ht="60" outlineLevel="1" x14ac:dyDescent="0.25">
      <c r="A1857" s="165">
        <v>14</v>
      </c>
      <c r="B1857" s="175" t="s">
        <v>534</v>
      </c>
      <c r="C1857" s="177">
        <v>1000</v>
      </c>
      <c r="D1857" s="165">
        <v>118400</v>
      </c>
      <c r="E1857" s="165">
        <v>11293.9</v>
      </c>
      <c r="F1857" s="165">
        <f>E1857*D1857/C1857</f>
        <v>1337197.76</v>
      </c>
      <c r="G1857" s="459"/>
    </row>
    <row r="1858" spans="1:8" customFormat="1" ht="27.75" customHeight="1" outlineLevel="1" x14ac:dyDescent="0.25">
      <c r="A1858" s="165">
        <v>15</v>
      </c>
      <c r="B1858" s="175" t="s">
        <v>512</v>
      </c>
      <c r="C1858" s="177">
        <v>1000</v>
      </c>
      <c r="D1858" s="165">
        <v>118400</v>
      </c>
      <c r="E1858" s="165">
        <v>5266.8</v>
      </c>
      <c r="F1858" s="165">
        <f>E1858*D1858/C1858</f>
        <v>623589.12</v>
      </c>
      <c r="G1858" s="459"/>
    </row>
    <row r="1859" spans="1:8" customFormat="1" ht="75" outlineLevel="1" x14ac:dyDescent="0.25">
      <c r="A1859" s="165">
        <v>16</v>
      </c>
      <c r="B1859" s="175" t="s">
        <v>535</v>
      </c>
      <c r="C1859" s="165" t="s">
        <v>513</v>
      </c>
      <c r="D1859" s="165">
        <v>14800</v>
      </c>
      <c r="E1859" s="165">
        <v>3565</v>
      </c>
      <c r="F1859" s="165">
        <f t="shared" si="83"/>
        <v>52762000</v>
      </c>
      <c r="G1859" s="459"/>
    </row>
    <row r="1860" spans="1:8" customFormat="1" ht="75" outlineLevel="1" x14ac:dyDescent="0.25">
      <c r="A1860" s="165">
        <v>17</v>
      </c>
      <c r="B1860" s="175" t="s">
        <v>536</v>
      </c>
      <c r="C1860" s="165" t="s">
        <v>513</v>
      </c>
      <c r="D1860" s="165">
        <v>555</v>
      </c>
      <c r="E1860" s="165">
        <v>500.3</v>
      </c>
      <c r="F1860" s="165">
        <f t="shared" si="83"/>
        <v>277666.5</v>
      </c>
      <c r="G1860" s="459"/>
    </row>
    <row r="1861" spans="1:8" customFormat="1" ht="23.25" customHeight="1" outlineLevel="1" x14ac:dyDescent="0.25">
      <c r="A1861" s="561" t="s">
        <v>514</v>
      </c>
      <c r="B1861" s="561"/>
      <c r="C1861" s="561"/>
      <c r="D1861" s="561"/>
      <c r="E1861" s="561"/>
      <c r="F1861" s="260">
        <f>SUM(F1844:F1860)</f>
        <v>272635552.13199997</v>
      </c>
      <c r="G1861" s="459"/>
    </row>
    <row r="1862" spans="1:8" customFormat="1" ht="24.75" customHeight="1" x14ac:dyDescent="0.25">
      <c r="A1862" s="547" t="s">
        <v>516</v>
      </c>
      <c r="B1862" s="548"/>
      <c r="C1862" s="548"/>
      <c r="D1862" s="548"/>
      <c r="E1862" s="549"/>
      <c r="F1862" s="262">
        <f>F1866</f>
        <v>109394699</v>
      </c>
      <c r="G1862" s="456">
        <f>H1862-F1862</f>
        <v>0</v>
      </c>
      <c r="H1862">
        <v>109394699</v>
      </c>
    </row>
    <row r="1863" spans="1:8" customFormat="1" ht="319.5" customHeight="1" outlineLevel="1" x14ac:dyDescent="0.25">
      <c r="A1863" s="165">
        <v>1</v>
      </c>
      <c r="B1863" s="252" t="s">
        <v>517</v>
      </c>
      <c r="C1863" s="111" t="s">
        <v>506</v>
      </c>
      <c r="D1863" s="179">
        <v>8</v>
      </c>
      <c r="E1863" s="180">
        <v>13004544</v>
      </c>
      <c r="F1863" s="181">
        <v>104036352</v>
      </c>
      <c r="G1863" s="459"/>
    </row>
    <row r="1864" spans="1:8" customFormat="1" ht="291.75" customHeight="1" outlineLevel="1" x14ac:dyDescent="0.25">
      <c r="A1864" s="165">
        <v>2</v>
      </c>
      <c r="B1864" s="167" t="s">
        <v>518</v>
      </c>
      <c r="C1864" s="165" t="s">
        <v>506</v>
      </c>
      <c r="D1864" s="166">
        <v>1</v>
      </c>
      <c r="E1864" s="166">
        <v>3886124</v>
      </c>
      <c r="F1864" s="166">
        <v>3886124</v>
      </c>
      <c r="G1864" s="459"/>
    </row>
    <row r="1865" spans="1:8" customFormat="1" ht="71.25" customHeight="1" outlineLevel="1" x14ac:dyDescent="0.25">
      <c r="A1865" s="165">
        <v>3</v>
      </c>
      <c r="B1865" s="175" t="s">
        <v>519</v>
      </c>
      <c r="C1865" s="165" t="s">
        <v>506</v>
      </c>
      <c r="D1865" s="166">
        <v>1</v>
      </c>
      <c r="E1865" s="166">
        <v>1472223</v>
      </c>
      <c r="F1865" s="166">
        <v>1472223</v>
      </c>
      <c r="G1865" s="459"/>
    </row>
    <row r="1866" spans="1:8" customFormat="1" ht="21" customHeight="1" outlineLevel="1" x14ac:dyDescent="0.25">
      <c r="A1866" s="561" t="s">
        <v>514</v>
      </c>
      <c r="B1866" s="561"/>
      <c r="C1866" s="561"/>
      <c r="D1866" s="561"/>
      <c r="E1866" s="561"/>
      <c r="F1866" s="260">
        <f>SUM(F1863:F1865)</f>
        <v>109394699</v>
      </c>
      <c r="G1866" s="459"/>
    </row>
    <row r="1867" spans="1:8" s="17" customFormat="1" ht="25.5" customHeight="1" x14ac:dyDescent="0.25">
      <c r="A1867" s="547" t="s">
        <v>520</v>
      </c>
      <c r="B1867" s="548"/>
      <c r="C1867" s="548"/>
      <c r="D1867" s="548"/>
      <c r="E1867" s="549"/>
      <c r="F1867" s="262">
        <f>F1878</f>
        <v>39798176</v>
      </c>
      <c r="G1867" s="456">
        <f>H1867-F1867</f>
        <v>0</v>
      </c>
      <c r="H1867" s="17">
        <v>39798176</v>
      </c>
    </row>
    <row r="1868" spans="1:8" customFormat="1" ht="15" outlineLevel="1" x14ac:dyDescent="0.25">
      <c r="A1868" s="560" t="s">
        <v>522</v>
      </c>
      <c r="B1868" s="560"/>
      <c r="C1868" s="560"/>
      <c r="D1868" s="560"/>
      <c r="E1868" s="560"/>
      <c r="F1868" s="560"/>
      <c r="G1868" s="459"/>
    </row>
    <row r="1869" spans="1:8" customFormat="1" ht="280.5" outlineLevel="1" x14ac:dyDescent="0.25">
      <c r="A1869" s="182">
        <v>1</v>
      </c>
      <c r="B1869" s="183" t="s">
        <v>537</v>
      </c>
      <c r="C1869" s="111" t="s">
        <v>506</v>
      </c>
      <c r="D1869" s="179">
        <v>3</v>
      </c>
      <c r="E1869" s="184">
        <v>3886124</v>
      </c>
      <c r="F1869" s="184">
        <f>E1869*D1869</f>
        <v>11658372</v>
      </c>
      <c r="G1869" s="459"/>
    </row>
    <row r="1870" spans="1:8" customFormat="1" ht="290.25" customHeight="1" outlineLevel="1" x14ac:dyDescent="0.25">
      <c r="A1870" s="182">
        <v>2</v>
      </c>
      <c r="B1870" s="185" t="s">
        <v>538</v>
      </c>
      <c r="C1870" s="111" t="s">
        <v>506</v>
      </c>
      <c r="D1870" s="179">
        <v>1</v>
      </c>
      <c r="E1870" s="180">
        <v>8178639</v>
      </c>
      <c r="F1870" s="184">
        <f t="shared" ref="F1870:F1871" si="84">E1870*D1870</f>
        <v>8178639</v>
      </c>
      <c r="G1870" s="459"/>
    </row>
    <row r="1871" spans="1:8" customFormat="1" ht="61.5" customHeight="1" outlineLevel="1" x14ac:dyDescent="0.25">
      <c r="A1871" s="186">
        <v>3</v>
      </c>
      <c r="B1871" s="185" t="s">
        <v>521</v>
      </c>
      <c r="C1871" s="180" t="s">
        <v>506</v>
      </c>
      <c r="D1871" s="180">
        <v>1</v>
      </c>
      <c r="E1871" s="180">
        <v>1472223</v>
      </c>
      <c r="F1871" s="184">
        <f t="shared" si="84"/>
        <v>1472223</v>
      </c>
      <c r="G1871" s="459"/>
    </row>
    <row r="1872" spans="1:8" customFormat="1" ht="15" outlineLevel="1" x14ac:dyDescent="0.25">
      <c r="A1872" s="513" t="s">
        <v>523</v>
      </c>
      <c r="B1872" s="513"/>
      <c r="C1872" s="513"/>
      <c r="D1872" s="513"/>
      <c r="E1872" s="513"/>
      <c r="F1872" s="513"/>
      <c r="G1872" s="459"/>
    </row>
    <row r="1873" spans="1:8" customFormat="1" ht="289.5" customHeight="1" outlineLevel="1" x14ac:dyDescent="0.25">
      <c r="A1873" s="182">
        <v>1</v>
      </c>
      <c r="B1873" s="253" t="s">
        <v>533</v>
      </c>
      <c r="C1873" s="184" t="s">
        <v>506</v>
      </c>
      <c r="D1873" s="184">
        <v>2</v>
      </c>
      <c r="E1873" s="184">
        <v>3886124</v>
      </c>
      <c r="F1873" s="184">
        <f>+ROUND(ROUND(D1873,0)*E1873,0)</f>
        <v>7772248</v>
      </c>
      <c r="G1873" s="459"/>
    </row>
    <row r="1874" spans="1:8" customFormat="1" ht="51" outlineLevel="1" x14ac:dyDescent="0.25">
      <c r="A1874" s="186">
        <v>2</v>
      </c>
      <c r="B1874" s="183" t="s">
        <v>524</v>
      </c>
      <c r="C1874" s="184" t="s">
        <v>506</v>
      </c>
      <c r="D1874" s="184">
        <v>1</v>
      </c>
      <c r="E1874" s="184">
        <v>1472223</v>
      </c>
      <c r="F1874" s="184">
        <f>+ROUND(ROUND(D1874,0)*E1874,0)</f>
        <v>1472223</v>
      </c>
      <c r="G1874" s="459"/>
    </row>
    <row r="1875" spans="1:8" customFormat="1" ht="15" outlineLevel="1" x14ac:dyDescent="0.25">
      <c r="A1875" s="513" t="s">
        <v>525</v>
      </c>
      <c r="B1875" s="513"/>
      <c r="C1875" s="513"/>
      <c r="D1875" s="513"/>
      <c r="E1875" s="513"/>
      <c r="F1875" s="513"/>
      <c r="G1875" s="459"/>
    </row>
    <row r="1876" spans="1:8" customFormat="1" ht="292.5" customHeight="1" outlineLevel="1" x14ac:dyDescent="0.25">
      <c r="A1876" s="182">
        <v>1</v>
      </c>
      <c r="B1876" s="253" t="s">
        <v>532</v>
      </c>
      <c r="C1876" s="111" t="s">
        <v>506</v>
      </c>
      <c r="D1876" s="111">
        <v>2</v>
      </c>
      <c r="E1876" s="137">
        <v>3886124</v>
      </c>
      <c r="F1876" s="137">
        <f>+ROUND(ROUND(D1876,0)*E1876,0)</f>
        <v>7772248</v>
      </c>
      <c r="G1876" s="459"/>
    </row>
    <row r="1877" spans="1:8" customFormat="1" ht="57" outlineLevel="1" x14ac:dyDescent="0.25">
      <c r="A1877" s="186">
        <v>2</v>
      </c>
      <c r="B1877" s="187" t="s">
        <v>524</v>
      </c>
      <c r="C1877" s="170" t="s">
        <v>506</v>
      </c>
      <c r="D1877" s="170">
        <v>1</v>
      </c>
      <c r="E1877" s="188">
        <v>1472223</v>
      </c>
      <c r="F1877" s="114">
        <f>+ROUND(ROUND(D1877,2)*ROUND(E1877,2),2)</f>
        <v>1472223</v>
      </c>
      <c r="G1877" s="459"/>
    </row>
    <row r="1878" spans="1:8" customFormat="1" ht="23.25" customHeight="1" outlineLevel="1" x14ac:dyDescent="0.25">
      <c r="A1878" s="561" t="s">
        <v>514</v>
      </c>
      <c r="B1878" s="561"/>
      <c r="C1878" s="561"/>
      <c r="D1878" s="561"/>
      <c r="E1878" s="561"/>
      <c r="F1878" s="260">
        <f>SUM(F1869:F1877)</f>
        <v>39798176</v>
      </c>
      <c r="G1878" s="459"/>
    </row>
    <row r="1879" spans="1:8" customFormat="1" ht="25.5" customHeight="1" x14ac:dyDescent="0.25">
      <c r="A1879" s="547" t="s">
        <v>559</v>
      </c>
      <c r="B1879" s="548"/>
      <c r="C1879" s="548"/>
      <c r="D1879" s="548"/>
      <c r="E1879" s="549"/>
      <c r="F1879" s="262">
        <f>F1888</f>
        <v>37602575</v>
      </c>
      <c r="G1879" s="456">
        <f>H1879-F1879</f>
        <v>0</v>
      </c>
      <c r="H1879">
        <v>37602575</v>
      </c>
    </row>
    <row r="1880" spans="1:8" customFormat="1" ht="15" outlineLevel="1" x14ac:dyDescent="0.25">
      <c r="A1880" s="560" t="s">
        <v>528</v>
      </c>
      <c r="B1880" s="560"/>
      <c r="C1880" s="560"/>
      <c r="D1880" s="560"/>
      <c r="E1880" s="560"/>
      <c r="F1880" s="560"/>
      <c r="G1880" s="459"/>
    </row>
    <row r="1881" spans="1:8" customFormat="1" ht="242.25" outlineLevel="1" x14ac:dyDescent="0.25">
      <c r="A1881" s="165"/>
      <c r="B1881" s="189" t="s">
        <v>526</v>
      </c>
      <c r="C1881" s="190" t="s">
        <v>474</v>
      </c>
      <c r="D1881" s="191">
        <v>3</v>
      </c>
      <c r="E1881" s="192">
        <v>4116450</v>
      </c>
      <c r="F1881" s="174">
        <f>D1881*E1881</f>
        <v>12349350</v>
      </c>
      <c r="G1881" s="459"/>
    </row>
    <row r="1882" spans="1:8" customFormat="1" ht="15" customHeight="1" outlineLevel="1" x14ac:dyDescent="0.25">
      <c r="A1882" s="562" t="s">
        <v>529</v>
      </c>
      <c r="B1882" s="562"/>
      <c r="C1882" s="562"/>
      <c r="D1882" s="562"/>
      <c r="E1882" s="562"/>
      <c r="F1882" s="562"/>
      <c r="G1882" s="459"/>
    </row>
    <row r="1883" spans="1:8" customFormat="1" ht="229.5" outlineLevel="1" x14ac:dyDescent="0.25">
      <c r="A1883" s="165"/>
      <c r="B1883" s="189" t="s">
        <v>527</v>
      </c>
      <c r="C1883" s="190" t="s">
        <v>474</v>
      </c>
      <c r="D1883" s="191">
        <v>1</v>
      </c>
      <c r="E1883" s="192">
        <v>8787425</v>
      </c>
      <c r="F1883" s="174">
        <f t="shared" ref="F1883:F1887" si="85">D1883*E1883</f>
        <v>8787425</v>
      </c>
      <c r="G1883" s="459"/>
    </row>
    <row r="1884" spans="1:8" customFormat="1" ht="15" customHeight="1" outlineLevel="1" x14ac:dyDescent="0.25">
      <c r="A1884" s="562" t="s">
        <v>530</v>
      </c>
      <c r="B1884" s="562"/>
      <c r="C1884" s="562"/>
      <c r="D1884" s="562"/>
      <c r="E1884" s="562"/>
      <c r="F1884" s="562"/>
      <c r="G1884" s="459"/>
    </row>
    <row r="1885" spans="1:8" customFormat="1" ht="229.5" outlineLevel="1" x14ac:dyDescent="0.25">
      <c r="A1885" s="165"/>
      <c r="B1885" s="189" t="s">
        <v>526</v>
      </c>
      <c r="C1885" s="190" t="s">
        <v>474</v>
      </c>
      <c r="D1885" s="191">
        <v>2</v>
      </c>
      <c r="E1885" s="192">
        <v>4116450</v>
      </c>
      <c r="F1885" s="174">
        <f t="shared" si="85"/>
        <v>8232900</v>
      </c>
      <c r="G1885" s="459"/>
    </row>
    <row r="1886" spans="1:8" customFormat="1" ht="15" outlineLevel="1" x14ac:dyDescent="0.25">
      <c r="A1886" s="165"/>
      <c r="B1886" s="193" t="s">
        <v>531</v>
      </c>
      <c r="C1886" s="190"/>
      <c r="D1886" s="191"/>
      <c r="E1886" s="192"/>
      <c r="F1886" s="174"/>
      <c r="G1886" s="459"/>
    </row>
    <row r="1887" spans="1:8" customFormat="1" ht="229.5" outlineLevel="1" x14ac:dyDescent="0.25">
      <c r="A1887" s="165"/>
      <c r="B1887" s="189" t="s">
        <v>526</v>
      </c>
      <c r="C1887" s="190" t="s">
        <v>474</v>
      </c>
      <c r="D1887" s="191">
        <v>2</v>
      </c>
      <c r="E1887" s="192">
        <v>4116450</v>
      </c>
      <c r="F1887" s="174">
        <f t="shared" si="85"/>
        <v>8232900</v>
      </c>
      <c r="G1887" s="459"/>
    </row>
    <row r="1888" spans="1:8" customFormat="1" ht="23.25" customHeight="1" outlineLevel="1" x14ac:dyDescent="0.25">
      <c r="A1888" s="561" t="s">
        <v>514</v>
      </c>
      <c r="B1888" s="561"/>
      <c r="C1888" s="561"/>
      <c r="D1888" s="561"/>
      <c r="E1888" s="561"/>
      <c r="F1888" s="260">
        <f>SUM(F1881:F1887)</f>
        <v>37602575</v>
      </c>
      <c r="G1888" s="459"/>
    </row>
    <row r="1889" spans="1:8" customFormat="1" ht="25.5" customHeight="1" x14ac:dyDescent="0.25">
      <c r="A1889" s="547" t="s">
        <v>560</v>
      </c>
      <c r="B1889" s="548"/>
      <c r="C1889" s="548"/>
      <c r="D1889" s="548"/>
      <c r="E1889" s="549"/>
      <c r="F1889" s="262">
        <f>F1894</f>
        <v>169663050</v>
      </c>
      <c r="G1889" s="456">
        <f>H1889-F1889</f>
        <v>0</v>
      </c>
      <c r="H1889">
        <v>169663050</v>
      </c>
    </row>
    <row r="1890" spans="1:8" customFormat="1" ht="15" outlineLevel="1" x14ac:dyDescent="0.25">
      <c r="A1890" s="560" t="s">
        <v>539</v>
      </c>
      <c r="B1890" s="560"/>
      <c r="C1890" s="560"/>
      <c r="D1890" s="560"/>
      <c r="E1890" s="560"/>
      <c r="F1890" s="560"/>
      <c r="G1890" s="459"/>
    </row>
    <row r="1891" spans="1:8" customFormat="1" ht="223.5" customHeight="1" outlineLevel="1" x14ac:dyDescent="0.25">
      <c r="A1891" s="165"/>
      <c r="B1891" s="167" t="s">
        <v>540</v>
      </c>
      <c r="C1891" s="165" t="s">
        <v>474</v>
      </c>
      <c r="D1891" s="166">
        <v>37</v>
      </c>
      <c r="E1891" s="166">
        <v>1950150</v>
      </c>
      <c r="F1891" s="166">
        <v>72155550</v>
      </c>
      <c r="G1891" s="459"/>
    </row>
    <row r="1892" spans="1:8" customFormat="1" outlineLevel="1" x14ac:dyDescent="0.25">
      <c r="A1892" s="552" t="s">
        <v>541</v>
      </c>
      <c r="B1892" s="552"/>
      <c r="C1892" s="552"/>
      <c r="D1892" s="552"/>
      <c r="E1892" s="552"/>
      <c r="F1892" s="552"/>
      <c r="G1892" s="459"/>
    </row>
    <row r="1893" spans="1:8" customFormat="1" ht="219.75" customHeight="1" outlineLevel="1" x14ac:dyDescent="0.25">
      <c r="A1893" s="165"/>
      <c r="B1893" s="254" t="s">
        <v>540</v>
      </c>
      <c r="C1893" s="190" t="s">
        <v>474</v>
      </c>
      <c r="D1893" s="191">
        <v>50</v>
      </c>
      <c r="E1893" s="192">
        <v>1950150</v>
      </c>
      <c r="F1893" s="174">
        <f t="shared" ref="F1893" si="86">D1893*E1893</f>
        <v>97507500</v>
      </c>
      <c r="G1893" s="459"/>
    </row>
    <row r="1894" spans="1:8" customFormat="1" ht="23.25" customHeight="1" outlineLevel="1" x14ac:dyDescent="0.25">
      <c r="A1894" s="561" t="s">
        <v>514</v>
      </c>
      <c r="B1894" s="561"/>
      <c r="C1894" s="561"/>
      <c r="D1894" s="561"/>
      <c r="E1894" s="561"/>
      <c r="F1894" s="260">
        <f>SUM(F1891:F1893)</f>
        <v>169663050</v>
      </c>
      <c r="G1894" s="459"/>
    </row>
    <row r="1895" spans="1:8" ht="25.5" customHeight="1" x14ac:dyDescent="0.25">
      <c r="A1895" s="547" t="s">
        <v>550</v>
      </c>
      <c r="B1895" s="548"/>
      <c r="C1895" s="548"/>
      <c r="D1895" s="548"/>
      <c r="E1895" s="549"/>
      <c r="F1895" s="262">
        <f>F1975</f>
        <v>157218842.13167644</v>
      </c>
      <c r="G1895" s="456">
        <f>H1895-F1895</f>
        <v>0</v>
      </c>
      <c r="H1895" s="1">
        <v>157218842.13167626</v>
      </c>
    </row>
    <row r="1896" spans="1:8" ht="75.75" outlineLevel="1" x14ac:dyDescent="0.25">
      <c r="A1896" s="129">
        <v>1</v>
      </c>
      <c r="B1896" s="135" t="s">
        <v>311</v>
      </c>
      <c r="C1896" s="113">
        <v>1000</v>
      </c>
      <c r="D1896" s="127">
        <v>72531.663749999992</v>
      </c>
      <c r="E1896" s="115">
        <v>15824.15</v>
      </c>
      <c r="F1896" s="127">
        <f>D1896*E1896/C1896</f>
        <v>1147751.9269295624</v>
      </c>
    </row>
    <row r="1897" spans="1:8" ht="24" customHeight="1" outlineLevel="1" x14ac:dyDescent="0.25">
      <c r="A1897" s="129">
        <v>2</v>
      </c>
      <c r="B1897" s="135" t="s">
        <v>312</v>
      </c>
      <c r="C1897" s="120">
        <v>1</v>
      </c>
      <c r="D1897" s="127">
        <v>88776.1875</v>
      </c>
      <c r="E1897" s="127">
        <v>12.55</v>
      </c>
      <c r="F1897" s="127">
        <f>D1897*E1897/C1897</f>
        <v>1114141.153125</v>
      </c>
    </row>
    <row r="1898" spans="1:8" ht="45" outlineLevel="1" x14ac:dyDescent="0.25">
      <c r="A1898" s="125">
        <v>3</v>
      </c>
      <c r="B1898" s="135" t="s">
        <v>23</v>
      </c>
      <c r="C1898" s="126"/>
      <c r="D1898" s="115">
        <v>0</v>
      </c>
      <c r="E1898" s="127">
        <v>0</v>
      </c>
      <c r="F1898" s="127"/>
    </row>
    <row r="1899" spans="1:8" outlineLevel="1" x14ac:dyDescent="0.25">
      <c r="A1899" s="125"/>
      <c r="B1899" s="133" t="s">
        <v>24</v>
      </c>
      <c r="C1899" s="113">
        <v>100</v>
      </c>
      <c r="D1899" s="115">
        <v>11548.92375</v>
      </c>
      <c r="E1899" s="115">
        <v>34694.300000000003</v>
      </c>
      <c r="F1899" s="127">
        <f t="shared" ref="F1899:F1916" si="87">D1899*E1899/C1899</f>
        <v>4006818.2525962503</v>
      </c>
    </row>
    <row r="1900" spans="1:8" ht="35.25" customHeight="1" outlineLevel="1" x14ac:dyDescent="0.25">
      <c r="A1900" s="125">
        <v>4</v>
      </c>
      <c r="B1900" s="135" t="s">
        <v>25</v>
      </c>
      <c r="C1900" s="113">
        <v>100</v>
      </c>
      <c r="D1900" s="115">
        <v>44360.679999999993</v>
      </c>
      <c r="E1900" s="115">
        <v>32675.95</v>
      </c>
      <c r="F1900" s="127">
        <f t="shared" si="87"/>
        <v>14495273.616459999</v>
      </c>
    </row>
    <row r="1901" spans="1:8" ht="60" outlineLevel="1" x14ac:dyDescent="0.25">
      <c r="A1901" s="125">
        <v>5</v>
      </c>
      <c r="B1901" s="135" t="s">
        <v>110</v>
      </c>
      <c r="C1901" s="120">
        <v>100</v>
      </c>
      <c r="D1901" s="115">
        <v>8834.109375</v>
      </c>
      <c r="E1901" s="115">
        <v>11460.2</v>
      </c>
      <c r="F1901" s="127">
        <f t="shared" si="87"/>
        <v>1012406.6025937501</v>
      </c>
    </row>
    <row r="1902" spans="1:8" ht="60" outlineLevel="1" x14ac:dyDescent="0.25">
      <c r="A1902" s="125">
        <v>6</v>
      </c>
      <c r="B1902" s="133" t="s">
        <v>111</v>
      </c>
      <c r="C1902" s="120">
        <v>100</v>
      </c>
      <c r="D1902" s="115">
        <v>8771.49</v>
      </c>
      <c r="E1902" s="115">
        <v>7607.35</v>
      </c>
      <c r="F1902" s="127">
        <f t="shared" si="87"/>
        <v>667277.94451499998</v>
      </c>
    </row>
    <row r="1903" spans="1:8" ht="30" outlineLevel="1" x14ac:dyDescent="0.25">
      <c r="A1903" s="125">
        <v>7</v>
      </c>
      <c r="B1903" s="135" t="s">
        <v>112</v>
      </c>
      <c r="C1903" s="113">
        <v>1000</v>
      </c>
      <c r="D1903" s="115">
        <v>31674.37</v>
      </c>
      <c r="E1903" s="115">
        <v>7547.75</v>
      </c>
      <c r="F1903" s="127">
        <f t="shared" si="87"/>
        <v>239070.22616749999</v>
      </c>
    </row>
    <row r="1904" spans="1:8" ht="30" outlineLevel="1" x14ac:dyDescent="0.25">
      <c r="A1904" s="125">
        <v>8</v>
      </c>
      <c r="B1904" s="133" t="s">
        <v>313</v>
      </c>
      <c r="C1904" s="113">
        <v>100</v>
      </c>
      <c r="D1904" s="115">
        <v>47794.11</v>
      </c>
      <c r="E1904" s="115">
        <v>35830.6</v>
      </c>
      <c r="F1904" s="127">
        <f t="shared" si="87"/>
        <v>17124916.377659999</v>
      </c>
    </row>
    <row r="1905" spans="1:6" ht="195.75" outlineLevel="1" x14ac:dyDescent="0.25">
      <c r="A1905" s="147">
        <v>9</v>
      </c>
      <c r="B1905" s="133" t="s">
        <v>314</v>
      </c>
      <c r="C1905" s="113">
        <v>1</v>
      </c>
      <c r="D1905" s="115">
        <v>21724.43</v>
      </c>
      <c r="E1905" s="115">
        <v>741.85</v>
      </c>
      <c r="F1905" s="127">
        <f t="shared" si="87"/>
        <v>16116268.395500001</v>
      </c>
    </row>
    <row r="1906" spans="1:6" ht="90" outlineLevel="1" x14ac:dyDescent="0.25">
      <c r="A1906" s="147">
        <v>10</v>
      </c>
      <c r="B1906" s="135" t="s">
        <v>116</v>
      </c>
      <c r="C1906" s="131">
        <v>100</v>
      </c>
      <c r="D1906" s="115">
        <v>65173.289999999994</v>
      </c>
      <c r="E1906" s="115">
        <v>30376.9</v>
      </c>
      <c r="F1906" s="127">
        <f t="shared" si="87"/>
        <v>19797625.130009998</v>
      </c>
    </row>
    <row r="1907" spans="1:6" ht="180" outlineLevel="1" x14ac:dyDescent="0.25">
      <c r="A1907" s="125">
        <v>11</v>
      </c>
      <c r="B1907" s="135" t="s">
        <v>117</v>
      </c>
      <c r="C1907" s="120">
        <v>1</v>
      </c>
      <c r="D1907" s="115">
        <v>3276</v>
      </c>
      <c r="E1907" s="115">
        <v>2180.6999999999998</v>
      </c>
      <c r="F1907" s="127">
        <f t="shared" si="87"/>
        <v>7143973.1999999993</v>
      </c>
    </row>
    <row r="1908" spans="1:6" ht="60" outlineLevel="1" x14ac:dyDescent="0.25">
      <c r="A1908" s="125">
        <v>12</v>
      </c>
      <c r="B1908" s="135" t="s">
        <v>118</v>
      </c>
      <c r="C1908" s="120">
        <v>1</v>
      </c>
      <c r="D1908" s="115">
        <v>3822</v>
      </c>
      <c r="E1908" s="115">
        <v>457.1</v>
      </c>
      <c r="F1908" s="127">
        <f t="shared" si="87"/>
        <v>1747036.2000000002</v>
      </c>
    </row>
    <row r="1909" spans="1:6" ht="90" outlineLevel="1" x14ac:dyDescent="0.25">
      <c r="A1909" s="125">
        <v>13</v>
      </c>
      <c r="B1909" s="135" t="s">
        <v>315</v>
      </c>
      <c r="C1909" s="120">
        <v>1</v>
      </c>
      <c r="D1909" s="115">
        <v>3822</v>
      </c>
      <c r="E1909" s="115">
        <v>638.85</v>
      </c>
      <c r="F1909" s="127">
        <f t="shared" si="87"/>
        <v>2441684.7000000002</v>
      </c>
    </row>
    <row r="1910" spans="1:6" ht="75" outlineLevel="1" x14ac:dyDescent="0.25">
      <c r="A1910" s="129">
        <v>14</v>
      </c>
      <c r="B1910" s="135" t="s">
        <v>120</v>
      </c>
      <c r="C1910" s="120">
        <v>100</v>
      </c>
      <c r="D1910" s="115">
        <v>33854.84375</v>
      </c>
      <c r="E1910" s="115">
        <v>13179.6</v>
      </c>
      <c r="F1910" s="127">
        <f t="shared" si="87"/>
        <v>4461932.9868750004</v>
      </c>
    </row>
    <row r="1911" spans="1:6" ht="30" outlineLevel="1" x14ac:dyDescent="0.25">
      <c r="A1911" s="129">
        <v>15</v>
      </c>
      <c r="B1911" s="135" t="s">
        <v>121</v>
      </c>
      <c r="C1911" s="120">
        <v>1</v>
      </c>
      <c r="D1911" s="115">
        <v>34218.84375</v>
      </c>
      <c r="E1911" s="115">
        <v>11</v>
      </c>
      <c r="F1911" s="127">
        <f t="shared" si="87"/>
        <v>376407.28125</v>
      </c>
    </row>
    <row r="1912" spans="1:6" ht="27" customHeight="1" outlineLevel="1" x14ac:dyDescent="0.25">
      <c r="A1912" s="125">
        <v>16</v>
      </c>
      <c r="B1912" s="135" t="s">
        <v>122</v>
      </c>
      <c r="C1912" s="113">
        <v>100</v>
      </c>
      <c r="D1912" s="115">
        <v>7420.14</v>
      </c>
      <c r="E1912" s="127">
        <v>3987</v>
      </c>
      <c r="F1912" s="127">
        <f t="shared" si="87"/>
        <v>295840.98180000001</v>
      </c>
    </row>
    <row r="1913" spans="1:6" ht="45" outlineLevel="1" x14ac:dyDescent="0.25">
      <c r="A1913" s="129">
        <v>17</v>
      </c>
      <c r="B1913" s="135" t="s">
        <v>123</v>
      </c>
      <c r="C1913" s="113">
        <v>100</v>
      </c>
      <c r="D1913" s="127">
        <v>9109.1</v>
      </c>
      <c r="E1913" s="127">
        <v>12801.2</v>
      </c>
      <c r="F1913" s="127">
        <f t="shared" si="87"/>
        <v>1166074.1092000001</v>
      </c>
    </row>
    <row r="1914" spans="1:6" ht="90" outlineLevel="1" x14ac:dyDescent="0.25">
      <c r="A1914" s="129">
        <v>18</v>
      </c>
      <c r="B1914" s="133" t="s">
        <v>234</v>
      </c>
      <c r="C1914" s="120">
        <v>100</v>
      </c>
      <c r="D1914" s="127">
        <v>22325.37125</v>
      </c>
      <c r="E1914" s="127">
        <v>29658.5</v>
      </c>
      <c r="F1914" s="127">
        <f t="shared" si="87"/>
        <v>6621370.2321812501</v>
      </c>
    </row>
    <row r="1915" spans="1:6" ht="75" outlineLevel="1" x14ac:dyDescent="0.25">
      <c r="A1915" s="129">
        <v>19</v>
      </c>
      <c r="B1915" s="133" t="s">
        <v>235</v>
      </c>
      <c r="C1915" s="120">
        <v>100</v>
      </c>
      <c r="D1915" s="127">
        <v>14054.039999999999</v>
      </c>
      <c r="E1915" s="127">
        <v>19146.849999999999</v>
      </c>
      <c r="F1915" s="127">
        <f t="shared" si="87"/>
        <v>2690905.95774</v>
      </c>
    </row>
    <row r="1916" spans="1:6" ht="45" outlineLevel="1" x14ac:dyDescent="0.25">
      <c r="A1916" s="129">
        <v>20</v>
      </c>
      <c r="B1916" s="133" t="s">
        <v>236</v>
      </c>
      <c r="C1916" s="139">
        <v>1</v>
      </c>
      <c r="D1916" s="127">
        <v>22750</v>
      </c>
      <c r="E1916" s="127">
        <v>39.6</v>
      </c>
      <c r="F1916" s="127">
        <f t="shared" si="87"/>
        <v>900900</v>
      </c>
    </row>
    <row r="1917" spans="1:6" ht="45" outlineLevel="1" x14ac:dyDescent="0.25">
      <c r="A1917" s="546">
        <v>21</v>
      </c>
      <c r="B1917" s="112" t="s">
        <v>124</v>
      </c>
      <c r="C1917" s="122"/>
      <c r="D1917" s="115">
        <v>0</v>
      </c>
      <c r="E1917" s="115">
        <v>0</v>
      </c>
      <c r="F1917" s="127"/>
    </row>
    <row r="1918" spans="1:6" outlineLevel="1" x14ac:dyDescent="0.25">
      <c r="A1918" s="546"/>
      <c r="B1918" s="112" t="s">
        <v>125</v>
      </c>
      <c r="C1918" s="113">
        <v>100</v>
      </c>
      <c r="D1918" s="115">
        <v>1780.1875</v>
      </c>
      <c r="E1918" s="115">
        <v>47135.9</v>
      </c>
      <c r="F1918" s="127">
        <f t="shared" ref="F1918:F1935" si="88">D1918*E1918/C1918</f>
        <v>839107.39981249999</v>
      </c>
    </row>
    <row r="1919" spans="1:6" ht="30" outlineLevel="1" x14ac:dyDescent="0.25">
      <c r="A1919" s="125">
        <v>22</v>
      </c>
      <c r="B1919" s="135" t="s">
        <v>126</v>
      </c>
      <c r="C1919" s="120">
        <v>100</v>
      </c>
      <c r="D1919" s="137">
        <v>113184.66250000001</v>
      </c>
      <c r="E1919" s="127">
        <v>4614.1000000000004</v>
      </c>
      <c r="F1919" s="127">
        <f t="shared" si="88"/>
        <v>5222453.5124125006</v>
      </c>
    </row>
    <row r="1920" spans="1:6" ht="30" outlineLevel="1" x14ac:dyDescent="0.25">
      <c r="A1920" s="125">
        <v>23</v>
      </c>
      <c r="B1920" s="135" t="s">
        <v>207</v>
      </c>
      <c r="C1920" s="120">
        <v>100</v>
      </c>
      <c r="D1920" s="115">
        <v>21116.55</v>
      </c>
      <c r="E1920" s="127">
        <v>5264.65</v>
      </c>
      <c r="F1920" s="127">
        <f t="shared" si="88"/>
        <v>1111712.449575</v>
      </c>
    </row>
    <row r="1921" spans="1:6" ht="24" customHeight="1" outlineLevel="1" x14ac:dyDescent="0.25">
      <c r="A1921" s="125">
        <v>24</v>
      </c>
      <c r="B1921" s="135" t="s">
        <v>132</v>
      </c>
      <c r="C1921" s="120">
        <v>100</v>
      </c>
      <c r="D1921" s="115">
        <v>99928.237500000003</v>
      </c>
      <c r="E1921" s="127">
        <v>1548.2</v>
      </c>
      <c r="F1921" s="127">
        <f t="shared" si="88"/>
        <v>1547088.972975</v>
      </c>
    </row>
    <row r="1922" spans="1:6" ht="45" outlineLevel="1" x14ac:dyDescent="0.25">
      <c r="A1922" s="125">
        <v>25</v>
      </c>
      <c r="B1922" s="135" t="s">
        <v>133</v>
      </c>
      <c r="C1922" s="120">
        <v>100</v>
      </c>
      <c r="D1922" s="115">
        <v>31339.945</v>
      </c>
      <c r="E1922" s="127">
        <v>7379.1</v>
      </c>
      <c r="F1922" s="127">
        <f t="shared" si="88"/>
        <v>2312605.8814950003</v>
      </c>
    </row>
    <row r="1923" spans="1:6" ht="60" outlineLevel="1" x14ac:dyDescent="0.25">
      <c r="A1923" s="125">
        <v>26</v>
      </c>
      <c r="B1923" s="135" t="s">
        <v>128</v>
      </c>
      <c r="C1923" s="120">
        <v>100</v>
      </c>
      <c r="D1923" s="115">
        <v>65280.215000000004</v>
      </c>
      <c r="E1923" s="127">
        <v>5012.6499999999996</v>
      </c>
      <c r="F1923" s="127">
        <f t="shared" si="88"/>
        <v>3272268.6971974997</v>
      </c>
    </row>
    <row r="1924" spans="1:6" ht="45" outlineLevel="1" x14ac:dyDescent="0.25">
      <c r="A1924" s="125">
        <v>27</v>
      </c>
      <c r="B1924" s="135" t="s">
        <v>129</v>
      </c>
      <c r="C1924" s="139">
        <v>1</v>
      </c>
      <c r="D1924" s="115">
        <v>1183</v>
      </c>
      <c r="E1924" s="127">
        <v>514.9</v>
      </c>
      <c r="F1924" s="127">
        <f t="shared" si="88"/>
        <v>609126.69999999995</v>
      </c>
    </row>
    <row r="1925" spans="1:6" ht="30" outlineLevel="1" x14ac:dyDescent="0.25">
      <c r="A1925" s="125">
        <v>28</v>
      </c>
      <c r="B1925" s="135" t="s">
        <v>130</v>
      </c>
      <c r="C1925" s="128">
        <v>1</v>
      </c>
      <c r="D1925" s="115">
        <v>182</v>
      </c>
      <c r="E1925" s="127">
        <v>849.7</v>
      </c>
      <c r="F1925" s="127">
        <f t="shared" si="88"/>
        <v>154645.4</v>
      </c>
    </row>
    <row r="1926" spans="1:6" ht="21" customHeight="1" outlineLevel="1" x14ac:dyDescent="0.25">
      <c r="A1926" s="125">
        <v>29</v>
      </c>
      <c r="B1926" s="135" t="s">
        <v>131</v>
      </c>
      <c r="C1926" s="128">
        <v>1</v>
      </c>
      <c r="D1926" s="115">
        <v>91</v>
      </c>
      <c r="E1926" s="127">
        <v>1159.6500000000001</v>
      </c>
      <c r="F1926" s="127">
        <f t="shared" si="88"/>
        <v>105528.15000000001</v>
      </c>
    </row>
    <row r="1927" spans="1:6" ht="30" outlineLevel="1" x14ac:dyDescent="0.25">
      <c r="A1927" s="125">
        <v>30</v>
      </c>
      <c r="B1927" s="135" t="s">
        <v>316</v>
      </c>
      <c r="C1927" s="128">
        <v>1</v>
      </c>
      <c r="D1927" s="115">
        <v>182</v>
      </c>
      <c r="E1927" s="127">
        <v>656.85</v>
      </c>
      <c r="F1927" s="127">
        <f t="shared" si="88"/>
        <v>119546.7</v>
      </c>
    </row>
    <row r="1928" spans="1:6" ht="45" outlineLevel="1" x14ac:dyDescent="0.25">
      <c r="A1928" s="125">
        <v>31</v>
      </c>
      <c r="B1928" s="135" t="s">
        <v>317</v>
      </c>
      <c r="C1928" s="120">
        <v>100</v>
      </c>
      <c r="D1928" s="115">
        <v>7644</v>
      </c>
      <c r="E1928" s="127">
        <v>3052.4</v>
      </c>
      <c r="F1928" s="127">
        <f t="shared" si="88"/>
        <v>233325.45600000001</v>
      </c>
    </row>
    <row r="1929" spans="1:6" ht="30" outlineLevel="1" x14ac:dyDescent="0.25">
      <c r="A1929" s="125">
        <v>32</v>
      </c>
      <c r="B1929" s="135" t="s">
        <v>318</v>
      </c>
      <c r="C1929" s="132">
        <v>1</v>
      </c>
      <c r="D1929" s="115">
        <v>91</v>
      </c>
      <c r="E1929" s="127">
        <v>4105.05</v>
      </c>
      <c r="F1929" s="127">
        <f t="shared" si="88"/>
        <v>373559.55</v>
      </c>
    </row>
    <row r="1930" spans="1:6" ht="30" outlineLevel="1" x14ac:dyDescent="0.25">
      <c r="A1930" s="125">
        <v>33</v>
      </c>
      <c r="B1930" s="135" t="s">
        <v>319</v>
      </c>
      <c r="C1930" s="132">
        <v>1</v>
      </c>
      <c r="D1930" s="115">
        <v>273</v>
      </c>
      <c r="E1930" s="127">
        <v>463.15</v>
      </c>
      <c r="F1930" s="127">
        <f t="shared" si="88"/>
        <v>126439.95</v>
      </c>
    </row>
    <row r="1931" spans="1:6" ht="30" outlineLevel="1" x14ac:dyDescent="0.25">
      <c r="A1931" s="125">
        <v>34</v>
      </c>
      <c r="B1931" s="135" t="s">
        <v>320</v>
      </c>
      <c r="C1931" s="132">
        <v>1</v>
      </c>
      <c r="D1931" s="115">
        <v>364</v>
      </c>
      <c r="E1931" s="127">
        <v>1639.2</v>
      </c>
      <c r="F1931" s="127">
        <f t="shared" si="88"/>
        <v>596668.80000000005</v>
      </c>
    </row>
    <row r="1932" spans="1:6" ht="45" outlineLevel="1" x14ac:dyDescent="0.25">
      <c r="A1932" s="125">
        <v>35</v>
      </c>
      <c r="B1932" s="135" t="s">
        <v>321</v>
      </c>
      <c r="C1932" s="132">
        <v>1</v>
      </c>
      <c r="D1932" s="115">
        <v>91</v>
      </c>
      <c r="E1932" s="127">
        <v>8069.2</v>
      </c>
      <c r="F1932" s="127">
        <f t="shared" si="88"/>
        <v>734297.2</v>
      </c>
    </row>
    <row r="1933" spans="1:6" ht="45" outlineLevel="1" x14ac:dyDescent="0.25">
      <c r="A1933" s="125">
        <v>36</v>
      </c>
      <c r="B1933" s="135" t="s">
        <v>129</v>
      </c>
      <c r="C1933" s="139">
        <v>1</v>
      </c>
      <c r="D1933" s="115">
        <v>9100</v>
      </c>
      <c r="E1933" s="127">
        <v>514.9</v>
      </c>
      <c r="F1933" s="127">
        <f t="shared" si="88"/>
        <v>4685590</v>
      </c>
    </row>
    <row r="1934" spans="1:6" ht="30" outlineLevel="1" x14ac:dyDescent="0.25">
      <c r="A1934" s="125">
        <v>37</v>
      </c>
      <c r="B1934" s="135" t="s">
        <v>130</v>
      </c>
      <c r="C1934" s="128">
        <v>1</v>
      </c>
      <c r="D1934" s="115">
        <v>364</v>
      </c>
      <c r="E1934" s="127">
        <v>849.7</v>
      </c>
      <c r="F1934" s="127">
        <f t="shared" si="88"/>
        <v>309290.8</v>
      </c>
    </row>
    <row r="1935" spans="1:6" ht="30" outlineLevel="1" x14ac:dyDescent="0.25">
      <c r="A1935" s="125">
        <v>38</v>
      </c>
      <c r="B1935" s="135" t="s">
        <v>322</v>
      </c>
      <c r="C1935" s="128">
        <v>1</v>
      </c>
      <c r="D1935" s="115">
        <v>364</v>
      </c>
      <c r="E1935" s="127">
        <v>2374.25</v>
      </c>
      <c r="F1935" s="127">
        <f t="shared" si="88"/>
        <v>864227</v>
      </c>
    </row>
    <row r="1936" spans="1:6" ht="135" outlineLevel="1" x14ac:dyDescent="0.25">
      <c r="A1936" s="125">
        <v>39</v>
      </c>
      <c r="B1936" s="133" t="s">
        <v>323</v>
      </c>
      <c r="C1936" s="122"/>
      <c r="D1936" s="115">
        <v>0</v>
      </c>
      <c r="E1936" s="127"/>
      <c r="F1936" s="137"/>
    </row>
    <row r="1937" spans="1:6" outlineLevel="1" x14ac:dyDescent="0.25">
      <c r="A1937" s="125" t="s">
        <v>67</v>
      </c>
      <c r="B1937" s="135" t="s">
        <v>324</v>
      </c>
      <c r="C1937" s="139">
        <v>1</v>
      </c>
      <c r="D1937" s="115">
        <v>9100</v>
      </c>
      <c r="E1937" s="127">
        <v>62.95</v>
      </c>
      <c r="F1937" s="127">
        <f>D1937*E1937/C1937</f>
        <v>572845</v>
      </c>
    </row>
    <row r="1938" spans="1:6" outlineLevel="1" x14ac:dyDescent="0.25">
      <c r="A1938" s="125" t="s">
        <v>41</v>
      </c>
      <c r="B1938" s="135" t="s">
        <v>325</v>
      </c>
      <c r="C1938" s="139">
        <v>1</v>
      </c>
      <c r="D1938" s="115">
        <v>4550</v>
      </c>
      <c r="E1938" s="127">
        <v>87.1</v>
      </c>
      <c r="F1938" s="127">
        <f>D1938*E1938/C1938</f>
        <v>396305</v>
      </c>
    </row>
    <row r="1939" spans="1:6" ht="30" outlineLevel="1" x14ac:dyDescent="0.25">
      <c r="A1939" s="125">
        <v>40</v>
      </c>
      <c r="B1939" s="135" t="s">
        <v>326</v>
      </c>
      <c r="C1939" s="132">
        <v>1</v>
      </c>
      <c r="D1939" s="115">
        <v>91</v>
      </c>
      <c r="E1939" s="127">
        <v>1457.7</v>
      </c>
      <c r="F1939" s="127">
        <f>D1939*E1939/C1939</f>
        <v>132650.70000000001</v>
      </c>
    </row>
    <row r="1940" spans="1:6" ht="45" outlineLevel="1" x14ac:dyDescent="0.25">
      <c r="A1940" s="125">
        <v>41</v>
      </c>
      <c r="B1940" s="135" t="s">
        <v>327</v>
      </c>
      <c r="C1940" s="132">
        <v>1</v>
      </c>
      <c r="D1940" s="115">
        <v>91</v>
      </c>
      <c r="E1940" s="127">
        <v>15209.1</v>
      </c>
      <c r="F1940" s="127">
        <f>D1940*E1940/C1940</f>
        <v>1384028.1</v>
      </c>
    </row>
    <row r="1941" spans="1:6" outlineLevel="1" x14ac:dyDescent="0.25">
      <c r="A1941" s="125">
        <v>42</v>
      </c>
      <c r="B1941" s="135" t="s">
        <v>328</v>
      </c>
      <c r="C1941" s="127">
        <v>0</v>
      </c>
      <c r="D1941" s="115">
        <v>0</v>
      </c>
      <c r="E1941" s="115">
        <v>0</v>
      </c>
      <c r="F1941" s="115">
        <v>0</v>
      </c>
    </row>
    <row r="1942" spans="1:6" outlineLevel="1" x14ac:dyDescent="0.25">
      <c r="A1942" s="125"/>
      <c r="B1942" s="135" t="s">
        <v>329</v>
      </c>
      <c r="C1942" s="132">
        <v>1</v>
      </c>
      <c r="D1942" s="115">
        <v>91</v>
      </c>
      <c r="E1942" s="127">
        <v>1380</v>
      </c>
      <c r="F1942" s="127">
        <f>D1942*E1942/C1942</f>
        <v>125580</v>
      </c>
    </row>
    <row r="1943" spans="1:6" outlineLevel="1" x14ac:dyDescent="0.25">
      <c r="A1943" s="125"/>
      <c r="B1943" s="135" t="s">
        <v>330</v>
      </c>
      <c r="C1943" s="132">
        <v>1</v>
      </c>
      <c r="D1943" s="115">
        <v>91</v>
      </c>
      <c r="E1943" s="127">
        <v>1610</v>
      </c>
      <c r="F1943" s="127">
        <f>D1943*E1943/C1943</f>
        <v>146510</v>
      </c>
    </row>
    <row r="1944" spans="1:6" outlineLevel="1" x14ac:dyDescent="0.25">
      <c r="A1944" s="125"/>
      <c r="B1944" s="135" t="s">
        <v>331</v>
      </c>
      <c r="C1944" s="132">
        <v>1</v>
      </c>
      <c r="D1944" s="115">
        <v>91</v>
      </c>
      <c r="E1944" s="127">
        <v>1035</v>
      </c>
      <c r="F1944" s="127">
        <f>D1944*E1944/C1944</f>
        <v>94185</v>
      </c>
    </row>
    <row r="1945" spans="1:6" ht="30" outlineLevel="1" x14ac:dyDescent="0.25">
      <c r="A1945" s="125">
        <v>43</v>
      </c>
      <c r="B1945" s="135" t="s">
        <v>332</v>
      </c>
      <c r="C1945" s="132">
        <v>1</v>
      </c>
      <c r="D1945" s="115">
        <v>91</v>
      </c>
      <c r="E1945" s="127">
        <v>1999.2</v>
      </c>
      <c r="F1945" s="127">
        <f>D1945*E1945/C1945</f>
        <v>181927.2</v>
      </c>
    </row>
    <row r="1946" spans="1:6" ht="45" outlineLevel="1" x14ac:dyDescent="0.25">
      <c r="A1946" s="125">
        <v>44</v>
      </c>
      <c r="B1946" s="135" t="s">
        <v>136</v>
      </c>
      <c r="C1946" s="122"/>
      <c r="D1946" s="115">
        <v>0</v>
      </c>
      <c r="E1946" s="127"/>
      <c r="F1946" s="137"/>
    </row>
    <row r="1947" spans="1:6" outlineLevel="1" x14ac:dyDescent="0.25">
      <c r="A1947" s="125"/>
      <c r="B1947" s="135" t="s">
        <v>176</v>
      </c>
      <c r="C1947" s="139">
        <v>1</v>
      </c>
      <c r="D1947" s="115">
        <v>9100</v>
      </c>
      <c r="E1947" s="127">
        <v>112.25</v>
      </c>
      <c r="F1947" s="127">
        <f>D1947*E1947/C1947</f>
        <v>1021475</v>
      </c>
    </row>
    <row r="1948" spans="1:6" outlineLevel="1" x14ac:dyDescent="0.25">
      <c r="A1948" s="125"/>
      <c r="B1948" s="135" t="s">
        <v>177</v>
      </c>
      <c r="C1948" s="139">
        <v>1</v>
      </c>
      <c r="D1948" s="115">
        <v>4550</v>
      </c>
      <c r="E1948" s="127">
        <v>133.6</v>
      </c>
      <c r="F1948" s="127">
        <f>D1948*E1948/C1948</f>
        <v>607880</v>
      </c>
    </row>
    <row r="1949" spans="1:6" ht="75" outlineLevel="1" x14ac:dyDescent="0.25">
      <c r="A1949" s="125">
        <v>45</v>
      </c>
      <c r="B1949" s="135" t="s">
        <v>141</v>
      </c>
      <c r="C1949" s="122"/>
      <c r="D1949" s="115">
        <v>0</v>
      </c>
      <c r="E1949" s="127"/>
      <c r="F1949" s="137"/>
    </row>
    <row r="1950" spans="1:6" outlineLevel="1" x14ac:dyDescent="0.25">
      <c r="A1950" s="125"/>
      <c r="B1950" s="135" t="s">
        <v>180</v>
      </c>
      <c r="C1950" s="139">
        <v>1</v>
      </c>
      <c r="D1950" s="115">
        <v>27300</v>
      </c>
      <c r="E1950" s="127">
        <v>35.700000000000003</v>
      </c>
      <c r="F1950" s="127">
        <f>D1950*E1950/C1950</f>
        <v>974610.00000000012</v>
      </c>
    </row>
    <row r="1951" spans="1:6" outlineLevel="1" x14ac:dyDescent="0.25">
      <c r="A1951" s="125"/>
      <c r="B1951" s="135" t="s">
        <v>181</v>
      </c>
      <c r="C1951" s="139">
        <v>1</v>
      </c>
      <c r="D1951" s="115">
        <v>9100</v>
      </c>
      <c r="E1951" s="127">
        <v>56.3</v>
      </c>
      <c r="F1951" s="127">
        <f>D1951*E1951/C1951</f>
        <v>512330</v>
      </c>
    </row>
    <row r="1952" spans="1:6" ht="75" outlineLevel="1" x14ac:dyDescent="0.25">
      <c r="A1952" s="125">
        <v>46</v>
      </c>
      <c r="B1952" s="135" t="s">
        <v>144</v>
      </c>
      <c r="C1952" s="139">
        <v>1</v>
      </c>
      <c r="D1952" s="115">
        <v>18200</v>
      </c>
      <c r="E1952" s="127">
        <v>237.65</v>
      </c>
      <c r="F1952" s="127">
        <f>D1952*E1952/C1952</f>
        <v>4325230</v>
      </c>
    </row>
    <row r="1953" spans="1:6" ht="60" outlineLevel="1" x14ac:dyDescent="0.25">
      <c r="A1953" s="125">
        <v>47</v>
      </c>
      <c r="B1953" s="135" t="s">
        <v>145</v>
      </c>
      <c r="C1953" s="122"/>
      <c r="D1953" s="115">
        <v>0</v>
      </c>
      <c r="E1953" s="127"/>
      <c r="F1953" s="137"/>
    </row>
    <row r="1954" spans="1:6" outlineLevel="1" x14ac:dyDescent="0.25">
      <c r="A1954" s="125"/>
      <c r="B1954" s="135" t="s">
        <v>183</v>
      </c>
      <c r="C1954" s="132">
        <v>1</v>
      </c>
      <c r="D1954" s="115">
        <v>182</v>
      </c>
      <c r="E1954" s="127">
        <v>382.3</v>
      </c>
      <c r="F1954" s="127">
        <f t="shared" ref="F1954:F1969" si="89">D1954*E1954/C1954</f>
        <v>69578.600000000006</v>
      </c>
    </row>
    <row r="1955" spans="1:6" outlineLevel="1" x14ac:dyDescent="0.25">
      <c r="A1955" s="125"/>
      <c r="B1955" s="135" t="s">
        <v>184</v>
      </c>
      <c r="C1955" s="132">
        <v>1</v>
      </c>
      <c r="D1955" s="115">
        <v>364</v>
      </c>
      <c r="E1955" s="127">
        <v>522.75</v>
      </c>
      <c r="F1955" s="127">
        <f t="shared" si="89"/>
        <v>190281</v>
      </c>
    </row>
    <row r="1956" spans="1:6" outlineLevel="1" x14ac:dyDescent="0.25">
      <c r="A1956" s="125"/>
      <c r="B1956" s="135" t="s">
        <v>185</v>
      </c>
      <c r="C1956" s="132">
        <v>1</v>
      </c>
      <c r="D1956" s="115">
        <v>91</v>
      </c>
      <c r="E1956" s="127">
        <v>668.8</v>
      </c>
      <c r="F1956" s="127">
        <f t="shared" si="89"/>
        <v>60860.799999999996</v>
      </c>
    </row>
    <row r="1957" spans="1:6" ht="30" outlineLevel="1" x14ac:dyDescent="0.25">
      <c r="A1957" s="125">
        <v>48</v>
      </c>
      <c r="B1957" s="135" t="s">
        <v>149</v>
      </c>
      <c r="C1957" s="132">
        <v>1</v>
      </c>
      <c r="D1957" s="115">
        <v>3185</v>
      </c>
      <c r="E1957" s="127">
        <v>102.7</v>
      </c>
      <c r="F1957" s="127">
        <f t="shared" si="89"/>
        <v>327099.5</v>
      </c>
    </row>
    <row r="1958" spans="1:6" ht="30" outlineLevel="1" x14ac:dyDescent="0.25">
      <c r="A1958" s="125">
        <v>49</v>
      </c>
      <c r="B1958" s="135" t="s">
        <v>238</v>
      </c>
      <c r="C1958" s="132">
        <v>1</v>
      </c>
      <c r="D1958" s="115">
        <v>546</v>
      </c>
      <c r="E1958" s="127">
        <v>178.75</v>
      </c>
      <c r="F1958" s="127">
        <f t="shared" si="89"/>
        <v>97597.5</v>
      </c>
    </row>
    <row r="1959" spans="1:6" ht="21.75" customHeight="1" outlineLevel="1" x14ac:dyDescent="0.25">
      <c r="A1959" s="125">
        <v>50</v>
      </c>
      <c r="B1959" s="135" t="s">
        <v>150</v>
      </c>
      <c r="C1959" s="132">
        <v>1</v>
      </c>
      <c r="D1959" s="115">
        <v>546</v>
      </c>
      <c r="E1959" s="127">
        <v>96.3</v>
      </c>
      <c r="F1959" s="127">
        <f t="shared" si="89"/>
        <v>52579.799999999996</v>
      </c>
    </row>
    <row r="1960" spans="1:6" ht="21.75" customHeight="1" outlineLevel="1" x14ac:dyDescent="0.25">
      <c r="A1960" s="125">
        <v>51</v>
      </c>
      <c r="B1960" s="135" t="s">
        <v>151</v>
      </c>
      <c r="C1960" s="132">
        <v>1</v>
      </c>
      <c r="D1960" s="115">
        <v>182</v>
      </c>
      <c r="E1960" s="127">
        <v>204.7</v>
      </c>
      <c r="F1960" s="127">
        <f t="shared" si="89"/>
        <v>37255.4</v>
      </c>
    </row>
    <row r="1961" spans="1:6" ht="30" outlineLevel="1" x14ac:dyDescent="0.25">
      <c r="A1961" s="125">
        <v>52</v>
      </c>
      <c r="B1961" s="135" t="s">
        <v>186</v>
      </c>
      <c r="C1961" s="132">
        <v>1</v>
      </c>
      <c r="D1961" s="115">
        <v>182</v>
      </c>
      <c r="E1961" s="127">
        <v>213.1</v>
      </c>
      <c r="F1961" s="127">
        <f t="shared" si="89"/>
        <v>38784.199999999997</v>
      </c>
    </row>
    <row r="1962" spans="1:6" ht="135" outlineLevel="1" x14ac:dyDescent="0.25">
      <c r="A1962" s="125">
        <v>53</v>
      </c>
      <c r="B1962" s="133" t="s">
        <v>208</v>
      </c>
      <c r="C1962" s="128">
        <v>1</v>
      </c>
      <c r="D1962" s="115">
        <v>91</v>
      </c>
      <c r="E1962" s="127">
        <v>24422.65</v>
      </c>
      <c r="F1962" s="127">
        <f t="shared" si="89"/>
        <v>2222461.15</v>
      </c>
    </row>
    <row r="1963" spans="1:6" ht="90.75" outlineLevel="1" x14ac:dyDescent="0.25">
      <c r="A1963" s="125">
        <v>54</v>
      </c>
      <c r="B1963" s="135" t="s">
        <v>239</v>
      </c>
      <c r="C1963" s="128">
        <v>1</v>
      </c>
      <c r="D1963" s="115">
        <v>91</v>
      </c>
      <c r="E1963" s="127">
        <v>5616.25</v>
      </c>
      <c r="F1963" s="127">
        <f t="shared" si="89"/>
        <v>511078.75</v>
      </c>
    </row>
    <row r="1964" spans="1:6" ht="90.75" outlineLevel="1" x14ac:dyDescent="0.25">
      <c r="A1964" s="125">
        <v>55</v>
      </c>
      <c r="B1964" s="135" t="s">
        <v>240</v>
      </c>
      <c r="C1964" s="128">
        <v>1</v>
      </c>
      <c r="D1964" s="115">
        <v>364</v>
      </c>
      <c r="E1964" s="127">
        <v>1453.75</v>
      </c>
      <c r="F1964" s="127">
        <f t="shared" si="89"/>
        <v>529165</v>
      </c>
    </row>
    <row r="1965" spans="1:6" ht="30" outlineLevel="1" x14ac:dyDescent="0.25">
      <c r="A1965" s="125">
        <v>56</v>
      </c>
      <c r="B1965" s="135" t="s">
        <v>333</v>
      </c>
      <c r="C1965" s="132">
        <v>1</v>
      </c>
      <c r="D1965" s="115">
        <v>91</v>
      </c>
      <c r="E1965" s="127">
        <v>83.75</v>
      </c>
      <c r="F1965" s="127">
        <f t="shared" si="89"/>
        <v>7621.25</v>
      </c>
    </row>
    <row r="1966" spans="1:6" ht="60" outlineLevel="1" x14ac:dyDescent="0.25">
      <c r="A1966" s="125">
        <v>57</v>
      </c>
      <c r="B1966" s="135" t="s">
        <v>334</v>
      </c>
      <c r="C1966" s="132">
        <v>1</v>
      </c>
      <c r="D1966" s="115">
        <v>91</v>
      </c>
      <c r="E1966" s="127">
        <v>10815.4</v>
      </c>
      <c r="F1966" s="127">
        <f t="shared" si="89"/>
        <v>984201.4</v>
      </c>
    </row>
    <row r="1967" spans="1:6" ht="60" outlineLevel="1" x14ac:dyDescent="0.25">
      <c r="A1967" s="125">
        <v>58</v>
      </c>
      <c r="B1967" s="135" t="s">
        <v>335</v>
      </c>
      <c r="C1967" s="132">
        <v>1</v>
      </c>
      <c r="D1967" s="115">
        <v>91</v>
      </c>
      <c r="E1967" s="127">
        <v>663.65</v>
      </c>
      <c r="F1967" s="127">
        <f t="shared" si="89"/>
        <v>60392.15</v>
      </c>
    </row>
    <row r="1968" spans="1:6" ht="60" outlineLevel="1" x14ac:dyDescent="0.25">
      <c r="A1968" s="125">
        <v>59</v>
      </c>
      <c r="B1968" s="135" t="s">
        <v>157</v>
      </c>
      <c r="C1968" s="128">
        <v>1</v>
      </c>
      <c r="D1968" s="115">
        <v>546</v>
      </c>
      <c r="E1968" s="127">
        <v>1995.3</v>
      </c>
      <c r="F1968" s="127">
        <f t="shared" si="89"/>
        <v>1089433.8</v>
      </c>
    </row>
    <row r="1969" spans="1:8" ht="60" outlineLevel="1" x14ac:dyDescent="0.25">
      <c r="A1969" s="125">
        <v>60</v>
      </c>
      <c r="B1969" s="135" t="s">
        <v>336</v>
      </c>
      <c r="C1969" s="132">
        <v>1</v>
      </c>
      <c r="D1969" s="115">
        <v>91</v>
      </c>
      <c r="E1969" s="127">
        <v>99800</v>
      </c>
      <c r="F1969" s="127">
        <f t="shared" si="89"/>
        <v>9081800</v>
      </c>
    </row>
    <row r="1970" spans="1:8" ht="75.75" outlineLevel="1" x14ac:dyDescent="0.25">
      <c r="A1970" s="125">
        <v>61</v>
      </c>
      <c r="B1970" s="133" t="s">
        <v>40</v>
      </c>
      <c r="C1970" s="126"/>
      <c r="D1970" s="115">
        <v>0</v>
      </c>
      <c r="E1970" s="114"/>
      <c r="F1970" s="114"/>
    </row>
    <row r="1971" spans="1:8" outlineLevel="1" x14ac:dyDescent="0.25">
      <c r="A1971" s="125" t="s">
        <v>67</v>
      </c>
      <c r="B1971" s="133" t="s">
        <v>68</v>
      </c>
      <c r="C1971" s="113">
        <v>100</v>
      </c>
      <c r="D1971" s="115">
        <v>11086.966799999998</v>
      </c>
      <c r="E1971" s="114">
        <v>14042.6</v>
      </c>
      <c r="F1971" s="127">
        <f>D1971*E1971/C1971</f>
        <v>1556898.3998567997</v>
      </c>
    </row>
    <row r="1972" spans="1:8" outlineLevel="1" x14ac:dyDescent="0.25">
      <c r="A1972" s="125" t="s">
        <v>41</v>
      </c>
      <c r="B1972" s="133" t="s">
        <v>42</v>
      </c>
      <c r="C1972" s="113">
        <v>100</v>
      </c>
      <c r="D1972" s="115">
        <v>1566.5650000000001</v>
      </c>
      <c r="E1972" s="114">
        <v>14042.6</v>
      </c>
      <c r="F1972" s="127">
        <f>D1972*E1972/C1972</f>
        <v>219986.45668999999</v>
      </c>
    </row>
    <row r="1973" spans="1:8" outlineLevel="1" x14ac:dyDescent="0.25">
      <c r="A1973" s="125" t="s">
        <v>70</v>
      </c>
      <c r="B1973" s="133" t="s">
        <v>159</v>
      </c>
      <c r="C1973" s="113">
        <v>100</v>
      </c>
      <c r="D1973" s="115">
        <v>19117.498399999997</v>
      </c>
      <c r="E1973" s="114">
        <v>14042.6</v>
      </c>
      <c r="F1973" s="127">
        <f>D1973*E1973/C1973</f>
        <v>2684593.8303183997</v>
      </c>
    </row>
    <row r="1974" spans="1:8" outlineLevel="1" x14ac:dyDescent="0.25">
      <c r="A1974" s="125" t="s">
        <v>160</v>
      </c>
      <c r="B1974" s="133" t="s">
        <v>161</v>
      </c>
      <c r="C1974" s="113">
        <v>100</v>
      </c>
      <c r="D1974" s="115">
        <v>971.75203124999996</v>
      </c>
      <c r="E1974" s="114">
        <v>14042.6</v>
      </c>
      <c r="F1974" s="127">
        <f>D1974*E1974/C1974</f>
        <v>136459.25074031251</v>
      </c>
    </row>
    <row r="1975" spans="1:8" outlineLevel="1" x14ac:dyDescent="0.25">
      <c r="A1975" s="539" t="s">
        <v>337</v>
      </c>
      <c r="B1975" s="539"/>
      <c r="C1975" s="539"/>
      <c r="D1975" s="539"/>
      <c r="E1975" s="539"/>
      <c r="F1975" s="259">
        <f>SUM(F1896:F1974)</f>
        <v>157218842.13167644</v>
      </c>
    </row>
    <row r="1976" spans="1:8" ht="25.5" customHeight="1" x14ac:dyDescent="0.25">
      <c r="A1976" s="547" t="s">
        <v>551</v>
      </c>
      <c r="B1976" s="548"/>
      <c r="C1976" s="548"/>
      <c r="D1976" s="548"/>
      <c r="E1976" s="549"/>
      <c r="F1976" s="262">
        <f>F2370</f>
        <v>256928071.57944071</v>
      </c>
      <c r="G1976" s="456">
        <f>H1976-F1976</f>
        <v>-4.6778691411018372</v>
      </c>
      <c r="H1976" s="1">
        <v>256928066.90157157</v>
      </c>
    </row>
    <row r="1977" spans="1:8" outlineLevel="1" x14ac:dyDescent="0.25">
      <c r="A1977" s="543" t="s">
        <v>338</v>
      </c>
      <c r="B1977" s="543"/>
      <c r="C1977" s="543"/>
      <c r="D1977" s="543"/>
      <c r="E1977" s="543"/>
      <c r="F1977" s="543"/>
    </row>
    <row r="1978" spans="1:8" ht="75" outlineLevel="1" x14ac:dyDescent="0.25">
      <c r="A1978" s="111">
        <v>1</v>
      </c>
      <c r="B1978" s="112" t="s">
        <v>10</v>
      </c>
      <c r="C1978" s="113">
        <v>1000</v>
      </c>
      <c r="D1978" s="114">
        <v>4234073.0999999996</v>
      </c>
      <c r="E1978" s="115">
        <v>4640.7</v>
      </c>
      <c r="F1978" s="114">
        <f>E1978*D1978/C1978</f>
        <v>19649063.035169996</v>
      </c>
    </row>
    <row r="1979" spans="1:8" ht="30" outlineLevel="1" x14ac:dyDescent="0.25">
      <c r="A1979" s="111">
        <v>2</v>
      </c>
      <c r="B1979" s="112" t="s">
        <v>11</v>
      </c>
      <c r="C1979" s="113">
        <v>1000</v>
      </c>
      <c r="D1979" s="114">
        <v>1712983.98</v>
      </c>
      <c r="E1979" s="115">
        <v>940.9</v>
      </c>
      <c r="F1979" s="114">
        <f>E1979*D1979/C1979</f>
        <v>1611746.6267819998</v>
      </c>
    </row>
    <row r="1980" spans="1:8" ht="30" outlineLevel="1" x14ac:dyDescent="0.25">
      <c r="A1980" s="111">
        <v>3</v>
      </c>
      <c r="B1980" s="112" t="s">
        <v>211</v>
      </c>
      <c r="C1980" s="111"/>
      <c r="D1980" s="114"/>
      <c r="E1980" s="115"/>
      <c r="F1980" s="115"/>
    </row>
    <row r="1981" spans="1:8" outlineLevel="1" x14ac:dyDescent="0.25">
      <c r="A1981" s="111"/>
      <c r="B1981" s="112" t="s">
        <v>13</v>
      </c>
      <c r="C1981" s="113">
        <v>1000</v>
      </c>
      <c r="D1981" s="114">
        <v>70005.000000000015</v>
      </c>
      <c r="E1981" s="115">
        <v>1073.2</v>
      </c>
      <c r="F1981" s="114">
        <f>E1981*D1981/C1981</f>
        <v>75129.366000000009</v>
      </c>
    </row>
    <row r="1982" spans="1:8" outlineLevel="1" x14ac:dyDescent="0.25">
      <c r="A1982" s="111"/>
      <c r="B1982" s="112" t="s">
        <v>164</v>
      </c>
      <c r="C1982" s="113">
        <v>1000</v>
      </c>
      <c r="D1982" s="114">
        <v>29937.499999999982</v>
      </c>
      <c r="E1982" s="115">
        <v>1743.95</v>
      </c>
      <c r="F1982" s="114">
        <f>E1982*D1982/C1982</f>
        <v>52209.503124999974</v>
      </c>
    </row>
    <row r="1983" spans="1:8" ht="30" outlineLevel="1" x14ac:dyDescent="0.25">
      <c r="A1983" s="111">
        <v>4</v>
      </c>
      <c r="B1983" s="112" t="s">
        <v>339</v>
      </c>
      <c r="C1983" s="128">
        <v>1</v>
      </c>
      <c r="D1983" s="114">
        <v>5</v>
      </c>
      <c r="E1983" s="114">
        <v>14630</v>
      </c>
      <c r="F1983" s="114">
        <f>E1983*D1983/C1983</f>
        <v>73150</v>
      </c>
    </row>
    <row r="1984" spans="1:8" ht="24" customHeight="1" outlineLevel="1" x14ac:dyDescent="0.25">
      <c r="A1984" s="111">
        <v>5</v>
      </c>
      <c r="B1984" s="112" t="s">
        <v>20</v>
      </c>
      <c r="C1984" s="120">
        <v>1000</v>
      </c>
      <c r="D1984" s="114">
        <v>1272300</v>
      </c>
      <c r="E1984" s="137">
        <v>376.2</v>
      </c>
      <c r="F1984" s="114">
        <f>E1984*D1984/C1984</f>
        <v>478639.26</v>
      </c>
    </row>
    <row r="1985" spans="1:7" ht="45" outlineLevel="1" x14ac:dyDescent="0.25">
      <c r="A1985" s="111">
        <v>6</v>
      </c>
      <c r="B1985" s="112" t="s">
        <v>264</v>
      </c>
      <c r="C1985" s="128">
        <v>1</v>
      </c>
      <c r="D1985" s="114">
        <v>260</v>
      </c>
      <c r="E1985" s="137">
        <v>1326.2</v>
      </c>
      <c r="F1985" s="114">
        <f>E1985*D1985/C1985</f>
        <v>344812</v>
      </c>
    </row>
    <row r="1986" spans="1:7" outlineLevel="1" x14ac:dyDescent="0.25">
      <c r="A1986" s="534" t="s">
        <v>192</v>
      </c>
      <c r="B1986" s="534"/>
      <c r="C1986" s="534"/>
      <c r="D1986" s="534"/>
      <c r="E1986" s="534"/>
      <c r="F1986" s="534"/>
    </row>
    <row r="1987" spans="1:7" ht="69" customHeight="1" outlineLevel="1" x14ac:dyDescent="0.25">
      <c r="A1987" s="122">
        <v>1</v>
      </c>
      <c r="B1987" s="123" t="s">
        <v>22</v>
      </c>
      <c r="C1987" s="113">
        <v>1000</v>
      </c>
      <c r="D1987" s="124">
        <v>98</v>
      </c>
      <c r="E1987" s="124">
        <v>15824.15</v>
      </c>
      <c r="F1987" s="114">
        <f>E1987*D1987/C1987</f>
        <v>1550.7666999999999</v>
      </c>
    </row>
    <row r="1988" spans="1:7" s="15" customFormat="1" ht="52.5" customHeight="1" outlineLevel="1" x14ac:dyDescent="0.2">
      <c r="A1988" s="125">
        <v>2</v>
      </c>
      <c r="B1988" s="123" t="s">
        <v>23</v>
      </c>
      <c r="C1988" s="126"/>
      <c r="D1988" s="115"/>
      <c r="E1988" s="127">
        <v>0</v>
      </c>
      <c r="F1988" s="127">
        <v>0</v>
      </c>
      <c r="G1988" s="457"/>
    </row>
    <row r="1989" spans="1:7" s="15" customFormat="1" ht="15" outlineLevel="1" x14ac:dyDescent="0.2">
      <c r="A1989" s="125"/>
      <c r="B1989" s="123" t="s">
        <v>24</v>
      </c>
      <c r="C1989" s="113">
        <v>100</v>
      </c>
      <c r="D1989" s="124">
        <v>24.5</v>
      </c>
      <c r="E1989" s="115">
        <v>34694.300000000003</v>
      </c>
      <c r="F1989" s="114">
        <f t="shared" ref="F1989:F1995" si="90">E1989*D1989/C1989</f>
        <v>8500.1035000000011</v>
      </c>
      <c r="G1989" s="457"/>
    </row>
    <row r="1990" spans="1:7" s="15" customFormat="1" ht="32.25" customHeight="1" outlineLevel="1" x14ac:dyDescent="0.2">
      <c r="A1990" s="125">
        <v>3</v>
      </c>
      <c r="B1990" s="123" t="s">
        <v>25</v>
      </c>
      <c r="C1990" s="113">
        <v>100</v>
      </c>
      <c r="D1990" s="124">
        <v>97.5</v>
      </c>
      <c r="E1990" s="124">
        <v>32675.95</v>
      </c>
      <c r="F1990" s="114">
        <f t="shared" si="90"/>
        <v>31859.05125</v>
      </c>
      <c r="G1990" s="457"/>
    </row>
    <row r="1991" spans="1:7" s="15" customFormat="1" ht="49.5" customHeight="1" outlineLevel="1" x14ac:dyDescent="0.2">
      <c r="A1991" s="125">
        <v>4</v>
      </c>
      <c r="B1991" s="123" t="s">
        <v>26</v>
      </c>
      <c r="C1991" s="120">
        <v>100</v>
      </c>
      <c r="D1991" s="124">
        <v>39</v>
      </c>
      <c r="E1991" s="124">
        <v>11851.7</v>
      </c>
      <c r="F1991" s="114">
        <f t="shared" si="90"/>
        <v>4622.1630000000005</v>
      </c>
      <c r="G1991" s="457"/>
    </row>
    <row r="1992" spans="1:7" ht="33.75" customHeight="1" outlineLevel="1" x14ac:dyDescent="0.25">
      <c r="A1992" s="122">
        <v>5</v>
      </c>
      <c r="B1992" s="123" t="s">
        <v>27</v>
      </c>
      <c r="C1992" s="113">
        <v>100</v>
      </c>
      <c r="D1992" s="124">
        <v>81.703125</v>
      </c>
      <c r="E1992" s="124">
        <v>37620.6</v>
      </c>
      <c r="F1992" s="114">
        <f t="shared" si="90"/>
        <v>30737.205843750002</v>
      </c>
    </row>
    <row r="1993" spans="1:7" ht="26.25" customHeight="1" outlineLevel="1" x14ac:dyDescent="0.25">
      <c r="A1993" s="122">
        <v>6</v>
      </c>
      <c r="B1993" s="123" t="s">
        <v>28</v>
      </c>
      <c r="C1993" s="120">
        <v>100</v>
      </c>
      <c r="D1993" s="124">
        <v>230.64999999999998</v>
      </c>
      <c r="E1993" s="124">
        <v>4334.75</v>
      </c>
      <c r="F1993" s="114">
        <f t="shared" si="90"/>
        <v>9998.1008749999983</v>
      </c>
    </row>
    <row r="1994" spans="1:7" ht="58.5" customHeight="1" outlineLevel="1" x14ac:dyDescent="0.25">
      <c r="A1994" s="122">
        <v>7</v>
      </c>
      <c r="B1994" s="123" t="s">
        <v>29</v>
      </c>
      <c r="C1994" s="120">
        <v>100</v>
      </c>
      <c r="D1994" s="124">
        <v>230.64999999999998</v>
      </c>
      <c r="E1994" s="124">
        <v>7379.1</v>
      </c>
      <c r="F1994" s="114">
        <f t="shared" si="90"/>
        <v>17019.894149999996</v>
      </c>
    </row>
    <row r="1995" spans="1:7" ht="22.5" customHeight="1" outlineLevel="1" x14ac:dyDescent="0.25">
      <c r="A1995" s="122">
        <v>8</v>
      </c>
      <c r="B1995" s="123" t="s">
        <v>30</v>
      </c>
      <c r="C1995" s="128">
        <v>1</v>
      </c>
      <c r="D1995" s="124">
        <v>500</v>
      </c>
      <c r="E1995" s="124">
        <v>30.5</v>
      </c>
      <c r="F1995" s="114">
        <f t="shared" si="90"/>
        <v>15250</v>
      </c>
    </row>
    <row r="1996" spans="1:7" ht="75" outlineLevel="1" x14ac:dyDescent="0.25">
      <c r="A1996" s="122">
        <v>9</v>
      </c>
      <c r="B1996" s="123" t="s">
        <v>31</v>
      </c>
      <c r="C1996" s="126"/>
      <c r="D1996" s="124"/>
      <c r="E1996" s="124"/>
      <c r="F1996" s="124"/>
    </row>
    <row r="1997" spans="1:7" outlineLevel="1" x14ac:dyDescent="0.25">
      <c r="A1997" s="122"/>
      <c r="B1997" s="123" t="s">
        <v>32</v>
      </c>
      <c r="C1997" s="113">
        <v>100</v>
      </c>
      <c r="D1997" s="124">
        <v>4.29</v>
      </c>
      <c r="E1997" s="124">
        <v>14042.6</v>
      </c>
      <c r="F1997" s="114">
        <f>E1997*D1997/C1997</f>
        <v>602.42754000000002</v>
      </c>
    </row>
    <row r="1998" spans="1:7" outlineLevel="1" x14ac:dyDescent="0.25">
      <c r="A1998" s="534" t="s">
        <v>168</v>
      </c>
      <c r="B1998" s="534"/>
      <c r="C1998" s="534"/>
      <c r="D1998" s="534"/>
      <c r="E1998" s="534"/>
      <c r="F1998" s="534"/>
    </row>
    <row r="1999" spans="1:7" ht="24.75" customHeight="1" outlineLevel="1" x14ac:dyDescent="0.25">
      <c r="A1999" s="129">
        <v>1</v>
      </c>
      <c r="B1999" s="130" t="s">
        <v>34</v>
      </c>
      <c r="C1999" s="113">
        <v>1</v>
      </c>
      <c r="D1999" s="115">
        <v>44.72</v>
      </c>
      <c r="E1999" s="127">
        <v>546.95000000000005</v>
      </c>
      <c r="F1999" s="114">
        <f t="shared" ref="F1999:F2004" si="91">E1999*D1999/C1999</f>
        <v>24459.604000000003</v>
      </c>
    </row>
    <row r="2000" spans="1:7" ht="45" outlineLevel="1" x14ac:dyDescent="0.25">
      <c r="A2000" s="129">
        <v>2</v>
      </c>
      <c r="B2000" s="130" t="s">
        <v>35</v>
      </c>
      <c r="C2000" s="131">
        <v>100</v>
      </c>
      <c r="D2000" s="115">
        <v>102.18</v>
      </c>
      <c r="E2000" s="127">
        <v>30006.1</v>
      </c>
      <c r="F2000" s="114">
        <f t="shared" si="91"/>
        <v>30660.232980000001</v>
      </c>
    </row>
    <row r="2001" spans="1:8" ht="24" customHeight="1" outlineLevel="1" x14ac:dyDescent="0.25">
      <c r="A2001" s="125">
        <v>3</v>
      </c>
      <c r="B2001" s="130" t="s">
        <v>36</v>
      </c>
      <c r="C2001" s="128">
        <v>1</v>
      </c>
      <c r="D2001" s="115">
        <v>26</v>
      </c>
      <c r="E2001" s="127">
        <v>115.4</v>
      </c>
      <c r="F2001" s="114">
        <f t="shared" si="91"/>
        <v>3000.4</v>
      </c>
    </row>
    <row r="2002" spans="1:8" ht="24" customHeight="1" outlineLevel="1" x14ac:dyDescent="0.25">
      <c r="A2002" s="125">
        <v>4</v>
      </c>
      <c r="B2002" s="130" t="s">
        <v>37</v>
      </c>
      <c r="C2002" s="132">
        <v>1</v>
      </c>
      <c r="D2002" s="115">
        <v>26</v>
      </c>
      <c r="E2002" s="127">
        <v>141.9</v>
      </c>
      <c r="F2002" s="114">
        <f t="shared" si="91"/>
        <v>3689.4</v>
      </c>
    </row>
    <row r="2003" spans="1:8" ht="31.5" customHeight="1" outlineLevel="1" x14ac:dyDescent="0.25">
      <c r="A2003" s="125">
        <v>5</v>
      </c>
      <c r="B2003" s="130" t="s">
        <v>38</v>
      </c>
      <c r="C2003" s="120">
        <v>100</v>
      </c>
      <c r="D2003" s="115">
        <v>91</v>
      </c>
      <c r="E2003" s="127">
        <v>4307.55</v>
      </c>
      <c r="F2003" s="114">
        <f t="shared" si="91"/>
        <v>3919.8705</v>
      </c>
    </row>
    <row r="2004" spans="1:8" ht="30" outlineLevel="1" x14ac:dyDescent="0.25">
      <c r="A2004" s="125">
        <v>6</v>
      </c>
      <c r="B2004" s="130" t="s">
        <v>39</v>
      </c>
      <c r="C2004" s="128">
        <v>1</v>
      </c>
      <c r="D2004" s="115">
        <v>260</v>
      </c>
      <c r="E2004" s="127">
        <v>30.5</v>
      </c>
      <c r="F2004" s="114">
        <f t="shared" si="91"/>
        <v>7930</v>
      </c>
    </row>
    <row r="2005" spans="1:8" ht="75" outlineLevel="1" x14ac:dyDescent="0.25">
      <c r="A2005" s="125">
        <v>7</v>
      </c>
      <c r="B2005" s="133" t="s">
        <v>31</v>
      </c>
      <c r="C2005" s="126"/>
      <c r="D2005" s="115"/>
      <c r="E2005" s="114"/>
      <c r="F2005" s="114"/>
    </row>
    <row r="2006" spans="1:8" outlineLevel="1" x14ac:dyDescent="0.25">
      <c r="A2006" s="125" t="s">
        <v>41</v>
      </c>
      <c r="B2006" s="133" t="s">
        <v>42</v>
      </c>
      <c r="C2006" s="113">
        <v>100</v>
      </c>
      <c r="D2006" s="115">
        <v>39.3536</v>
      </c>
      <c r="E2006" s="114">
        <v>14042.6</v>
      </c>
      <c r="F2006" s="114">
        <f>E2006*D2006/C2006</f>
        <v>5526.2686335999997</v>
      </c>
    </row>
    <row r="2007" spans="1:8" outlineLevel="1" x14ac:dyDescent="0.25">
      <c r="A2007" s="534" t="s">
        <v>340</v>
      </c>
      <c r="B2007" s="534"/>
      <c r="C2007" s="534"/>
      <c r="D2007" s="534"/>
      <c r="E2007" s="534"/>
      <c r="F2007" s="534"/>
    </row>
    <row r="2008" spans="1:8" ht="36.75" customHeight="1" outlineLevel="1" x14ac:dyDescent="0.25">
      <c r="A2008" s="122">
        <v>1</v>
      </c>
      <c r="B2008" s="195" t="s">
        <v>341</v>
      </c>
      <c r="C2008" s="113">
        <v>1000</v>
      </c>
      <c r="D2008" s="152">
        <v>245</v>
      </c>
      <c r="E2008" s="161">
        <v>15824.15</v>
      </c>
      <c r="F2008" s="114">
        <f>E2008*D2008/C2008</f>
        <v>3876.9167499999999</v>
      </c>
    </row>
    <row r="2009" spans="1:8" ht="46.5" customHeight="1" outlineLevel="1" x14ac:dyDescent="0.25">
      <c r="A2009" s="122">
        <v>2</v>
      </c>
      <c r="B2009" s="195" t="s">
        <v>342</v>
      </c>
      <c r="C2009" s="196">
        <v>100</v>
      </c>
      <c r="D2009" s="152">
        <v>367.5</v>
      </c>
      <c r="E2009" s="161">
        <v>47135.9</v>
      </c>
      <c r="F2009" s="114">
        <f>E2009*D2009/C2009</f>
        <v>173224.4325</v>
      </c>
    </row>
    <row r="2010" spans="1:8" ht="73.5" customHeight="1" outlineLevel="1" x14ac:dyDescent="0.25">
      <c r="A2010" s="122">
        <v>3</v>
      </c>
      <c r="B2010" s="215" t="s">
        <v>343</v>
      </c>
      <c r="C2010" s="197">
        <v>1</v>
      </c>
      <c r="D2010" s="152">
        <v>560</v>
      </c>
      <c r="E2010" s="161">
        <v>1788</v>
      </c>
      <c r="F2010" s="114">
        <f>E2010*D2010/C2010</f>
        <v>1001280</v>
      </c>
    </row>
    <row r="2011" spans="1:8" ht="63.75" customHeight="1" outlineLevel="1" x14ac:dyDescent="0.25">
      <c r="A2011" s="122">
        <v>4</v>
      </c>
      <c r="B2011" s="195" t="s">
        <v>344</v>
      </c>
      <c r="C2011" s="198">
        <v>100</v>
      </c>
      <c r="D2011" s="152">
        <v>323.40000000000003</v>
      </c>
      <c r="E2011" s="161">
        <v>14095.1</v>
      </c>
      <c r="F2011" s="114">
        <f>E2011*D2011/C2011</f>
        <v>45583.553400000004</v>
      </c>
    </row>
    <row r="2012" spans="1:8" outlineLevel="1" x14ac:dyDescent="0.25">
      <c r="A2012" s="511" t="s">
        <v>83</v>
      </c>
      <c r="B2012" s="511"/>
      <c r="C2012" s="511"/>
      <c r="D2012" s="511"/>
      <c r="E2012" s="511"/>
      <c r="F2012" s="255">
        <f>SUM(F1978:F2011)</f>
        <v>23708040.182699345</v>
      </c>
      <c r="G2012" s="454">
        <v>23708035.28004935</v>
      </c>
      <c r="H2012" s="450">
        <f>G2012-F2012</f>
        <v>-4.9026499949395657</v>
      </c>
    </row>
    <row r="2013" spans="1:8" outlineLevel="1" x14ac:dyDescent="0.25">
      <c r="A2013" s="534" t="s">
        <v>345</v>
      </c>
      <c r="B2013" s="534"/>
      <c r="C2013" s="534"/>
      <c r="D2013" s="534"/>
      <c r="E2013" s="534"/>
      <c r="F2013" s="534"/>
    </row>
    <row r="2014" spans="1:8" ht="75" outlineLevel="1" x14ac:dyDescent="0.25">
      <c r="A2014" s="111">
        <v>1</v>
      </c>
      <c r="B2014" s="112" t="s">
        <v>10</v>
      </c>
      <c r="C2014" s="113">
        <v>1000</v>
      </c>
      <c r="D2014" s="114">
        <v>3676695</v>
      </c>
      <c r="E2014" s="127">
        <v>4640.7</v>
      </c>
      <c r="F2014" s="114">
        <f>E2014*D2014/C2014</f>
        <v>17062438.486499999</v>
      </c>
    </row>
    <row r="2015" spans="1:8" ht="30" outlineLevel="1" x14ac:dyDescent="0.25">
      <c r="A2015" s="111">
        <v>2</v>
      </c>
      <c r="B2015" s="199" t="s">
        <v>11</v>
      </c>
      <c r="C2015" s="113">
        <v>1000</v>
      </c>
      <c r="D2015" s="114">
        <v>4402362.5</v>
      </c>
      <c r="E2015" s="137">
        <v>940.9</v>
      </c>
      <c r="F2015" s="114">
        <f>E2015*D2015/C2015</f>
        <v>4142182.8762500002</v>
      </c>
    </row>
    <row r="2016" spans="1:8" ht="30" outlineLevel="1" x14ac:dyDescent="0.25">
      <c r="A2016" s="545">
        <v>3</v>
      </c>
      <c r="B2016" s="112" t="s">
        <v>211</v>
      </c>
      <c r="C2016" s="111"/>
      <c r="D2016" s="114"/>
      <c r="E2016" s="114"/>
      <c r="F2016" s="114"/>
    </row>
    <row r="2017" spans="1:7" outlineLevel="1" x14ac:dyDescent="0.25">
      <c r="A2017" s="545"/>
      <c r="B2017" s="112" t="s">
        <v>346</v>
      </c>
      <c r="C2017" s="113">
        <v>1000</v>
      </c>
      <c r="D2017" s="114">
        <v>137177.5</v>
      </c>
      <c r="E2017" s="114">
        <v>1073.2</v>
      </c>
      <c r="F2017" s="114">
        <f>E2017*D2017/C2017</f>
        <v>147218.89300000001</v>
      </c>
    </row>
    <row r="2018" spans="1:7" outlineLevel="1" x14ac:dyDescent="0.25">
      <c r="A2018" s="545"/>
      <c r="B2018" s="112" t="s">
        <v>347</v>
      </c>
      <c r="C2018" s="113">
        <v>1000</v>
      </c>
      <c r="D2018" s="114">
        <v>898790</v>
      </c>
      <c r="E2018" s="114">
        <v>1743.95</v>
      </c>
      <c r="F2018" s="114">
        <f>E2018*D2018/C2018</f>
        <v>1567444.8204999999</v>
      </c>
    </row>
    <row r="2019" spans="1:7" outlineLevel="1" x14ac:dyDescent="0.25">
      <c r="A2019" s="545"/>
      <c r="B2019" s="112" t="s">
        <v>348</v>
      </c>
      <c r="C2019" s="113">
        <v>1000</v>
      </c>
      <c r="D2019" s="114">
        <v>496885</v>
      </c>
      <c r="E2019" s="114">
        <v>6751.2</v>
      </c>
      <c r="F2019" s="114">
        <f>E2019*D2019/C2019</f>
        <v>3354570.0120000001</v>
      </c>
    </row>
    <row r="2020" spans="1:7" ht="30" outlineLevel="1" x14ac:dyDescent="0.25">
      <c r="A2020" s="111">
        <v>4</v>
      </c>
      <c r="B2020" s="112" t="s">
        <v>191</v>
      </c>
      <c r="C2020" s="111"/>
      <c r="D2020" s="114"/>
      <c r="E2020" s="114"/>
      <c r="F2020" s="114"/>
    </row>
    <row r="2021" spans="1:7" outlineLevel="1" x14ac:dyDescent="0.25">
      <c r="A2021" s="111"/>
      <c r="B2021" s="112" t="s">
        <v>349</v>
      </c>
      <c r="C2021" s="113">
        <v>1000</v>
      </c>
      <c r="D2021" s="114">
        <v>1780642.5</v>
      </c>
      <c r="E2021" s="114">
        <v>11606.8</v>
      </c>
      <c r="F2021" s="114">
        <f>E2021*D2021/C2021</f>
        <v>20667561.368999999</v>
      </c>
    </row>
    <row r="2022" spans="1:7" ht="45" outlineLevel="1" x14ac:dyDescent="0.25">
      <c r="A2022" s="111">
        <v>7</v>
      </c>
      <c r="B2022" s="112" t="s">
        <v>264</v>
      </c>
      <c r="C2022" s="128">
        <v>1</v>
      </c>
      <c r="D2022" s="114">
        <v>170</v>
      </c>
      <c r="E2022" s="137">
        <v>1326.2</v>
      </c>
      <c r="F2022" s="114">
        <f>E2022*D2022/C2022</f>
        <v>225454</v>
      </c>
    </row>
    <row r="2023" spans="1:7" outlineLevel="1" x14ac:dyDescent="0.25">
      <c r="A2023" s="534" t="s">
        <v>350</v>
      </c>
      <c r="B2023" s="534"/>
      <c r="C2023" s="534"/>
      <c r="D2023" s="534"/>
      <c r="E2023" s="534"/>
      <c r="F2023" s="534"/>
    </row>
    <row r="2024" spans="1:7" ht="67.5" customHeight="1" outlineLevel="1" x14ac:dyDescent="0.25">
      <c r="A2024" s="122">
        <v>1</v>
      </c>
      <c r="B2024" s="123" t="s">
        <v>22</v>
      </c>
      <c r="C2024" s="113">
        <v>1000</v>
      </c>
      <c r="D2024" s="124">
        <v>98</v>
      </c>
      <c r="E2024" s="124">
        <v>15824.15</v>
      </c>
      <c r="F2024" s="114">
        <f>E2024*D2024/C2024</f>
        <v>1550.7666999999999</v>
      </c>
    </row>
    <row r="2025" spans="1:7" s="15" customFormat="1" ht="49.5" customHeight="1" outlineLevel="1" x14ac:dyDescent="0.2">
      <c r="A2025" s="125">
        <v>2</v>
      </c>
      <c r="B2025" s="123" t="s">
        <v>23</v>
      </c>
      <c r="C2025" s="126"/>
      <c r="D2025" s="115"/>
      <c r="E2025" s="127">
        <v>0</v>
      </c>
      <c r="F2025" s="127">
        <v>0</v>
      </c>
      <c r="G2025" s="457"/>
    </row>
    <row r="2026" spans="1:7" s="15" customFormat="1" ht="22.5" customHeight="1" outlineLevel="1" x14ac:dyDescent="0.2">
      <c r="A2026" s="125"/>
      <c r="B2026" s="123" t="s">
        <v>24</v>
      </c>
      <c r="C2026" s="113">
        <v>100</v>
      </c>
      <c r="D2026" s="124">
        <v>24.5</v>
      </c>
      <c r="E2026" s="115">
        <v>34694.300000000003</v>
      </c>
      <c r="F2026" s="114">
        <f t="shared" ref="F2026:F2032" si="92">E2026*D2026/C2026</f>
        <v>8500.1035000000011</v>
      </c>
      <c r="G2026" s="457"/>
    </row>
    <row r="2027" spans="1:7" s="15" customFormat="1" ht="36.75" customHeight="1" outlineLevel="1" x14ac:dyDescent="0.2">
      <c r="A2027" s="125">
        <v>3</v>
      </c>
      <c r="B2027" s="123" t="s">
        <v>25</v>
      </c>
      <c r="C2027" s="113">
        <v>100</v>
      </c>
      <c r="D2027" s="124">
        <v>97.5</v>
      </c>
      <c r="E2027" s="124">
        <v>32675.95</v>
      </c>
      <c r="F2027" s="114">
        <f t="shared" si="92"/>
        <v>31859.05125</v>
      </c>
      <c r="G2027" s="457"/>
    </row>
    <row r="2028" spans="1:7" s="15" customFormat="1" ht="49.5" customHeight="1" outlineLevel="1" x14ac:dyDescent="0.2">
      <c r="A2028" s="125">
        <v>4</v>
      </c>
      <c r="B2028" s="123" t="s">
        <v>26</v>
      </c>
      <c r="C2028" s="120">
        <v>100</v>
      </c>
      <c r="D2028" s="124">
        <v>39</v>
      </c>
      <c r="E2028" s="124">
        <v>11851.7</v>
      </c>
      <c r="F2028" s="114">
        <f t="shared" si="92"/>
        <v>4622.1630000000005</v>
      </c>
      <c r="G2028" s="457"/>
    </row>
    <row r="2029" spans="1:7" ht="36" customHeight="1" outlineLevel="1" x14ac:dyDescent="0.25">
      <c r="A2029" s="122">
        <v>5</v>
      </c>
      <c r="B2029" s="123" t="s">
        <v>27</v>
      </c>
      <c r="C2029" s="113">
        <v>100</v>
      </c>
      <c r="D2029" s="124">
        <v>81.703125</v>
      </c>
      <c r="E2029" s="124">
        <v>37620.6</v>
      </c>
      <c r="F2029" s="114">
        <f t="shared" si="92"/>
        <v>30737.205843750002</v>
      </c>
    </row>
    <row r="2030" spans="1:7" ht="24.75" customHeight="1" outlineLevel="1" x14ac:dyDescent="0.25">
      <c r="A2030" s="122">
        <v>6</v>
      </c>
      <c r="B2030" s="123" t="s">
        <v>28</v>
      </c>
      <c r="C2030" s="120">
        <v>100</v>
      </c>
      <c r="D2030" s="124">
        <v>230.64999999999998</v>
      </c>
      <c r="E2030" s="124">
        <v>4334.75</v>
      </c>
      <c r="F2030" s="114">
        <f t="shared" si="92"/>
        <v>9998.1008749999983</v>
      </c>
    </row>
    <row r="2031" spans="1:7" ht="45" outlineLevel="1" x14ac:dyDescent="0.25">
      <c r="A2031" s="122">
        <v>7</v>
      </c>
      <c r="B2031" s="123" t="s">
        <v>29</v>
      </c>
      <c r="C2031" s="120">
        <v>100</v>
      </c>
      <c r="D2031" s="124">
        <v>230.64999999999998</v>
      </c>
      <c r="E2031" s="124">
        <v>7379.1</v>
      </c>
      <c r="F2031" s="114">
        <f t="shared" si="92"/>
        <v>17019.894149999996</v>
      </c>
    </row>
    <row r="2032" spans="1:7" ht="21.75" customHeight="1" outlineLevel="1" x14ac:dyDescent="0.25">
      <c r="A2032" s="122">
        <v>8</v>
      </c>
      <c r="B2032" s="123" t="s">
        <v>30</v>
      </c>
      <c r="C2032" s="128">
        <v>1</v>
      </c>
      <c r="D2032" s="124">
        <v>500</v>
      </c>
      <c r="E2032" s="124">
        <v>30.5</v>
      </c>
      <c r="F2032" s="114">
        <f t="shared" si="92"/>
        <v>15250</v>
      </c>
    </row>
    <row r="2033" spans="1:6" ht="81" customHeight="1" outlineLevel="1" x14ac:dyDescent="0.25">
      <c r="A2033" s="122">
        <v>9</v>
      </c>
      <c r="B2033" s="123" t="s">
        <v>31</v>
      </c>
      <c r="C2033" s="126"/>
      <c r="D2033" s="124"/>
      <c r="E2033" s="124"/>
      <c r="F2033" s="124"/>
    </row>
    <row r="2034" spans="1:6" outlineLevel="1" x14ac:dyDescent="0.25">
      <c r="A2034" s="122"/>
      <c r="B2034" s="123" t="s">
        <v>32</v>
      </c>
      <c r="C2034" s="113">
        <v>100</v>
      </c>
      <c r="D2034" s="124">
        <v>4.29</v>
      </c>
      <c r="E2034" s="124">
        <v>14042.6</v>
      </c>
      <c r="F2034" s="114">
        <f>E2034*D2034/C2034</f>
        <v>602.42754000000002</v>
      </c>
    </row>
    <row r="2035" spans="1:6" outlineLevel="1" x14ac:dyDescent="0.25">
      <c r="A2035" s="534" t="s">
        <v>351</v>
      </c>
      <c r="B2035" s="534"/>
      <c r="C2035" s="534"/>
      <c r="D2035" s="534"/>
      <c r="E2035" s="534"/>
      <c r="F2035" s="534"/>
    </row>
    <row r="2036" spans="1:6" ht="28.5" customHeight="1" outlineLevel="1" x14ac:dyDescent="0.25">
      <c r="A2036" s="129">
        <v>1</v>
      </c>
      <c r="B2036" s="130" t="s">
        <v>34</v>
      </c>
      <c r="C2036" s="113">
        <v>1</v>
      </c>
      <c r="D2036" s="115">
        <v>29.24</v>
      </c>
      <c r="E2036" s="127">
        <v>546.95000000000005</v>
      </c>
      <c r="F2036" s="114">
        <f t="shared" ref="F2036:F2041" si="93">E2036*D2036/C2036</f>
        <v>15992.818000000001</v>
      </c>
    </row>
    <row r="2037" spans="1:6" ht="45" outlineLevel="1" x14ac:dyDescent="0.25">
      <c r="A2037" s="129">
        <v>2</v>
      </c>
      <c r="B2037" s="130" t="s">
        <v>35</v>
      </c>
      <c r="C2037" s="131">
        <v>100</v>
      </c>
      <c r="D2037" s="115">
        <v>66.81</v>
      </c>
      <c r="E2037" s="127">
        <v>30006.1</v>
      </c>
      <c r="F2037" s="114">
        <f t="shared" si="93"/>
        <v>20047.075410000001</v>
      </c>
    </row>
    <row r="2038" spans="1:6" ht="23.25" customHeight="1" outlineLevel="1" x14ac:dyDescent="0.25">
      <c r="A2038" s="125">
        <v>3</v>
      </c>
      <c r="B2038" s="130" t="s">
        <v>36</v>
      </c>
      <c r="C2038" s="128">
        <v>1</v>
      </c>
      <c r="D2038" s="115">
        <v>17</v>
      </c>
      <c r="E2038" s="127">
        <v>115.4</v>
      </c>
      <c r="F2038" s="114">
        <f t="shared" si="93"/>
        <v>1961.8000000000002</v>
      </c>
    </row>
    <row r="2039" spans="1:6" ht="23.25" customHeight="1" outlineLevel="1" x14ac:dyDescent="0.25">
      <c r="A2039" s="125">
        <v>4</v>
      </c>
      <c r="B2039" s="130" t="s">
        <v>37</v>
      </c>
      <c r="C2039" s="132">
        <v>1</v>
      </c>
      <c r="D2039" s="115">
        <v>17</v>
      </c>
      <c r="E2039" s="127">
        <v>141.9</v>
      </c>
      <c r="F2039" s="114">
        <f t="shared" si="93"/>
        <v>2412.3000000000002</v>
      </c>
    </row>
    <row r="2040" spans="1:6" ht="23.25" customHeight="1" outlineLevel="1" x14ac:dyDescent="0.25">
      <c r="A2040" s="125">
        <v>5</v>
      </c>
      <c r="B2040" s="130" t="s">
        <v>38</v>
      </c>
      <c r="C2040" s="120">
        <v>100</v>
      </c>
      <c r="D2040" s="115">
        <v>59.5</v>
      </c>
      <c r="E2040" s="127">
        <v>4307.55</v>
      </c>
      <c r="F2040" s="114">
        <f t="shared" si="93"/>
        <v>2562.9922500000002</v>
      </c>
    </row>
    <row r="2041" spans="1:6" ht="30" outlineLevel="1" x14ac:dyDescent="0.25">
      <c r="A2041" s="125">
        <v>6</v>
      </c>
      <c r="B2041" s="130" t="s">
        <v>39</v>
      </c>
      <c r="C2041" s="128">
        <v>1</v>
      </c>
      <c r="D2041" s="115">
        <v>170</v>
      </c>
      <c r="E2041" s="127">
        <v>30.5</v>
      </c>
      <c r="F2041" s="114">
        <f t="shared" si="93"/>
        <v>5185</v>
      </c>
    </row>
    <row r="2042" spans="1:6" ht="75" outlineLevel="1" x14ac:dyDescent="0.25">
      <c r="A2042" s="125">
        <v>7</v>
      </c>
      <c r="B2042" s="133" t="s">
        <v>31</v>
      </c>
      <c r="C2042" s="126"/>
      <c r="D2042" s="115"/>
      <c r="E2042" s="114"/>
      <c r="F2042" s="114"/>
    </row>
    <row r="2043" spans="1:6" outlineLevel="1" x14ac:dyDescent="0.25">
      <c r="A2043" s="125" t="s">
        <v>41</v>
      </c>
      <c r="B2043" s="133" t="s">
        <v>42</v>
      </c>
      <c r="C2043" s="113">
        <v>100</v>
      </c>
      <c r="D2043" s="115">
        <v>25.731200000000001</v>
      </c>
      <c r="E2043" s="114">
        <v>14042.6</v>
      </c>
      <c r="F2043" s="114">
        <f>E2043*D2043/C2043</f>
        <v>3613.3294912000001</v>
      </c>
    </row>
    <row r="2044" spans="1:6" outlineLevel="1" x14ac:dyDescent="0.25">
      <c r="A2044" s="508" t="s">
        <v>83</v>
      </c>
      <c r="B2044" s="508"/>
      <c r="C2044" s="508"/>
      <c r="D2044" s="508"/>
      <c r="E2044" s="508"/>
      <c r="F2044" s="72">
        <f>SUM(F2014:F2043)</f>
        <v>47338785.485259943</v>
      </c>
    </row>
    <row r="2045" spans="1:6" outlineLevel="1" x14ac:dyDescent="0.25">
      <c r="A2045" s="534" t="s">
        <v>352</v>
      </c>
      <c r="B2045" s="534"/>
      <c r="C2045" s="534"/>
      <c r="D2045" s="534"/>
      <c r="E2045" s="534"/>
      <c r="F2045" s="534"/>
    </row>
    <row r="2046" spans="1:6" ht="75" outlineLevel="1" x14ac:dyDescent="0.25">
      <c r="A2046" s="111">
        <v>1</v>
      </c>
      <c r="B2046" s="112" t="s">
        <v>10</v>
      </c>
      <c r="C2046" s="113">
        <v>1000</v>
      </c>
      <c r="D2046" s="114">
        <v>15402.5</v>
      </c>
      <c r="E2046" s="127">
        <v>4640.7</v>
      </c>
      <c r="F2046" s="114">
        <f>E2046*D2046/C2046</f>
        <v>71478.38175</v>
      </c>
    </row>
    <row r="2047" spans="1:6" ht="30" outlineLevel="1" x14ac:dyDescent="0.25">
      <c r="A2047" s="111">
        <v>2</v>
      </c>
      <c r="B2047" s="199" t="s">
        <v>11</v>
      </c>
      <c r="C2047" s="113">
        <v>1000</v>
      </c>
      <c r="D2047" s="114">
        <v>51770</v>
      </c>
      <c r="E2047" s="137">
        <v>940.9</v>
      </c>
      <c r="F2047" s="114">
        <f>E2047*D2047/C2047</f>
        <v>48710.392999999996</v>
      </c>
    </row>
    <row r="2048" spans="1:6" ht="30" outlineLevel="1" x14ac:dyDescent="0.25">
      <c r="A2048" s="545">
        <v>3</v>
      </c>
      <c r="B2048" s="112" t="s">
        <v>211</v>
      </c>
      <c r="C2048" s="111"/>
      <c r="D2048" s="114"/>
      <c r="E2048" s="114"/>
      <c r="F2048" s="114"/>
    </row>
    <row r="2049" spans="1:6" outlineLevel="1" x14ac:dyDescent="0.25">
      <c r="A2049" s="545"/>
      <c r="B2049" s="112" t="s">
        <v>346</v>
      </c>
      <c r="C2049" s="113">
        <v>1000</v>
      </c>
      <c r="D2049" s="114">
        <v>1360</v>
      </c>
      <c r="E2049" s="114">
        <v>1073.2</v>
      </c>
      <c r="F2049" s="114">
        <f>E2049*D2049/C2049</f>
        <v>1459.5519999999999</v>
      </c>
    </row>
    <row r="2050" spans="1:6" ht="30" outlineLevel="1" x14ac:dyDescent="0.25">
      <c r="A2050" s="111">
        <v>4</v>
      </c>
      <c r="B2050" s="112" t="s">
        <v>191</v>
      </c>
      <c r="C2050" s="111"/>
      <c r="D2050" s="114"/>
      <c r="E2050" s="114"/>
      <c r="F2050" s="114"/>
    </row>
    <row r="2051" spans="1:6" outlineLevel="1" x14ac:dyDescent="0.25">
      <c r="A2051" s="111"/>
      <c r="B2051" s="112" t="s">
        <v>349</v>
      </c>
      <c r="C2051" s="113">
        <v>1000</v>
      </c>
      <c r="D2051" s="114">
        <v>45770</v>
      </c>
      <c r="E2051" s="114">
        <v>11606.8</v>
      </c>
      <c r="F2051" s="114">
        <f>E2051*D2051/C2051</f>
        <v>531243.23599999992</v>
      </c>
    </row>
    <row r="2052" spans="1:6" ht="45" outlineLevel="1" x14ac:dyDescent="0.25">
      <c r="A2052" s="111">
        <v>5</v>
      </c>
      <c r="B2052" s="112" t="s">
        <v>264</v>
      </c>
      <c r="C2052" s="128">
        <v>1</v>
      </c>
      <c r="D2052" s="114">
        <v>40</v>
      </c>
      <c r="E2052" s="137">
        <v>1326.2</v>
      </c>
      <c r="F2052" s="114">
        <f>E2052*D2052/C2052</f>
        <v>53048</v>
      </c>
    </row>
    <row r="2053" spans="1:6" outlineLevel="1" x14ac:dyDescent="0.25">
      <c r="A2053" s="534" t="s">
        <v>353</v>
      </c>
      <c r="B2053" s="534"/>
      <c r="C2053" s="534"/>
      <c r="D2053" s="534"/>
      <c r="E2053" s="534"/>
      <c r="F2053" s="534"/>
    </row>
    <row r="2054" spans="1:6" ht="60" outlineLevel="1" x14ac:dyDescent="0.25">
      <c r="A2054" s="122">
        <v>1</v>
      </c>
      <c r="B2054" s="123" t="s">
        <v>22</v>
      </c>
      <c r="C2054" s="113">
        <v>1000</v>
      </c>
      <c r="D2054" s="124">
        <v>49</v>
      </c>
      <c r="E2054" s="124">
        <v>15824.15</v>
      </c>
      <c r="F2054" s="114">
        <f>E2054*D2054/C2054</f>
        <v>775.38334999999995</v>
      </c>
    </row>
    <row r="2055" spans="1:6" ht="45" outlineLevel="1" x14ac:dyDescent="0.25">
      <c r="A2055" s="125">
        <v>2</v>
      </c>
      <c r="B2055" s="123" t="s">
        <v>23</v>
      </c>
      <c r="C2055" s="126"/>
      <c r="D2055" s="115"/>
      <c r="E2055" s="127">
        <v>0</v>
      </c>
      <c r="F2055" s="127">
        <v>0</v>
      </c>
    </row>
    <row r="2056" spans="1:6" outlineLevel="1" x14ac:dyDescent="0.25">
      <c r="A2056" s="125"/>
      <c r="B2056" s="123" t="s">
        <v>24</v>
      </c>
      <c r="C2056" s="113">
        <v>100</v>
      </c>
      <c r="D2056" s="124">
        <v>12.25</v>
      </c>
      <c r="E2056" s="115">
        <v>34694.300000000003</v>
      </c>
      <c r="F2056" s="114">
        <f t="shared" ref="F2056:F2062" si="94">E2056*D2056/C2056</f>
        <v>4250.0517500000005</v>
      </c>
    </row>
    <row r="2057" spans="1:6" ht="30" outlineLevel="1" x14ac:dyDescent="0.25">
      <c r="A2057" s="125">
        <v>3</v>
      </c>
      <c r="B2057" s="123" t="s">
        <v>25</v>
      </c>
      <c r="C2057" s="113">
        <v>100</v>
      </c>
      <c r="D2057" s="124">
        <v>48.75</v>
      </c>
      <c r="E2057" s="124">
        <v>32675.95</v>
      </c>
      <c r="F2057" s="114">
        <f t="shared" si="94"/>
        <v>15929.525625</v>
      </c>
    </row>
    <row r="2058" spans="1:6" ht="45" outlineLevel="1" x14ac:dyDescent="0.25">
      <c r="A2058" s="125">
        <v>4</v>
      </c>
      <c r="B2058" s="123" t="s">
        <v>26</v>
      </c>
      <c r="C2058" s="120">
        <v>100</v>
      </c>
      <c r="D2058" s="124">
        <v>19.5</v>
      </c>
      <c r="E2058" s="124">
        <v>11851.7</v>
      </c>
      <c r="F2058" s="114">
        <f t="shared" si="94"/>
        <v>2311.0815000000002</v>
      </c>
    </row>
    <row r="2059" spans="1:6" ht="30" outlineLevel="1" x14ac:dyDescent="0.25">
      <c r="A2059" s="122">
        <v>5</v>
      </c>
      <c r="B2059" s="123" t="s">
        <v>27</v>
      </c>
      <c r="C2059" s="113">
        <v>100</v>
      </c>
      <c r="D2059" s="124">
        <v>40.8515625</v>
      </c>
      <c r="E2059" s="124">
        <v>37620.6</v>
      </c>
      <c r="F2059" s="114">
        <f t="shared" si="94"/>
        <v>15368.602921875001</v>
      </c>
    </row>
    <row r="2060" spans="1:6" ht="24.75" customHeight="1" outlineLevel="1" x14ac:dyDescent="0.25">
      <c r="A2060" s="122">
        <v>6</v>
      </c>
      <c r="B2060" s="123" t="s">
        <v>28</v>
      </c>
      <c r="C2060" s="120">
        <v>100</v>
      </c>
      <c r="D2060" s="124">
        <v>115.32499999999999</v>
      </c>
      <c r="E2060" s="124">
        <v>4334.75</v>
      </c>
      <c r="F2060" s="114">
        <f t="shared" si="94"/>
        <v>4999.0504374999991</v>
      </c>
    </row>
    <row r="2061" spans="1:6" ht="45" outlineLevel="1" x14ac:dyDescent="0.25">
      <c r="A2061" s="122">
        <v>7</v>
      </c>
      <c r="B2061" s="123" t="s">
        <v>29</v>
      </c>
      <c r="C2061" s="120">
        <v>100</v>
      </c>
      <c r="D2061" s="124">
        <v>115.32499999999999</v>
      </c>
      <c r="E2061" s="124">
        <v>7379.1</v>
      </c>
      <c r="F2061" s="114">
        <f t="shared" si="94"/>
        <v>8509.9470749999982</v>
      </c>
    </row>
    <row r="2062" spans="1:6" ht="24.75" customHeight="1" outlineLevel="1" x14ac:dyDescent="0.25">
      <c r="A2062" s="122">
        <v>8</v>
      </c>
      <c r="B2062" s="123" t="s">
        <v>30</v>
      </c>
      <c r="C2062" s="128">
        <v>1</v>
      </c>
      <c r="D2062" s="124">
        <v>250</v>
      </c>
      <c r="E2062" s="124">
        <v>30.5</v>
      </c>
      <c r="F2062" s="114">
        <f t="shared" si="94"/>
        <v>7625</v>
      </c>
    </row>
    <row r="2063" spans="1:6" ht="75" outlineLevel="1" x14ac:dyDescent="0.25">
      <c r="A2063" s="122">
        <v>9</v>
      </c>
      <c r="B2063" s="123" t="s">
        <v>31</v>
      </c>
      <c r="C2063" s="126"/>
      <c r="D2063" s="124"/>
      <c r="E2063" s="124"/>
      <c r="F2063" s="124"/>
    </row>
    <row r="2064" spans="1:6" outlineLevel="1" x14ac:dyDescent="0.25">
      <c r="A2064" s="122"/>
      <c r="B2064" s="123" t="s">
        <v>32</v>
      </c>
      <c r="C2064" s="113">
        <v>100</v>
      </c>
      <c r="D2064" s="124">
        <v>2.145</v>
      </c>
      <c r="E2064" s="124">
        <v>14042.6</v>
      </c>
      <c r="F2064" s="114">
        <f>E2064*D2064/C2064</f>
        <v>301.21377000000001</v>
      </c>
    </row>
    <row r="2065" spans="1:8" outlineLevel="1" x14ac:dyDescent="0.25">
      <c r="A2065" s="534" t="s">
        <v>354</v>
      </c>
      <c r="B2065" s="534"/>
      <c r="C2065" s="534"/>
      <c r="D2065" s="534"/>
      <c r="E2065" s="534"/>
      <c r="F2065" s="534"/>
    </row>
    <row r="2066" spans="1:8" ht="22.5" customHeight="1" outlineLevel="1" x14ac:dyDescent="0.25">
      <c r="A2066" s="129">
        <v>1</v>
      </c>
      <c r="B2066" s="130" t="s">
        <v>34</v>
      </c>
      <c r="C2066" s="113">
        <v>1</v>
      </c>
      <c r="D2066" s="115">
        <v>6.88</v>
      </c>
      <c r="E2066" s="127">
        <v>546.95000000000005</v>
      </c>
      <c r="F2066" s="114">
        <f t="shared" ref="F2066:F2071" si="95">E2066*D2066/C2066</f>
        <v>3763.0160000000001</v>
      </c>
    </row>
    <row r="2067" spans="1:8" ht="45" outlineLevel="1" x14ac:dyDescent="0.25">
      <c r="A2067" s="129">
        <v>2</v>
      </c>
      <c r="B2067" s="130" t="s">
        <v>35</v>
      </c>
      <c r="C2067" s="131">
        <v>100</v>
      </c>
      <c r="D2067" s="115">
        <v>15.72</v>
      </c>
      <c r="E2067" s="127">
        <v>30006.1</v>
      </c>
      <c r="F2067" s="114">
        <f t="shared" si="95"/>
        <v>4716.95892</v>
      </c>
    </row>
    <row r="2068" spans="1:8" ht="21" customHeight="1" outlineLevel="1" x14ac:dyDescent="0.25">
      <c r="A2068" s="125">
        <v>3</v>
      </c>
      <c r="B2068" s="130" t="s">
        <v>36</v>
      </c>
      <c r="C2068" s="128">
        <v>1</v>
      </c>
      <c r="D2068" s="115">
        <v>4</v>
      </c>
      <c r="E2068" s="127">
        <v>115.4</v>
      </c>
      <c r="F2068" s="114">
        <f t="shared" si="95"/>
        <v>461.6</v>
      </c>
    </row>
    <row r="2069" spans="1:8" ht="21" customHeight="1" outlineLevel="1" x14ac:dyDescent="0.25">
      <c r="A2069" s="125">
        <v>4</v>
      </c>
      <c r="B2069" s="130" t="s">
        <v>37</v>
      </c>
      <c r="C2069" s="132">
        <v>1</v>
      </c>
      <c r="D2069" s="115">
        <v>4</v>
      </c>
      <c r="E2069" s="127">
        <v>141.9</v>
      </c>
      <c r="F2069" s="114">
        <f t="shared" si="95"/>
        <v>567.6</v>
      </c>
    </row>
    <row r="2070" spans="1:8" ht="21" customHeight="1" outlineLevel="1" x14ac:dyDescent="0.25">
      <c r="A2070" s="125">
        <v>5</v>
      </c>
      <c r="B2070" s="130" t="s">
        <v>38</v>
      </c>
      <c r="C2070" s="120">
        <v>100</v>
      </c>
      <c r="D2070" s="115">
        <v>14</v>
      </c>
      <c r="E2070" s="127">
        <v>4307.55</v>
      </c>
      <c r="F2070" s="114">
        <f t="shared" si="95"/>
        <v>603.05700000000002</v>
      </c>
    </row>
    <row r="2071" spans="1:8" ht="30" outlineLevel="1" x14ac:dyDescent="0.25">
      <c r="A2071" s="125">
        <v>6</v>
      </c>
      <c r="B2071" s="130" t="s">
        <v>39</v>
      </c>
      <c r="C2071" s="128">
        <v>1</v>
      </c>
      <c r="D2071" s="115">
        <v>40</v>
      </c>
      <c r="E2071" s="127">
        <v>30.5</v>
      </c>
      <c r="F2071" s="114">
        <f t="shared" si="95"/>
        <v>1220</v>
      </c>
    </row>
    <row r="2072" spans="1:8" ht="75" outlineLevel="1" x14ac:dyDescent="0.25">
      <c r="A2072" s="125">
        <v>7</v>
      </c>
      <c r="B2072" s="133" t="s">
        <v>31</v>
      </c>
      <c r="C2072" s="126"/>
      <c r="D2072" s="115"/>
      <c r="E2072" s="114"/>
      <c r="F2072" s="114"/>
    </row>
    <row r="2073" spans="1:8" outlineLevel="1" x14ac:dyDescent="0.25">
      <c r="A2073" s="125" t="s">
        <v>41</v>
      </c>
      <c r="B2073" s="133" t="s">
        <v>42</v>
      </c>
      <c r="C2073" s="113">
        <v>100</v>
      </c>
      <c r="D2073" s="115">
        <v>6.0544000000000002</v>
      </c>
      <c r="E2073" s="114">
        <v>14042.6</v>
      </c>
      <c r="F2073" s="114">
        <f>E2073*D2073/C2073</f>
        <v>850.19517440000016</v>
      </c>
    </row>
    <row r="2074" spans="1:8" outlineLevel="1" x14ac:dyDescent="0.25">
      <c r="A2074" s="508" t="s">
        <v>83</v>
      </c>
      <c r="B2074" s="508"/>
      <c r="C2074" s="508"/>
      <c r="D2074" s="508"/>
      <c r="E2074" s="508"/>
      <c r="F2074" s="72">
        <f>SUM(F2046:F2073)</f>
        <v>778191.84627377486</v>
      </c>
    </row>
    <row r="2075" spans="1:8" outlineLevel="1" x14ac:dyDescent="0.25">
      <c r="A2075" s="508" t="s">
        <v>83</v>
      </c>
      <c r="B2075" s="508"/>
      <c r="C2075" s="508"/>
      <c r="D2075" s="508"/>
      <c r="E2075" s="508"/>
      <c r="F2075" s="256">
        <f>F2074+F2044</f>
        <v>48116977.331533715</v>
      </c>
      <c r="G2075" s="454">
        <v>48116977.409999989</v>
      </c>
      <c r="H2075" s="450">
        <f>G2075-F2075</f>
        <v>7.8466273844242096E-2</v>
      </c>
    </row>
    <row r="2076" spans="1:8" outlineLevel="1" x14ac:dyDescent="0.25">
      <c r="A2076" s="543" t="s">
        <v>355</v>
      </c>
      <c r="B2076" s="543"/>
      <c r="C2076" s="543"/>
      <c r="D2076" s="543"/>
      <c r="E2076" s="543"/>
      <c r="F2076" s="543"/>
    </row>
    <row r="2077" spans="1:8" ht="75" outlineLevel="1" x14ac:dyDescent="0.25">
      <c r="A2077" s="111">
        <v>1</v>
      </c>
      <c r="B2077" s="112" t="s">
        <v>10</v>
      </c>
      <c r="C2077" s="113">
        <v>1000</v>
      </c>
      <c r="D2077" s="114">
        <v>4410982.0599999996</v>
      </c>
      <c r="E2077" s="127">
        <v>4640.7</v>
      </c>
      <c r="F2077" s="114">
        <f>E2077*D2077/C2077</f>
        <v>20470044.445841998</v>
      </c>
    </row>
    <row r="2078" spans="1:8" ht="30" outlineLevel="1" x14ac:dyDescent="0.25">
      <c r="A2078" s="111">
        <v>2</v>
      </c>
      <c r="B2078" s="199" t="s">
        <v>11</v>
      </c>
      <c r="C2078" s="113">
        <v>1000</v>
      </c>
      <c r="D2078" s="114">
        <v>1949662.13</v>
      </c>
      <c r="E2078" s="137">
        <v>940.9</v>
      </c>
      <c r="F2078" s="114">
        <f>E2078*D2078/C2078</f>
        <v>1834437.098117</v>
      </c>
    </row>
    <row r="2079" spans="1:8" ht="30" outlineLevel="1" x14ac:dyDescent="0.25">
      <c r="A2079" s="111">
        <v>3</v>
      </c>
      <c r="B2079" s="199" t="s">
        <v>356</v>
      </c>
      <c r="C2079" s="113">
        <v>1000</v>
      </c>
      <c r="D2079" s="114">
        <v>910707.77524999995</v>
      </c>
      <c r="E2079" s="137">
        <v>5266.8</v>
      </c>
      <c r="F2079" s="114">
        <f>E2079*D2079/C2079</f>
        <v>4796515.7106866995</v>
      </c>
    </row>
    <row r="2080" spans="1:8" ht="30" outlineLevel="1" x14ac:dyDescent="0.25">
      <c r="A2080" s="545">
        <v>4</v>
      </c>
      <c r="B2080" s="112" t="s">
        <v>211</v>
      </c>
      <c r="C2080" s="111"/>
      <c r="D2080" s="114"/>
      <c r="E2080" s="114"/>
      <c r="F2080" s="114"/>
    </row>
    <row r="2081" spans="1:6" outlineLevel="1" x14ac:dyDescent="0.25">
      <c r="A2081" s="545"/>
      <c r="B2081" s="112" t="s">
        <v>346</v>
      </c>
      <c r="C2081" s="113">
        <v>1000</v>
      </c>
      <c r="D2081" s="114">
        <v>147378.57999999999</v>
      </c>
      <c r="E2081" s="127">
        <v>1073.2</v>
      </c>
      <c r="F2081" s="114">
        <f>E2081*D2081/C2081</f>
        <v>158166.692056</v>
      </c>
    </row>
    <row r="2082" spans="1:6" outlineLevel="1" x14ac:dyDescent="0.25">
      <c r="A2082" s="545"/>
      <c r="B2082" s="112" t="s">
        <v>357</v>
      </c>
      <c r="C2082" s="113">
        <v>1000</v>
      </c>
      <c r="D2082" s="114">
        <v>224897.5</v>
      </c>
      <c r="E2082" s="127">
        <v>2414.6999999999998</v>
      </c>
      <c r="F2082" s="114">
        <f>E2082*D2082/C2082</f>
        <v>543059.99325000006</v>
      </c>
    </row>
    <row r="2083" spans="1:6" outlineLevel="1" x14ac:dyDescent="0.25">
      <c r="A2083" s="545"/>
      <c r="B2083" s="112" t="s">
        <v>358</v>
      </c>
      <c r="C2083" s="113">
        <v>1000</v>
      </c>
      <c r="D2083" s="114">
        <v>468525</v>
      </c>
      <c r="E2083" s="127">
        <v>6751.2</v>
      </c>
      <c r="F2083" s="114">
        <f>E2083*D2083/C2083</f>
        <v>3163105.98</v>
      </c>
    </row>
    <row r="2084" spans="1:6" ht="30" outlineLevel="1" x14ac:dyDescent="0.25">
      <c r="A2084" s="111">
        <v>5</v>
      </c>
      <c r="B2084" s="112" t="s">
        <v>191</v>
      </c>
      <c r="C2084" s="111"/>
      <c r="D2084" s="114"/>
      <c r="E2084" s="114"/>
      <c r="F2084" s="114"/>
    </row>
    <row r="2085" spans="1:6" outlineLevel="1" x14ac:dyDescent="0.25">
      <c r="A2085" s="111"/>
      <c r="B2085" s="112" t="s">
        <v>359</v>
      </c>
      <c r="C2085" s="113">
        <v>1000</v>
      </c>
      <c r="D2085" s="114">
        <v>140702.28500000003</v>
      </c>
      <c r="E2085" s="114">
        <v>10936.05</v>
      </c>
      <c r="F2085" s="114">
        <f>E2085*D2085/C2085</f>
        <v>1538727.2238742502</v>
      </c>
    </row>
    <row r="2086" spans="1:6" outlineLevel="1" x14ac:dyDescent="0.25">
      <c r="A2086" s="534" t="s">
        <v>360</v>
      </c>
      <c r="B2086" s="534"/>
      <c r="C2086" s="534"/>
      <c r="D2086" s="534"/>
      <c r="E2086" s="534"/>
      <c r="F2086" s="534"/>
    </row>
    <row r="2087" spans="1:6" ht="60" outlineLevel="1" x14ac:dyDescent="0.25">
      <c r="A2087" s="122">
        <v>1</v>
      </c>
      <c r="B2087" s="123" t="s">
        <v>22</v>
      </c>
      <c r="C2087" s="113">
        <v>1000</v>
      </c>
      <c r="D2087" s="124">
        <v>294</v>
      </c>
      <c r="E2087" s="124">
        <v>15824.15</v>
      </c>
      <c r="F2087" s="114">
        <f>E2087*D2087/C2087</f>
        <v>4652.3000999999995</v>
      </c>
    </row>
    <row r="2088" spans="1:6" ht="45" outlineLevel="1" x14ac:dyDescent="0.25">
      <c r="A2088" s="125">
        <v>2</v>
      </c>
      <c r="B2088" s="123" t="s">
        <v>23</v>
      </c>
      <c r="C2088" s="126"/>
      <c r="D2088" s="115"/>
      <c r="E2088" s="127">
        <v>0</v>
      </c>
      <c r="F2088" s="127">
        <v>0</v>
      </c>
    </row>
    <row r="2089" spans="1:6" outlineLevel="1" x14ac:dyDescent="0.25">
      <c r="A2089" s="125"/>
      <c r="B2089" s="123" t="s">
        <v>24</v>
      </c>
      <c r="C2089" s="113">
        <v>100</v>
      </c>
      <c r="D2089" s="124">
        <v>73.5</v>
      </c>
      <c r="E2089" s="115">
        <v>34694.300000000003</v>
      </c>
      <c r="F2089" s="114">
        <f t="shared" ref="F2089:F2095" si="96">E2089*D2089/C2089</f>
        <v>25500.310500000003</v>
      </c>
    </row>
    <row r="2090" spans="1:6" ht="30" outlineLevel="1" x14ac:dyDescent="0.25">
      <c r="A2090" s="125">
        <v>3</v>
      </c>
      <c r="B2090" s="123" t="s">
        <v>25</v>
      </c>
      <c r="C2090" s="113">
        <v>100</v>
      </c>
      <c r="D2090" s="124">
        <v>292.5</v>
      </c>
      <c r="E2090" s="124">
        <v>32675.95</v>
      </c>
      <c r="F2090" s="114">
        <f t="shared" si="96"/>
        <v>95577.153749999998</v>
      </c>
    </row>
    <row r="2091" spans="1:6" ht="45" outlineLevel="1" x14ac:dyDescent="0.25">
      <c r="A2091" s="125">
        <v>4</v>
      </c>
      <c r="B2091" s="123" t="s">
        <v>26</v>
      </c>
      <c r="C2091" s="120">
        <v>100</v>
      </c>
      <c r="D2091" s="124">
        <v>117</v>
      </c>
      <c r="E2091" s="124">
        <v>11851.7</v>
      </c>
      <c r="F2091" s="114">
        <f t="shared" si="96"/>
        <v>13866.489000000001</v>
      </c>
    </row>
    <row r="2092" spans="1:6" ht="30" outlineLevel="1" x14ac:dyDescent="0.25">
      <c r="A2092" s="122">
        <v>5</v>
      </c>
      <c r="B2092" s="123" t="s">
        <v>27</v>
      </c>
      <c r="C2092" s="113">
        <v>100</v>
      </c>
      <c r="D2092" s="124">
        <v>245.109375</v>
      </c>
      <c r="E2092" s="124">
        <v>37620.6</v>
      </c>
      <c r="F2092" s="114">
        <f t="shared" si="96"/>
        <v>92211.617531249984</v>
      </c>
    </row>
    <row r="2093" spans="1:6" ht="24.75" customHeight="1" outlineLevel="1" x14ac:dyDescent="0.25">
      <c r="A2093" s="122">
        <v>6</v>
      </c>
      <c r="B2093" s="123" t="s">
        <v>28</v>
      </c>
      <c r="C2093" s="120">
        <v>100</v>
      </c>
      <c r="D2093" s="124">
        <v>691.94999999999993</v>
      </c>
      <c r="E2093" s="124">
        <v>4334.75</v>
      </c>
      <c r="F2093" s="114">
        <f t="shared" si="96"/>
        <v>29994.302624999997</v>
      </c>
    </row>
    <row r="2094" spans="1:6" ht="45" outlineLevel="1" x14ac:dyDescent="0.25">
      <c r="A2094" s="122">
        <v>7</v>
      </c>
      <c r="B2094" s="123" t="s">
        <v>29</v>
      </c>
      <c r="C2094" s="120">
        <v>100</v>
      </c>
      <c r="D2094" s="124">
        <v>691.94999999999993</v>
      </c>
      <c r="E2094" s="124">
        <v>7379.1</v>
      </c>
      <c r="F2094" s="114">
        <f t="shared" si="96"/>
        <v>51059.68245</v>
      </c>
    </row>
    <row r="2095" spans="1:6" ht="24" customHeight="1" outlineLevel="1" x14ac:dyDescent="0.25">
      <c r="A2095" s="122">
        <v>8</v>
      </c>
      <c r="B2095" s="123" t="s">
        <v>30</v>
      </c>
      <c r="C2095" s="128">
        <v>1</v>
      </c>
      <c r="D2095" s="124">
        <v>1500</v>
      </c>
      <c r="E2095" s="124">
        <v>30.5</v>
      </c>
      <c r="F2095" s="114">
        <f t="shared" si="96"/>
        <v>45750</v>
      </c>
    </row>
    <row r="2096" spans="1:6" ht="75" outlineLevel="1" x14ac:dyDescent="0.25">
      <c r="A2096" s="122">
        <v>9</v>
      </c>
      <c r="B2096" s="123" t="s">
        <v>31</v>
      </c>
      <c r="C2096" s="126"/>
      <c r="D2096" s="124"/>
      <c r="E2096" s="124"/>
      <c r="F2096" s="124"/>
    </row>
    <row r="2097" spans="1:8" outlineLevel="1" x14ac:dyDescent="0.25">
      <c r="A2097" s="122"/>
      <c r="B2097" s="123" t="s">
        <v>32</v>
      </c>
      <c r="C2097" s="113">
        <v>100</v>
      </c>
      <c r="D2097" s="124">
        <v>12.870000000000001</v>
      </c>
      <c r="E2097" s="124">
        <v>14042.6</v>
      </c>
      <c r="F2097" s="114">
        <f>E2097*D2097/C2097</f>
        <v>1807.2826200000002</v>
      </c>
    </row>
    <row r="2098" spans="1:8" outlineLevel="1" x14ac:dyDescent="0.25">
      <c r="A2098" s="534" t="s">
        <v>361</v>
      </c>
      <c r="B2098" s="534"/>
      <c r="C2098" s="534"/>
      <c r="D2098" s="534"/>
      <c r="E2098" s="534"/>
      <c r="F2098" s="534"/>
    </row>
    <row r="2099" spans="1:8" ht="23.25" customHeight="1" outlineLevel="1" x14ac:dyDescent="0.25">
      <c r="A2099" s="129">
        <v>1</v>
      </c>
      <c r="B2099" s="130" t="s">
        <v>34</v>
      </c>
      <c r="C2099" s="200">
        <v>1</v>
      </c>
      <c r="D2099" s="115">
        <v>20.64</v>
      </c>
      <c r="E2099" s="127">
        <v>546.95000000000005</v>
      </c>
      <c r="F2099" s="114">
        <f t="shared" ref="F2099:F2104" si="97">E2099*D2099/C2099</f>
        <v>11289.048000000001</v>
      </c>
    </row>
    <row r="2100" spans="1:8" ht="45" outlineLevel="1" x14ac:dyDescent="0.25">
      <c r="A2100" s="129">
        <v>2</v>
      </c>
      <c r="B2100" s="130" t="s">
        <v>35</v>
      </c>
      <c r="C2100" s="131">
        <v>100</v>
      </c>
      <c r="D2100" s="115">
        <v>47.160000000000004</v>
      </c>
      <c r="E2100" s="127">
        <v>30006.1</v>
      </c>
      <c r="F2100" s="114">
        <f t="shared" si="97"/>
        <v>14150.876759999999</v>
      </c>
    </row>
    <row r="2101" spans="1:8" ht="22.5" customHeight="1" outlineLevel="1" x14ac:dyDescent="0.25">
      <c r="A2101" s="125">
        <v>3</v>
      </c>
      <c r="B2101" s="130" t="s">
        <v>36</v>
      </c>
      <c r="C2101" s="128">
        <v>1</v>
      </c>
      <c r="D2101" s="115">
        <v>12</v>
      </c>
      <c r="E2101" s="127">
        <v>115.4</v>
      </c>
      <c r="F2101" s="114">
        <f t="shared" si="97"/>
        <v>1384.8000000000002</v>
      </c>
    </row>
    <row r="2102" spans="1:8" ht="22.5" customHeight="1" outlineLevel="1" x14ac:dyDescent="0.25">
      <c r="A2102" s="125">
        <v>4</v>
      </c>
      <c r="B2102" s="130" t="s">
        <v>37</v>
      </c>
      <c r="C2102" s="132">
        <v>1</v>
      </c>
      <c r="D2102" s="115">
        <v>12</v>
      </c>
      <c r="E2102" s="127">
        <v>141.9</v>
      </c>
      <c r="F2102" s="114">
        <f t="shared" si="97"/>
        <v>1702.8000000000002</v>
      </c>
    </row>
    <row r="2103" spans="1:8" ht="30" customHeight="1" outlineLevel="1" x14ac:dyDescent="0.25">
      <c r="A2103" s="125">
        <v>5</v>
      </c>
      <c r="B2103" s="130" t="s">
        <v>38</v>
      </c>
      <c r="C2103" s="120">
        <v>100</v>
      </c>
      <c r="D2103" s="115">
        <v>42</v>
      </c>
      <c r="E2103" s="127">
        <v>4307.55</v>
      </c>
      <c r="F2103" s="114">
        <f t="shared" si="97"/>
        <v>1809.171</v>
      </c>
    </row>
    <row r="2104" spans="1:8" ht="30" outlineLevel="1" x14ac:dyDescent="0.25">
      <c r="A2104" s="125">
        <v>6</v>
      </c>
      <c r="B2104" s="130" t="s">
        <v>39</v>
      </c>
      <c r="C2104" s="128">
        <v>1</v>
      </c>
      <c r="D2104" s="115">
        <v>120</v>
      </c>
      <c r="E2104" s="127">
        <v>30.5</v>
      </c>
      <c r="F2104" s="114">
        <f t="shared" si="97"/>
        <v>3660</v>
      </c>
    </row>
    <row r="2105" spans="1:8" ht="75" outlineLevel="1" x14ac:dyDescent="0.25">
      <c r="A2105" s="125">
        <v>7</v>
      </c>
      <c r="B2105" s="133" t="s">
        <v>31</v>
      </c>
      <c r="C2105" s="126"/>
      <c r="D2105" s="115"/>
      <c r="E2105" s="114"/>
      <c r="F2105" s="114"/>
    </row>
    <row r="2106" spans="1:8" outlineLevel="1" x14ac:dyDescent="0.25">
      <c r="A2106" s="125" t="s">
        <v>41</v>
      </c>
      <c r="B2106" s="133" t="s">
        <v>42</v>
      </c>
      <c r="C2106" s="113">
        <v>100</v>
      </c>
      <c r="D2106" s="115">
        <v>18.1632</v>
      </c>
      <c r="E2106" s="114">
        <v>14042.6</v>
      </c>
      <c r="F2106" s="114">
        <f>E2106*D2106/C2106</f>
        <v>2550.5855232000004</v>
      </c>
    </row>
    <row r="2107" spans="1:8" outlineLevel="1" x14ac:dyDescent="0.25">
      <c r="A2107" s="508" t="s">
        <v>83</v>
      </c>
      <c r="B2107" s="508"/>
      <c r="C2107" s="508"/>
      <c r="D2107" s="508"/>
      <c r="E2107" s="508"/>
      <c r="F2107" s="256">
        <f>SUM(F2077:F2106)</f>
        <v>32901023.563685399</v>
      </c>
      <c r="G2107" s="460">
        <v>32901023.710000001</v>
      </c>
      <c r="H2107" s="450">
        <f>G2107-F2107</f>
        <v>0.1463146023452282</v>
      </c>
    </row>
    <row r="2108" spans="1:8" outlineLevel="1" x14ac:dyDescent="0.25">
      <c r="A2108" s="543" t="s">
        <v>362</v>
      </c>
      <c r="B2108" s="543"/>
      <c r="C2108" s="543"/>
      <c r="D2108" s="543"/>
      <c r="E2108" s="543"/>
      <c r="F2108" s="543"/>
    </row>
    <row r="2109" spans="1:8" ht="75" outlineLevel="1" x14ac:dyDescent="0.25">
      <c r="A2109" s="129">
        <v>1</v>
      </c>
      <c r="B2109" s="133" t="s">
        <v>45</v>
      </c>
      <c r="C2109" s="113">
        <v>1000</v>
      </c>
      <c r="D2109" s="115">
        <v>125135.84964100001</v>
      </c>
      <c r="E2109" s="115">
        <v>12735.6</v>
      </c>
      <c r="F2109" s="114">
        <f>E2109*D2109/C2109</f>
        <v>1593680.12668792</v>
      </c>
    </row>
    <row r="2110" spans="1:8" ht="25.5" customHeight="1" outlineLevel="1" x14ac:dyDescent="0.25">
      <c r="A2110" s="129">
        <v>2</v>
      </c>
      <c r="B2110" s="133" t="s">
        <v>75</v>
      </c>
      <c r="C2110" s="113">
        <v>1000</v>
      </c>
      <c r="D2110" s="115">
        <v>125135.84964100001</v>
      </c>
      <c r="E2110" s="115">
        <v>12038.4</v>
      </c>
      <c r="F2110" s="114">
        <f>E2110*D2110/C2110</f>
        <v>1506435.4123182143</v>
      </c>
    </row>
    <row r="2111" spans="1:8" ht="45" outlineLevel="1" x14ac:dyDescent="0.25">
      <c r="A2111" s="125"/>
      <c r="B2111" s="135" t="s">
        <v>23</v>
      </c>
      <c r="C2111" s="122"/>
      <c r="D2111" s="115"/>
      <c r="E2111" s="127"/>
      <c r="F2111" s="127"/>
    </row>
    <row r="2112" spans="1:8" outlineLevel="1" x14ac:dyDescent="0.25">
      <c r="A2112" s="125">
        <v>3</v>
      </c>
      <c r="B2112" s="133" t="s">
        <v>24</v>
      </c>
      <c r="C2112" s="113">
        <v>100</v>
      </c>
      <c r="D2112" s="115">
        <v>1808.1333250000002</v>
      </c>
      <c r="E2112" s="115">
        <v>34694.300000000003</v>
      </c>
      <c r="F2112" s="114">
        <f>E2112*D2112/C2112</f>
        <v>627319.2001754751</v>
      </c>
    </row>
    <row r="2113" spans="1:6" outlineLevel="1" x14ac:dyDescent="0.25">
      <c r="A2113" s="125">
        <v>4</v>
      </c>
      <c r="B2113" s="133" t="s">
        <v>125</v>
      </c>
      <c r="C2113" s="113">
        <v>100</v>
      </c>
      <c r="D2113" s="115">
        <v>577.89599999999996</v>
      </c>
      <c r="E2113" s="115">
        <v>47135.9</v>
      </c>
      <c r="F2113" s="114">
        <f>E2113*D2113/C2113</f>
        <v>272396.48066399997</v>
      </c>
    </row>
    <row r="2114" spans="1:6" ht="90" outlineLevel="1" x14ac:dyDescent="0.25">
      <c r="A2114" s="125">
        <v>5</v>
      </c>
      <c r="B2114" s="133" t="s">
        <v>225</v>
      </c>
      <c r="C2114" s="131">
        <v>100</v>
      </c>
      <c r="D2114" s="115">
        <v>129118.00590000002</v>
      </c>
      <c r="E2114" s="136">
        <v>30376.9</v>
      </c>
      <c r="F2114" s="114">
        <f>E2114*D2114/C2114</f>
        <v>39222047.534237109</v>
      </c>
    </row>
    <row r="2115" spans="1:6" ht="120.75" outlineLevel="1" x14ac:dyDescent="0.25">
      <c r="A2115" s="125"/>
      <c r="B2115" s="135" t="s">
        <v>47</v>
      </c>
      <c r="C2115" s="122"/>
      <c r="D2115" s="115"/>
      <c r="E2115" s="127">
        <v>0</v>
      </c>
      <c r="F2115" s="137"/>
    </row>
    <row r="2116" spans="1:6" ht="75" outlineLevel="1" x14ac:dyDescent="0.25">
      <c r="A2116" s="125">
        <v>6</v>
      </c>
      <c r="B2116" s="135" t="s">
        <v>100</v>
      </c>
      <c r="C2116" s="122">
        <v>1</v>
      </c>
      <c r="D2116" s="115">
        <v>18946.310000000005</v>
      </c>
      <c r="E2116" s="115">
        <v>817.55</v>
      </c>
      <c r="F2116" s="114">
        <f t="shared" ref="F2116:F2137" si="98">E2116*D2116/C2116</f>
        <v>15489555.740500003</v>
      </c>
    </row>
    <row r="2117" spans="1:6" ht="75" outlineLevel="1" x14ac:dyDescent="0.25">
      <c r="A2117" s="125">
        <v>7</v>
      </c>
      <c r="B2117" s="133" t="s">
        <v>100</v>
      </c>
      <c r="C2117" s="126">
        <v>1</v>
      </c>
      <c r="D2117" s="115">
        <v>9746.5802000000003</v>
      </c>
      <c r="E2117" s="115">
        <v>670.5</v>
      </c>
      <c r="F2117" s="114">
        <f t="shared" si="98"/>
        <v>6535082.0241</v>
      </c>
    </row>
    <row r="2118" spans="1:6" ht="30" outlineLevel="1" x14ac:dyDescent="0.25">
      <c r="A2118" s="125">
        <v>8</v>
      </c>
      <c r="B2118" s="133" t="s">
        <v>52</v>
      </c>
      <c r="C2118" s="120">
        <v>100</v>
      </c>
      <c r="D2118" s="115">
        <v>9774.5750000000007</v>
      </c>
      <c r="E2118" s="127">
        <v>1645.1</v>
      </c>
      <c r="F2118" s="114">
        <f t="shared" si="98"/>
        <v>160801.533325</v>
      </c>
    </row>
    <row r="2119" spans="1:6" ht="75" outlineLevel="1" x14ac:dyDescent="0.25">
      <c r="A2119" s="125">
        <v>9</v>
      </c>
      <c r="B2119" s="133" t="s">
        <v>226</v>
      </c>
      <c r="C2119" s="120">
        <v>100</v>
      </c>
      <c r="D2119" s="115">
        <v>1394.2756000000002</v>
      </c>
      <c r="E2119" s="115">
        <v>13179.6</v>
      </c>
      <c r="F2119" s="114">
        <f t="shared" si="98"/>
        <v>183759.94697760005</v>
      </c>
    </row>
    <row r="2120" spans="1:6" ht="30" outlineLevel="1" x14ac:dyDescent="0.25">
      <c r="A2120" s="125">
        <v>10</v>
      </c>
      <c r="B2120" s="135" t="s">
        <v>121</v>
      </c>
      <c r="C2120" s="120">
        <v>1</v>
      </c>
      <c r="D2120" s="115">
        <v>1394.2756000000002</v>
      </c>
      <c r="E2120" s="115">
        <v>11</v>
      </c>
      <c r="F2120" s="114">
        <f t="shared" si="98"/>
        <v>15337.031600000002</v>
      </c>
    </row>
    <row r="2121" spans="1:6" ht="45" outlineLevel="1" x14ac:dyDescent="0.25">
      <c r="A2121" s="125">
        <v>11</v>
      </c>
      <c r="B2121" s="135" t="s">
        <v>129</v>
      </c>
      <c r="C2121" s="139">
        <v>1</v>
      </c>
      <c r="D2121" s="115">
        <v>282</v>
      </c>
      <c r="E2121" s="127">
        <v>514.9</v>
      </c>
      <c r="F2121" s="114">
        <f t="shared" si="98"/>
        <v>145201.79999999999</v>
      </c>
    </row>
    <row r="2122" spans="1:6" ht="30" outlineLevel="1" x14ac:dyDescent="0.25">
      <c r="A2122" s="125">
        <v>12</v>
      </c>
      <c r="B2122" s="135" t="s">
        <v>130</v>
      </c>
      <c r="C2122" s="128">
        <v>1</v>
      </c>
      <c r="D2122" s="115">
        <v>12</v>
      </c>
      <c r="E2122" s="127">
        <v>849.7</v>
      </c>
      <c r="F2122" s="114">
        <f t="shared" si="98"/>
        <v>10196.400000000001</v>
      </c>
    </row>
    <row r="2123" spans="1:6" ht="20.25" customHeight="1" outlineLevel="1" x14ac:dyDescent="0.25">
      <c r="A2123" s="125">
        <v>13</v>
      </c>
      <c r="B2123" s="135" t="s">
        <v>131</v>
      </c>
      <c r="C2123" s="128">
        <v>1</v>
      </c>
      <c r="D2123" s="115">
        <v>6</v>
      </c>
      <c r="E2123" s="127">
        <v>1159.6500000000001</v>
      </c>
      <c r="F2123" s="114">
        <f t="shared" si="98"/>
        <v>6957.9000000000005</v>
      </c>
    </row>
    <row r="2124" spans="1:6" ht="180" outlineLevel="1" x14ac:dyDescent="0.25">
      <c r="A2124" s="125">
        <v>14</v>
      </c>
      <c r="B2124" s="133" t="s">
        <v>227</v>
      </c>
      <c r="C2124" s="120">
        <v>1</v>
      </c>
      <c r="D2124" s="115">
        <v>463.92</v>
      </c>
      <c r="E2124" s="115">
        <v>2180.6999999999998</v>
      </c>
      <c r="F2124" s="114">
        <f t="shared" si="98"/>
        <v>1011670.3439999999</v>
      </c>
    </row>
    <row r="2125" spans="1:6" ht="45" outlineLevel="1" x14ac:dyDescent="0.25">
      <c r="A2125" s="125">
        <v>15</v>
      </c>
      <c r="B2125" s="133" t="s">
        <v>228</v>
      </c>
      <c r="C2125" s="120">
        <v>1</v>
      </c>
      <c r="D2125" s="115">
        <v>184</v>
      </c>
      <c r="E2125" s="115">
        <v>2767</v>
      </c>
      <c r="F2125" s="114">
        <f t="shared" si="98"/>
        <v>509128</v>
      </c>
    </row>
    <row r="2126" spans="1:6" ht="21" customHeight="1" outlineLevel="1" x14ac:dyDescent="0.25">
      <c r="A2126" s="125">
        <v>16</v>
      </c>
      <c r="B2126" s="135" t="s">
        <v>229</v>
      </c>
      <c r="C2126" s="120">
        <v>100</v>
      </c>
      <c r="D2126" s="115">
        <v>4838.8949999999995</v>
      </c>
      <c r="E2126" s="127">
        <v>1212.3499999999999</v>
      </c>
      <c r="F2126" s="114">
        <f t="shared" si="98"/>
        <v>58664.343532499988</v>
      </c>
    </row>
    <row r="2127" spans="1:6" ht="45" outlineLevel="1" x14ac:dyDescent="0.25">
      <c r="A2127" s="125">
        <v>17</v>
      </c>
      <c r="B2127" s="135" t="s">
        <v>133</v>
      </c>
      <c r="C2127" s="120">
        <v>100</v>
      </c>
      <c r="D2127" s="115">
        <v>6169.194300000001</v>
      </c>
      <c r="E2127" s="127">
        <v>7379.1</v>
      </c>
      <c r="F2127" s="114">
        <f t="shared" si="98"/>
        <v>455231.01659130008</v>
      </c>
    </row>
    <row r="2128" spans="1:6" ht="30" outlineLevel="1" x14ac:dyDescent="0.25">
      <c r="A2128" s="125">
        <v>18</v>
      </c>
      <c r="B2128" s="135" t="s">
        <v>134</v>
      </c>
      <c r="C2128" s="120">
        <v>100</v>
      </c>
      <c r="D2128" s="115">
        <v>344</v>
      </c>
      <c r="E2128" s="127">
        <v>3052.4</v>
      </c>
      <c r="F2128" s="114">
        <f t="shared" si="98"/>
        <v>10500.256000000001</v>
      </c>
    </row>
    <row r="2129" spans="1:6" ht="45" outlineLevel="1" x14ac:dyDescent="0.25">
      <c r="A2129" s="125">
        <v>19</v>
      </c>
      <c r="B2129" s="133" t="s">
        <v>230</v>
      </c>
      <c r="C2129" s="128">
        <v>1</v>
      </c>
      <c r="D2129" s="115">
        <v>150</v>
      </c>
      <c r="E2129" s="127">
        <v>680.75</v>
      </c>
      <c r="F2129" s="114">
        <f t="shared" si="98"/>
        <v>102112.5</v>
      </c>
    </row>
    <row r="2130" spans="1:6" ht="75" outlineLevel="1" x14ac:dyDescent="0.25">
      <c r="A2130" s="125">
        <v>20</v>
      </c>
      <c r="B2130" s="133" t="s">
        <v>272</v>
      </c>
      <c r="C2130" s="139">
        <v>1</v>
      </c>
      <c r="D2130" s="115">
        <v>40</v>
      </c>
      <c r="E2130" s="127">
        <v>1125.2</v>
      </c>
      <c r="F2130" s="114">
        <f t="shared" si="98"/>
        <v>45008</v>
      </c>
    </row>
    <row r="2131" spans="1:6" ht="24" customHeight="1" outlineLevel="1" x14ac:dyDescent="0.25">
      <c r="A2131" s="125">
        <v>21</v>
      </c>
      <c r="B2131" s="133" t="s">
        <v>231</v>
      </c>
      <c r="C2131" s="120">
        <v>1</v>
      </c>
      <c r="D2131" s="115">
        <v>696</v>
      </c>
      <c r="E2131" s="127">
        <v>603</v>
      </c>
      <c r="F2131" s="114">
        <f t="shared" si="98"/>
        <v>419688</v>
      </c>
    </row>
    <row r="2132" spans="1:6" ht="75" outlineLevel="1" x14ac:dyDescent="0.25">
      <c r="A2132" s="125">
        <v>22</v>
      </c>
      <c r="B2132" s="133" t="s">
        <v>232</v>
      </c>
      <c r="C2132" s="120">
        <v>1</v>
      </c>
      <c r="D2132" s="115">
        <v>2220.2250000000004</v>
      </c>
      <c r="E2132" s="127">
        <v>205.4</v>
      </c>
      <c r="F2132" s="114">
        <f t="shared" si="98"/>
        <v>456034.21500000008</v>
      </c>
    </row>
    <row r="2133" spans="1:6" ht="30" outlineLevel="1" x14ac:dyDescent="0.25">
      <c r="A2133" s="125">
        <v>23</v>
      </c>
      <c r="B2133" s="133" t="s">
        <v>233</v>
      </c>
      <c r="C2133" s="113">
        <v>100</v>
      </c>
      <c r="D2133" s="115">
        <v>585.6</v>
      </c>
      <c r="E2133" s="127">
        <v>18017.599999999999</v>
      </c>
      <c r="F2133" s="114">
        <f t="shared" si="98"/>
        <v>105511.06559999999</v>
      </c>
    </row>
    <row r="2134" spans="1:6" ht="90" outlineLevel="1" x14ac:dyDescent="0.25">
      <c r="A2134" s="125">
        <v>24</v>
      </c>
      <c r="B2134" s="133" t="s">
        <v>234</v>
      </c>
      <c r="C2134" s="120">
        <v>100</v>
      </c>
      <c r="D2134" s="127">
        <v>1394.2756000000002</v>
      </c>
      <c r="E2134" s="127">
        <v>29658.5</v>
      </c>
      <c r="F2134" s="114">
        <f t="shared" si="98"/>
        <v>413521.22882600001</v>
      </c>
    </row>
    <row r="2135" spans="1:6" ht="75" outlineLevel="1" x14ac:dyDescent="0.25">
      <c r="A2135" s="125">
        <v>25</v>
      </c>
      <c r="B2135" s="133" t="s">
        <v>235</v>
      </c>
      <c r="C2135" s="120">
        <v>100</v>
      </c>
      <c r="D2135" s="127">
        <v>93.350000000000009</v>
      </c>
      <c r="E2135" s="127">
        <v>19146.849999999999</v>
      </c>
      <c r="F2135" s="114">
        <f t="shared" si="98"/>
        <v>17873.584475</v>
      </c>
    </row>
    <row r="2136" spans="1:6" ht="45" outlineLevel="1" x14ac:dyDescent="0.25">
      <c r="A2136" s="125">
        <v>26</v>
      </c>
      <c r="B2136" s="133" t="s">
        <v>236</v>
      </c>
      <c r="C2136" s="139">
        <v>1</v>
      </c>
      <c r="D2136" s="127">
        <v>723.40000000000009</v>
      </c>
      <c r="E2136" s="127">
        <v>39.6</v>
      </c>
      <c r="F2136" s="114">
        <f t="shared" si="98"/>
        <v>28646.640000000003</v>
      </c>
    </row>
    <row r="2137" spans="1:6" ht="45" outlineLevel="1" x14ac:dyDescent="0.25">
      <c r="A2137" s="125">
        <v>27</v>
      </c>
      <c r="B2137" s="138" t="s">
        <v>80</v>
      </c>
      <c r="C2137" s="139">
        <v>1</v>
      </c>
      <c r="D2137" s="115">
        <v>312.94</v>
      </c>
      <c r="E2137" s="115">
        <v>809.4</v>
      </c>
      <c r="F2137" s="114">
        <f t="shared" si="98"/>
        <v>253293.636</v>
      </c>
    </row>
    <row r="2138" spans="1:6" ht="45" outlineLevel="1" x14ac:dyDescent="0.25">
      <c r="A2138" s="125">
        <v>28</v>
      </c>
      <c r="B2138" s="135" t="s">
        <v>136</v>
      </c>
      <c r="C2138" s="122"/>
      <c r="D2138" s="115"/>
      <c r="E2138" s="127"/>
      <c r="F2138" s="137"/>
    </row>
    <row r="2139" spans="1:6" outlineLevel="1" x14ac:dyDescent="0.25">
      <c r="A2139" s="125"/>
      <c r="B2139" s="135" t="s">
        <v>176</v>
      </c>
      <c r="C2139" s="139">
        <v>1</v>
      </c>
      <c r="D2139" s="115">
        <v>350</v>
      </c>
      <c r="E2139" s="127">
        <v>112.25</v>
      </c>
      <c r="F2139" s="114">
        <f>E2139*D2139/C2139</f>
        <v>39287.5</v>
      </c>
    </row>
    <row r="2140" spans="1:6" outlineLevel="1" x14ac:dyDescent="0.25">
      <c r="A2140" s="125"/>
      <c r="B2140" s="135" t="s">
        <v>177</v>
      </c>
      <c r="C2140" s="139">
        <v>1</v>
      </c>
      <c r="D2140" s="115">
        <v>250</v>
      </c>
      <c r="E2140" s="127">
        <v>133.6</v>
      </c>
      <c r="F2140" s="114">
        <f>E2140*D2140/C2140</f>
        <v>33400</v>
      </c>
    </row>
    <row r="2141" spans="1:6" ht="75" outlineLevel="1" x14ac:dyDescent="0.25">
      <c r="A2141" s="125">
        <v>29</v>
      </c>
      <c r="B2141" s="135" t="s">
        <v>141</v>
      </c>
      <c r="C2141" s="122"/>
      <c r="D2141" s="115"/>
      <c r="E2141" s="127"/>
      <c r="F2141" s="137"/>
    </row>
    <row r="2142" spans="1:6" outlineLevel="1" x14ac:dyDescent="0.25">
      <c r="A2142" s="125"/>
      <c r="B2142" s="135" t="s">
        <v>180</v>
      </c>
      <c r="C2142" s="139">
        <v>1</v>
      </c>
      <c r="D2142" s="115">
        <v>1000</v>
      </c>
      <c r="E2142" s="127">
        <v>35.700000000000003</v>
      </c>
      <c r="F2142" s="114">
        <f>E2142*D2142/C2142</f>
        <v>35700</v>
      </c>
    </row>
    <row r="2143" spans="1:6" outlineLevel="1" x14ac:dyDescent="0.25">
      <c r="A2143" s="125"/>
      <c r="B2143" s="135" t="s">
        <v>181</v>
      </c>
      <c r="C2143" s="139">
        <v>1</v>
      </c>
      <c r="D2143" s="115">
        <v>500</v>
      </c>
      <c r="E2143" s="127">
        <v>56.3</v>
      </c>
      <c r="F2143" s="114">
        <f>E2143*D2143/C2143</f>
        <v>28150</v>
      </c>
    </row>
    <row r="2144" spans="1:6" ht="60" outlineLevel="1" x14ac:dyDescent="0.25">
      <c r="A2144" s="125">
        <v>30</v>
      </c>
      <c r="B2144" s="135" t="s">
        <v>145</v>
      </c>
      <c r="C2144" s="122"/>
      <c r="D2144" s="115"/>
      <c r="E2144" s="127"/>
      <c r="F2144" s="137"/>
    </row>
    <row r="2145" spans="1:6" outlineLevel="1" x14ac:dyDescent="0.25">
      <c r="A2145" s="125"/>
      <c r="B2145" s="135" t="s">
        <v>184</v>
      </c>
      <c r="C2145" s="132">
        <v>1</v>
      </c>
      <c r="D2145" s="115">
        <v>10</v>
      </c>
      <c r="E2145" s="127">
        <v>522.75</v>
      </c>
      <c r="F2145" s="114">
        <f t="shared" ref="F2145:F2152" si="99">E2145*D2145/C2145</f>
        <v>5227.5</v>
      </c>
    </row>
    <row r="2146" spans="1:6" ht="22.5" customHeight="1" outlineLevel="1" x14ac:dyDescent="0.25">
      <c r="A2146" s="125">
        <v>31</v>
      </c>
      <c r="B2146" s="135" t="s">
        <v>237</v>
      </c>
      <c r="C2146" s="132">
        <v>1</v>
      </c>
      <c r="D2146" s="115">
        <v>50</v>
      </c>
      <c r="E2146" s="127">
        <v>102.7</v>
      </c>
      <c r="F2146" s="114">
        <f t="shared" si="99"/>
        <v>5135</v>
      </c>
    </row>
    <row r="2147" spans="1:6" ht="30" outlineLevel="1" x14ac:dyDescent="0.25">
      <c r="A2147" s="125">
        <v>32</v>
      </c>
      <c r="B2147" s="135" t="s">
        <v>238</v>
      </c>
      <c r="C2147" s="132">
        <v>1</v>
      </c>
      <c r="D2147" s="115">
        <v>15</v>
      </c>
      <c r="E2147" s="127">
        <v>178.75</v>
      </c>
      <c r="F2147" s="114">
        <f t="shared" si="99"/>
        <v>2681.25</v>
      </c>
    </row>
    <row r="2148" spans="1:6" ht="21.75" customHeight="1" outlineLevel="1" x14ac:dyDescent="0.25">
      <c r="A2148" s="125">
        <v>33</v>
      </c>
      <c r="B2148" s="135" t="s">
        <v>150</v>
      </c>
      <c r="C2148" s="132">
        <v>1</v>
      </c>
      <c r="D2148" s="115">
        <v>15</v>
      </c>
      <c r="E2148" s="127">
        <v>96.3</v>
      </c>
      <c r="F2148" s="114">
        <f t="shared" si="99"/>
        <v>1444.5</v>
      </c>
    </row>
    <row r="2149" spans="1:6" ht="90.75" outlineLevel="1" x14ac:dyDescent="0.25">
      <c r="A2149" s="125">
        <v>34</v>
      </c>
      <c r="B2149" s="135" t="s">
        <v>239</v>
      </c>
      <c r="C2149" s="128">
        <v>1</v>
      </c>
      <c r="D2149" s="115">
        <v>1</v>
      </c>
      <c r="E2149" s="127">
        <v>5616.25</v>
      </c>
      <c r="F2149" s="114">
        <f t="shared" si="99"/>
        <v>5616.25</v>
      </c>
    </row>
    <row r="2150" spans="1:6" ht="90.75" outlineLevel="1" x14ac:dyDescent="0.25">
      <c r="A2150" s="125">
        <v>35</v>
      </c>
      <c r="B2150" s="135" t="s">
        <v>240</v>
      </c>
      <c r="C2150" s="128">
        <v>1</v>
      </c>
      <c r="D2150" s="115">
        <v>10</v>
      </c>
      <c r="E2150" s="127">
        <v>1453.75</v>
      </c>
      <c r="F2150" s="114">
        <f t="shared" si="99"/>
        <v>14537.5</v>
      </c>
    </row>
    <row r="2151" spans="1:6" ht="75" outlineLevel="1" x14ac:dyDescent="0.25">
      <c r="A2151" s="125">
        <v>36</v>
      </c>
      <c r="B2151" s="133" t="s">
        <v>298</v>
      </c>
      <c r="C2151" s="132">
        <v>1</v>
      </c>
      <c r="D2151" s="115">
        <v>10</v>
      </c>
      <c r="E2151" s="127">
        <v>11398.45</v>
      </c>
      <c r="F2151" s="114">
        <f t="shared" si="99"/>
        <v>113984.5</v>
      </c>
    </row>
    <row r="2152" spans="1:6" ht="60" outlineLevel="1" x14ac:dyDescent="0.25">
      <c r="A2152" s="125">
        <v>37</v>
      </c>
      <c r="B2152" s="135" t="s">
        <v>157</v>
      </c>
      <c r="C2152" s="128">
        <v>1</v>
      </c>
      <c r="D2152" s="115">
        <v>15</v>
      </c>
      <c r="E2152" s="127">
        <v>1995.3</v>
      </c>
      <c r="F2152" s="114">
        <f t="shared" si="99"/>
        <v>29929.5</v>
      </c>
    </row>
    <row r="2153" spans="1:6" outlineLevel="1" x14ac:dyDescent="0.25">
      <c r="A2153" s="125"/>
      <c r="B2153" s="153" t="s">
        <v>242</v>
      </c>
      <c r="C2153" s="154"/>
      <c r="D2153" s="115"/>
      <c r="E2153" s="127"/>
      <c r="F2153" s="137"/>
    </row>
    <row r="2154" spans="1:6" ht="45" outlineLevel="1" x14ac:dyDescent="0.25">
      <c r="A2154" s="125">
        <v>47</v>
      </c>
      <c r="B2154" s="119" t="s">
        <v>243</v>
      </c>
      <c r="C2154" s="113">
        <v>100</v>
      </c>
      <c r="D2154" s="115">
        <v>5141.1399999999994</v>
      </c>
      <c r="E2154" s="127">
        <v>6849</v>
      </c>
      <c r="F2154" s="114">
        <f t="shared" ref="F2154:F2161" si="100">E2154*D2154/C2154</f>
        <v>352116.67859999998</v>
      </c>
    </row>
    <row r="2155" spans="1:6" ht="30" outlineLevel="1" x14ac:dyDescent="0.25">
      <c r="A2155" s="125">
        <v>48</v>
      </c>
      <c r="B2155" s="133" t="s">
        <v>244</v>
      </c>
      <c r="C2155" s="113">
        <v>100</v>
      </c>
      <c r="D2155" s="115">
        <v>812.42</v>
      </c>
      <c r="E2155" s="127">
        <v>18564.099999999999</v>
      </c>
      <c r="F2155" s="114">
        <f t="shared" si="100"/>
        <v>150818.46121999997</v>
      </c>
    </row>
    <row r="2156" spans="1:6" ht="30" outlineLevel="1" x14ac:dyDescent="0.25">
      <c r="A2156" s="125">
        <v>49</v>
      </c>
      <c r="B2156" s="133" t="s">
        <v>245</v>
      </c>
      <c r="C2156" s="113">
        <v>100</v>
      </c>
      <c r="D2156" s="115">
        <v>812.42</v>
      </c>
      <c r="E2156" s="127">
        <v>18564.099999999999</v>
      </c>
      <c r="F2156" s="114">
        <f t="shared" si="100"/>
        <v>150818.46121999997</v>
      </c>
    </row>
    <row r="2157" spans="1:6" ht="30" outlineLevel="1" x14ac:dyDescent="0.25">
      <c r="A2157" s="125">
        <v>50</v>
      </c>
      <c r="B2157" s="133" t="s">
        <v>246</v>
      </c>
      <c r="C2157" s="113">
        <v>100</v>
      </c>
      <c r="D2157" s="115">
        <v>147.4</v>
      </c>
      <c r="E2157" s="127">
        <v>18017.599999999999</v>
      </c>
      <c r="F2157" s="114">
        <f t="shared" si="100"/>
        <v>26557.942399999996</v>
      </c>
    </row>
    <row r="2158" spans="1:6" ht="30" outlineLevel="1" x14ac:dyDescent="0.25">
      <c r="A2158" s="125">
        <v>51</v>
      </c>
      <c r="B2158" s="133" t="s">
        <v>233</v>
      </c>
      <c r="C2158" s="113">
        <v>100</v>
      </c>
      <c r="D2158" s="115">
        <v>147.4</v>
      </c>
      <c r="E2158" s="127">
        <v>18017.599999999999</v>
      </c>
      <c r="F2158" s="114">
        <f t="shared" si="100"/>
        <v>26557.942399999996</v>
      </c>
    </row>
    <row r="2159" spans="1:6" ht="30" outlineLevel="1" x14ac:dyDescent="0.25">
      <c r="A2159" s="125">
        <v>52</v>
      </c>
      <c r="B2159" s="133" t="s">
        <v>247</v>
      </c>
      <c r="C2159" s="113">
        <v>100</v>
      </c>
      <c r="D2159" s="115">
        <v>2461.88</v>
      </c>
      <c r="E2159" s="127">
        <v>11511</v>
      </c>
      <c r="F2159" s="114">
        <f t="shared" si="100"/>
        <v>283387.00679999997</v>
      </c>
    </row>
    <row r="2160" spans="1:6" ht="30" outlineLevel="1" x14ac:dyDescent="0.25">
      <c r="A2160" s="125">
        <v>53</v>
      </c>
      <c r="B2160" s="133" t="s">
        <v>248</v>
      </c>
      <c r="C2160" s="113">
        <v>100</v>
      </c>
      <c r="D2160" s="115">
        <v>446.68</v>
      </c>
      <c r="E2160" s="127">
        <v>10570.5</v>
      </c>
      <c r="F2160" s="114">
        <f t="shared" si="100"/>
        <v>47216.309400000006</v>
      </c>
    </row>
    <row r="2161" spans="1:8" ht="60" outlineLevel="1" x14ac:dyDescent="0.25">
      <c r="A2161" s="125">
        <v>54</v>
      </c>
      <c r="B2161" s="119" t="s">
        <v>363</v>
      </c>
      <c r="C2161" s="113">
        <v>100</v>
      </c>
      <c r="D2161" s="115">
        <v>36777.195240000001</v>
      </c>
      <c r="E2161" s="127">
        <v>14095.1</v>
      </c>
      <c r="F2161" s="114">
        <f t="shared" si="100"/>
        <v>5183782.4462732403</v>
      </c>
    </row>
    <row r="2162" spans="1:8" outlineLevel="1" x14ac:dyDescent="0.25">
      <c r="A2162" s="506" t="s">
        <v>43</v>
      </c>
      <c r="B2162" s="506"/>
      <c r="C2162" s="506"/>
      <c r="D2162" s="506"/>
      <c r="E2162" s="506"/>
      <c r="F2162" s="256">
        <f>SUM(F2109:F2161)</f>
        <v>76192002.708923325</v>
      </c>
      <c r="G2162" s="454">
        <v>76192002.708923325</v>
      </c>
      <c r="H2162" s="450">
        <f>G2162-F2162</f>
        <v>0</v>
      </c>
    </row>
    <row r="2163" spans="1:8" outlineLevel="1" x14ac:dyDescent="0.25">
      <c r="A2163" s="543" t="s">
        <v>364</v>
      </c>
      <c r="B2163" s="543"/>
      <c r="C2163" s="543"/>
      <c r="D2163" s="543"/>
      <c r="E2163" s="543"/>
      <c r="F2163" s="543"/>
    </row>
    <row r="2164" spans="1:8" outlineLevel="1" x14ac:dyDescent="0.25">
      <c r="A2164" s="125">
        <v>1</v>
      </c>
      <c r="B2164" s="155" t="s">
        <v>365</v>
      </c>
      <c r="C2164" s="113">
        <v>100</v>
      </c>
      <c r="D2164" s="127">
        <v>803.25</v>
      </c>
      <c r="E2164" s="127">
        <v>2633.4</v>
      </c>
      <c r="F2164" s="114">
        <f>E2164*D2164/C2164</f>
        <v>21152.785500000002</v>
      </c>
    </row>
    <row r="2165" spans="1:8" ht="30" outlineLevel="1" x14ac:dyDescent="0.25">
      <c r="A2165" s="129">
        <v>2</v>
      </c>
      <c r="B2165" s="133" t="s">
        <v>85</v>
      </c>
      <c r="C2165" s="113">
        <v>1000</v>
      </c>
      <c r="D2165" s="115">
        <v>8700</v>
      </c>
      <c r="E2165" s="115">
        <v>4640.7</v>
      </c>
      <c r="F2165" s="114">
        <f>E2165*D2165/C2165</f>
        <v>40374.089999999997</v>
      </c>
    </row>
    <row r="2166" spans="1:8" ht="75" outlineLevel="1" x14ac:dyDescent="0.25">
      <c r="A2166" s="129">
        <v>3</v>
      </c>
      <c r="B2166" s="133" t="s">
        <v>45</v>
      </c>
      <c r="C2166" s="113">
        <v>1000</v>
      </c>
      <c r="D2166" s="115">
        <v>6543.0099999999993</v>
      </c>
      <c r="E2166" s="115">
        <v>12735.6</v>
      </c>
      <c r="F2166" s="114">
        <f>E2166*D2166/C2166</f>
        <v>83329.15815599999</v>
      </c>
    </row>
    <row r="2167" spans="1:8" ht="45" outlineLevel="1" x14ac:dyDescent="0.25">
      <c r="A2167" s="125">
        <v>4</v>
      </c>
      <c r="B2167" s="135" t="s">
        <v>23</v>
      </c>
      <c r="C2167" s="122"/>
      <c r="D2167" s="115"/>
      <c r="E2167" s="127"/>
      <c r="F2167" s="127"/>
    </row>
    <row r="2168" spans="1:8" outlineLevel="1" x14ac:dyDescent="0.25">
      <c r="A2168" s="125"/>
      <c r="B2168" s="133" t="s">
        <v>24</v>
      </c>
      <c r="C2168" s="113">
        <v>100</v>
      </c>
      <c r="D2168" s="115">
        <v>435.94000000000005</v>
      </c>
      <c r="E2168" s="115">
        <v>34694.300000000003</v>
      </c>
      <c r="F2168" s="114">
        <f>E2168*D2168/C2168</f>
        <v>151246.33142000003</v>
      </c>
    </row>
    <row r="2169" spans="1:8" ht="90" outlineLevel="1" x14ac:dyDescent="0.25">
      <c r="A2169" s="125">
        <v>5</v>
      </c>
      <c r="B2169" s="133" t="s">
        <v>225</v>
      </c>
      <c r="C2169" s="131">
        <v>100</v>
      </c>
      <c r="D2169" s="115">
        <v>20607.389095527535</v>
      </c>
      <c r="E2169" s="136">
        <v>30376.9</v>
      </c>
      <c r="F2169" s="114">
        <f>E2169*D2169/C2169</f>
        <v>6259885.9781593038</v>
      </c>
    </row>
    <row r="2170" spans="1:8" ht="120.75" outlineLevel="1" x14ac:dyDescent="0.25">
      <c r="A2170" s="125">
        <v>6</v>
      </c>
      <c r="B2170" s="135" t="s">
        <v>47</v>
      </c>
      <c r="C2170" s="122"/>
      <c r="D2170" s="115"/>
      <c r="E2170" s="127">
        <v>0</v>
      </c>
      <c r="F2170" s="137"/>
    </row>
    <row r="2171" spans="1:8" ht="75" outlineLevel="1" x14ac:dyDescent="0.25">
      <c r="A2171" s="125" t="s">
        <v>58</v>
      </c>
      <c r="B2171" s="135" t="s">
        <v>100</v>
      </c>
      <c r="C2171" s="113">
        <v>1</v>
      </c>
      <c r="D2171" s="115">
        <v>4517.97</v>
      </c>
      <c r="E2171" s="115">
        <v>817.55</v>
      </c>
      <c r="F2171" s="114">
        <f>E2171*D2171/C2171</f>
        <v>3693666.3735000002</v>
      </c>
    </row>
    <row r="2172" spans="1:8" ht="75" outlineLevel="1" x14ac:dyDescent="0.25">
      <c r="A2172" s="125" t="s">
        <v>60</v>
      </c>
      <c r="B2172" s="133" t="s">
        <v>201</v>
      </c>
      <c r="C2172" s="113">
        <v>1</v>
      </c>
      <c r="D2172" s="115">
        <v>1972.18</v>
      </c>
      <c r="E2172" s="115">
        <v>670.5</v>
      </c>
      <c r="F2172" s="114">
        <f>E2172*D2172/C2172</f>
        <v>1322346.69</v>
      </c>
    </row>
    <row r="2173" spans="1:8" ht="30" outlineLevel="1" x14ac:dyDescent="0.25">
      <c r="A2173" s="125">
        <v>7</v>
      </c>
      <c r="B2173" s="133" t="s">
        <v>52</v>
      </c>
      <c r="C2173" s="120">
        <v>100</v>
      </c>
      <c r="D2173" s="115">
        <v>2183.8119999999999</v>
      </c>
      <c r="E2173" s="127">
        <v>1645.1</v>
      </c>
      <c r="F2173" s="114">
        <f>E2173*D2173/C2173</f>
        <v>35925.891211999995</v>
      </c>
    </row>
    <row r="2174" spans="1:8" ht="45" outlineLevel="1" x14ac:dyDescent="0.25">
      <c r="A2174" s="125">
        <v>8</v>
      </c>
      <c r="B2174" s="135" t="s">
        <v>129</v>
      </c>
      <c r="C2174" s="139">
        <v>1</v>
      </c>
      <c r="D2174" s="115">
        <v>6</v>
      </c>
      <c r="E2174" s="127">
        <v>514.9</v>
      </c>
      <c r="F2174" s="114">
        <f>E2174*D2174/C2174</f>
        <v>3089.3999999999996</v>
      </c>
    </row>
    <row r="2175" spans="1:8" ht="60" outlineLevel="1" x14ac:dyDescent="0.25">
      <c r="A2175" s="125">
        <v>9</v>
      </c>
      <c r="B2175" s="133" t="s">
        <v>366</v>
      </c>
      <c r="C2175" s="113">
        <v>1</v>
      </c>
      <c r="D2175" s="115">
        <v>143.55000000000001</v>
      </c>
      <c r="E2175" s="127">
        <v>17752.2</v>
      </c>
      <c r="F2175" s="114">
        <f>E2175*D2175/C2175</f>
        <v>2548328.3100000005</v>
      </c>
    </row>
    <row r="2176" spans="1:8" outlineLevel="1" x14ac:dyDescent="0.25">
      <c r="A2176" s="125"/>
      <c r="B2176" s="153" t="s">
        <v>242</v>
      </c>
      <c r="C2176" s="154"/>
      <c r="D2176" s="115"/>
      <c r="E2176" s="127"/>
      <c r="F2176" s="137"/>
    </row>
    <row r="2177" spans="1:8" ht="30" outlineLevel="1" x14ac:dyDescent="0.25">
      <c r="A2177" s="129">
        <v>1</v>
      </c>
      <c r="B2177" s="133" t="s">
        <v>85</v>
      </c>
      <c r="C2177" s="113">
        <v>1000</v>
      </c>
      <c r="D2177" s="115">
        <v>2700.32</v>
      </c>
      <c r="E2177" s="115">
        <v>4640.7</v>
      </c>
      <c r="F2177" s="114">
        <f t="shared" ref="F2177:F2187" si="101">E2177*D2177/C2177</f>
        <v>12531.375024000001</v>
      </c>
    </row>
    <row r="2178" spans="1:8" ht="45" outlineLevel="1" x14ac:dyDescent="0.25">
      <c r="A2178" s="125">
        <v>2</v>
      </c>
      <c r="B2178" s="119" t="s">
        <v>243</v>
      </c>
      <c r="C2178" s="113">
        <v>100</v>
      </c>
      <c r="D2178" s="115">
        <v>2700.32</v>
      </c>
      <c r="E2178" s="127">
        <v>6849</v>
      </c>
      <c r="F2178" s="114">
        <f t="shared" si="101"/>
        <v>184944.91680000001</v>
      </c>
    </row>
    <row r="2179" spans="1:8" outlineLevel="1" x14ac:dyDescent="0.25">
      <c r="A2179" s="125">
        <v>3</v>
      </c>
      <c r="B2179" s="119" t="s">
        <v>87</v>
      </c>
      <c r="C2179" s="120">
        <v>100</v>
      </c>
      <c r="D2179" s="115">
        <v>785.33279999999991</v>
      </c>
      <c r="E2179" s="127">
        <v>2265.1</v>
      </c>
      <c r="F2179" s="114">
        <f t="shared" si="101"/>
        <v>17788.573252799997</v>
      </c>
    </row>
    <row r="2180" spans="1:8" outlineLevel="1" x14ac:dyDescent="0.25">
      <c r="A2180" s="125">
        <v>4</v>
      </c>
      <c r="B2180" s="119" t="s">
        <v>88</v>
      </c>
      <c r="C2180" s="120">
        <v>100</v>
      </c>
      <c r="D2180" s="115">
        <v>136</v>
      </c>
      <c r="E2180" s="127">
        <v>1660.5</v>
      </c>
      <c r="F2180" s="114">
        <f t="shared" si="101"/>
        <v>2258.2800000000002</v>
      </c>
    </row>
    <row r="2181" spans="1:8" ht="30" outlineLevel="1" x14ac:dyDescent="0.25">
      <c r="A2181" s="125">
        <v>5</v>
      </c>
      <c r="B2181" s="133" t="s">
        <v>244</v>
      </c>
      <c r="C2181" s="113">
        <v>100</v>
      </c>
      <c r="D2181" s="115">
        <v>259.15982400000001</v>
      </c>
      <c r="E2181" s="127">
        <v>18564.099999999999</v>
      </c>
      <c r="F2181" s="114">
        <f t="shared" si="101"/>
        <v>48110.688887183998</v>
      </c>
    </row>
    <row r="2182" spans="1:8" ht="30" outlineLevel="1" x14ac:dyDescent="0.25">
      <c r="A2182" s="125">
        <v>6</v>
      </c>
      <c r="B2182" s="133" t="s">
        <v>245</v>
      </c>
      <c r="C2182" s="113">
        <v>100</v>
      </c>
      <c r="D2182" s="115">
        <v>259.15982400000001</v>
      </c>
      <c r="E2182" s="127">
        <v>18564.099999999999</v>
      </c>
      <c r="F2182" s="114">
        <f t="shared" si="101"/>
        <v>48110.688887183998</v>
      </c>
    </row>
    <row r="2183" spans="1:8" ht="30" outlineLevel="1" x14ac:dyDescent="0.25">
      <c r="A2183" s="125">
        <v>7</v>
      </c>
      <c r="B2183" s="133" t="s">
        <v>246</v>
      </c>
      <c r="C2183" s="113">
        <v>100</v>
      </c>
      <c r="D2183" s="115">
        <v>54.33120000000001</v>
      </c>
      <c r="E2183" s="127">
        <v>18017.599999999999</v>
      </c>
      <c r="F2183" s="114">
        <f t="shared" si="101"/>
        <v>9789.1782912000017</v>
      </c>
    </row>
    <row r="2184" spans="1:8" ht="30" outlineLevel="1" x14ac:dyDescent="0.25">
      <c r="A2184" s="125">
        <v>8</v>
      </c>
      <c r="B2184" s="133" t="s">
        <v>233</v>
      </c>
      <c r="C2184" s="113">
        <v>100</v>
      </c>
      <c r="D2184" s="115">
        <v>54.33120000000001</v>
      </c>
      <c r="E2184" s="127">
        <v>18017.599999999999</v>
      </c>
      <c r="F2184" s="114">
        <f t="shared" si="101"/>
        <v>9789.1782912000017</v>
      </c>
    </row>
    <row r="2185" spans="1:8" ht="30" outlineLevel="1" x14ac:dyDescent="0.25">
      <c r="A2185" s="125">
        <v>9</v>
      </c>
      <c r="B2185" s="133" t="s">
        <v>247</v>
      </c>
      <c r="C2185" s="113">
        <v>100</v>
      </c>
      <c r="D2185" s="115">
        <v>785.33279999999991</v>
      </c>
      <c r="E2185" s="127">
        <v>11511</v>
      </c>
      <c r="F2185" s="114">
        <f t="shared" si="101"/>
        <v>90399.658607999983</v>
      </c>
    </row>
    <row r="2186" spans="1:8" ht="30" outlineLevel="1" x14ac:dyDescent="0.25">
      <c r="A2186" s="125">
        <v>10</v>
      </c>
      <c r="B2186" s="133" t="s">
        <v>248</v>
      </c>
      <c r="C2186" s="113">
        <v>100</v>
      </c>
      <c r="D2186" s="115">
        <v>164.64</v>
      </c>
      <c r="E2186" s="127">
        <v>10570.5</v>
      </c>
      <c r="F2186" s="114">
        <f t="shared" si="101"/>
        <v>17403.271199999999</v>
      </c>
    </row>
    <row r="2187" spans="1:8" ht="60" outlineLevel="1" x14ac:dyDescent="0.25">
      <c r="A2187" s="125">
        <v>11</v>
      </c>
      <c r="B2187" s="119" t="s">
        <v>363</v>
      </c>
      <c r="C2187" s="113">
        <v>100</v>
      </c>
      <c r="D2187" s="115">
        <v>10655.627760000001</v>
      </c>
      <c r="E2187" s="127">
        <v>14095.1</v>
      </c>
      <c r="F2187" s="114">
        <f t="shared" si="101"/>
        <v>1501921.3883997602</v>
      </c>
    </row>
    <row r="2188" spans="1:8" outlineLevel="1" x14ac:dyDescent="0.25">
      <c r="A2188" s="125">
        <v>12</v>
      </c>
      <c r="B2188" s="119" t="s">
        <v>367</v>
      </c>
      <c r="C2188" s="201"/>
      <c r="D2188" s="115"/>
      <c r="E2188" s="127"/>
      <c r="F2188" s="137"/>
    </row>
    <row r="2189" spans="1:8" outlineLevel="1" x14ac:dyDescent="0.25">
      <c r="A2189" s="125"/>
      <c r="B2189" s="119" t="s">
        <v>368</v>
      </c>
      <c r="C2189" s="113">
        <v>100</v>
      </c>
      <c r="D2189" s="115">
        <v>803.25</v>
      </c>
      <c r="E2189" s="127">
        <v>-4100</v>
      </c>
      <c r="F2189" s="114">
        <f>E2189*D2189/C2189</f>
        <v>-32933.25</v>
      </c>
    </row>
    <row r="2190" spans="1:8" outlineLevel="1" x14ac:dyDescent="0.25">
      <c r="A2190" s="506" t="s">
        <v>43</v>
      </c>
      <c r="B2190" s="506"/>
      <c r="C2190" s="506"/>
      <c r="D2190" s="506"/>
      <c r="E2190" s="506"/>
      <c r="F2190" s="256">
        <f>SUM(F2164:F2189)</f>
        <v>16069458.955588631</v>
      </c>
      <c r="G2190" s="454">
        <v>16069458.955588631</v>
      </c>
      <c r="H2190" s="450">
        <f>G2190-F2190</f>
        <v>0</v>
      </c>
    </row>
    <row r="2191" spans="1:8" outlineLevel="1" x14ac:dyDescent="0.25">
      <c r="A2191" s="543" t="s">
        <v>369</v>
      </c>
      <c r="B2191" s="543"/>
      <c r="C2191" s="543"/>
      <c r="D2191" s="543"/>
      <c r="E2191" s="543"/>
      <c r="F2191" s="543"/>
    </row>
    <row r="2192" spans="1:8" ht="45" outlineLevel="1" x14ac:dyDescent="0.25">
      <c r="A2192" s="125">
        <v>1</v>
      </c>
      <c r="B2192" s="155" t="s">
        <v>64</v>
      </c>
      <c r="C2192" s="113">
        <v>100</v>
      </c>
      <c r="D2192" s="127">
        <v>1155</v>
      </c>
      <c r="E2192" s="127">
        <v>4017.8</v>
      </c>
      <c r="F2192" s="114">
        <f t="shared" ref="F2192:F2199" si="102">E2192*D2192/C2192</f>
        <v>46405.59</v>
      </c>
    </row>
    <row r="2193" spans="1:6" outlineLevel="1" x14ac:dyDescent="0.25">
      <c r="A2193" s="125">
        <v>2</v>
      </c>
      <c r="B2193" s="155" t="s">
        <v>365</v>
      </c>
      <c r="C2193" s="113">
        <v>100</v>
      </c>
      <c r="D2193" s="127">
        <v>507.9375</v>
      </c>
      <c r="E2193" s="127">
        <v>2633.4</v>
      </c>
      <c r="F2193" s="114">
        <f t="shared" si="102"/>
        <v>13376.026125</v>
      </c>
    </row>
    <row r="2194" spans="1:6" ht="45" outlineLevel="1" x14ac:dyDescent="0.25">
      <c r="A2194" s="125">
        <v>3</v>
      </c>
      <c r="B2194" s="155" t="s">
        <v>370</v>
      </c>
      <c r="C2194" s="113">
        <v>100</v>
      </c>
      <c r="D2194" s="127">
        <v>422.5</v>
      </c>
      <c r="E2194" s="127">
        <v>27086.400000000001</v>
      </c>
      <c r="F2194" s="114">
        <f t="shared" si="102"/>
        <v>114440.04</v>
      </c>
    </row>
    <row r="2195" spans="1:6" ht="30" outlineLevel="1" x14ac:dyDescent="0.25">
      <c r="A2195" s="129">
        <v>4</v>
      </c>
      <c r="B2195" s="133" t="s">
        <v>85</v>
      </c>
      <c r="C2195" s="113">
        <v>1000</v>
      </c>
      <c r="D2195" s="115">
        <v>32500</v>
      </c>
      <c r="E2195" s="115">
        <v>4640.7</v>
      </c>
      <c r="F2195" s="114">
        <f t="shared" si="102"/>
        <v>150822.75</v>
      </c>
    </row>
    <row r="2196" spans="1:6" ht="30" outlineLevel="1" x14ac:dyDescent="0.25">
      <c r="A2196" s="150">
        <v>5</v>
      </c>
      <c r="B2196" s="151" t="s">
        <v>65</v>
      </c>
      <c r="C2196" s="113">
        <v>1000</v>
      </c>
      <c r="D2196" s="115">
        <v>40500</v>
      </c>
      <c r="E2196" s="127">
        <v>10533.6</v>
      </c>
      <c r="F2196" s="114">
        <f t="shared" si="102"/>
        <v>426610.8</v>
      </c>
    </row>
    <row r="2197" spans="1:6" ht="27.75" customHeight="1" outlineLevel="1" x14ac:dyDescent="0.25">
      <c r="A2197" s="125">
        <v>6</v>
      </c>
      <c r="B2197" s="133" t="s">
        <v>66</v>
      </c>
      <c r="C2197" s="113">
        <v>1000</v>
      </c>
      <c r="D2197" s="115">
        <v>40500</v>
      </c>
      <c r="E2197" s="114">
        <v>5266.8</v>
      </c>
      <c r="F2197" s="114">
        <f t="shared" si="102"/>
        <v>213305.4</v>
      </c>
    </row>
    <row r="2198" spans="1:6" ht="105" outlineLevel="1" x14ac:dyDescent="0.25">
      <c r="A2198" s="125">
        <v>7</v>
      </c>
      <c r="B2198" s="133" t="s">
        <v>215</v>
      </c>
      <c r="C2198" s="139">
        <v>1</v>
      </c>
      <c r="D2198" s="115">
        <v>112</v>
      </c>
      <c r="E2198" s="114">
        <v>2150.35</v>
      </c>
      <c r="F2198" s="114">
        <f t="shared" si="102"/>
        <v>240839.19999999998</v>
      </c>
    </row>
    <row r="2199" spans="1:6" ht="75" outlineLevel="1" x14ac:dyDescent="0.25">
      <c r="A2199" s="129">
        <v>8</v>
      </c>
      <c r="B2199" s="133" t="s">
        <v>45</v>
      </c>
      <c r="C2199" s="113">
        <v>1000</v>
      </c>
      <c r="D2199" s="115">
        <v>2658.1</v>
      </c>
      <c r="E2199" s="115">
        <v>12735.6</v>
      </c>
      <c r="F2199" s="114">
        <f t="shared" si="102"/>
        <v>33852.498359999998</v>
      </c>
    </row>
    <row r="2200" spans="1:6" ht="45" outlineLevel="1" x14ac:dyDescent="0.25">
      <c r="A2200" s="125"/>
      <c r="B2200" s="135" t="s">
        <v>23</v>
      </c>
      <c r="C2200" s="122"/>
      <c r="D2200" s="115"/>
      <c r="E2200" s="127"/>
      <c r="F2200" s="127"/>
    </row>
    <row r="2201" spans="1:6" outlineLevel="1" x14ac:dyDescent="0.25">
      <c r="A2201" s="125">
        <v>9</v>
      </c>
      <c r="B2201" s="133" t="s">
        <v>24</v>
      </c>
      <c r="C2201" s="113">
        <v>100</v>
      </c>
      <c r="D2201" s="115">
        <v>531.56000000000006</v>
      </c>
      <c r="E2201" s="115">
        <v>34694.300000000003</v>
      </c>
      <c r="F2201" s="114">
        <f>E2201*D2201/C2201</f>
        <v>184421.02108000003</v>
      </c>
    </row>
    <row r="2202" spans="1:6" ht="90" outlineLevel="1" x14ac:dyDescent="0.25">
      <c r="A2202" s="125">
        <v>10</v>
      </c>
      <c r="B2202" s="133" t="s">
        <v>225</v>
      </c>
      <c r="C2202" s="131">
        <v>100</v>
      </c>
      <c r="D2202" s="115">
        <v>27968.819740542498</v>
      </c>
      <c r="E2202" s="136">
        <v>30376.9</v>
      </c>
      <c r="F2202" s="114">
        <f>E2202*D2202/C2202</f>
        <v>8496060.4037648551</v>
      </c>
    </row>
    <row r="2203" spans="1:6" ht="120.75" outlineLevel="1" x14ac:dyDescent="0.25">
      <c r="A2203" s="125">
        <v>11</v>
      </c>
      <c r="B2203" s="135" t="s">
        <v>47</v>
      </c>
      <c r="C2203" s="122"/>
      <c r="D2203" s="115"/>
      <c r="E2203" s="127">
        <v>0</v>
      </c>
      <c r="F2203" s="137"/>
    </row>
    <row r="2204" spans="1:6" ht="75" outlineLevel="1" x14ac:dyDescent="0.25">
      <c r="A2204" s="125" t="s">
        <v>58</v>
      </c>
      <c r="B2204" s="135" t="s">
        <v>100</v>
      </c>
      <c r="C2204" s="113">
        <v>1</v>
      </c>
      <c r="D2204" s="115">
        <v>6010.66</v>
      </c>
      <c r="E2204" s="115">
        <v>817.55</v>
      </c>
      <c r="F2204" s="114">
        <f t="shared" ref="F2204:F2211" si="103">E2204*D2204/C2204</f>
        <v>4914015.0829999996</v>
      </c>
    </row>
    <row r="2205" spans="1:6" ht="75" outlineLevel="1" x14ac:dyDescent="0.25">
      <c r="A2205" s="125" t="s">
        <v>60</v>
      </c>
      <c r="B2205" s="133" t="s">
        <v>201</v>
      </c>
      <c r="C2205" s="113">
        <v>1</v>
      </c>
      <c r="D2205" s="115">
        <v>2797.92</v>
      </c>
      <c r="E2205" s="115">
        <v>670.5</v>
      </c>
      <c r="F2205" s="114">
        <f t="shared" si="103"/>
        <v>1876005.36</v>
      </c>
    </row>
    <row r="2206" spans="1:6" ht="45" outlineLevel="1" x14ac:dyDescent="0.25">
      <c r="A2206" s="125">
        <v>12</v>
      </c>
      <c r="B2206" s="138" t="s">
        <v>80</v>
      </c>
      <c r="C2206" s="139">
        <v>1</v>
      </c>
      <c r="D2206" s="115">
        <v>51.34</v>
      </c>
      <c r="E2206" s="115">
        <v>809.4</v>
      </c>
      <c r="F2206" s="114">
        <f t="shared" si="103"/>
        <v>41554.596000000005</v>
      </c>
    </row>
    <row r="2207" spans="1:6" ht="30" outlineLevel="1" x14ac:dyDescent="0.25">
      <c r="A2207" s="125">
        <v>13</v>
      </c>
      <c r="B2207" s="133" t="s">
        <v>52</v>
      </c>
      <c r="C2207" s="120">
        <v>100</v>
      </c>
      <c r="D2207" s="115">
        <v>2047.1232</v>
      </c>
      <c r="E2207" s="127">
        <v>1645.1</v>
      </c>
      <c r="F2207" s="114">
        <f t="shared" si="103"/>
        <v>33677.223763199996</v>
      </c>
    </row>
    <row r="2208" spans="1:6" ht="45" outlineLevel="1" x14ac:dyDescent="0.25">
      <c r="A2208" s="125">
        <v>14</v>
      </c>
      <c r="B2208" s="135" t="s">
        <v>129</v>
      </c>
      <c r="C2208" s="139">
        <v>1</v>
      </c>
      <c r="D2208" s="115">
        <v>6</v>
      </c>
      <c r="E2208" s="127">
        <v>514.9</v>
      </c>
      <c r="F2208" s="114">
        <f t="shared" si="103"/>
        <v>3089.3999999999996</v>
      </c>
    </row>
    <row r="2209" spans="1:6" ht="105" outlineLevel="1" x14ac:dyDescent="0.25">
      <c r="A2209" s="125">
        <v>15</v>
      </c>
      <c r="B2209" s="155" t="s">
        <v>54</v>
      </c>
      <c r="C2209" s="113">
        <v>100</v>
      </c>
      <c r="D2209" s="115">
        <v>825</v>
      </c>
      <c r="E2209" s="115">
        <v>10003.5</v>
      </c>
      <c r="F2209" s="114">
        <f t="shared" si="103"/>
        <v>82528.875</v>
      </c>
    </row>
    <row r="2210" spans="1:6" ht="120" outlineLevel="1" x14ac:dyDescent="0.25">
      <c r="A2210" s="125">
        <v>16</v>
      </c>
      <c r="B2210" s="155" t="s">
        <v>267</v>
      </c>
      <c r="C2210" s="113">
        <v>100</v>
      </c>
      <c r="D2210" s="115">
        <v>825</v>
      </c>
      <c r="E2210" s="115">
        <v>13527.4</v>
      </c>
      <c r="F2210" s="114">
        <f t="shared" si="103"/>
        <v>111601.05</v>
      </c>
    </row>
    <row r="2211" spans="1:6" ht="24" customHeight="1" outlineLevel="1" x14ac:dyDescent="0.25">
      <c r="A2211" s="125">
        <v>17</v>
      </c>
      <c r="B2211" s="155" t="s">
        <v>268</v>
      </c>
      <c r="C2211" s="139">
        <v>1</v>
      </c>
      <c r="D2211" s="115">
        <v>200</v>
      </c>
      <c r="E2211" s="115">
        <v>64.2</v>
      </c>
      <c r="F2211" s="114">
        <f t="shared" si="103"/>
        <v>12840</v>
      </c>
    </row>
    <row r="2212" spans="1:6" ht="105" outlineLevel="1" x14ac:dyDescent="0.25">
      <c r="A2212" s="125">
        <v>18</v>
      </c>
      <c r="B2212" s="155" t="s">
        <v>269</v>
      </c>
      <c r="C2212" s="156"/>
      <c r="D2212" s="127"/>
      <c r="E2212" s="127"/>
      <c r="F2212" s="127"/>
    </row>
    <row r="2213" spans="1:6" ht="45" outlineLevel="1" x14ac:dyDescent="0.25">
      <c r="A2213" s="125" t="s">
        <v>58</v>
      </c>
      <c r="B2213" s="155" t="s">
        <v>59</v>
      </c>
      <c r="C2213" s="120">
        <v>100</v>
      </c>
      <c r="D2213" s="127">
        <v>1650</v>
      </c>
      <c r="E2213" s="127">
        <v>4549.95</v>
      </c>
      <c r="F2213" s="114">
        <f>E2213*D2213/C2213</f>
        <v>75074.175000000003</v>
      </c>
    </row>
    <row r="2214" spans="1:6" ht="45" outlineLevel="1" x14ac:dyDescent="0.25">
      <c r="A2214" s="125" t="s">
        <v>60</v>
      </c>
      <c r="B2214" s="155" t="s">
        <v>61</v>
      </c>
      <c r="C2214" s="120">
        <v>100</v>
      </c>
      <c r="D2214" s="127">
        <v>1650</v>
      </c>
      <c r="E2214" s="127">
        <v>2639.45</v>
      </c>
      <c r="F2214" s="114">
        <f>E2214*D2214/C2214</f>
        <v>43550.925000000003</v>
      </c>
    </row>
    <row r="2215" spans="1:6" ht="45" outlineLevel="1" x14ac:dyDescent="0.25">
      <c r="A2215" s="125" t="s">
        <v>62</v>
      </c>
      <c r="B2215" s="155" t="s">
        <v>63</v>
      </c>
      <c r="C2215" s="120">
        <v>100</v>
      </c>
      <c r="D2215" s="127">
        <v>1650</v>
      </c>
      <c r="E2215" s="127">
        <v>1960.75</v>
      </c>
      <c r="F2215" s="114">
        <f>E2215*D2215/C2215</f>
        <v>32352.375</v>
      </c>
    </row>
    <row r="2216" spans="1:6" outlineLevel="1" x14ac:dyDescent="0.25">
      <c r="A2216" s="125"/>
      <c r="B2216" s="153" t="s">
        <v>242</v>
      </c>
      <c r="C2216" s="154"/>
      <c r="D2216" s="115"/>
      <c r="E2216" s="127"/>
      <c r="F2216" s="127"/>
    </row>
    <row r="2217" spans="1:6" ht="30" outlineLevel="1" x14ac:dyDescent="0.25">
      <c r="A2217" s="129">
        <v>19</v>
      </c>
      <c r="B2217" s="133" t="s">
        <v>85</v>
      </c>
      <c r="C2217" s="113">
        <v>1000</v>
      </c>
      <c r="D2217" s="115">
        <v>967.12999999999988</v>
      </c>
      <c r="E2217" s="115">
        <v>4640.7</v>
      </c>
      <c r="F2217" s="114">
        <f t="shared" ref="F2217:F2227" si="104">E2217*D2217/C2217</f>
        <v>4488.1601909999999</v>
      </c>
    </row>
    <row r="2218" spans="1:6" ht="45" outlineLevel="1" x14ac:dyDescent="0.25">
      <c r="A2218" s="125">
        <v>20</v>
      </c>
      <c r="B2218" s="119" t="s">
        <v>243</v>
      </c>
      <c r="C2218" s="113">
        <v>100</v>
      </c>
      <c r="D2218" s="115">
        <v>967.12999999999988</v>
      </c>
      <c r="E2218" s="127">
        <v>6849</v>
      </c>
      <c r="F2218" s="114">
        <f t="shared" si="104"/>
        <v>66238.733699999997</v>
      </c>
    </row>
    <row r="2219" spans="1:6" ht="21" customHeight="1" outlineLevel="1" x14ac:dyDescent="0.25">
      <c r="A2219" s="125">
        <v>21</v>
      </c>
      <c r="B2219" s="119" t="s">
        <v>87</v>
      </c>
      <c r="C2219" s="120">
        <v>100</v>
      </c>
      <c r="D2219" s="115">
        <v>614.72448000000009</v>
      </c>
      <c r="E2219" s="127">
        <v>2265.1</v>
      </c>
      <c r="F2219" s="114">
        <f t="shared" si="104"/>
        <v>13924.124196480001</v>
      </c>
    </row>
    <row r="2220" spans="1:6" ht="21" customHeight="1" outlineLevel="1" x14ac:dyDescent="0.25">
      <c r="A2220" s="125">
        <v>22</v>
      </c>
      <c r="B2220" s="119" t="s">
        <v>88</v>
      </c>
      <c r="C2220" s="120">
        <v>100</v>
      </c>
      <c r="D2220" s="115">
        <v>96</v>
      </c>
      <c r="E2220" s="127">
        <v>1660.5</v>
      </c>
      <c r="F2220" s="114">
        <f t="shared" si="104"/>
        <v>1594.08</v>
      </c>
    </row>
    <row r="2221" spans="1:6" ht="30" outlineLevel="1" x14ac:dyDescent="0.25">
      <c r="A2221" s="125">
        <v>23</v>
      </c>
      <c r="B2221" s="133" t="s">
        <v>244</v>
      </c>
      <c r="C2221" s="113">
        <v>100</v>
      </c>
      <c r="D2221" s="115">
        <v>202.85907840000004</v>
      </c>
      <c r="E2221" s="127">
        <v>18564.099999999999</v>
      </c>
      <c r="F2221" s="114">
        <f t="shared" si="104"/>
        <v>37658.962173254404</v>
      </c>
    </row>
    <row r="2222" spans="1:6" ht="30" outlineLevel="1" x14ac:dyDescent="0.25">
      <c r="A2222" s="125">
        <v>24</v>
      </c>
      <c r="B2222" s="133" t="s">
        <v>245</v>
      </c>
      <c r="C2222" s="113">
        <v>100</v>
      </c>
      <c r="D2222" s="115">
        <v>202.85907840000004</v>
      </c>
      <c r="E2222" s="127">
        <v>18564.099999999999</v>
      </c>
      <c r="F2222" s="114">
        <f t="shared" si="104"/>
        <v>37658.962173254404</v>
      </c>
    </row>
    <row r="2223" spans="1:6" ht="30" outlineLevel="1" x14ac:dyDescent="0.25">
      <c r="A2223" s="125">
        <v>25</v>
      </c>
      <c r="B2223" s="133" t="s">
        <v>246</v>
      </c>
      <c r="C2223" s="113">
        <v>100</v>
      </c>
      <c r="D2223" s="115">
        <v>31.68</v>
      </c>
      <c r="E2223" s="127">
        <v>18017.599999999999</v>
      </c>
      <c r="F2223" s="114">
        <f t="shared" si="104"/>
        <v>5707.9756799999996</v>
      </c>
    </row>
    <row r="2224" spans="1:6" ht="30" outlineLevel="1" x14ac:dyDescent="0.25">
      <c r="A2224" s="125">
        <v>26</v>
      </c>
      <c r="B2224" s="133" t="s">
        <v>233</v>
      </c>
      <c r="C2224" s="113">
        <v>100</v>
      </c>
      <c r="D2224" s="115">
        <v>31.68</v>
      </c>
      <c r="E2224" s="127">
        <v>18017.599999999999</v>
      </c>
      <c r="F2224" s="114">
        <f t="shared" si="104"/>
        <v>5707.9756799999996</v>
      </c>
    </row>
    <row r="2225" spans="1:8" ht="30" outlineLevel="1" x14ac:dyDescent="0.25">
      <c r="A2225" s="125">
        <v>27</v>
      </c>
      <c r="B2225" s="133" t="s">
        <v>247</v>
      </c>
      <c r="C2225" s="113">
        <v>100</v>
      </c>
      <c r="D2225" s="115">
        <v>614.72448000000009</v>
      </c>
      <c r="E2225" s="127">
        <v>11511</v>
      </c>
      <c r="F2225" s="114">
        <f t="shared" si="104"/>
        <v>70760.934892800011</v>
      </c>
    </row>
    <row r="2226" spans="1:8" ht="30" outlineLevel="1" x14ac:dyDescent="0.25">
      <c r="A2226" s="125">
        <v>28</v>
      </c>
      <c r="B2226" s="133" t="s">
        <v>248</v>
      </c>
      <c r="C2226" s="113">
        <v>100</v>
      </c>
      <c r="D2226" s="115">
        <v>96</v>
      </c>
      <c r="E2226" s="127">
        <v>10570.5</v>
      </c>
      <c r="F2226" s="114">
        <f t="shared" si="104"/>
        <v>10147.68</v>
      </c>
    </row>
    <row r="2227" spans="1:8" ht="60" outlineLevel="1" x14ac:dyDescent="0.25">
      <c r="A2227" s="125">
        <v>29</v>
      </c>
      <c r="B2227" s="119" t="s">
        <v>363</v>
      </c>
      <c r="C2227" s="113">
        <v>100</v>
      </c>
      <c r="D2227" s="115">
        <v>11198.249675999999</v>
      </c>
      <c r="E2227" s="127">
        <v>14095.1</v>
      </c>
      <c r="F2227" s="114">
        <f t="shared" si="104"/>
        <v>1578404.4900818758</v>
      </c>
    </row>
    <row r="2228" spans="1:8" outlineLevel="1" x14ac:dyDescent="0.25">
      <c r="A2228" s="125">
        <v>30</v>
      </c>
      <c r="B2228" s="119" t="s">
        <v>367</v>
      </c>
      <c r="C2228" s="201"/>
      <c r="D2228" s="115"/>
      <c r="E2228" s="127"/>
      <c r="F2228" s="137"/>
    </row>
    <row r="2229" spans="1:8" outlineLevel="1" x14ac:dyDescent="0.25">
      <c r="A2229" s="125" t="s">
        <v>58</v>
      </c>
      <c r="B2229" s="119" t="s">
        <v>371</v>
      </c>
      <c r="C2229" s="131">
        <v>1</v>
      </c>
      <c r="D2229" s="115">
        <v>1267.5</v>
      </c>
      <c r="E2229" s="127">
        <v>-170</v>
      </c>
      <c r="F2229" s="114">
        <f>E2229*D2229/C2229</f>
        <v>-215475</v>
      </c>
    </row>
    <row r="2230" spans="1:8" outlineLevel="1" x14ac:dyDescent="0.25">
      <c r="A2230" s="125" t="s">
        <v>60</v>
      </c>
      <c r="B2230" s="119" t="s">
        <v>368</v>
      </c>
      <c r="C2230" s="113">
        <v>100</v>
      </c>
      <c r="D2230" s="115">
        <v>507.94</v>
      </c>
      <c r="E2230" s="127">
        <v>-4100</v>
      </c>
      <c r="F2230" s="114">
        <f>E2230*D2230/C2230</f>
        <v>-20825.54</v>
      </c>
    </row>
    <row r="2231" spans="1:8" outlineLevel="1" x14ac:dyDescent="0.25">
      <c r="A2231" s="506" t="s">
        <v>43</v>
      </c>
      <c r="B2231" s="506"/>
      <c r="C2231" s="506"/>
      <c r="D2231" s="506"/>
      <c r="E2231" s="506"/>
      <c r="F2231" s="256">
        <f>SUM(F2192:F2230)</f>
        <v>18742414.330861721</v>
      </c>
      <c r="G2231" s="454">
        <v>18742414.330861721</v>
      </c>
      <c r="H2231" s="450">
        <f>G2231-F2231</f>
        <v>0</v>
      </c>
    </row>
    <row r="2232" spans="1:8" outlineLevel="1" x14ac:dyDescent="0.25">
      <c r="A2232" s="543" t="s">
        <v>372</v>
      </c>
      <c r="B2232" s="543"/>
      <c r="C2232" s="543"/>
      <c r="D2232" s="543"/>
      <c r="E2232" s="543"/>
      <c r="F2232" s="543"/>
    </row>
    <row r="2233" spans="1:8" ht="75" outlineLevel="1" x14ac:dyDescent="0.25">
      <c r="A2233" s="129">
        <v>1</v>
      </c>
      <c r="B2233" s="133" t="s">
        <v>45</v>
      </c>
      <c r="C2233" s="113">
        <v>1000</v>
      </c>
      <c r="D2233" s="115">
        <v>19789.769999999997</v>
      </c>
      <c r="E2233" s="115">
        <v>12735.6</v>
      </c>
      <c r="F2233" s="114">
        <f>E2233*D2233/C2233</f>
        <v>252034.59481199997</v>
      </c>
    </row>
    <row r="2234" spans="1:8" ht="45" outlineLevel="1" x14ac:dyDescent="0.25">
      <c r="A2234" s="125">
        <v>2</v>
      </c>
      <c r="B2234" s="135" t="s">
        <v>23</v>
      </c>
      <c r="C2234" s="126"/>
      <c r="D2234" s="115"/>
      <c r="E2234" s="127">
        <v>0</v>
      </c>
      <c r="F2234" s="127"/>
    </row>
    <row r="2235" spans="1:8" outlineLevel="1" x14ac:dyDescent="0.25">
      <c r="A2235" s="125"/>
      <c r="B2235" s="133" t="s">
        <v>24</v>
      </c>
      <c r="C2235" s="113">
        <v>100</v>
      </c>
      <c r="D2235" s="115">
        <v>358.89</v>
      </c>
      <c r="E2235" s="115">
        <v>34694.300000000003</v>
      </c>
      <c r="F2235" s="114">
        <f>E2235*D2235/C2235</f>
        <v>124514.37327000001</v>
      </c>
    </row>
    <row r="2236" spans="1:8" outlineLevel="1" x14ac:dyDescent="0.25">
      <c r="A2236" s="125"/>
      <c r="B2236" s="133" t="s">
        <v>125</v>
      </c>
      <c r="C2236" s="113">
        <v>100</v>
      </c>
      <c r="D2236" s="115">
        <v>100.31</v>
      </c>
      <c r="E2236" s="115">
        <v>47135.9</v>
      </c>
      <c r="F2236" s="114">
        <f>E2236*D2236/C2236</f>
        <v>47282.021290000004</v>
      </c>
    </row>
    <row r="2237" spans="1:8" ht="90" outlineLevel="1" x14ac:dyDescent="0.25">
      <c r="A2237" s="125">
        <v>3</v>
      </c>
      <c r="B2237" s="133" t="s">
        <v>225</v>
      </c>
      <c r="C2237" s="131">
        <v>100</v>
      </c>
      <c r="D2237" s="115">
        <v>12287.594121382563</v>
      </c>
      <c r="E2237" s="136">
        <v>30376.9</v>
      </c>
      <c r="F2237" s="114">
        <f>E2237*D2237/C2237</f>
        <v>3732590.17865826</v>
      </c>
    </row>
    <row r="2238" spans="1:8" ht="120.75" outlineLevel="1" x14ac:dyDescent="0.25">
      <c r="A2238" s="125">
        <v>4</v>
      </c>
      <c r="B2238" s="135" t="s">
        <v>47</v>
      </c>
      <c r="C2238" s="122"/>
      <c r="D2238" s="115"/>
      <c r="E2238" s="127">
        <v>0</v>
      </c>
      <c r="F2238" s="137"/>
    </row>
    <row r="2239" spans="1:8" ht="75" outlineLevel="1" x14ac:dyDescent="0.25">
      <c r="A2239" s="125" t="s">
        <v>58</v>
      </c>
      <c r="B2239" s="135" t="s">
        <v>100</v>
      </c>
      <c r="C2239" s="122">
        <v>1</v>
      </c>
      <c r="D2239" s="115">
        <v>2130.79</v>
      </c>
      <c r="E2239" s="115">
        <v>817.55</v>
      </c>
      <c r="F2239" s="114">
        <f>E2239*D2239/C2239</f>
        <v>1742027.3644999999</v>
      </c>
    </row>
    <row r="2240" spans="1:8" ht="75" outlineLevel="1" x14ac:dyDescent="0.25">
      <c r="A2240" s="125" t="s">
        <v>60</v>
      </c>
      <c r="B2240" s="133" t="s">
        <v>201</v>
      </c>
      <c r="C2240" s="126">
        <v>1</v>
      </c>
      <c r="D2240" s="115">
        <v>1739.1</v>
      </c>
      <c r="E2240" s="115">
        <v>670.5</v>
      </c>
      <c r="F2240" s="114">
        <f>E2240*D2240/C2240</f>
        <v>1166066.55</v>
      </c>
    </row>
    <row r="2241" spans="1:6" ht="30" outlineLevel="1" x14ac:dyDescent="0.25">
      <c r="A2241" s="125">
        <v>5</v>
      </c>
      <c r="B2241" s="133" t="s">
        <v>52</v>
      </c>
      <c r="C2241" s="120">
        <v>100</v>
      </c>
      <c r="D2241" s="115">
        <v>978.12239999999997</v>
      </c>
      <c r="E2241" s="127">
        <v>1645.1</v>
      </c>
      <c r="F2241" s="114">
        <f>E2241*D2241/C2241</f>
        <v>16091.091602399998</v>
      </c>
    </row>
    <row r="2242" spans="1:6" ht="45" outlineLevel="1" x14ac:dyDescent="0.25">
      <c r="A2242" s="125">
        <v>6</v>
      </c>
      <c r="B2242" s="135" t="s">
        <v>129</v>
      </c>
      <c r="C2242" s="139">
        <v>1</v>
      </c>
      <c r="D2242" s="115">
        <v>6</v>
      </c>
      <c r="E2242" s="127">
        <v>514.9</v>
      </c>
      <c r="F2242" s="114">
        <f>E2242*D2242/C2242</f>
        <v>3089.3999999999996</v>
      </c>
    </row>
    <row r="2243" spans="1:6" outlineLevel="1" x14ac:dyDescent="0.25">
      <c r="A2243" s="125"/>
      <c r="B2243" s="218" t="s">
        <v>242</v>
      </c>
      <c r="C2243" s="154"/>
      <c r="D2243" s="115"/>
      <c r="E2243" s="127"/>
      <c r="F2243" s="137"/>
    </row>
    <row r="2244" spans="1:6" ht="30" outlineLevel="1" x14ac:dyDescent="0.25">
      <c r="A2244" s="129">
        <v>7</v>
      </c>
      <c r="B2244" s="133" t="s">
        <v>85</v>
      </c>
      <c r="C2244" s="113">
        <v>1000</v>
      </c>
      <c r="D2244" s="115">
        <v>967.12999999999988</v>
      </c>
      <c r="E2244" s="115">
        <v>4640.7</v>
      </c>
      <c r="F2244" s="114">
        <f t="shared" ref="F2244:F2254" si="105">E2244*D2244/C2244</f>
        <v>4488.1601909999999</v>
      </c>
    </row>
    <row r="2245" spans="1:6" ht="45" outlineLevel="1" x14ac:dyDescent="0.25">
      <c r="A2245" s="125">
        <v>8</v>
      </c>
      <c r="B2245" s="119" t="s">
        <v>243</v>
      </c>
      <c r="C2245" s="113">
        <v>100</v>
      </c>
      <c r="D2245" s="115">
        <v>967.12999999999988</v>
      </c>
      <c r="E2245" s="127">
        <v>6849</v>
      </c>
      <c r="F2245" s="114">
        <f t="shared" si="105"/>
        <v>66238.733699999997</v>
      </c>
    </row>
    <row r="2246" spans="1:6" ht="21.75" customHeight="1" outlineLevel="1" x14ac:dyDescent="0.25">
      <c r="A2246" s="125">
        <v>9</v>
      </c>
      <c r="B2246" s="119" t="s">
        <v>87</v>
      </c>
      <c r="C2246" s="120">
        <v>100</v>
      </c>
      <c r="D2246" s="115">
        <v>594.53279999999995</v>
      </c>
      <c r="E2246" s="127">
        <v>2265.1</v>
      </c>
      <c r="F2246" s="114">
        <f t="shared" si="105"/>
        <v>13466.7624528</v>
      </c>
    </row>
    <row r="2247" spans="1:6" ht="21.75" customHeight="1" outlineLevel="1" x14ac:dyDescent="0.25">
      <c r="A2247" s="125">
        <v>10</v>
      </c>
      <c r="B2247" s="119" t="s">
        <v>88</v>
      </c>
      <c r="C2247" s="120">
        <v>100</v>
      </c>
      <c r="D2247" s="115">
        <v>96</v>
      </c>
      <c r="E2247" s="127">
        <v>1660.5</v>
      </c>
      <c r="F2247" s="114">
        <f t="shared" si="105"/>
        <v>1594.08</v>
      </c>
    </row>
    <row r="2248" spans="1:6" ht="30" outlineLevel="1" x14ac:dyDescent="0.25">
      <c r="A2248" s="125">
        <v>11</v>
      </c>
      <c r="B2248" s="133" t="s">
        <v>244</v>
      </c>
      <c r="C2248" s="113">
        <v>100</v>
      </c>
      <c r="D2248" s="115">
        <v>196.19582400000002</v>
      </c>
      <c r="E2248" s="127">
        <v>18564.099999999999</v>
      </c>
      <c r="F2248" s="114">
        <f t="shared" si="105"/>
        <v>36421.988963183998</v>
      </c>
    </row>
    <row r="2249" spans="1:6" ht="30" outlineLevel="1" x14ac:dyDescent="0.25">
      <c r="A2249" s="125">
        <v>12</v>
      </c>
      <c r="B2249" s="133" t="s">
        <v>245</v>
      </c>
      <c r="C2249" s="113">
        <v>100</v>
      </c>
      <c r="D2249" s="115">
        <v>196.19582400000002</v>
      </c>
      <c r="E2249" s="127">
        <v>18564.099999999999</v>
      </c>
      <c r="F2249" s="114">
        <f t="shared" si="105"/>
        <v>36421.988963183998</v>
      </c>
    </row>
    <row r="2250" spans="1:6" ht="30" outlineLevel="1" x14ac:dyDescent="0.25">
      <c r="A2250" s="125">
        <v>13</v>
      </c>
      <c r="B2250" s="133" t="s">
        <v>246</v>
      </c>
      <c r="C2250" s="113">
        <v>100</v>
      </c>
      <c r="D2250" s="115">
        <v>31.68</v>
      </c>
      <c r="E2250" s="127">
        <v>18017.599999999999</v>
      </c>
      <c r="F2250" s="114">
        <f t="shared" si="105"/>
        <v>5707.9756799999996</v>
      </c>
    </row>
    <row r="2251" spans="1:6" ht="30" outlineLevel="1" x14ac:dyDescent="0.25">
      <c r="A2251" s="125">
        <v>14</v>
      </c>
      <c r="B2251" s="133" t="s">
        <v>233</v>
      </c>
      <c r="C2251" s="113">
        <v>100</v>
      </c>
      <c r="D2251" s="115">
        <v>31.68</v>
      </c>
      <c r="E2251" s="127">
        <v>18017.599999999999</v>
      </c>
      <c r="F2251" s="114">
        <f t="shared" si="105"/>
        <v>5707.9756799999996</v>
      </c>
    </row>
    <row r="2252" spans="1:6" ht="30" outlineLevel="1" x14ac:dyDescent="0.25">
      <c r="A2252" s="125">
        <v>15</v>
      </c>
      <c r="B2252" s="133" t="s">
        <v>247</v>
      </c>
      <c r="C2252" s="113">
        <v>100</v>
      </c>
      <c r="D2252" s="115">
        <v>594.53279999999995</v>
      </c>
      <c r="E2252" s="127">
        <v>11511</v>
      </c>
      <c r="F2252" s="114">
        <f t="shared" si="105"/>
        <v>68436.670607999986</v>
      </c>
    </row>
    <row r="2253" spans="1:6" ht="30" outlineLevel="1" x14ac:dyDescent="0.25">
      <c r="A2253" s="125">
        <v>16</v>
      </c>
      <c r="B2253" s="133" t="s">
        <v>248</v>
      </c>
      <c r="C2253" s="113">
        <v>100</v>
      </c>
      <c r="D2253" s="115">
        <v>96</v>
      </c>
      <c r="E2253" s="127">
        <v>10570.5</v>
      </c>
      <c r="F2253" s="114">
        <f t="shared" si="105"/>
        <v>10147.68</v>
      </c>
    </row>
    <row r="2254" spans="1:6" ht="60" outlineLevel="1" x14ac:dyDescent="0.25">
      <c r="A2254" s="125">
        <v>17</v>
      </c>
      <c r="B2254" s="119" t="s">
        <v>363</v>
      </c>
      <c r="C2254" s="113">
        <v>100</v>
      </c>
      <c r="D2254" s="115">
        <v>5817.7796600000001</v>
      </c>
      <c r="E2254" s="127">
        <v>14095.1</v>
      </c>
      <c r="F2254" s="114">
        <f t="shared" si="105"/>
        <v>820021.86085666006</v>
      </c>
    </row>
    <row r="2255" spans="1:6" outlineLevel="1" x14ac:dyDescent="0.25">
      <c r="A2255" s="506" t="s">
        <v>43</v>
      </c>
      <c r="B2255" s="506"/>
      <c r="C2255" s="506"/>
      <c r="D2255" s="506"/>
      <c r="E2255" s="506"/>
      <c r="F2255" s="256">
        <f>SUM(F2233:F2254)</f>
        <v>8152349.451227488</v>
      </c>
    </row>
    <row r="2256" spans="1:6" outlineLevel="1" x14ac:dyDescent="0.25">
      <c r="A2256" s="543" t="s">
        <v>373</v>
      </c>
      <c r="B2256" s="543"/>
      <c r="C2256" s="543"/>
      <c r="D2256" s="543"/>
      <c r="E2256" s="543"/>
      <c r="F2256" s="543"/>
    </row>
    <row r="2257" spans="1:6" ht="75" outlineLevel="1" x14ac:dyDescent="0.25">
      <c r="A2257" s="129">
        <v>1</v>
      </c>
      <c r="B2257" s="133" t="s">
        <v>45</v>
      </c>
      <c r="C2257" s="113">
        <v>1000</v>
      </c>
      <c r="D2257" s="115">
        <v>23091.93</v>
      </c>
      <c r="E2257" s="115">
        <v>12735.6</v>
      </c>
      <c r="F2257" s="114">
        <f>E2257*D2257/C2257</f>
        <v>294089.58370800002</v>
      </c>
    </row>
    <row r="2258" spans="1:6" ht="45" outlineLevel="1" x14ac:dyDescent="0.25">
      <c r="A2258" s="125">
        <v>2</v>
      </c>
      <c r="B2258" s="135" t="s">
        <v>23</v>
      </c>
      <c r="C2258" s="126"/>
      <c r="D2258" s="115"/>
      <c r="E2258" s="127">
        <v>0</v>
      </c>
      <c r="F2258" s="127"/>
    </row>
    <row r="2259" spans="1:6" outlineLevel="1" x14ac:dyDescent="0.25">
      <c r="A2259" s="125"/>
      <c r="B2259" s="133" t="s">
        <v>24</v>
      </c>
      <c r="C2259" s="113">
        <v>100</v>
      </c>
      <c r="D2259" s="115">
        <v>358.89</v>
      </c>
      <c r="E2259" s="115">
        <v>34694.300000000003</v>
      </c>
      <c r="F2259" s="114">
        <f>E2259*D2259/C2259</f>
        <v>124514.37327000001</v>
      </c>
    </row>
    <row r="2260" spans="1:6" outlineLevel="1" x14ac:dyDescent="0.25">
      <c r="A2260" s="125"/>
      <c r="B2260" s="133" t="s">
        <v>125</v>
      </c>
      <c r="C2260" s="113">
        <v>100</v>
      </c>
      <c r="D2260" s="115">
        <v>100.31</v>
      </c>
      <c r="E2260" s="115">
        <v>47135.9</v>
      </c>
      <c r="F2260" s="114">
        <f>E2260*D2260/C2260</f>
        <v>47282.021290000004</v>
      </c>
    </row>
    <row r="2261" spans="1:6" ht="90" outlineLevel="1" x14ac:dyDescent="0.25">
      <c r="A2261" s="125">
        <v>3</v>
      </c>
      <c r="B2261" s="133" t="s">
        <v>225</v>
      </c>
      <c r="C2261" s="131">
        <v>100</v>
      </c>
      <c r="D2261" s="115">
        <v>15546.375759775012</v>
      </c>
      <c r="E2261" s="136">
        <v>30376.9</v>
      </c>
      <c r="F2261" s="114">
        <f>E2261*D2261/C2261</f>
        <v>4722507.0181710962</v>
      </c>
    </row>
    <row r="2262" spans="1:6" ht="120.75" outlineLevel="1" x14ac:dyDescent="0.25">
      <c r="A2262" s="125">
        <v>4</v>
      </c>
      <c r="B2262" s="135" t="s">
        <v>47</v>
      </c>
      <c r="C2262" s="122"/>
      <c r="D2262" s="115"/>
      <c r="E2262" s="127">
        <v>0</v>
      </c>
      <c r="F2262" s="137"/>
    </row>
    <row r="2263" spans="1:6" ht="75" outlineLevel="1" x14ac:dyDescent="0.25">
      <c r="A2263" s="125" t="s">
        <v>58</v>
      </c>
      <c r="B2263" s="135" t="s">
        <v>100</v>
      </c>
      <c r="C2263" s="122">
        <v>1</v>
      </c>
      <c r="D2263" s="115">
        <v>3157.12</v>
      </c>
      <c r="E2263" s="115">
        <v>817.55</v>
      </c>
      <c r="F2263" s="114">
        <f>E2263*D2263/C2263</f>
        <v>2581103.4559999998</v>
      </c>
    </row>
    <row r="2264" spans="1:6" ht="75" outlineLevel="1" x14ac:dyDescent="0.25">
      <c r="A2264" s="125" t="s">
        <v>60</v>
      </c>
      <c r="B2264" s="133" t="s">
        <v>201</v>
      </c>
      <c r="C2264" s="126">
        <v>1</v>
      </c>
      <c r="D2264" s="115">
        <v>1739.1</v>
      </c>
      <c r="E2264" s="115">
        <v>670.5</v>
      </c>
      <c r="F2264" s="114">
        <f>E2264*D2264/C2264</f>
        <v>1166066.55</v>
      </c>
    </row>
    <row r="2265" spans="1:6" ht="30" outlineLevel="1" x14ac:dyDescent="0.25">
      <c r="A2265" s="125">
        <v>5</v>
      </c>
      <c r="B2265" s="133" t="s">
        <v>52</v>
      </c>
      <c r="C2265" s="120">
        <v>100</v>
      </c>
      <c r="D2265" s="115">
        <v>1471.4803999999999</v>
      </c>
      <c r="E2265" s="127">
        <v>1645.1</v>
      </c>
      <c r="F2265" s="114">
        <f>E2265*D2265/C2265</f>
        <v>24207.324060399998</v>
      </c>
    </row>
    <row r="2266" spans="1:6" ht="45" outlineLevel="1" x14ac:dyDescent="0.25">
      <c r="A2266" s="125">
        <v>6</v>
      </c>
      <c r="B2266" s="135" t="s">
        <v>129</v>
      </c>
      <c r="C2266" s="139">
        <v>1</v>
      </c>
      <c r="D2266" s="115">
        <v>6</v>
      </c>
      <c r="E2266" s="127">
        <v>514.9</v>
      </c>
      <c r="F2266" s="114">
        <f>E2266*D2266/C2266</f>
        <v>3089.3999999999996</v>
      </c>
    </row>
    <row r="2267" spans="1:6" outlineLevel="1" x14ac:dyDescent="0.25">
      <c r="A2267" s="125"/>
      <c r="B2267" s="218" t="s">
        <v>242</v>
      </c>
      <c r="C2267" s="154"/>
      <c r="D2267" s="115"/>
      <c r="E2267" s="127"/>
      <c r="F2267" s="137"/>
    </row>
    <row r="2268" spans="1:6" ht="30" outlineLevel="1" x14ac:dyDescent="0.25">
      <c r="A2268" s="129">
        <v>7</v>
      </c>
      <c r="B2268" s="133" t="s">
        <v>85</v>
      </c>
      <c r="C2268" s="113">
        <v>1000</v>
      </c>
      <c r="D2268" s="115">
        <v>967.12999999999988</v>
      </c>
      <c r="E2268" s="115">
        <v>4640.7</v>
      </c>
      <c r="F2268" s="114">
        <f t="shared" ref="F2268:F2278" si="106">E2268*D2268/C2268</f>
        <v>4488.1601909999999</v>
      </c>
    </row>
    <row r="2269" spans="1:6" ht="45" outlineLevel="1" x14ac:dyDescent="0.25">
      <c r="A2269" s="125">
        <v>8</v>
      </c>
      <c r="B2269" s="119" t="s">
        <v>243</v>
      </c>
      <c r="C2269" s="113">
        <v>100</v>
      </c>
      <c r="D2269" s="115">
        <v>967.12999999999988</v>
      </c>
      <c r="E2269" s="127">
        <v>6849</v>
      </c>
      <c r="F2269" s="114">
        <f t="shared" si="106"/>
        <v>66238.733699999997</v>
      </c>
    </row>
    <row r="2270" spans="1:6" ht="23.25" customHeight="1" outlineLevel="1" x14ac:dyDescent="0.25">
      <c r="A2270" s="125">
        <v>9</v>
      </c>
      <c r="B2270" s="119" t="s">
        <v>87</v>
      </c>
      <c r="C2270" s="120">
        <v>100</v>
      </c>
      <c r="D2270" s="115">
        <v>594.53279999999995</v>
      </c>
      <c r="E2270" s="127">
        <v>2265.1</v>
      </c>
      <c r="F2270" s="114">
        <f t="shared" si="106"/>
        <v>13466.7624528</v>
      </c>
    </row>
    <row r="2271" spans="1:6" ht="23.25" customHeight="1" outlineLevel="1" x14ac:dyDescent="0.25">
      <c r="A2271" s="125">
        <v>10</v>
      </c>
      <c r="B2271" s="119" t="s">
        <v>88</v>
      </c>
      <c r="C2271" s="120">
        <v>100</v>
      </c>
      <c r="D2271" s="115">
        <v>96</v>
      </c>
      <c r="E2271" s="127">
        <v>1660.5</v>
      </c>
      <c r="F2271" s="114">
        <f t="shared" si="106"/>
        <v>1594.08</v>
      </c>
    </row>
    <row r="2272" spans="1:6" ht="30" outlineLevel="1" x14ac:dyDescent="0.25">
      <c r="A2272" s="125">
        <v>11</v>
      </c>
      <c r="B2272" s="133" t="s">
        <v>244</v>
      </c>
      <c r="C2272" s="113">
        <v>100</v>
      </c>
      <c r="D2272" s="115">
        <v>196.19582400000002</v>
      </c>
      <c r="E2272" s="127">
        <v>18564.099999999999</v>
      </c>
      <c r="F2272" s="114">
        <f t="shared" si="106"/>
        <v>36421.988963183998</v>
      </c>
    </row>
    <row r="2273" spans="1:8" ht="30" outlineLevel="1" x14ac:dyDescent="0.25">
      <c r="A2273" s="125">
        <v>12</v>
      </c>
      <c r="B2273" s="133" t="s">
        <v>245</v>
      </c>
      <c r="C2273" s="113">
        <v>100</v>
      </c>
      <c r="D2273" s="115">
        <v>196.19582400000002</v>
      </c>
      <c r="E2273" s="127">
        <v>18564.099999999999</v>
      </c>
      <c r="F2273" s="114">
        <f t="shared" si="106"/>
        <v>36421.988963183998</v>
      </c>
    </row>
    <row r="2274" spans="1:8" ht="30" outlineLevel="1" x14ac:dyDescent="0.25">
      <c r="A2274" s="125">
        <v>13</v>
      </c>
      <c r="B2274" s="133" t="s">
        <v>246</v>
      </c>
      <c r="C2274" s="113">
        <v>100</v>
      </c>
      <c r="D2274" s="115">
        <v>31.68</v>
      </c>
      <c r="E2274" s="127">
        <v>18017.599999999999</v>
      </c>
      <c r="F2274" s="114">
        <f t="shared" si="106"/>
        <v>5707.9756799999996</v>
      </c>
    </row>
    <row r="2275" spans="1:8" ht="30" outlineLevel="1" x14ac:dyDescent="0.25">
      <c r="A2275" s="125">
        <v>14</v>
      </c>
      <c r="B2275" s="133" t="s">
        <v>233</v>
      </c>
      <c r="C2275" s="113">
        <v>100</v>
      </c>
      <c r="D2275" s="115">
        <v>31.68</v>
      </c>
      <c r="E2275" s="127">
        <v>18017.599999999999</v>
      </c>
      <c r="F2275" s="114">
        <f t="shared" si="106"/>
        <v>5707.9756799999996</v>
      </c>
    </row>
    <row r="2276" spans="1:8" ht="30" outlineLevel="1" x14ac:dyDescent="0.25">
      <c r="A2276" s="125">
        <v>15</v>
      </c>
      <c r="B2276" s="133" t="s">
        <v>247</v>
      </c>
      <c r="C2276" s="113">
        <v>100</v>
      </c>
      <c r="D2276" s="115">
        <v>594.53279999999995</v>
      </c>
      <c r="E2276" s="127">
        <v>11511</v>
      </c>
      <c r="F2276" s="114">
        <f t="shared" si="106"/>
        <v>68436.670607999986</v>
      </c>
    </row>
    <row r="2277" spans="1:8" ht="30" outlineLevel="1" x14ac:dyDescent="0.25">
      <c r="A2277" s="125">
        <v>16</v>
      </c>
      <c r="B2277" s="133" t="s">
        <v>248</v>
      </c>
      <c r="C2277" s="113">
        <v>100</v>
      </c>
      <c r="D2277" s="115">
        <v>96</v>
      </c>
      <c r="E2277" s="127">
        <v>10570.5</v>
      </c>
      <c r="F2277" s="114">
        <f t="shared" si="106"/>
        <v>10147.68</v>
      </c>
    </row>
    <row r="2278" spans="1:8" ht="60" outlineLevel="1" x14ac:dyDescent="0.25">
      <c r="A2278" s="125">
        <v>17</v>
      </c>
      <c r="B2278" s="119" t="s">
        <v>363</v>
      </c>
      <c r="C2278" s="113">
        <v>100</v>
      </c>
      <c r="D2278" s="115">
        <v>6679.8968599999989</v>
      </c>
      <c r="E2278" s="127">
        <v>14095.1</v>
      </c>
      <c r="F2278" s="114">
        <f t="shared" si="106"/>
        <v>941538.14231385989</v>
      </c>
    </row>
    <row r="2279" spans="1:8" outlineLevel="1" x14ac:dyDescent="0.25">
      <c r="A2279" s="506" t="s">
        <v>43</v>
      </c>
      <c r="B2279" s="506"/>
      <c r="C2279" s="506"/>
      <c r="D2279" s="506"/>
      <c r="E2279" s="506"/>
      <c r="F2279" s="72">
        <f>SUM(F2257:F2278)</f>
        <v>10153029.885051524</v>
      </c>
    </row>
    <row r="2280" spans="1:8" outlineLevel="1" x14ac:dyDescent="0.25">
      <c r="A2280" s="563" t="s">
        <v>374</v>
      </c>
      <c r="B2280" s="563"/>
      <c r="C2280" s="563"/>
      <c r="D2280" s="563"/>
      <c r="E2280" s="563"/>
      <c r="F2280" s="451">
        <f>F2279+F2255</f>
        <v>18305379.336279012</v>
      </c>
      <c r="G2280" s="454">
        <v>18305379.336279012</v>
      </c>
      <c r="H2280" s="450">
        <f>G2280-F2280</f>
        <v>0</v>
      </c>
    </row>
    <row r="2281" spans="1:8" outlineLevel="1" x14ac:dyDescent="0.25">
      <c r="A2281" s="543" t="s">
        <v>375</v>
      </c>
      <c r="B2281" s="543"/>
      <c r="C2281" s="543"/>
      <c r="D2281" s="543"/>
      <c r="E2281" s="543"/>
      <c r="F2281" s="543"/>
    </row>
    <row r="2282" spans="1:8" outlineLevel="1" x14ac:dyDescent="0.25">
      <c r="A2282" s="129">
        <v>1</v>
      </c>
      <c r="B2282" s="133" t="s">
        <v>365</v>
      </c>
      <c r="C2282" s="113">
        <v>100</v>
      </c>
      <c r="D2282" s="115">
        <v>803.25</v>
      </c>
      <c r="E2282" s="115">
        <v>2633.4</v>
      </c>
      <c r="F2282" s="115">
        <v>21152.785500000002</v>
      </c>
    </row>
    <row r="2283" spans="1:8" ht="30" outlineLevel="1" x14ac:dyDescent="0.25">
      <c r="A2283" s="125">
        <v>2</v>
      </c>
      <c r="B2283" s="135" t="s">
        <v>85</v>
      </c>
      <c r="C2283" s="113">
        <v>1000</v>
      </c>
      <c r="D2283" s="115">
        <v>8700</v>
      </c>
      <c r="E2283" s="115">
        <v>4640.7</v>
      </c>
      <c r="F2283" s="115">
        <v>40374.089999999997</v>
      </c>
    </row>
    <row r="2284" spans="1:8" ht="75" outlineLevel="1" x14ac:dyDescent="0.25">
      <c r="A2284" s="125">
        <v>3</v>
      </c>
      <c r="B2284" s="133" t="s">
        <v>45</v>
      </c>
      <c r="C2284" s="113">
        <v>1000</v>
      </c>
      <c r="D2284" s="115">
        <v>6543.0099999999993</v>
      </c>
      <c r="E2284" s="115">
        <v>12735.6</v>
      </c>
      <c r="F2284" s="115">
        <v>83329.15815599999</v>
      </c>
    </row>
    <row r="2285" spans="1:8" ht="45" outlineLevel="1" x14ac:dyDescent="0.25">
      <c r="A2285" s="125">
        <v>4</v>
      </c>
      <c r="B2285" s="133" t="s">
        <v>23</v>
      </c>
      <c r="C2285" s="113"/>
      <c r="D2285" s="115"/>
      <c r="E2285" s="136"/>
      <c r="F2285" s="115"/>
    </row>
    <row r="2286" spans="1:8" outlineLevel="1" x14ac:dyDescent="0.25">
      <c r="A2286" s="125"/>
      <c r="B2286" s="133" t="s">
        <v>24</v>
      </c>
      <c r="C2286" s="113">
        <v>100</v>
      </c>
      <c r="D2286" s="115">
        <v>435.94000000000005</v>
      </c>
      <c r="E2286" s="136">
        <v>34694.300000000003</v>
      </c>
      <c r="F2286" s="115">
        <v>151246.33142000003</v>
      </c>
    </row>
    <row r="2287" spans="1:8" ht="90" outlineLevel="1" x14ac:dyDescent="0.25">
      <c r="A2287" s="125">
        <v>5</v>
      </c>
      <c r="B2287" s="133" t="s">
        <v>225</v>
      </c>
      <c r="C2287" s="131">
        <v>100</v>
      </c>
      <c r="D2287" s="115">
        <v>20607.389095527535</v>
      </c>
      <c r="E2287" s="136">
        <v>30376.9</v>
      </c>
      <c r="F2287" s="115">
        <v>6259885.9781593038</v>
      </c>
    </row>
    <row r="2288" spans="1:8" ht="120" outlineLevel="1" x14ac:dyDescent="0.25">
      <c r="A2288" s="125">
        <v>6</v>
      </c>
      <c r="B2288" s="133" t="s">
        <v>99</v>
      </c>
      <c r="C2288" s="131"/>
      <c r="D2288" s="115"/>
      <c r="E2288" s="136">
        <v>0</v>
      </c>
      <c r="F2288" s="115"/>
    </row>
    <row r="2289" spans="1:6" ht="75" outlineLevel="1" x14ac:dyDescent="0.25">
      <c r="A2289" s="125" t="s">
        <v>58</v>
      </c>
      <c r="B2289" s="133" t="s">
        <v>100</v>
      </c>
      <c r="C2289" s="113">
        <v>1</v>
      </c>
      <c r="D2289" s="115">
        <v>4517.97</v>
      </c>
      <c r="E2289" s="136">
        <v>817.55</v>
      </c>
      <c r="F2289" s="115">
        <v>3693666.3735000002</v>
      </c>
    </row>
    <row r="2290" spans="1:6" ht="75" outlineLevel="1" x14ac:dyDescent="0.25">
      <c r="A2290" s="125" t="s">
        <v>60</v>
      </c>
      <c r="B2290" s="133" t="s">
        <v>201</v>
      </c>
      <c r="C2290" s="113">
        <v>1</v>
      </c>
      <c r="D2290" s="115">
        <v>1972.18</v>
      </c>
      <c r="E2290" s="136">
        <v>670.5</v>
      </c>
      <c r="F2290" s="115">
        <v>1322346.69</v>
      </c>
    </row>
    <row r="2291" spans="1:6" ht="30" outlineLevel="1" x14ac:dyDescent="0.25">
      <c r="A2291" s="125">
        <v>7</v>
      </c>
      <c r="B2291" s="133" t="s">
        <v>52</v>
      </c>
      <c r="C2291" s="120">
        <v>100</v>
      </c>
      <c r="D2291" s="115">
        <v>2183.8119999999999</v>
      </c>
      <c r="E2291" s="136">
        <v>1645.1</v>
      </c>
      <c r="F2291" s="115">
        <v>35925.891211999995</v>
      </c>
    </row>
    <row r="2292" spans="1:6" ht="45" outlineLevel="1" x14ac:dyDescent="0.25">
      <c r="A2292" s="125">
        <v>8</v>
      </c>
      <c r="B2292" s="133" t="s">
        <v>129</v>
      </c>
      <c r="C2292" s="139">
        <v>1</v>
      </c>
      <c r="D2292" s="115">
        <v>6</v>
      </c>
      <c r="E2292" s="136">
        <v>514.9</v>
      </c>
      <c r="F2292" s="115">
        <v>3089.3999999999996</v>
      </c>
    </row>
    <row r="2293" spans="1:6" ht="60" outlineLevel="1" x14ac:dyDescent="0.25">
      <c r="A2293" s="125">
        <v>9</v>
      </c>
      <c r="B2293" s="135" t="s">
        <v>366</v>
      </c>
      <c r="C2293" s="113">
        <v>1</v>
      </c>
      <c r="D2293" s="115">
        <v>143.55000000000001</v>
      </c>
      <c r="E2293" s="127">
        <v>17752.2</v>
      </c>
      <c r="F2293" s="115">
        <v>2548328.3100000005</v>
      </c>
    </row>
    <row r="2294" spans="1:6" ht="19.5" customHeight="1" outlineLevel="1" x14ac:dyDescent="0.25">
      <c r="A2294" s="125"/>
      <c r="B2294" s="452" t="s">
        <v>242</v>
      </c>
      <c r="C2294" s="113"/>
      <c r="D2294" s="115"/>
      <c r="E2294" s="115"/>
      <c r="F2294" s="115"/>
    </row>
    <row r="2295" spans="1:6" ht="47.25" customHeight="1" outlineLevel="1" x14ac:dyDescent="0.25">
      <c r="A2295" s="125">
        <v>9</v>
      </c>
      <c r="B2295" s="135" t="s">
        <v>85</v>
      </c>
      <c r="C2295" s="113">
        <v>1000</v>
      </c>
      <c r="D2295" s="115">
        <v>2700.32</v>
      </c>
      <c r="E2295" s="115">
        <v>4640.7</v>
      </c>
      <c r="F2295" s="115">
        <v>12531.375024000001</v>
      </c>
    </row>
    <row r="2296" spans="1:6" ht="51" customHeight="1" outlineLevel="1" x14ac:dyDescent="0.25">
      <c r="A2296" s="125">
        <v>10</v>
      </c>
      <c r="B2296" s="133" t="s">
        <v>243</v>
      </c>
      <c r="C2296" s="113">
        <v>100</v>
      </c>
      <c r="D2296" s="115">
        <v>2700.32</v>
      </c>
      <c r="E2296" s="127">
        <v>6849</v>
      </c>
      <c r="F2296" s="115">
        <v>184944.91680000001</v>
      </c>
    </row>
    <row r="2297" spans="1:6" ht="28.5" customHeight="1" outlineLevel="1" x14ac:dyDescent="0.25">
      <c r="A2297" s="150">
        <v>11</v>
      </c>
      <c r="B2297" s="151" t="s">
        <v>87</v>
      </c>
      <c r="C2297" s="120">
        <v>100</v>
      </c>
      <c r="D2297" s="115">
        <v>785.33279999999991</v>
      </c>
      <c r="E2297" s="127">
        <v>2265.1</v>
      </c>
      <c r="F2297" s="115">
        <v>17788.573252799997</v>
      </c>
    </row>
    <row r="2298" spans="1:6" ht="21.75" customHeight="1" outlineLevel="1" x14ac:dyDescent="0.25">
      <c r="A2298" s="125">
        <v>12</v>
      </c>
      <c r="B2298" s="133" t="s">
        <v>88</v>
      </c>
      <c r="C2298" s="120">
        <v>100</v>
      </c>
      <c r="D2298" s="115">
        <v>136</v>
      </c>
      <c r="E2298" s="114">
        <v>1660.5</v>
      </c>
      <c r="F2298" s="115">
        <v>2258.2800000000002</v>
      </c>
    </row>
    <row r="2299" spans="1:6" ht="30" outlineLevel="1" x14ac:dyDescent="0.25">
      <c r="A2299" s="125">
        <v>13</v>
      </c>
      <c r="B2299" s="133" t="s">
        <v>244</v>
      </c>
      <c r="C2299" s="113">
        <v>100</v>
      </c>
      <c r="D2299" s="115">
        <v>259.15982400000001</v>
      </c>
      <c r="E2299" s="114">
        <v>18564.099999999999</v>
      </c>
      <c r="F2299" s="115">
        <v>48110.688887183998</v>
      </c>
    </row>
    <row r="2300" spans="1:6" ht="30" outlineLevel="1" x14ac:dyDescent="0.25">
      <c r="A2300" s="125">
        <v>14</v>
      </c>
      <c r="B2300" s="133" t="s">
        <v>245</v>
      </c>
      <c r="C2300" s="113">
        <v>100</v>
      </c>
      <c r="D2300" s="115">
        <v>259.15982400000001</v>
      </c>
      <c r="E2300" s="114">
        <v>18564.099999999999</v>
      </c>
      <c r="F2300" s="115">
        <v>48110.688887183998</v>
      </c>
    </row>
    <row r="2301" spans="1:6" ht="30" outlineLevel="1" x14ac:dyDescent="0.25">
      <c r="A2301" s="125">
        <v>15</v>
      </c>
      <c r="B2301" s="133" t="s">
        <v>246</v>
      </c>
      <c r="C2301" s="113">
        <v>100</v>
      </c>
      <c r="D2301" s="115">
        <v>54.33120000000001</v>
      </c>
      <c r="E2301" s="114">
        <v>18017.599999999999</v>
      </c>
      <c r="F2301" s="115">
        <v>9789.1782912000017</v>
      </c>
    </row>
    <row r="2302" spans="1:6" ht="31.5" customHeight="1" outlineLevel="1" x14ac:dyDescent="0.25">
      <c r="A2302" s="125">
        <v>16</v>
      </c>
      <c r="B2302" s="133" t="s">
        <v>233</v>
      </c>
      <c r="C2302" s="113">
        <v>100</v>
      </c>
      <c r="D2302" s="127">
        <v>54.33120000000001</v>
      </c>
      <c r="E2302" s="127">
        <v>18017.599999999999</v>
      </c>
      <c r="F2302" s="115">
        <v>9789.1782912000017</v>
      </c>
    </row>
    <row r="2303" spans="1:6" ht="30" outlineLevel="1" x14ac:dyDescent="0.25">
      <c r="A2303" s="125">
        <v>17</v>
      </c>
      <c r="B2303" s="133" t="s">
        <v>247</v>
      </c>
      <c r="C2303" s="113">
        <v>100</v>
      </c>
      <c r="D2303" s="127">
        <v>785.33279999999991</v>
      </c>
      <c r="E2303" s="127">
        <v>11511</v>
      </c>
      <c r="F2303" s="115">
        <v>90399.658607999983</v>
      </c>
    </row>
    <row r="2304" spans="1:6" ht="30" outlineLevel="1" x14ac:dyDescent="0.25">
      <c r="A2304" s="125">
        <v>18</v>
      </c>
      <c r="B2304" s="133" t="s">
        <v>248</v>
      </c>
      <c r="C2304" s="113">
        <v>100</v>
      </c>
      <c r="D2304" s="115">
        <v>164.64</v>
      </c>
      <c r="E2304" s="127">
        <v>10570.5</v>
      </c>
      <c r="F2304" s="115">
        <v>17403.271199999999</v>
      </c>
    </row>
    <row r="2305" spans="1:8" ht="63.75" customHeight="1" outlineLevel="1" x14ac:dyDescent="0.25">
      <c r="A2305" s="125">
        <v>19</v>
      </c>
      <c r="B2305" s="119" t="s">
        <v>363</v>
      </c>
      <c r="C2305" s="113">
        <v>100</v>
      </c>
      <c r="D2305" s="115">
        <v>10655.627760000001</v>
      </c>
      <c r="E2305" s="127">
        <v>14095.1</v>
      </c>
      <c r="F2305" s="115">
        <v>1501921.3883997602</v>
      </c>
    </row>
    <row r="2306" spans="1:8" outlineLevel="1" x14ac:dyDescent="0.25">
      <c r="A2306" s="125">
        <v>20</v>
      </c>
      <c r="B2306" s="119" t="s">
        <v>367</v>
      </c>
      <c r="C2306" s="131"/>
      <c r="D2306" s="115"/>
      <c r="E2306" s="127"/>
      <c r="F2306" s="115"/>
    </row>
    <row r="2307" spans="1:8" outlineLevel="1" x14ac:dyDescent="0.25">
      <c r="A2307" s="125" t="s">
        <v>58</v>
      </c>
      <c r="B2307" s="119" t="s">
        <v>368</v>
      </c>
      <c r="C2307" s="113">
        <v>100</v>
      </c>
      <c r="D2307" s="115">
        <v>803.25</v>
      </c>
      <c r="E2307" s="127">
        <v>-4100</v>
      </c>
      <c r="F2307" s="115">
        <v>-32933.25</v>
      </c>
    </row>
    <row r="2308" spans="1:8" outlineLevel="1" x14ac:dyDescent="0.25">
      <c r="A2308" s="506" t="s">
        <v>73</v>
      </c>
      <c r="B2308" s="506"/>
      <c r="C2308" s="506"/>
      <c r="D2308" s="506"/>
      <c r="E2308" s="506"/>
      <c r="F2308" s="256">
        <f>SUM(F2282:F2307)</f>
        <v>16069458.955588631</v>
      </c>
      <c r="G2308" s="454">
        <v>16069459</v>
      </c>
      <c r="H2308" s="450">
        <f>G2308-F2308</f>
        <v>4.4411368668079376E-2</v>
      </c>
    </row>
    <row r="2309" spans="1:8" outlineLevel="1" x14ac:dyDescent="0.25">
      <c r="A2309" s="543" t="s">
        <v>376</v>
      </c>
      <c r="B2309" s="543"/>
      <c r="C2309" s="543"/>
      <c r="D2309" s="543"/>
      <c r="E2309" s="543"/>
      <c r="F2309" s="543"/>
    </row>
    <row r="2310" spans="1:8" ht="75" outlineLevel="1" x14ac:dyDescent="0.25">
      <c r="A2310" s="129">
        <v>1</v>
      </c>
      <c r="B2310" s="133" t="s">
        <v>108</v>
      </c>
      <c r="C2310" s="113">
        <v>1000</v>
      </c>
      <c r="D2310" s="115">
        <v>2724.4595415989997</v>
      </c>
      <c r="E2310" s="115">
        <v>15824.15</v>
      </c>
      <c r="F2310" s="114">
        <f>E2310*D2310/C2310</f>
        <v>43112.256455193812</v>
      </c>
    </row>
    <row r="2311" spans="1:8" ht="105" outlineLevel="1" x14ac:dyDescent="0.25">
      <c r="A2311" s="129">
        <v>2</v>
      </c>
      <c r="B2311" s="145" t="s">
        <v>109</v>
      </c>
      <c r="C2311" s="120">
        <v>1</v>
      </c>
      <c r="D2311" s="115">
        <v>2542.5</v>
      </c>
      <c r="E2311" s="127">
        <v>12.55</v>
      </c>
      <c r="F2311" s="114">
        <f>E2311*D2311/C2311</f>
        <v>31908.375</v>
      </c>
    </row>
    <row r="2312" spans="1:8" ht="45" outlineLevel="1" x14ac:dyDescent="0.25">
      <c r="A2312" s="125">
        <v>3</v>
      </c>
      <c r="B2312" s="135" t="s">
        <v>23</v>
      </c>
      <c r="C2312" s="126"/>
      <c r="D2312" s="115">
        <v>0</v>
      </c>
      <c r="E2312" s="127">
        <v>0</v>
      </c>
      <c r="F2312" s="127">
        <v>0</v>
      </c>
    </row>
    <row r="2313" spans="1:8" outlineLevel="1" x14ac:dyDescent="0.25">
      <c r="A2313" s="125"/>
      <c r="B2313" s="133" t="s">
        <v>24</v>
      </c>
      <c r="C2313" s="113">
        <v>100</v>
      </c>
      <c r="D2313" s="115">
        <v>528.06222162400002</v>
      </c>
      <c r="E2313" s="115">
        <v>34694.300000000003</v>
      </c>
      <c r="F2313" s="114">
        <f t="shared" ref="F2313:F2318" si="107">E2313*D2313/C2313</f>
        <v>183207.49135689545</v>
      </c>
    </row>
    <row r="2314" spans="1:8" ht="30" outlineLevel="1" x14ac:dyDescent="0.25">
      <c r="A2314" s="125">
        <v>4</v>
      </c>
      <c r="B2314" s="135" t="s">
        <v>25</v>
      </c>
      <c r="C2314" s="113">
        <v>100</v>
      </c>
      <c r="D2314" s="115">
        <v>1575.2</v>
      </c>
      <c r="E2314" s="115">
        <v>32675.95</v>
      </c>
      <c r="F2314" s="114">
        <f t="shared" si="107"/>
        <v>514711.56440000003</v>
      </c>
    </row>
    <row r="2315" spans="1:8" ht="60" outlineLevel="1" x14ac:dyDescent="0.25">
      <c r="A2315" s="125">
        <v>5</v>
      </c>
      <c r="B2315" s="135" t="s">
        <v>110</v>
      </c>
      <c r="C2315" s="120">
        <v>100</v>
      </c>
      <c r="D2315" s="115">
        <v>322.5</v>
      </c>
      <c r="E2315" s="115">
        <v>11460.2</v>
      </c>
      <c r="F2315" s="114">
        <f t="shared" si="107"/>
        <v>36959.145000000004</v>
      </c>
    </row>
    <row r="2316" spans="1:8" ht="60" outlineLevel="1" x14ac:dyDescent="0.25">
      <c r="A2316" s="125">
        <v>6</v>
      </c>
      <c r="B2316" s="133" t="s">
        <v>111</v>
      </c>
      <c r="C2316" s="120">
        <v>100</v>
      </c>
      <c r="D2316" s="115">
        <v>600</v>
      </c>
      <c r="E2316" s="115">
        <v>7607.35</v>
      </c>
      <c r="F2316" s="114">
        <f t="shared" si="107"/>
        <v>45644.1</v>
      </c>
    </row>
    <row r="2317" spans="1:8" ht="30" outlineLevel="1" x14ac:dyDescent="0.25">
      <c r="A2317" s="125">
        <v>7</v>
      </c>
      <c r="B2317" s="135" t="s">
        <v>112</v>
      </c>
      <c r="C2317" s="113">
        <v>1000</v>
      </c>
      <c r="D2317" s="115">
        <v>750</v>
      </c>
      <c r="E2317" s="115">
        <v>7547.75</v>
      </c>
      <c r="F2317" s="114">
        <f t="shared" si="107"/>
        <v>5660.8125</v>
      </c>
    </row>
    <row r="2318" spans="1:8" ht="30" outlineLevel="1" x14ac:dyDescent="0.25">
      <c r="A2318" s="125">
        <v>8</v>
      </c>
      <c r="B2318" s="133" t="s">
        <v>173</v>
      </c>
      <c r="C2318" s="113">
        <v>100</v>
      </c>
      <c r="D2318" s="115">
        <v>1454.5</v>
      </c>
      <c r="E2318" s="115">
        <v>35830.6</v>
      </c>
      <c r="F2318" s="114">
        <f t="shared" si="107"/>
        <v>521156.07699999993</v>
      </c>
    </row>
    <row r="2319" spans="1:8" ht="120.75" outlineLevel="1" x14ac:dyDescent="0.25">
      <c r="A2319" s="546">
        <v>9</v>
      </c>
      <c r="B2319" s="135" t="s">
        <v>47</v>
      </c>
      <c r="C2319" s="122"/>
      <c r="D2319" s="115">
        <v>0</v>
      </c>
      <c r="E2319" s="115"/>
      <c r="F2319" s="115"/>
    </row>
    <row r="2320" spans="1:8" ht="75" outlineLevel="1" x14ac:dyDescent="0.25">
      <c r="A2320" s="546"/>
      <c r="B2320" s="135" t="s">
        <v>174</v>
      </c>
      <c r="C2320" s="122">
        <v>1</v>
      </c>
      <c r="D2320" s="115">
        <v>770.82899999999995</v>
      </c>
      <c r="E2320" s="115">
        <v>741.85</v>
      </c>
      <c r="F2320" s="114">
        <f t="shared" ref="F2320:F2329" si="108">E2320*D2320/C2320</f>
        <v>571839.49364999996</v>
      </c>
    </row>
    <row r="2321" spans="1:6" ht="75" outlineLevel="1" x14ac:dyDescent="0.25">
      <c r="A2321" s="146">
        <v>10</v>
      </c>
      <c r="B2321" s="133" t="s">
        <v>175</v>
      </c>
      <c r="C2321" s="122">
        <v>1</v>
      </c>
      <c r="D2321" s="115">
        <v>92.0390625</v>
      </c>
      <c r="E2321" s="115">
        <v>595</v>
      </c>
      <c r="F2321" s="114">
        <f t="shared" si="108"/>
        <v>54763.2421875</v>
      </c>
    </row>
    <row r="2322" spans="1:6" ht="90" outlineLevel="1" x14ac:dyDescent="0.25">
      <c r="A2322" s="147">
        <v>11</v>
      </c>
      <c r="B2322" s="135" t="s">
        <v>116</v>
      </c>
      <c r="C2322" s="131">
        <v>100</v>
      </c>
      <c r="D2322" s="115">
        <v>5177.2083750000002</v>
      </c>
      <c r="E2322" s="115">
        <v>30376.9</v>
      </c>
      <c r="F2322" s="114">
        <f t="shared" si="108"/>
        <v>1572675.4108653751</v>
      </c>
    </row>
    <row r="2323" spans="1:6" ht="180" outlineLevel="1" x14ac:dyDescent="0.25">
      <c r="A2323" s="125">
        <v>12</v>
      </c>
      <c r="B2323" s="135" t="s">
        <v>117</v>
      </c>
      <c r="C2323" s="120">
        <v>1</v>
      </c>
      <c r="D2323" s="115">
        <v>160</v>
      </c>
      <c r="E2323" s="115">
        <v>2180.6999999999998</v>
      </c>
      <c r="F2323" s="114">
        <f t="shared" si="108"/>
        <v>348912</v>
      </c>
    </row>
    <row r="2324" spans="1:6" ht="60" outlineLevel="1" x14ac:dyDescent="0.25">
      <c r="A2324" s="125">
        <v>13</v>
      </c>
      <c r="B2324" s="135" t="s">
        <v>118</v>
      </c>
      <c r="C2324" s="120">
        <v>1</v>
      </c>
      <c r="D2324" s="115">
        <v>200</v>
      </c>
      <c r="E2324" s="115">
        <v>457.1</v>
      </c>
      <c r="F2324" s="114">
        <f t="shared" si="108"/>
        <v>91420</v>
      </c>
    </row>
    <row r="2325" spans="1:6" ht="45" outlineLevel="1" x14ac:dyDescent="0.25">
      <c r="A2325" s="125">
        <v>14</v>
      </c>
      <c r="B2325" s="135" t="s">
        <v>119</v>
      </c>
      <c r="C2325" s="120">
        <v>1</v>
      </c>
      <c r="D2325" s="115">
        <v>245</v>
      </c>
      <c r="E2325" s="115">
        <v>2767</v>
      </c>
      <c r="F2325" s="114">
        <f t="shared" si="108"/>
        <v>677915</v>
      </c>
    </row>
    <row r="2326" spans="1:6" ht="75" outlineLevel="1" x14ac:dyDescent="0.25">
      <c r="A2326" s="129">
        <v>15</v>
      </c>
      <c r="B2326" s="135" t="s">
        <v>120</v>
      </c>
      <c r="C2326" s="120">
        <v>100</v>
      </c>
      <c r="D2326" s="115">
        <v>477.8125</v>
      </c>
      <c r="E2326" s="115">
        <v>13179.6</v>
      </c>
      <c r="F2326" s="114">
        <f t="shared" si="108"/>
        <v>62973.776250000003</v>
      </c>
    </row>
    <row r="2327" spans="1:6" ht="30" outlineLevel="1" x14ac:dyDescent="0.25">
      <c r="A2327" s="129">
        <v>16</v>
      </c>
      <c r="B2327" s="135" t="s">
        <v>121</v>
      </c>
      <c r="C2327" s="120">
        <v>1</v>
      </c>
      <c r="D2327" s="115">
        <v>497.8125</v>
      </c>
      <c r="E2327" s="115">
        <v>11</v>
      </c>
      <c r="F2327" s="114">
        <f t="shared" si="108"/>
        <v>5475.9375</v>
      </c>
    </row>
    <row r="2328" spans="1:6" ht="22.5" customHeight="1" outlineLevel="1" x14ac:dyDescent="0.25">
      <c r="A2328" s="125">
        <v>17</v>
      </c>
      <c r="B2328" s="135" t="s">
        <v>122</v>
      </c>
      <c r="C2328" s="113">
        <v>100</v>
      </c>
      <c r="D2328" s="115">
        <v>204.6875</v>
      </c>
      <c r="E2328" s="127">
        <v>3987</v>
      </c>
      <c r="F2328" s="114">
        <f t="shared" si="108"/>
        <v>8160.890625</v>
      </c>
    </row>
    <row r="2329" spans="1:6" ht="45" outlineLevel="1" x14ac:dyDescent="0.25">
      <c r="A2329" s="129">
        <v>18</v>
      </c>
      <c r="B2329" s="135" t="s">
        <v>123</v>
      </c>
      <c r="C2329" s="113">
        <v>100</v>
      </c>
      <c r="D2329" s="115">
        <v>244.6875</v>
      </c>
      <c r="E2329" s="127">
        <v>12801.2</v>
      </c>
      <c r="F2329" s="114">
        <f t="shared" si="108"/>
        <v>31322.936249999999</v>
      </c>
    </row>
    <row r="2330" spans="1:6" ht="45" outlineLevel="1" x14ac:dyDescent="0.25">
      <c r="A2330" s="546">
        <v>19</v>
      </c>
      <c r="B2330" s="112" t="s">
        <v>124</v>
      </c>
      <c r="C2330" s="122"/>
      <c r="D2330" s="115">
        <v>0</v>
      </c>
      <c r="E2330" s="115">
        <v>0</v>
      </c>
      <c r="F2330" s="115">
        <v>0</v>
      </c>
    </row>
    <row r="2331" spans="1:6" outlineLevel="1" x14ac:dyDescent="0.25">
      <c r="A2331" s="546"/>
      <c r="B2331" s="112" t="s">
        <v>125</v>
      </c>
      <c r="C2331" s="113">
        <v>100</v>
      </c>
      <c r="D2331" s="115">
        <v>229.3</v>
      </c>
      <c r="E2331" s="115">
        <v>47135.9</v>
      </c>
      <c r="F2331" s="114">
        <f t="shared" ref="F2331:F2341" si="109">E2331*D2331/C2331</f>
        <v>108082.61870000001</v>
      </c>
    </row>
    <row r="2332" spans="1:6" ht="30" outlineLevel="1" x14ac:dyDescent="0.25">
      <c r="A2332" s="125">
        <v>20</v>
      </c>
      <c r="B2332" s="135" t="s">
        <v>126</v>
      </c>
      <c r="C2332" s="120">
        <v>100</v>
      </c>
      <c r="D2332" s="115">
        <v>2841.5250000000005</v>
      </c>
      <c r="E2332" s="127">
        <v>4614.1000000000004</v>
      </c>
      <c r="F2332" s="114">
        <f t="shared" si="109"/>
        <v>131110.80502500004</v>
      </c>
    </row>
    <row r="2333" spans="1:6" ht="45" outlineLevel="1" x14ac:dyDescent="0.25">
      <c r="A2333" s="125">
        <v>21</v>
      </c>
      <c r="B2333" s="135" t="s">
        <v>127</v>
      </c>
      <c r="C2333" s="120">
        <v>100</v>
      </c>
      <c r="D2333" s="115">
        <v>572.6</v>
      </c>
      <c r="E2333" s="127">
        <v>5264.65</v>
      </c>
      <c r="F2333" s="114">
        <f t="shared" si="109"/>
        <v>30145.385899999997</v>
      </c>
    </row>
    <row r="2334" spans="1:6" ht="60" outlineLevel="1" x14ac:dyDescent="0.25">
      <c r="A2334" s="125">
        <v>22</v>
      </c>
      <c r="B2334" s="135" t="s">
        <v>128</v>
      </c>
      <c r="C2334" s="120">
        <v>100</v>
      </c>
      <c r="D2334" s="115">
        <v>2449.375</v>
      </c>
      <c r="E2334" s="127">
        <v>5012.6499999999996</v>
      </c>
      <c r="F2334" s="114">
        <f t="shared" si="109"/>
        <v>122778.59593749999</v>
      </c>
    </row>
    <row r="2335" spans="1:6" ht="45" outlineLevel="1" x14ac:dyDescent="0.25">
      <c r="A2335" s="125">
        <v>23</v>
      </c>
      <c r="B2335" s="135" t="s">
        <v>129</v>
      </c>
      <c r="C2335" s="139">
        <v>1</v>
      </c>
      <c r="D2335" s="115">
        <v>65</v>
      </c>
      <c r="E2335" s="127">
        <v>514.9</v>
      </c>
      <c r="F2335" s="114">
        <f t="shared" si="109"/>
        <v>33468.5</v>
      </c>
    </row>
    <row r="2336" spans="1:6" ht="30" outlineLevel="1" x14ac:dyDescent="0.25">
      <c r="A2336" s="125">
        <v>24</v>
      </c>
      <c r="B2336" s="135" t="s">
        <v>130</v>
      </c>
      <c r="C2336" s="128">
        <v>1</v>
      </c>
      <c r="D2336" s="115">
        <v>10</v>
      </c>
      <c r="E2336" s="127">
        <v>849.7</v>
      </c>
      <c r="F2336" s="114">
        <f t="shared" si="109"/>
        <v>8497</v>
      </c>
    </row>
    <row r="2337" spans="1:6" ht="24" customHeight="1" outlineLevel="1" x14ac:dyDescent="0.25">
      <c r="A2337" s="125">
        <v>25</v>
      </c>
      <c r="B2337" s="135" t="s">
        <v>131</v>
      </c>
      <c r="C2337" s="128">
        <v>1</v>
      </c>
      <c r="D2337" s="115">
        <v>5</v>
      </c>
      <c r="E2337" s="127">
        <v>1159.6500000000001</v>
      </c>
      <c r="F2337" s="114">
        <f t="shared" si="109"/>
        <v>5798.25</v>
      </c>
    </row>
    <row r="2338" spans="1:6" ht="24" customHeight="1" outlineLevel="1" x14ac:dyDescent="0.25">
      <c r="A2338" s="125">
        <v>26</v>
      </c>
      <c r="B2338" s="135" t="s">
        <v>132</v>
      </c>
      <c r="C2338" s="120">
        <v>100</v>
      </c>
      <c r="D2338" s="115">
        <v>2551.35</v>
      </c>
      <c r="E2338" s="127">
        <v>1548.2</v>
      </c>
      <c r="F2338" s="114">
        <f t="shared" si="109"/>
        <v>39500.000699999997</v>
      </c>
    </row>
    <row r="2339" spans="1:6" ht="45" outlineLevel="1" x14ac:dyDescent="0.25">
      <c r="A2339" s="125">
        <v>27</v>
      </c>
      <c r="B2339" s="135" t="s">
        <v>133</v>
      </c>
      <c r="C2339" s="120">
        <v>100</v>
      </c>
      <c r="D2339" s="115">
        <v>862.77500000000009</v>
      </c>
      <c r="E2339" s="127">
        <v>7379.1</v>
      </c>
      <c r="F2339" s="114">
        <f t="shared" si="109"/>
        <v>63665.030025000015</v>
      </c>
    </row>
    <row r="2340" spans="1:6" ht="30" outlineLevel="1" x14ac:dyDescent="0.25">
      <c r="A2340" s="125">
        <v>28</v>
      </c>
      <c r="B2340" s="135" t="s">
        <v>134</v>
      </c>
      <c r="C2340" s="120">
        <v>100</v>
      </c>
      <c r="D2340" s="115">
        <v>445</v>
      </c>
      <c r="E2340" s="127">
        <v>3052.4</v>
      </c>
      <c r="F2340" s="114">
        <f t="shared" si="109"/>
        <v>13583.18</v>
      </c>
    </row>
    <row r="2341" spans="1:6" ht="60" outlineLevel="1" x14ac:dyDescent="0.25">
      <c r="A2341" s="125">
        <v>29</v>
      </c>
      <c r="B2341" s="112" t="s">
        <v>135</v>
      </c>
      <c r="C2341" s="131">
        <v>100</v>
      </c>
      <c r="D2341" s="115">
        <v>1674.7936133538963</v>
      </c>
      <c r="E2341" s="115">
        <v>37098.85</v>
      </c>
      <c r="F2341" s="114">
        <f t="shared" si="109"/>
        <v>621329.17042774195</v>
      </c>
    </row>
    <row r="2342" spans="1:6" ht="45" outlineLevel="1" x14ac:dyDescent="0.25">
      <c r="A2342" s="546">
        <v>30</v>
      </c>
      <c r="B2342" s="135" t="s">
        <v>136</v>
      </c>
      <c r="C2342" s="122"/>
      <c r="D2342" s="115">
        <v>0</v>
      </c>
      <c r="E2342" s="127">
        <v>0</v>
      </c>
      <c r="F2342" s="127">
        <v>0</v>
      </c>
    </row>
    <row r="2343" spans="1:6" outlineLevel="1" x14ac:dyDescent="0.25">
      <c r="A2343" s="546"/>
      <c r="B2343" s="135" t="s">
        <v>176</v>
      </c>
      <c r="C2343" s="139">
        <v>1</v>
      </c>
      <c r="D2343" s="115">
        <v>300</v>
      </c>
      <c r="E2343" s="127">
        <v>112.25</v>
      </c>
      <c r="F2343" s="114">
        <f>E2343*D2343/C2343</f>
        <v>33675</v>
      </c>
    </row>
    <row r="2344" spans="1:6" outlineLevel="1" x14ac:dyDescent="0.25">
      <c r="A2344" s="546"/>
      <c r="B2344" s="135" t="s">
        <v>177</v>
      </c>
      <c r="C2344" s="139">
        <v>1</v>
      </c>
      <c r="D2344" s="115">
        <v>150</v>
      </c>
      <c r="E2344" s="127">
        <v>133.6</v>
      </c>
      <c r="F2344" s="114">
        <f>E2344*D2344/C2344</f>
        <v>20040</v>
      </c>
    </row>
    <row r="2345" spans="1:6" outlineLevel="1" x14ac:dyDescent="0.25">
      <c r="A2345" s="125"/>
      <c r="B2345" s="135" t="s">
        <v>178</v>
      </c>
      <c r="C2345" s="139">
        <v>1</v>
      </c>
      <c r="D2345" s="115">
        <v>75</v>
      </c>
      <c r="E2345" s="127">
        <v>231.55</v>
      </c>
      <c r="F2345" s="114">
        <f>E2345*D2345/C2345</f>
        <v>17366.25</v>
      </c>
    </row>
    <row r="2346" spans="1:6" ht="75" outlineLevel="1" x14ac:dyDescent="0.25">
      <c r="A2346" s="546">
        <v>31</v>
      </c>
      <c r="B2346" s="135" t="s">
        <v>141</v>
      </c>
      <c r="C2346" s="122"/>
      <c r="D2346" s="115">
        <v>0</v>
      </c>
      <c r="E2346" s="127">
        <v>0</v>
      </c>
      <c r="F2346" s="127">
        <v>0</v>
      </c>
    </row>
    <row r="2347" spans="1:6" outlineLevel="1" x14ac:dyDescent="0.25">
      <c r="A2347" s="546"/>
      <c r="B2347" s="135" t="s">
        <v>180</v>
      </c>
      <c r="C2347" s="139">
        <v>1</v>
      </c>
      <c r="D2347" s="115">
        <v>900</v>
      </c>
      <c r="E2347" s="127">
        <v>35.700000000000003</v>
      </c>
      <c r="F2347" s="114">
        <f>E2347*D2347/C2347</f>
        <v>32130.000000000004</v>
      </c>
    </row>
    <row r="2348" spans="1:6" outlineLevel="1" x14ac:dyDescent="0.25">
      <c r="A2348" s="146"/>
      <c r="B2348" s="135" t="s">
        <v>181</v>
      </c>
      <c r="C2348" s="139">
        <v>1</v>
      </c>
      <c r="D2348" s="115">
        <v>300</v>
      </c>
      <c r="E2348" s="127">
        <v>56.3</v>
      </c>
      <c r="F2348" s="114">
        <f>E2348*D2348/C2348</f>
        <v>16890</v>
      </c>
    </row>
    <row r="2349" spans="1:6" ht="75" outlineLevel="1" x14ac:dyDescent="0.25">
      <c r="A2349" s="125">
        <v>32</v>
      </c>
      <c r="B2349" s="135" t="s">
        <v>144</v>
      </c>
      <c r="C2349" s="139">
        <v>1</v>
      </c>
      <c r="D2349" s="115">
        <v>200</v>
      </c>
      <c r="E2349" s="127">
        <v>237.65</v>
      </c>
      <c r="F2349" s="114">
        <f>E2349*D2349/C2349</f>
        <v>47530</v>
      </c>
    </row>
    <row r="2350" spans="1:6" ht="60" outlineLevel="1" x14ac:dyDescent="0.25">
      <c r="A2350" s="546">
        <v>33</v>
      </c>
      <c r="B2350" s="135" t="s">
        <v>145</v>
      </c>
      <c r="C2350" s="122"/>
      <c r="D2350" s="115">
        <v>0</v>
      </c>
      <c r="E2350" s="127">
        <v>0</v>
      </c>
      <c r="F2350" s="127">
        <v>0</v>
      </c>
    </row>
    <row r="2351" spans="1:6" outlineLevel="1" x14ac:dyDescent="0.25">
      <c r="A2351" s="546"/>
      <c r="B2351" s="135" t="s">
        <v>183</v>
      </c>
      <c r="C2351" s="132">
        <v>1</v>
      </c>
      <c r="D2351" s="115">
        <v>5</v>
      </c>
      <c r="E2351" s="127">
        <v>382.3</v>
      </c>
      <c r="F2351" s="114">
        <f t="shared" ref="F2351:F2363" si="110">E2351*D2351/C2351</f>
        <v>1911.5</v>
      </c>
    </row>
    <row r="2352" spans="1:6" outlineLevel="1" x14ac:dyDescent="0.25">
      <c r="A2352" s="546"/>
      <c r="B2352" s="135" t="s">
        <v>184</v>
      </c>
      <c r="C2352" s="132">
        <v>1</v>
      </c>
      <c r="D2352" s="115">
        <v>5</v>
      </c>
      <c r="E2352" s="127">
        <v>522.75</v>
      </c>
      <c r="F2352" s="114">
        <f t="shared" si="110"/>
        <v>2613.75</v>
      </c>
    </row>
    <row r="2353" spans="1:6" outlineLevel="1" x14ac:dyDescent="0.25">
      <c r="A2353" s="546"/>
      <c r="B2353" s="135" t="s">
        <v>185</v>
      </c>
      <c r="C2353" s="132">
        <v>1</v>
      </c>
      <c r="D2353" s="115">
        <v>5</v>
      </c>
      <c r="E2353" s="127">
        <v>668.8</v>
      </c>
      <c r="F2353" s="114">
        <f t="shared" si="110"/>
        <v>3344</v>
      </c>
    </row>
    <row r="2354" spans="1:6" ht="30" outlineLevel="1" x14ac:dyDescent="0.25">
      <c r="A2354" s="125">
        <v>34</v>
      </c>
      <c r="B2354" s="135" t="s">
        <v>149</v>
      </c>
      <c r="C2354" s="132">
        <v>1</v>
      </c>
      <c r="D2354" s="115">
        <v>100</v>
      </c>
      <c r="E2354" s="127">
        <v>102.7</v>
      </c>
      <c r="F2354" s="114">
        <f t="shared" si="110"/>
        <v>10270</v>
      </c>
    </row>
    <row r="2355" spans="1:6" ht="18" customHeight="1" outlineLevel="1" x14ac:dyDescent="0.25">
      <c r="A2355" s="125">
        <v>35</v>
      </c>
      <c r="B2355" s="135" t="s">
        <v>150</v>
      </c>
      <c r="C2355" s="132">
        <v>1</v>
      </c>
      <c r="D2355" s="115">
        <v>20</v>
      </c>
      <c r="E2355" s="127">
        <v>96.3</v>
      </c>
      <c r="F2355" s="114">
        <f t="shared" si="110"/>
        <v>1926</v>
      </c>
    </row>
    <row r="2356" spans="1:6" ht="18" customHeight="1" outlineLevel="1" x14ac:dyDescent="0.25">
      <c r="A2356" s="125">
        <v>36</v>
      </c>
      <c r="B2356" s="135" t="s">
        <v>151</v>
      </c>
      <c r="C2356" s="132">
        <v>1</v>
      </c>
      <c r="D2356" s="115">
        <v>10</v>
      </c>
      <c r="E2356" s="127">
        <v>204.7</v>
      </c>
      <c r="F2356" s="114">
        <f t="shared" si="110"/>
        <v>2047</v>
      </c>
    </row>
    <row r="2357" spans="1:6" ht="30" outlineLevel="1" x14ac:dyDescent="0.25">
      <c r="A2357" s="125">
        <v>37</v>
      </c>
      <c r="B2357" s="135" t="s">
        <v>186</v>
      </c>
      <c r="C2357" s="132">
        <v>1</v>
      </c>
      <c r="D2357" s="115">
        <v>5</v>
      </c>
      <c r="E2357" s="127">
        <v>213.1</v>
      </c>
      <c r="F2357" s="114">
        <f t="shared" si="110"/>
        <v>1065.5</v>
      </c>
    </row>
    <row r="2358" spans="1:6" ht="144.75" customHeight="1" outlineLevel="1" x14ac:dyDescent="0.25">
      <c r="A2358" s="125">
        <v>38</v>
      </c>
      <c r="B2358" s="133" t="s">
        <v>153</v>
      </c>
      <c r="C2358" s="128">
        <v>1</v>
      </c>
      <c r="D2358" s="115">
        <v>5</v>
      </c>
      <c r="E2358" s="127">
        <v>24422.65</v>
      </c>
      <c r="F2358" s="114">
        <f t="shared" si="110"/>
        <v>122113.25</v>
      </c>
    </row>
    <row r="2359" spans="1:6" ht="90" outlineLevel="1" x14ac:dyDescent="0.25">
      <c r="A2359" s="125">
        <v>39</v>
      </c>
      <c r="B2359" s="135" t="s">
        <v>154</v>
      </c>
      <c r="C2359" s="128">
        <v>1</v>
      </c>
      <c r="D2359" s="115">
        <v>30</v>
      </c>
      <c r="E2359" s="127">
        <v>1453.75</v>
      </c>
      <c r="F2359" s="114">
        <f t="shared" si="110"/>
        <v>43612.5</v>
      </c>
    </row>
    <row r="2360" spans="1:6" ht="135" outlineLevel="1" x14ac:dyDescent="0.25">
      <c r="A2360" s="125">
        <v>40</v>
      </c>
      <c r="B2360" s="133" t="s">
        <v>155</v>
      </c>
      <c r="C2360" s="128">
        <v>1</v>
      </c>
      <c r="D2360" s="115">
        <v>10</v>
      </c>
      <c r="E2360" s="127">
        <v>13796.3</v>
      </c>
      <c r="F2360" s="114">
        <f t="shared" si="110"/>
        <v>137963</v>
      </c>
    </row>
    <row r="2361" spans="1:6" ht="150" outlineLevel="1" x14ac:dyDescent="0.25">
      <c r="A2361" s="125">
        <v>41</v>
      </c>
      <c r="B2361" s="133" t="s">
        <v>156</v>
      </c>
      <c r="C2361" s="128">
        <v>1</v>
      </c>
      <c r="D2361" s="115">
        <v>5</v>
      </c>
      <c r="E2361" s="127">
        <v>19859.400000000001</v>
      </c>
      <c r="F2361" s="114">
        <f t="shared" si="110"/>
        <v>99297</v>
      </c>
    </row>
    <row r="2362" spans="1:6" ht="60" outlineLevel="1" x14ac:dyDescent="0.25">
      <c r="A2362" s="125">
        <v>42</v>
      </c>
      <c r="B2362" s="135" t="s">
        <v>157</v>
      </c>
      <c r="C2362" s="128">
        <v>1</v>
      </c>
      <c r="D2362" s="115">
        <v>15</v>
      </c>
      <c r="E2362" s="127">
        <v>1995.3</v>
      </c>
      <c r="F2362" s="114">
        <f t="shared" si="110"/>
        <v>29929.5</v>
      </c>
    </row>
    <row r="2363" spans="1:6" ht="30" outlineLevel="1" x14ac:dyDescent="0.25">
      <c r="A2363" s="125">
        <v>43</v>
      </c>
      <c r="B2363" s="135" t="s">
        <v>158</v>
      </c>
      <c r="C2363" s="128">
        <v>1</v>
      </c>
      <c r="D2363" s="115">
        <v>15</v>
      </c>
      <c r="E2363" s="127">
        <v>178.75</v>
      </c>
      <c r="F2363" s="114">
        <f t="shared" si="110"/>
        <v>2681.25</v>
      </c>
    </row>
    <row r="2364" spans="1:6" ht="75.75" outlineLevel="1" x14ac:dyDescent="0.25">
      <c r="A2364" s="125">
        <v>44</v>
      </c>
      <c r="B2364" s="133" t="s">
        <v>40</v>
      </c>
      <c r="C2364" s="126"/>
      <c r="D2364" s="115"/>
      <c r="E2364" s="114"/>
      <c r="F2364" s="114"/>
    </row>
    <row r="2365" spans="1:6" outlineLevel="1" x14ac:dyDescent="0.25">
      <c r="A2365" s="125" t="s">
        <v>67</v>
      </c>
      <c r="B2365" s="133" t="s">
        <v>68</v>
      </c>
      <c r="C2365" s="113">
        <v>100</v>
      </c>
      <c r="D2365" s="115">
        <v>506.93973275904</v>
      </c>
      <c r="E2365" s="114">
        <v>14042.6</v>
      </c>
      <c r="F2365" s="115">
        <f>D2365*E2365/C2365</f>
        <v>71187.518912420957</v>
      </c>
    </row>
    <row r="2366" spans="1:6" outlineLevel="1" x14ac:dyDescent="0.25">
      <c r="A2366" s="125" t="s">
        <v>41</v>
      </c>
      <c r="B2366" s="133" t="s">
        <v>42</v>
      </c>
      <c r="C2366" s="113">
        <v>100</v>
      </c>
      <c r="D2366" s="115">
        <v>201.78399999999999</v>
      </c>
      <c r="E2366" s="114">
        <v>14042.6</v>
      </c>
      <c r="F2366" s="115">
        <f>D2366*E2366/C2366</f>
        <v>28335.719983999999</v>
      </c>
    </row>
    <row r="2367" spans="1:6" outlineLevel="1" x14ac:dyDescent="0.25">
      <c r="A2367" s="125" t="s">
        <v>70</v>
      </c>
      <c r="B2367" s="133" t="s">
        <v>159</v>
      </c>
      <c r="C2367" s="113">
        <v>100</v>
      </c>
      <c r="D2367" s="115">
        <v>759.32389499999999</v>
      </c>
      <c r="E2367" s="114">
        <v>14042.6</v>
      </c>
      <c r="F2367" s="115">
        <f>D2367*E2367/C2367</f>
        <v>106628.81727926999</v>
      </c>
    </row>
    <row r="2368" spans="1:6" outlineLevel="1" x14ac:dyDescent="0.25">
      <c r="A2368" s="125" t="s">
        <v>160</v>
      </c>
      <c r="B2368" s="133" t="s">
        <v>161</v>
      </c>
      <c r="C2368" s="113">
        <v>100</v>
      </c>
      <c r="D2368" s="115">
        <v>35.475000000000001</v>
      </c>
      <c r="E2368" s="114">
        <v>14042.6</v>
      </c>
      <c r="F2368" s="115">
        <f>D2368*E2368/C2368</f>
        <v>4981.6123500000003</v>
      </c>
    </row>
    <row r="2369" spans="1:8" outlineLevel="1" x14ac:dyDescent="0.25">
      <c r="A2369" s="506" t="s">
        <v>83</v>
      </c>
      <c r="B2369" s="506"/>
      <c r="C2369" s="506"/>
      <c r="D2369" s="506"/>
      <c r="E2369" s="506"/>
      <c r="F2369" s="267">
        <f>SUM(F2310:F2368)</f>
        <v>6823316.2142808959</v>
      </c>
      <c r="G2369" s="454">
        <v>6823316.2142808968</v>
      </c>
      <c r="H2369" s="449">
        <f>G2369-F2369</f>
        <v>0</v>
      </c>
    </row>
    <row r="2370" spans="1:8" outlineLevel="1" x14ac:dyDescent="0.25">
      <c r="A2370" s="567" t="s">
        <v>377</v>
      </c>
      <c r="B2370" s="567"/>
      <c r="C2370" s="567"/>
      <c r="D2370" s="567"/>
      <c r="E2370" s="567"/>
      <c r="F2370" s="266">
        <f>F2369+F2308+F2279+F2255+F2231+F2190+F2162+F2107+F2074+F2044+F2012</f>
        <v>256928071.57944071</v>
      </c>
      <c r="G2370" s="454">
        <v>256928067</v>
      </c>
      <c r="H2370" s="449">
        <f>G2370-F2370</f>
        <v>-4.579440712928772</v>
      </c>
    </row>
    <row r="2371" spans="1:8" customFormat="1" ht="25.5" customHeight="1" x14ac:dyDescent="0.25">
      <c r="A2371" s="547" t="s">
        <v>561</v>
      </c>
      <c r="B2371" s="548"/>
      <c r="C2371" s="548"/>
      <c r="D2371" s="548"/>
      <c r="E2371" s="549"/>
      <c r="F2371" s="262">
        <f>F2380</f>
        <v>35929256</v>
      </c>
      <c r="G2371" s="456">
        <f>H2371-F2371</f>
        <v>0</v>
      </c>
      <c r="H2371">
        <v>35929256</v>
      </c>
    </row>
    <row r="2372" spans="1:8" customFormat="1" ht="291.75" customHeight="1" outlineLevel="1" x14ac:dyDescent="0.25">
      <c r="A2372" s="202">
        <v>1</v>
      </c>
      <c r="B2372" s="183" t="s">
        <v>542</v>
      </c>
      <c r="C2372" s="203" t="s">
        <v>543</v>
      </c>
      <c r="D2372" s="115">
        <v>6</v>
      </c>
      <c r="E2372" s="204">
        <v>4140119</v>
      </c>
      <c r="F2372" s="166">
        <v>24840714</v>
      </c>
      <c r="G2372" s="459"/>
    </row>
    <row r="2373" spans="1:8" customFormat="1" ht="58.5" customHeight="1" outlineLevel="1" x14ac:dyDescent="0.25">
      <c r="A2373" s="170">
        <v>2</v>
      </c>
      <c r="B2373" s="183" t="s">
        <v>524</v>
      </c>
      <c r="C2373" s="170" t="s">
        <v>506</v>
      </c>
      <c r="D2373" s="170">
        <v>1</v>
      </c>
      <c r="E2373" s="188">
        <v>1315342</v>
      </c>
      <c r="F2373" s="166">
        <v>1315342</v>
      </c>
      <c r="G2373" s="459"/>
    </row>
    <row r="2374" spans="1:8" customFormat="1" ht="31.5" customHeight="1" outlineLevel="1" x14ac:dyDescent="0.25">
      <c r="A2374" s="170">
        <v>3</v>
      </c>
      <c r="B2374" s="178" t="s">
        <v>544</v>
      </c>
      <c r="C2374" s="170" t="s">
        <v>474</v>
      </c>
      <c r="D2374" s="170">
        <v>1</v>
      </c>
      <c r="E2374" s="205">
        <v>1829000</v>
      </c>
      <c r="F2374" s="166">
        <v>1829000</v>
      </c>
      <c r="G2374" s="459"/>
    </row>
    <row r="2375" spans="1:8" customFormat="1" ht="89.25" outlineLevel="1" x14ac:dyDescent="0.25">
      <c r="A2375" s="170">
        <v>4</v>
      </c>
      <c r="B2375" s="178" t="s">
        <v>545</v>
      </c>
      <c r="C2375" s="170" t="s">
        <v>474</v>
      </c>
      <c r="D2375" s="170">
        <v>1</v>
      </c>
      <c r="E2375" s="205">
        <v>4250000</v>
      </c>
      <c r="F2375" s="166">
        <v>4250000</v>
      </c>
      <c r="G2375" s="459"/>
    </row>
    <row r="2376" spans="1:8" customFormat="1" ht="76.5" outlineLevel="1" x14ac:dyDescent="0.25">
      <c r="A2376" s="170">
        <v>5</v>
      </c>
      <c r="B2376" s="178" t="s">
        <v>546</v>
      </c>
      <c r="C2376" s="170" t="s">
        <v>474</v>
      </c>
      <c r="D2376" s="170">
        <v>1</v>
      </c>
      <c r="E2376" s="170">
        <v>1475000</v>
      </c>
      <c r="F2376" s="166">
        <v>1475000</v>
      </c>
      <c r="G2376" s="459"/>
    </row>
    <row r="2377" spans="1:8" customFormat="1" ht="51" outlineLevel="1" x14ac:dyDescent="0.25">
      <c r="A2377" s="170">
        <v>6</v>
      </c>
      <c r="B2377" s="178" t="s">
        <v>547</v>
      </c>
      <c r="C2377" s="170" t="s">
        <v>474</v>
      </c>
      <c r="D2377" s="170">
        <v>4</v>
      </c>
      <c r="E2377" s="170">
        <v>129800</v>
      </c>
      <c r="F2377" s="166">
        <v>519200</v>
      </c>
      <c r="G2377" s="459"/>
    </row>
    <row r="2378" spans="1:8" customFormat="1" ht="97.5" customHeight="1" outlineLevel="1" x14ac:dyDescent="0.25">
      <c r="A2378" s="170">
        <v>7</v>
      </c>
      <c r="B2378" s="178" t="s">
        <v>548</v>
      </c>
      <c r="C2378" s="170" t="s">
        <v>474</v>
      </c>
      <c r="D2378" s="170">
        <v>2</v>
      </c>
      <c r="E2378" s="170">
        <v>850000</v>
      </c>
      <c r="F2378" s="166">
        <v>1700000</v>
      </c>
      <c r="G2378" s="459"/>
    </row>
    <row r="2379" spans="1:8" customFormat="1" ht="15" outlineLevel="1" x14ac:dyDescent="0.25">
      <c r="A2379" s="165"/>
      <c r="B2379" s="166"/>
      <c r="C2379" s="165"/>
      <c r="D2379" s="166"/>
      <c r="E2379" s="166"/>
      <c r="F2379" s="166"/>
      <c r="G2379" s="459"/>
    </row>
    <row r="2380" spans="1:8" customFormat="1" outlineLevel="1" x14ac:dyDescent="0.25">
      <c r="A2380" s="568" t="s">
        <v>475</v>
      </c>
      <c r="B2380" s="569"/>
      <c r="C2380" s="569"/>
      <c r="D2380" s="569"/>
      <c r="E2380" s="570"/>
      <c r="F2380" s="264">
        <f>SUM(F2372:F2379)</f>
        <v>35929256</v>
      </c>
      <c r="G2380" s="459"/>
    </row>
    <row r="2381" spans="1:8" customFormat="1" x14ac:dyDescent="0.25">
      <c r="A2381" s="547" t="s">
        <v>572</v>
      </c>
      <c r="B2381" s="548"/>
      <c r="C2381" s="548"/>
      <c r="D2381" s="548"/>
      <c r="E2381" s="549"/>
      <c r="F2381" s="262">
        <f>F2383</f>
        <v>30368325</v>
      </c>
      <c r="G2381" s="456">
        <f>H2381-F2381</f>
        <v>0</v>
      </c>
      <c r="H2381">
        <v>30368325</v>
      </c>
    </row>
    <row r="2382" spans="1:8" customFormat="1" ht="288.75" customHeight="1" outlineLevel="1" x14ac:dyDescent="0.25">
      <c r="A2382" s="165">
        <v>1</v>
      </c>
      <c r="B2382" s="206" t="s">
        <v>549</v>
      </c>
      <c r="C2382" s="190" t="s">
        <v>474</v>
      </c>
      <c r="D2382" s="191">
        <v>6</v>
      </c>
      <c r="E2382" s="207">
        <v>5061387.5</v>
      </c>
      <c r="F2382" s="208">
        <f>D2382*E2382</f>
        <v>30368325</v>
      </c>
      <c r="G2382" s="459"/>
    </row>
    <row r="2383" spans="1:8" customFormat="1" ht="15" outlineLevel="1" x14ac:dyDescent="0.25">
      <c r="A2383" s="564" t="s">
        <v>475</v>
      </c>
      <c r="B2383" s="565"/>
      <c r="C2383" s="565"/>
      <c r="D2383" s="565"/>
      <c r="E2383" s="566"/>
      <c r="F2383" s="265">
        <f>F2382</f>
        <v>30368325</v>
      </c>
      <c r="G2383" s="459"/>
    </row>
    <row r="2384" spans="1:8" ht="25.5" customHeight="1" x14ac:dyDescent="0.25">
      <c r="A2384" s="547" t="s">
        <v>573</v>
      </c>
      <c r="B2384" s="548"/>
      <c r="C2384" s="548"/>
      <c r="D2384" s="548"/>
      <c r="E2384" s="549"/>
      <c r="F2384" s="262">
        <f>F2406</f>
        <v>9000000</v>
      </c>
      <c r="G2384" s="456">
        <f>H2384-F2384</f>
        <v>0</v>
      </c>
      <c r="H2384" s="1">
        <v>9000000</v>
      </c>
    </row>
    <row r="2385" spans="1:6" outlineLevel="1" x14ac:dyDescent="0.25">
      <c r="A2385" s="209">
        <v>1</v>
      </c>
      <c r="B2385" s="210" t="s">
        <v>378</v>
      </c>
      <c r="C2385" s="154"/>
      <c r="D2385" s="211"/>
      <c r="E2385" s="211"/>
      <c r="F2385" s="211"/>
    </row>
    <row r="2386" spans="1:6" outlineLevel="1" x14ac:dyDescent="0.25">
      <c r="A2386" s="122" t="s">
        <v>58</v>
      </c>
      <c r="B2386" s="212" t="s">
        <v>379</v>
      </c>
      <c r="C2386" s="126" t="s">
        <v>380</v>
      </c>
      <c r="D2386" s="136"/>
      <c r="E2386" s="136"/>
      <c r="F2386" s="152">
        <v>1300000</v>
      </c>
    </row>
    <row r="2387" spans="1:6" outlineLevel="1" x14ac:dyDescent="0.25">
      <c r="A2387" s="122" t="s">
        <v>60</v>
      </c>
      <c r="B2387" s="212" t="s">
        <v>381</v>
      </c>
      <c r="C2387" s="126" t="s">
        <v>380</v>
      </c>
      <c r="D2387" s="136"/>
      <c r="E2387" s="136"/>
      <c r="F2387" s="152">
        <v>700000</v>
      </c>
    </row>
    <row r="2388" spans="1:6" outlineLevel="1" x14ac:dyDescent="0.25">
      <c r="A2388" s="122" t="s">
        <v>62</v>
      </c>
      <c r="B2388" s="212" t="s">
        <v>382</v>
      </c>
      <c r="C2388" s="126" t="s">
        <v>380</v>
      </c>
      <c r="D2388" s="136"/>
      <c r="E2388" s="136"/>
      <c r="F2388" s="152">
        <v>500000</v>
      </c>
    </row>
    <row r="2389" spans="1:6" ht="20.25" customHeight="1" outlineLevel="1" x14ac:dyDescent="0.25">
      <c r="A2389" s="209">
        <v>2</v>
      </c>
      <c r="B2389" s="210" t="s">
        <v>383</v>
      </c>
      <c r="C2389" s="154"/>
      <c r="D2389" s="211"/>
      <c r="E2389" s="211"/>
      <c r="F2389" s="211"/>
    </row>
    <row r="2390" spans="1:6" outlineLevel="1" x14ac:dyDescent="0.25">
      <c r="A2390" s="122" t="s">
        <v>58</v>
      </c>
      <c r="B2390" s="212" t="s">
        <v>379</v>
      </c>
      <c r="C2390" s="126" t="s">
        <v>380</v>
      </c>
      <c r="D2390" s="136"/>
      <c r="E2390" s="136"/>
      <c r="F2390" s="136">
        <v>500000</v>
      </c>
    </row>
    <row r="2391" spans="1:6" outlineLevel="1" x14ac:dyDescent="0.25">
      <c r="A2391" s="122" t="s">
        <v>60</v>
      </c>
      <c r="B2391" s="212" t="s">
        <v>381</v>
      </c>
      <c r="C2391" s="126" t="s">
        <v>380</v>
      </c>
      <c r="D2391" s="136"/>
      <c r="E2391" s="136"/>
      <c r="F2391" s="136">
        <v>500000</v>
      </c>
    </row>
    <row r="2392" spans="1:6" ht="31.5" outlineLevel="1" x14ac:dyDescent="0.25">
      <c r="A2392" s="209">
        <v>3</v>
      </c>
      <c r="B2392" s="210" t="s">
        <v>384</v>
      </c>
      <c r="C2392" s="154"/>
      <c r="D2392" s="194"/>
      <c r="E2392" s="194"/>
      <c r="F2392" s="194"/>
    </row>
    <row r="2393" spans="1:6" outlineLevel="1" x14ac:dyDescent="0.25">
      <c r="A2393" s="122" t="s">
        <v>58</v>
      </c>
      <c r="B2393" s="213" t="s">
        <v>385</v>
      </c>
      <c r="C2393" s="126" t="s">
        <v>380</v>
      </c>
      <c r="D2393" s="136"/>
      <c r="E2393" s="136"/>
      <c r="F2393" s="152">
        <v>250000</v>
      </c>
    </row>
    <row r="2394" spans="1:6" outlineLevel="1" x14ac:dyDescent="0.25">
      <c r="A2394" s="122" t="s">
        <v>60</v>
      </c>
      <c r="B2394" s="213" t="s">
        <v>381</v>
      </c>
      <c r="C2394" s="126" t="s">
        <v>380</v>
      </c>
      <c r="D2394" s="136"/>
      <c r="E2394" s="136"/>
      <c r="F2394" s="152">
        <v>250000</v>
      </c>
    </row>
    <row r="2395" spans="1:6" outlineLevel="1" x14ac:dyDescent="0.25">
      <c r="A2395" s="209">
        <v>4</v>
      </c>
      <c r="B2395" s="214" t="s">
        <v>386</v>
      </c>
      <c r="C2395" s="154"/>
      <c r="D2395" s="194"/>
      <c r="E2395" s="194"/>
      <c r="F2395" s="152"/>
    </row>
    <row r="2396" spans="1:6" outlineLevel="1" x14ac:dyDescent="0.25">
      <c r="A2396" s="122" t="s">
        <v>58</v>
      </c>
      <c r="B2396" s="215" t="s">
        <v>387</v>
      </c>
      <c r="C2396" s="126" t="s">
        <v>380</v>
      </c>
      <c r="D2396" s="152">
        <v>5</v>
      </c>
      <c r="E2396" s="152">
        <v>100000</v>
      </c>
      <c r="F2396" s="152">
        <v>500000</v>
      </c>
    </row>
    <row r="2397" spans="1:6" outlineLevel="1" x14ac:dyDescent="0.25">
      <c r="A2397" s="209">
        <v>5</v>
      </c>
      <c r="B2397" s="210" t="s">
        <v>388</v>
      </c>
      <c r="C2397" s="126" t="s">
        <v>380</v>
      </c>
      <c r="D2397" s="136">
        <v>1</v>
      </c>
      <c r="E2397" s="136"/>
      <c r="F2397" s="152">
        <v>1500000</v>
      </c>
    </row>
    <row r="2398" spans="1:6" outlineLevel="1" x14ac:dyDescent="0.25">
      <c r="A2398" s="209">
        <v>6</v>
      </c>
      <c r="B2398" s="210" t="s">
        <v>389</v>
      </c>
      <c r="C2398" s="126" t="s">
        <v>380</v>
      </c>
      <c r="D2398" s="152">
        <v>3</v>
      </c>
      <c r="E2398" s="152">
        <v>500000</v>
      </c>
      <c r="F2398" s="152">
        <v>1500000</v>
      </c>
    </row>
    <row r="2399" spans="1:6" outlineLevel="1" x14ac:dyDescent="0.25">
      <c r="A2399" s="209">
        <v>7</v>
      </c>
      <c r="B2399" s="210" t="s">
        <v>390</v>
      </c>
      <c r="C2399" s="126" t="s">
        <v>380</v>
      </c>
      <c r="D2399" s="136">
        <v>1</v>
      </c>
      <c r="E2399" s="136"/>
      <c r="F2399" s="152">
        <v>500000</v>
      </c>
    </row>
    <row r="2400" spans="1:6" outlineLevel="1" x14ac:dyDescent="0.25">
      <c r="A2400" s="209">
        <v>8</v>
      </c>
      <c r="B2400" s="210" t="s">
        <v>391</v>
      </c>
      <c r="C2400" s="126"/>
      <c r="D2400" s="211"/>
      <c r="E2400" s="211"/>
      <c r="F2400" s="152"/>
    </row>
    <row r="2401" spans="1:8" outlineLevel="1" x14ac:dyDescent="0.25">
      <c r="A2401" s="122" t="s">
        <v>58</v>
      </c>
      <c r="B2401" s="215" t="s">
        <v>392</v>
      </c>
      <c r="C2401" s="126" t="s">
        <v>380</v>
      </c>
      <c r="D2401" s="152">
        <v>1</v>
      </c>
      <c r="E2401" s="136"/>
      <c r="F2401" s="152">
        <v>125000</v>
      </c>
    </row>
    <row r="2402" spans="1:8" outlineLevel="1" x14ac:dyDescent="0.25">
      <c r="A2402" s="122" t="s">
        <v>60</v>
      </c>
      <c r="B2402" s="215" t="s">
        <v>393</v>
      </c>
      <c r="C2402" s="126" t="s">
        <v>380</v>
      </c>
      <c r="D2402" s="152">
        <v>1</v>
      </c>
      <c r="E2402" s="136"/>
      <c r="F2402" s="152">
        <v>100000</v>
      </c>
    </row>
    <row r="2403" spans="1:8" outlineLevel="1" x14ac:dyDescent="0.25">
      <c r="A2403" s="122" t="s">
        <v>62</v>
      </c>
      <c r="B2403" s="215" t="s">
        <v>394</v>
      </c>
      <c r="C2403" s="126" t="s">
        <v>380</v>
      </c>
      <c r="D2403" s="152">
        <v>1</v>
      </c>
      <c r="E2403" s="136"/>
      <c r="F2403" s="152">
        <v>100000</v>
      </c>
    </row>
    <row r="2404" spans="1:8" outlineLevel="1" x14ac:dyDescent="0.25">
      <c r="A2404" s="122" t="s">
        <v>395</v>
      </c>
      <c r="B2404" s="215" t="s">
        <v>396</v>
      </c>
      <c r="C2404" s="126" t="s">
        <v>380</v>
      </c>
      <c r="D2404" s="152">
        <v>1</v>
      </c>
      <c r="E2404" s="136"/>
      <c r="F2404" s="152">
        <v>175000</v>
      </c>
    </row>
    <row r="2405" spans="1:8" ht="30" outlineLevel="1" x14ac:dyDescent="0.25">
      <c r="A2405" s="122" t="s">
        <v>397</v>
      </c>
      <c r="B2405" s="215" t="s">
        <v>398</v>
      </c>
      <c r="C2405" s="126" t="s">
        <v>380</v>
      </c>
      <c r="D2405" s="152">
        <v>1</v>
      </c>
      <c r="E2405" s="136"/>
      <c r="F2405" s="152">
        <v>500000</v>
      </c>
    </row>
    <row r="2406" spans="1:8" outlineLevel="1" x14ac:dyDescent="0.25">
      <c r="A2406" s="2"/>
      <c r="B2406" s="508" t="s">
        <v>399</v>
      </c>
      <c r="C2406" s="508"/>
      <c r="D2406" s="508"/>
      <c r="E2406" s="508"/>
      <c r="F2406" s="258">
        <f>SUM(F2386:F2405)</f>
        <v>9000000</v>
      </c>
    </row>
    <row r="2407" spans="1:8" x14ac:dyDescent="0.25">
      <c r="A2407" s="18"/>
    </row>
    <row r="2408" spans="1:8" x14ac:dyDescent="0.25">
      <c r="F2408" s="263">
        <f>F2384+F2381+F2371+F1976+F1895+F1889+F1879+F1867+F1862+F1843+F1589+F1430+F1263+F1098+F930+F705+F664+F478+F337+F288+F172+F4</f>
        <v>2279231027.8845649</v>
      </c>
      <c r="G2408" s="456">
        <f>H2408-F2408</f>
        <v>-1838.8056635856628</v>
      </c>
      <c r="H2408" s="453">
        <f>SUM(H4:H2407)</f>
        <v>2279229189.0789013</v>
      </c>
    </row>
    <row r="2409" spans="1:8" x14ac:dyDescent="0.25">
      <c r="F2409" s="494"/>
    </row>
    <row r="2410" spans="1:8" x14ac:dyDescent="0.25">
      <c r="F2410" s="263"/>
    </row>
  </sheetData>
  <mergeCells count="305">
    <mergeCell ref="A2381:E2381"/>
    <mergeCell ref="A2383:E2383"/>
    <mergeCell ref="A2384:E2384"/>
    <mergeCell ref="B2406:E2406"/>
    <mergeCell ref="A2346:A2347"/>
    <mergeCell ref="A2350:A2353"/>
    <mergeCell ref="A2369:E2369"/>
    <mergeCell ref="A2370:E2370"/>
    <mergeCell ref="A2371:E2371"/>
    <mergeCell ref="A2380:E2380"/>
    <mergeCell ref="A2281:F2281"/>
    <mergeCell ref="A2308:E2308"/>
    <mergeCell ref="A2309:F2309"/>
    <mergeCell ref="A2319:A2320"/>
    <mergeCell ref="A2330:A2331"/>
    <mergeCell ref="A2342:A2344"/>
    <mergeCell ref="A2231:E2231"/>
    <mergeCell ref="A2232:F2232"/>
    <mergeCell ref="A2255:E2255"/>
    <mergeCell ref="A2256:F2256"/>
    <mergeCell ref="A2279:E2279"/>
    <mergeCell ref="A2280:E2280"/>
    <mergeCell ref="A2107:E2107"/>
    <mergeCell ref="A2108:F2108"/>
    <mergeCell ref="A2162:E2162"/>
    <mergeCell ref="A2163:F2163"/>
    <mergeCell ref="A2190:E2190"/>
    <mergeCell ref="A2191:F2191"/>
    <mergeCell ref="A2065:F2065"/>
    <mergeCell ref="A2074:E2074"/>
    <mergeCell ref="A2076:F2076"/>
    <mergeCell ref="A2080:A2083"/>
    <mergeCell ref="A2086:F2086"/>
    <mergeCell ref="A2098:F2098"/>
    <mergeCell ref="A2075:E2075"/>
    <mergeCell ref="A2023:F2023"/>
    <mergeCell ref="A2035:F2035"/>
    <mergeCell ref="A2044:E2044"/>
    <mergeCell ref="A2045:F2045"/>
    <mergeCell ref="A2048:A2049"/>
    <mergeCell ref="A2053:F2053"/>
    <mergeCell ref="A1986:F1986"/>
    <mergeCell ref="A1998:F1998"/>
    <mergeCell ref="A2007:F2007"/>
    <mergeCell ref="A2012:E2012"/>
    <mergeCell ref="A2013:F2013"/>
    <mergeCell ref="A2016:A2019"/>
    <mergeCell ref="A1894:E1894"/>
    <mergeCell ref="A1895:E1895"/>
    <mergeCell ref="A1917:A1918"/>
    <mergeCell ref="A1975:E1975"/>
    <mergeCell ref="A1976:E1976"/>
    <mergeCell ref="A1977:F1977"/>
    <mergeCell ref="A1882:F1882"/>
    <mergeCell ref="A1884:F1884"/>
    <mergeCell ref="A1888:E1888"/>
    <mergeCell ref="A1889:E1889"/>
    <mergeCell ref="A1890:F1890"/>
    <mergeCell ref="A1892:F1892"/>
    <mergeCell ref="A1868:F1868"/>
    <mergeCell ref="A1872:F1872"/>
    <mergeCell ref="A1875:F1875"/>
    <mergeCell ref="A1878:E1878"/>
    <mergeCell ref="A1879:E1879"/>
    <mergeCell ref="A1880:F1880"/>
    <mergeCell ref="A1842:E1842"/>
    <mergeCell ref="A1843:E1843"/>
    <mergeCell ref="A1861:E1861"/>
    <mergeCell ref="A1862:E1862"/>
    <mergeCell ref="A1866:E1866"/>
    <mergeCell ref="A1867:E1867"/>
    <mergeCell ref="B1808:E1808"/>
    <mergeCell ref="A1809:F1809"/>
    <mergeCell ref="B1828:E1828"/>
    <mergeCell ref="B1829:E1829"/>
    <mergeCell ref="A1830:F1830"/>
    <mergeCell ref="A1841:E1841"/>
    <mergeCell ref="B1747:E1747"/>
    <mergeCell ref="A1748:F1748"/>
    <mergeCell ref="B1767:E1767"/>
    <mergeCell ref="A1768:F1768"/>
    <mergeCell ref="B1788:E1788"/>
    <mergeCell ref="A1789:F1789"/>
    <mergeCell ref="B1687:E1687"/>
    <mergeCell ref="A1688:F1688"/>
    <mergeCell ref="B1707:E1707"/>
    <mergeCell ref="A1708:F1708"/>
    <mergeCell ref="B1727:E1727"/>
    <mergeCell ref="A1728:F1728"/>
    <mergeCell ref="A1647:E1647"/>
    <mergeCell ref="A1648:E1648"/>
    <mergeCell ref="A1649:F1649"/>
    <mergeCell ref="A1650:F1650"/>
    <mergeCell ref="B1669:E1669"/>
    <mergeCell ref="A1670:F1670"/>
    <mergeCell ref="A1638:E1638"/>
    <mergeCell ref="A1639:F1639"/>
    <mergeCell ref="A1641:E1641"/>
    <mergeCell ref="A1642:F1642"/>
    <mergeCell ref="A1644:E1644"/>
    <mergeCell ref="A1645:F1645"/>
    <mergeCell ref="A1607:E1607"/>
    <mergeCell ref="A1608:F1608"/>
    <mergeCell ref="A1626:E1626"/>
    <mergeCell ref="A1627:F1627"/>
    <mergeCell ref="A1633:E1633"/>
    <mergeCell ref="A1634:F1634"/>
    <mergeCell ref="A1568:A1571"/>
    <mergeCell ref="A1587:E1587"/>
    <mergeCell ref="A1588:E1588"/>
    <mergeCell ref="A1589:E1589"/>
    <mergeCell ref="A1590:F1590"/>
    <mergeCell ref="A1591:F1591"/>
    <mergeCell ref="A1526:E1526"/>
    <mergeCell ref="A1527:F1527"/>
    <mergeCell ref="A1537:A1538"/>
    <mergeCell ref="A1548:A1549"/>
    <mergeCell ref="A1560:A1562"/>
    <mergeCell ref="A1564:A1565"/>
    <mergeCell ref="A1481:F1481"/>
    <mergeCell ref="A1495:E1495"/>
    <mergeCell ref="A1496:F1496"/>
    <mergeCell ref="A1498:A1500"/>
    <mergeCell ref="A1513:E1513"/>
    <mergeCell ref="A1514:F1514"/>
    <mergeCell ref="A1436:A1437"/>
    <mergeCell ref="A1439:F1439"/>
    <mergeCell ref="A1451:F1451"/>
    <mergeCell ref="A1460:E1460"/>
    <mergeCell ref="A1461:F1461"/>
    <mergeCell ref="A1480:E1480"/>
    <mergeCell ref="A1411:F1411"/>
    <mergeCell ref="A1413:A1415"/>
    <mergeCell ref="A1428:E1428"/>
    <mergeCell ref="A1429:E1429"/>
    <mergeCell ref="A1430:E1430"/>
    <mergeCell ref="A1431:F1431"/>
    <mergeCell ref="A1296:F1296"/>
    <mergeCell ref="A1315:E1315"/>
    <mergeCell ref="A1316:F1316"/>
    <mergeCell ref="A1341:E1341"/>
    <mergeCell ref="A1342:F1342"/>
    <mergeCell ref="A1410:E1410"/>
    <mergeCell ref="A1263:E1263"/>
    <mergeCell ref="A1264:F1264"/>
    <mergeCell ref="A1271:A1272"/>
    <mergeCell ref="A1274:F1274"/>
    <mergeCell ref="A1286:F1286"/>
    <mergeCell ref="A1295:E1295"/>
    <mergeCell ref="A1175:F1175"/>
    <mergeCell ref="A1243:E1243"/>
    <mergeCell ref="A1244:F1244"/>
    <mergeCell ref="A1246:A1248"/>
    <mergeCell ref="A1261:E1261"/>
    <mergeCell ref="A1262:E1262"/>
    <mergeCell ref="A1119:F1119"/>
    <mergeCell ref="A1128:E1128"/>
    <mergeCell ref="A1129:F1129"/>
    <mergeCell ref="A1148:E1148"/>
    <mergeCell ref="A1149:F1149"/>
    <mergeCell ref="A1174:E1174"/>
    <mergeCell ref="A1096:E1096"/>
    <mergeCell ref="A1097:E1097"/>
    <mergeCell ref="A1098:E1098"/>
    <mergeCell ref="A1099:F1099"/>
    <mergeCell ref="A1102:A1105"/>
    <mergeCell ref="A1107:F1107"/>
    <mergeCell ref="A1035:E1035"/>
    <mergeCell ref="A1036:F1036"/>
    <mergeCell ref="A1057:A1058"/>
    <mergeCell ref="A1069:A1071"/>
    <mergeCell ref="A1073:A1074"/>
    <mergeCell ref="A1077:A1080"/>
    <mergeCell ref="A979:F979"/>
    <mergeCell ref="A1004:E1004"/>
    <mergeCell ref="A1005:F1005"/>
    <mergeCell ref="A1017:E1017"/>
    <mergeCell ref="A1018:F1018"/>
    <mergeCell ref="A1020:A1022"/>
    <mergeCell ref="A934:A935"/>
    <mergeCell ref="A937:F937"/>
    <mergeCell ref="A949:F949"/>
    <mergeCell ref="A958:E958"/>
    <mergeCell ref="A959:F959"/>
    <mergeCell ref="A978:E978"/>
    <mergeCell ref="A905:A906"/>
    <mergeCell ref="A909:A912"/>
    <mergeCell ref="A928:E928"/>
    <mergeCell ref="A929:E929"/>
    <mergeCell ref="A930:E930"/>
    <mergeCell ref="A931:F931"/>
    <mergeCell ref="A850:F850"/>
    <mergeCell ref="A852:A854"/>
    <mergeCell ref="A867:E867"/>
    <mergeCell ref="A868:F868"/>
    <mergeCell ref="A889:A890"/>
    <mergeCell ref="A901:A903"/>
    <mergeCell ref="A734:F734"/>
    <mergeCell ref="A753:E753"/>
    <mergeCell ref="A754:F754"/>
    <mergeCell ref="A779:E779"/>
    <mergeCell ref="A780:F780"/>
    <mergeCell ref="A849:E849"/>
    <mergeCell ref="A705:E705"/>
    <mergeCell ref="A706:F706"/>
    <mergeCell ref="A708:A709"/>
    <mergeCell ref="A712:F712"/>
    <mergeCell ref="A724:F724"/>
    <mergeCell ref="A733:E733"/>
    <mergeCell ref="A678:F678"/>
    <mergeCell ref="A690:F690"/>
    <mergeCell ref="A699:E699"/>
    <mergeCell ref="A700:F700"/>
    <mergeCell ref="A703:E703"/>
    <mergeCell ref="A704:E704"/>
    <mergeCell ref="A643:A646"/>
    <mergeCell ref="A662:E662"/>
    <mergeCell ref="A663:E663"/>
    <mergeCell ref="A664:E664"/>
    <mergeCell ref="A665:F665"/>
    <mergeCell ref="A668:A675"/>
    <mergeCell ref="A601:E601"/>
    <mergeCell ref="A602:F602"/>
    <mergeCell ref="A612:A613"/>
    <mergeCell ref="A623:A624"/>
    <mergeCell ref="A635:A637"/>
    <mergeCell ref="A639:A640"/>
    <mergeCell ref="A508:E508"/>
    <mergeCell ref="A509:F509"/>
    <mergeCell ref="A525:E525"/>
    <mergeCell ref="A526:F526"/>
    <mergeCell ref="A544:E544"/>
    <mergeCell ref="A545:F545"/>
    <mergeCell ref="A476:E476"/>
    <mergeCell ref="A477:E477"/>
    <mergeCell ref="A478:E478"/>
    <mergeCell ref="A479:F479"/>
    <mergeCell ref="A487:F487"/>
    <mergeCell ref="A499:F499"/>
    <mergeCell ref="A416:F416"/>
    <mergeCell ref="A426:A427"/>
    <mergeCell ref="A437:A438"/>
    <mergeCell ref="A449:A451"/>
    <mergeCell ref="A453:A454"/>
    <mergeCell ref="A457:A460"/>
    <mergeCell ref="A369:F369"/>
    <mergeCell ref="A383:E383"/>
    <mergeCell ref="A384:F384"/>
    <mergeCell ref="A403:E403"/>
    <mergeCell ref="A404:F404"/>
    <mergeCell ref="A415:E415"/>
    <mergeCell ref="A337:E337"/>
    <mergeCell ref="A338:F338"/>
    <mergeCell ref="A341:A344"/>
    <mergeCell ref="A347:F347"/>
    <mergeCell ref="A359:F359"/>
    <mergeCell ref="A368:E368"/>
    <mergeCell ref="A301:F301"/>
    <mergeCell ref="A313:F313"/>
    <mergeCell ref="A322:E322"/>
    <mergeCell ref="A323:F323"/>
    <mergeCell ref="A335:E335"/>
    <mergeCell ref="A336:E336"/>
    <mergeCell ref="A286:E286"/>
    <mergeCell ref="A287:E287"/>
    <mergeCell ref="A288:E288"/>
    <mergeCell ref="A289:F289"/>
    <mergeCell ref="A292:A296"/>
    <mergeCell ref="A297:A298"/>
    <mergeCell ref="A226:F226"/>
    <mergeCell ref="A236:A237"/>
    <mergeCell ref="A247:A248"/>
    <mergeCell ref="A259:A261"/>
    <mergeCell ref="A263:A264"/>
    <mergeCell ref="A267:A270"/>
    <mergeCell ref="A199:F199"/>
    <mergeCell ref="A208:E208"/>
    <mergeCell ref="A209:F209"/>
    <mergeCell ref="A221:E221"/>
    <mergeCell ref="A222:F222"/>
    <mergeCell ref="A225:E225"/>
    <mergeCell ref="A171:E171"/>
    <mergeCell ref="A172:E172"/>
    <mergeCell ref="A173:F173"/>
    <mergeCell ref="A185:E185"/>
    <mergeCell ref="A186:F186"/>
    <mergeCell ref="A198:E198"/>
    <mergeCell ref="A110:F110"/>
    <mergeCell ref="A131:A132"/>
    <mergeCell ref="A170:E170"/>
    <mergeCell ref="A38:E38"/>
    <mergeCell ref="A39:F39"/>
    <mergeCell ref="A64:E64"/>
    <mergeCell ref="A65:F65"/>
    <mergeCell ref="A84:E84"/>
    <mergeCell ref="A85:F85"/>
    <mergeCell ref="A1:F1"/>
    <mergeCell ref="A2:F2"/>
    <mergeCell ref="A4:E4"/>
    <mergeCell ref="A5:F5"/>
    <mergeCell ref="A17:F17"/>
    <mergeCell ref="A29:F29"/>
    <mergeCell ref="A97:E97"/>
    <mergeCell ref="A98:F98"/>
    <mergeCell ref="A109:E109"/>
  </mergeCells>
  <conditionalFormatting sqref="B49:B56">
    <cfRule type="cellIs" dxfId="310" priority="313" operator="equal">
      <formula>0</formula>
    </cfRule>
  </conditionalFormatting>
  <conditionalFormatting sqref="B77">
    <cfRule type="cellIs" dxfId="309" priority="310" operator="equal">
      <formula>0</formula>
    </cfRule>
  </conditionalFormatting>
  <conditionalFormatting sqref="B396">
    <cfRule type="cellIs" dxfId="308" priority="302" operator="equal">
      <formula>0</formula>
    </cfRule>
  </conditionalFormatting>
  <conditionalFormatting sqref="B573">
    <cfRule type="cellIs" dxfId="307" priority="299" operator="equal">
      <formula>0</formula>
    </cfRule>
  </conditionalFormatting>
  <conditionalFormatting sqref="B746">
    <cfRule type="cellIs" dxfId="306" priority="293" operator="equal">
      <formula>0</formula>
    </cfRule>
  </conditionalFormatting>
  <conditionalFormatting sqref="B809">
    <cfRule type="cellIs" dxfId="305" priority="284" operator="equal">
      <formula>0</formula>
    </cfRule>
  </conditionalFormatting>
  <conditionalFormatting sqref="B1141">
    <cfRule type="cellIs" dxfId="304" priority="271" operator="equal">
      <formula>0</formula>
    </cfRule>
  </conditionalFormatting>
  <conditionalFormatting sqref="B1203">
    <cfRule type="cellIs" dxfId="303" priority="268" operator="equal">
      <formula>0</formula>
    </cfRule>
  </conditionalFormatting>
  <conditionalFormatting sqref="B1308">
    <cfRule type="cellIs" dxfId="302" priority="265" operator="equal">
      <formula>0</formula>
    </cfRule>
  </conditionalFormatting>
  <conditionalFormatting sqref="B1370">
    <cfRule type="cellIs" dxfId="301" priority="262" operator="equal">
      <formula>0</formula>
    </cfRule>
  </conditionalFormatting>
  <conditionalFormatting sqref="B1473">
    <cfRule type="cellIs" dxfId="300" priority="259" operator="equal">
      <formula>0</formula>
    </cfRule>
  </conditionalFormatting>
  <conditionalFormatting sqref="B2137">
    <cfRule type="cellIs" dxfId="299" priority="255" operator="equal">
      <formula>0</formula>
    </cfRule>
  </conditionalFormatting>
  <conditionalFormatting sqref="B2164">
    <cfRule type="cellIs" dxfId="298" priority="254" operator="equal">
      <formula>0</formula>
    </cfRule>
  </conditionalFormatting>
  <conditionalFormatting sqref="B2192:B2194">
    <cfRule type="cellIs" dxfId="297" priority="253" operator="equal">
      <formula>0</formula>
    </cfRule>
  </conditionalFormatting>
  <conditionalFormatting sqref="B2206">
    <cfRule type="cellIs" dxfId="296" priority="251" operator="equal">
      <formula>0</formula>
    </cfRule>
  </conditionalFormatting>
  <conditionalFormatting sqref="B2209:B2215">
    <cfRule type="cellIs" dxfId="295" priority="250" operator="equal">
      <formula>0</formula>
    </cfRule>
  </conditionalFormatting>
  <conditionalFormatting sqref="D989:E991 B989:B996">
    <cfRule type="cellIs" dxfId="294" priority="274" operator="equal">
      <formula>0</formula>
    </cfRule>
  </conditionalFormatting>
  <conditionalFormatting sqref="D1159:E1161 B1159:B1166">
    <cfRule type="cellIs" dxfId="293" priority="270" operator="equal">
      <formula>0</formula>
    </cfRule>
  </conditionalFormatting>
  <conditionalFormatting sqref="D1326:E1328 B1326:B1333">
    <cfRule type="cellIs" dxfId="292" priority="264" operator="equal">
      <formula>0</formula>
    </cfRule>
  </conditionalFormatting>
  <conditionalFormatting sqref="D2209:E2211">
    <cfRule type="cellIs" dxfId="291" priority="249" operator="equal">
      <formula>0</formula>
    </cfRule>
  </conditionalFormatting>
  <conditionalFormatting sqref="E77:E78">
    <cfRule type="cellIs" dxfId="290" priority="311" operator="equal">
      <formula>0</formula>
    </cfRule>
  </conditionalFormatting>
  <conditionalFormatting sqref="E396:E397">
    <cfRule type="cellIs" dxfId="289" priority="303" operator="equal">
      <formula>0</formula>
    </cfRule>
  </conditionalFormatting>
  <conditionalFormatting sqref="E573">
    <cfRule type="cellIs" dxfId="288" priority="300" operator="equal">
      <formula>0</formula>
    </cfRule>
  </conditionalFormatting>
  <conditionalFormatting sqref="E676:E677">
    <cfRule type="cellIs" dxfId="287" priority="297" operator="equal">
      <formula>0</formula>
    </cfRule>
  </conditionalFormatting>
  <conditionalFormatting sqref="E746:E747">
    <cfRule type="cellIs" dxfId="286" priority="294" operator="equal">
      <formula>0</formula>
    </cfRule>
  </conditionalFormatting>
  <conditionalFormatting sqref="E809">
    <cfRule type="cellIs" dxfId="285" priority="285" operator="equal">
      <formula>0</formula>
    </cfRule>
  </conditionalFormatting>
  <conditionalFormatting sqref="E1141:E1142">
    <cfRule type="cellIs" dxfId="284" priority="272" operator="equal">
      <formula>0</formula>
    </cfRule>
  </conditionalFormatting>
  <conditionalFormatting sqref="E1203">
    <cfRule type="cellIs" dxfId="283" priority="269" operator="equal">
      <formula>0</formula>
    </cfRule>
  </conditionalFormatting>
  <conditionalFormatting sqref="E1308:E1309">
    <cfRule type="cellIs" dxfId="282" priority="266" operator="equal">
      <formula>0</formula>
    </cfRule>
  </conditionalFormatting>
  <conditionalFormatting sqref="E1370">
    <cfRule type="cellIs" dxfId="281" priority="263" operator="equal">
      <formula>0</formula>
    </cfRule>
  </conditionalFormatting>
  <conditionalFormatting sqref="E1473:E1474">
    <cfRule type="cellIs" dxfId="280" priority="260" operator="equal">
      <formula>0</formula>
    </cfRule>
  </conditionalFormatting>
  <conditionalFormatting sqref="E2137">
    <cfRule type="cellIs" dxfId="279" priority="256" operator="equal">
      <formula>0</formula>
    </cfRule>
  </conditionalFormatting>
  <conditionalFormatting sqref="E2206">
    <cfRule type="cellIs" dxfId="278" priority="252" operator="equal">
      <formula>0</formula>
    </cfRule>
  </conditionalFormatting>
  <conditionalFormatting sqref="F3 F6:F7 F9:F16 F18 F20:F26 F28 D49:E51 F290:F291 F709:F711 F713 F715:F721 F723 F1437:F1438 F1440 F1442:F1448 F1450">
    <cfRule type="cellIs" dxfId="277" priority="315" operator="equal">
      <formula>0</formula>
    </cfRule>
  </conditionalFormatting>
  <conditionalFormatting sqref="F30:F35">
    <cfRule type="cellIs" dxfId="276" priority="237" operator="equal">
      <formula>0</formula>
    </cfRule>
  </conditionalFormatting>
  <conditionalFormatting sqref="F37:F38">
    <cfRule type="cellIs" dxfId="275" priority="236" operator="equal">
      <formula>0</formula>
    </cfRule>
  </conditionalFormatting>
  <conditionalFormatting sqref="F40 F42:F43 F60:F63">
    <cfRule type="cellIs" dxfId="274" priority="314" operator="equal">
      <formula>0</formula>
    </cfRule>
  </conditionalFormatting>
  <conditionalFormatting sqref="F45:F51">
    <cfRule type="cellIs" dxfId="273" priority="235" operator="equal">
      <formula>0</formula>
    </cfRule>
  </conditionalFormatting>
  <conditionalFormatting sqref="F53:F58">
    <cfRule type="cellIs" dxfId="272" priority="234" operator="equal">
      <formula>0</formula>
    </cfRule>
  </conditionalFormatting>
  <conditionalFormatting sqref="F66:F67 F69:F71 F73:F79">
    <cfRule type="cellIs" dxfId="271" priority="312" operator="equal">
      <formula>0</formula>
    </cfRule>
  </conditionalFormatting>
  <conditionalFormatting sqref="F81:F83">
    <cfRule type="cellIs" dxfId="270" priority="233" operator="equal">
      <formula>0</formula>
    </cfRule>
  </conditionalFormatting>
  <conditionalFormatting sqref="F86:F96">
    <cfRule type="cellIs" dxfId="269" priority="309" operator="equal">
      <formula>0</formula>
    </cfRule>
  </conditionalFormatting>
  <conditionalFormatting sqref="F111:F112">
    <cfRule type="cellIs" dxfId="268" priority="308" operator="equal">
      <formula>0</formula>
    </cfRule>
  </conditionalFormatting>
  <conditionalFormatting sqref="F114:F119">
    <cfRule type="cellIs" dxfId="267" priority="232" operator="equal">
      <formula>0</formula>
    </cfRule>
  </conditionalFormatting>
  <conditionalFormatting sqref="F121:F130">
    <cfRule type="cellIs" dxfId="266" priority="231" operator="equal">
      <formula>0</formula>
    </cfRule>
  </conditionalFormatting>
  <conditionalFormatting sqref="F132:F142">
    <cfRule type="cellIs" dxfId="265" priority="230" operator="equal">
      <formula>0</formula>
    </cfRule>
  </conditionalFormatting>
  <conditionalFormatting sqref="F144:F146">
    <cfRule type="cellIs" dxfId="264" priority="229" operator="equal">
      <formula>0</formula>
    </cfRule>
  </conditionalFormatting>
  <conditionalFormatting sqref="F148:F150">
    <cfRule type="cellIs" dxfId="263" priority="228" operator="equal">
      <formula>0</formula>
    </cfRule>
  </conditionalFormatting>
  <conditionalFormatting sqref="F152:F164">
    <cfRule type="cellIs" dxfId="262" priority="227" operator="equal">
      <formula>0</formula>
    </cfRule>
  </conditionalFormatting>
  <conditionalFormatting sqref="F166:F169">
    <cfRule type="cellIs" dxfId="261" priority="226" operator="equal">
      <formula>0</formula>
    </cfRule>
  </conditionalFormatting>
  <conditionalFormatting sqref="F174:F175 F177:F185 F187 F189:F195">
    <cfRule type="cellIs" dxfId="260" priority="307" operator="equal">
      <formula>0</formula>
    </cfRule>
  </conditionalFormatting>
  <conditionalFormatting sqref="F197:F198">
    <cfRule type="cellIs" dxfId="259" priority="225" operator="equal">
      <formula>0</formula>
    </cfRule>
  </conditionalFormatting>
  <conditionalFormatting sqref="F200:F205">
    <cfRule type="cellIs" dxfId="258" priority="224" operator="equal">
      <formula>0</formula>
    </cfRule>
  </conditionalFormatting>
  <conditionalFormatting sqref="F207">
    <cfRule type="cellIs" dxfId="257" priority="223" operator="equal">
      <formula>0</formula>
    </cfRule>
  </conditionalFormatting>
  <conditionalFormatting sqref="F210:F220">
    <cfRule type="cellIs" dxfId="256" priority="306" operator="equal">
      <formula>0</formula>
    </cfRule>
  </conditionalFormatting>
  <conditionalFormatting sqref="F223:F224">
    <cfRule type="cellIs" dxfId="255" priority="222" operator="equal">
      <formula>0</formula>
    </cfRule>
  </conditionalFormatting>
  <conditionalFormatting sqref="F227:F228 F237:F246 F248:F258 F260:F262 F264:F266 F268:F280">
    <cfRule type="cellIs" dxfId="254" priority="305" operator="equal">
      <formula>0</formula>
    </cfRule>
  </conditionalFormatting>
  <conditionalFormatting sqref="F230:F235">
    <cfRule type="cellIs" dxfId="253" priority="221" operator="equal">
      <formula>0</formula>
    </cfRule>
  </conditionalFormatting>
  <conditionalFormatting sqref="F282:F285">
    <cfRule type="cellIs" dxfId="252" priority="220" operator="equal">
      <formula>0</formula>
    </cfRule>
  </conditionalFormatting>
  <conditionalFormatting sqref="F293:F296">
    <cfRule type="cellIs" dxfId="251" priority="219" operator="equal">
      <formula>0</formula>
    </cfRule>
  </conditionalFormatting>
  <conditionalFormatting sqref="F298:F300">
    <cfRule type="cellIs" dxfId="250" priority="218" operator="equal">
      <formula>0</formula>
    </cfRule>
  </conditionalFormatting>
  <conditionalFormatting sqref="F302">
    <cfRule type="cellIs" dxfId="249" priority="217" operator="equal">
      <formula>0</formula>
    </cfRule>
  </conditionalFormatting>
  <conditionalFormatting sqref="F304:F310">
    <cfRule type="cellIs" dxfId="248" priority="216" operator="equal">
      <formula>0</formula>
    </cfRule>
  </conditionalFormatting>
  <conditionalFormatting sqref="F312">
    <cfRule type="cellIs" dxfId="247" priority="215" operator="equal">
      <formula>0</formula>
    </cfRule>
  </conditionalFormatting>
  <conditionalFormatting sqref="F314:F319">
    <cfRule type="cellIs" dxfId="246" priority="214" operator="equal">
      <formula>0</formula>
    </cfRule>
  </conditionalFormatting>
  <conditionalFormatting sqref="F321">
    <cfRule type="cellIs" dxfId="245" priority="213" operator="equal">
      <formula>0</formula>
    </cfRule>
  </conditionalFormatting>
  <conditionalFormatting sqref="F324:F334">
    <cfRule type="cellIs" dxfId="244" priority="212" operator="equal">
      <formula>0</formula>
    </cfRule>
  </conditionalFormatting>
  <conditionalFormatting sqref="F339:F340">
    <cfRule type="cellIs" dxfId="243" priority="304" operator="equal">
      <formula>0</formula>
    </cfRule>
  </conditionalFormatting>
  <conditionalFormatting sqref="F342:F346">
    <cfRule type="cellIs" dxfId="242" priority="211" operator="equal">
      <formula>0</formula>
    </cfRule>
  </conditionalFormatting>
  <conditionalFormatting sqref="F348">
    <cfRule type="cellIs" dxfId="241" priority="210" operator="equal">
      <formula>0</formula>
    </cfRule>
  </conditionalFormatting>
  <conditionalFormatting sqref="F350:F356">
    <cfRule type="cellIs" dxfId="240" priority="209" operator="equal">
      <formula>0</formula>
    </cfRule>
  </conditionalFormatting>
  <conditionalFormatting sqref="F358">
    <cfRule type="cellIs" dxfId="239" priority="208" operator="equal">
      <formula>0</formula>
    </cfRule>
  </conditionalFormatting>
  <conditionalFormatting sqref="F360:F365">
    <cfRule type="cellIs" dxfId="238" priority="207" operator="equal">
      <formula>0</formula>
    </cfRule>
  </conditionalFormatting>
  <conditionalFormatting sqref="F367:F368">
    <cfRule type="cellIs" dxfId="237" priority="206" operator="equal">
      <formula>0</formula>
    </cfRule>
  </conditionalFormatting>
  <conditionalFormatting sqref="F370:F382">
    <cfRule type="cellIs" dxfId="236" priority="205" operator="equal">
      <formula>0</formula>
    </cfRule>
  </conditionalFormatting>
  <conditionalFormatting sqref="F385:F386">
    <cfRule type="cellIs" dxfId="235" priority="204" operator="equal">
      <formula>0</formula>
    </cfRule>
  </conditionalFormatting>
  <conditionalFormatting sqref="F388:F390">
    <cfRule type="cellIs" dxfId="234" priority="203" operator="equal">
      <formula>0</formula>
    </cfRule>
  </conditionalFormatting>
  <conditionalFormatting sqref="F392:F398">
    <cfRule type="cellIs" dxfId="233" priority="202" operator="equal">
      <formula>0</formula>
    </cfRule>
  </conditionalFormatting>
  <conditionalFormatting sqref="F400:F402">
    <cfRule type="cellIs" dxfId="232" priority="201" operator="equal">
      <formula>0</formula>
    </cfRule>
  </conditionalFormatting>
  <conditionalFormatting sqref="F405:F406">
    <cfRule type="cellIs" dxfId="231" priority="200" operator="equal">
      <formula>0</formula>
    </cfRule>
  </conditionalFormatting>
  <conditionalFormatting sqref="F408:F414">
    <cfRule type="cellIs" dxfId="230" priority="199" operator="equal">
      <formula>0</formula>
    </cfRule>
  </conditionalFormatting>
  <conditionalFormatting sqref="F417:F418">
    <cfRule type="cellIs" dxfId="229" priority="198" operator="equal">
      <formula>0</formula>
    </cfRule>
  </conditionalFormatting>
  <conditionalFormatting sqref="F420:F425">
    <cfRule type="cellIs" dxfId="228" priority="197" operator="equal">
      <formula>0</formula>
    </cfRule>
  </conditionalFormatting>
  <conditionalFormatting sqref="F427:F436">
    <cfRule type="cellIs" dxfId="227" priority="196" operator="equal">
      <formula>0</formula>
    </cfRule>
  </conditionalFormatting>
  <conditionalFormatting sqref="F438:F448">
    <cfRule type="cellIs" dxfId="226" priority="195" operator="equal">
      <formula>0</formula>
    </cfRule>
  </conditionalFormatting>
  <conditionalFormatting sqref="F450:F452">
    <cfRule type="cellIs" dxfId="225" priority="194" operator="equal">
      <formula>0</formula>
    </cfRule>
  </conditionalFormatting>
  <conditionalFormatting sqref="F454:F456">
    <cfRule type="cellIs" dxfId="224" priority="193" operator="equal">
      <formula>0</formula>
    </cfRule>
  </conditionalFormatting>
  <conditionalFormatting sqref="F458:F470">
    <cfRule type="cellIs" dxfId="223" priority="192" operator="equal">
      <formula>0</formula>
    </cfRule>
  </conditionalFormatting>
  <conditionalFormatting sqref="F472:F475">
    <cfRule type="cellIs" dxfId="222" priority="191" operator="equal">
      <formula>0</formula>
    </cfRule>
  </conditionalFormatting>
  <conditionalFormatting sqref="F480 E485:E486">
    <cfRule type="cellIs" dxfId="221" priority="301" operator="equal">
      <formula>0</formula>
    </cfRule>
  </conditionalFormatting>
  <conditionalFormatting sqref="F482:F486">
    <cfRule type="cellIs" dxfId="220" priority="190" operator="equal">
      <formula>0</formula>
    </cfRule>
  </conditionalFormatting>
  <conditionalFormatting sqref="F488">
    <cfRule type="cellIs" dxfId="219" priority="189" operator="equal">
      <formula>0</formula>
    </cfRule>
  </conditionalFormatting>
  <conditionalFormatting sqref="F490:F496">
    <cfRule type="cellIs" dxfId="218" priority="188" operator="equal">
      <formula>0</formula>
    </cfRule>
  </conditionalFormatting>
  <conditionalFormatting sqref="F498">
    <cfRule type="cellIs" dxfId="217" priority="187" operator="equal">
      <formula>0</formula>
    </cfRule>
  </conditionalFormatting>
  <conditionalFormatting sqref="F500:F505 F507:F508">
    <cfRule type="cellIs" dxfId="216" priority="186" operator="equal">
      <formula>0</formula>
    </cfRule>
  </conditionalFormatting>
  <conditionalFormatting sqref="F510">
    <cfRule type="cellIs" dxfId="215" priority="185" operator="equal">
      <formula>0</formula>
    </cfRule>
  </conditionalFormatting>
  <conditionalFormatting sqref="F512:F513">
    <cfRule type="cellIs" dxfId="214" priority="184" operator="equal">
      <formula>0</formula>
    </cfRule>
  </conditionalFormatting>
  <conditionalFormatting sqref="F515:F521">
    <cfRule type="cellIs" dxfId="213" priority="183" operator="equal">
      <formula>0</formula>
    </cfRule>
  </conditionalFormatting>
  <conditionalFormatting sqref="F523:F524">
    <cfRule type="cellIs" dxfId="212" priority="182" operator="equal">
      <formula>0</formula>
    </cfRule>
  </conditionalFormatting>
  <conditionalFormatting sqref="F527:F530">
    <cfRule type="cellIs" dxfId="211" priority="181" operator="equal">
      <formula>0</formula>
    </cfRule>
  </conditionalFormatting>
  <conditionalFormatting sqref="F532:F534">
    <cfRule type="cellIs" dxfId="210" priority="180" operator="equal">
      <formula>0</formula>
    </cfRule>
  </conditionalFormatting>
  <conditionalFormatting sqref="F536:F543">
    <cfRule type="cellIs" dxfId="209" priority="179" operator="equal">
      <formula>0</formula>
    </cfRule>
  </conditionalFormatting>
  <conditionalFormatting sqref="F546:F547">
    <cfRule type="cellIs" dxfId="208" priority="178" operator="equal">
      <formula>0</formula>
    </cfRule>
  </conditionalFormatting>
  <conditionalFormatting sqref="F549:F551">
    <cfRule type="cellIs" dxfId="207" priority="177" operator="equal">
      <formula>0</formula>
    </cfRule>
  </conditionalFormatting>
  <conditionalFormatting sqref="F553:F573 F575:F576">
    <cfRule type="cellIs" dxfId="206" priority="176" operator="equal">
      <formula>0</formula>
    </cfRule>
  </conditionalFormatting>
  <conditionalFormatting sqref="F578:F579">
    <cfRule type="cellIs" dxfId="205" priority="175" operator="equal">
      <formula>0</formula>
    </cfRule>
  </conditionalFormatting>
  <conditionalFormatting sqref="F581:F588">
    <cfRule type="cellIs" dxfId="204" priority="174" operator="equal">
      <formula>0</formula>
    </cfRule>
  </conditionalFormatting>
  <conditionalFormatting sqref="F590:F600">
    <cfRule type="cellIs" dxfId="203" priority="173" operator="equal">
      <formula>0</formula>
    </cfRule>
  </conditionalFormatting>
  <conditionalFormatting sqref="F603:F604">
    <cfRule type="cellIs" dxfId="202" priority="172" operator="equal">
      <formula>0</formula>
    </cfRule>
  </conditionalFormatting>
  <conditionalFormatting sqref="F606:F611">
    <cfRule type="cellIs" dxfId="201" priority="171" operator="equal">
      <formula>0</formula>
    </cfRule>
  </conditionalFormatting>
  <conditionalFormatting sqref="F613:F622">
    <cfRule type="cellIs" dxfId="200" priority="170" operator="equal">
      <formula>0</formula>
    </cfRule>
  </conditionalFormatting>
  <conditionalFormatting sqref="F624:F634">
    <cfRule type="cellIs" dxfId="199" priority="169" operator="equal">
      <formula>0</formula>
    </cfRule>
  </conditionalFormatting>
  <conditionalFormatting sqref="F636:F638">
    <cfRule type="cellIs" dxfId="198" priority="168" operator="equal">
      <formula>0</formula>
    </cfRule>
  </conditionalFormatting>
  <conditionalFormatting sqref="F640:F642">
    <cfRule type="cellIs" dxfId="197" priority="167" operator="equal">
      <formula>0</formula>
    </cfRule>
  </conditionalFormatting>
  <conditionalFormatting sqref="F644:F656 F658:F661">
    <cfRule type="cellIs" dxfId="196" priority="166" operator="equal">
      <formula>0</formula>
    </cfRule>
  </conditionalFormatting>
  <conditionalFormatting sqref="F666:F667">
    <cfRule type="cellIs" dxfId="195" priority="298" operator="equal">
      <formula>0</formula>
    </cfRule>
  </conditionalFormatting>
  <conditionalFormatting sqref="F669:F677">
    <cfRule type="cellIs" dxfId="194" priority="165" operator="equal">
      <formula>0</formula>
    </cfRule>
  </conditionalFormatting>
  <conditionalFormatting sqref="F679">
    <cfRule type="cellIs" dxfId="193" priority="164" operator="equal">
      <formula>0</formula>
    </cfRule>
  </conditionalFormatting>
  <conditionalFormatting sqref="F681:F687">
    <cfRule type="cellIs" dxfId="192" priority="163" operator="equal">
      <formula>0</formula>
    </cfRule>
  </conditionalFormatting>
  <conditionalFormatting sqref="F689">
    <cfRule type="cellIs" dxfId="191" priority="162" operator="equal">
      <formula>0</formula>
    </cfRule>
  </conditionalFormatting>
  <conditionalFormatting sqref="F691:F696">
    <cfRule type="cellIs" dxfId="190" priority="161" operator="equal">
      <formula>0</formula>
    </cfRule>
  </conditionalFormatting>
  <conditionalFormatting sqref="F698">
    <cfRule type="cellIs" dxfId="189" priority="160" operator="equal">
      <formula>0</formula>
    </cfRule>
  </conditionalFormatting>
  <conditionalFormatting sqref="F701:F702">
    <cfRule type="cellIs" dxfId="188" priority="159" operator="equal">
      <formula>0</formula>
    </cfRule>
  </conditionalFormatting>
  <conditionalFormatting sqref="F707">
    <cfRule type="cellIs" dxfId="187" priority="296" operator="equal">
      <formula>0</formula>
    </cfRule>
  </conditionalFormatting>
  <conditionalFormatting sqref="F725:F730 F732">
    <cfRule type="cellIs" dxfId="186" priority="246" operator="equal">
      <formula>0</formula>
    </cfRule>
  </conditionalFormatting>
  <conditionalFormatting sqref="F735:F736 F738:F740 F742:F748">
    <cfRule type="cellIs" dxfId="185" priority="295" operator="equal">
      <formula>0</formula>
    </cfRule>
  </conditionalFormatting>
  <conditionalFormatting sqref="F750:F752">
    <cfRule type="cellIs" dxfId="184" priority="292" operator="equal">
      <formula>0</formula>
    </cfRule>
  </conditionalFormatting>
  <conditionalFormatting sqref="F755 F757:F758 F775:F778">
    <cfRule type="cellIs" dxfId="183" priority="291" operator="equal">
      <formula>0</formula>
    </cfRule>
  </conditionalFormatting>
  <conditionalFormatting sqref="F760:F766 D764:E766 B764:B771">
    <cfRule type="cellIs" dxfId="182" priority="290" operator="equal">
      <formula>0</formula>
    </cfRule>
  </conditionalFormatting>
  <conditionalFormatting sqref="F768:F773">
    <cfRule type="cellIs" dxfId="181" priority="289" operator="equal">
      <formula>0</formula>
    </cfRule>
  </conditionalFormatting>
  <conditionalFormatting sqref="F781:F782">
    <cfRule type="cellIs" dxfId="180" priority="287" operator="equal">
      <formula>0</formula>
    </cfRule>
  </conditionalFormatting>
  <conditionalFormatting sqref="F784:F786 F817:F824 F826:F828 F830:F831 F833:F836">
    <cfRule type="cellIs" dxfId="179" priority="288" operator="equal">
      <formula>0</formula>
    </cfRule>
  </conditionalFormatting>
  <conditionalFormatting sqref="F788:F809">
    <cfRule type="cellIs" dxfId="178" priority="286" operator="equal">
      <formula>0</formula>
    </cfRule>
  </conditionalFormatting>
  <conditionalFormatting sqref="F811:F812 F814:F815">
    <cfRule type="cellIs" dxfId="177" priority="283" operator="equal">
      <formula>0</formula>
    </cfRule>
  </conditionalFormatting>
  <conditionalFormatting sqref="F838:F848">
    <cfRule type="cellIs" dxfId="176" priority="282" operator="equal">
      <formula>0</formula>
    </cfRule>
  </conditionalFormatting>
  <conditionalFormatting sqref="F851 F853:F855 F857:F861 F863:F866">
    <cfRule type="cellIs" dxfId="175" priority="281" operator="equal">
      <formula>0</formula>
    </cfRule>
  </conditionalFormatting>
  <conditionalFormatting sqref="F869:F870 F902:F904 F906:F908 F910:F922">
    <cfRule type="cellIs" dxfId="174" priority="280" operator="equal">
      <formula>0</formula>
    </cfRule>
  </conditionalFormatting>
  <conditionalFormatting sqref="F872:F877">
    <cfRule type="cellIs" dxfId="173" priority="279" operator="equal">
      <formula>0</formula>
    </cfRule>
  </conditionalFormatting>
  <conditionalFormatting sqref="F879:F888">
    <cfRule type="cellIs" dxfId="172" priority="278" operator="equal">
      <formula>0</formula>
    </cfRule>
  </conditionalFormatting>
  <conditionalFormatting sqref="F890:F900">
    <cfRule type="cellIs" dxfId="171" priority="277" operator="equal">
      <formula>0</formula>
    </cfRule>
  </conditionalFormatting>
  <conditionalFormatting sqref="F924:F928">
    <cfRule type="cellIs" dxfId="170" priority="276" operator="equal">
      <formula>0</formula>
    </cfRule>
  </conditionalFormatting>
  <conditionalFormatting sqref="F932:F933">
    <cfRule type="cellIs" dxfId="169" priority="275" operator="equal">
      <formula>0</formula>
    </cfRule>
  </conditionalFormatting>
  <conditionalFormatting sqref="F935:F936">
    <cfRule type="cellIs" dxfId="168" priority="158" operator="equal">
      <formula>0</formula>
    </cfRule>
  </conditionalFormatting>
  <conditionalFormatting sqref="F938">
    <cfRule type="cellIs" dxfId="167" priority="157" operator="equal">
      <formula>0</formula>
    </cfRule>
  </conditionalFormatting>
  <conditionalFormatting sqref="F940:F946">
    <cfRule type="cellIs" dxfId="166" priority="156" operator="equal">
      <formula>0</formula>
    </cfRule>
  </conditionalFormatting>
  <conditionalFormatting sqref="F948">
    <cfRule type="cellIs" dxfId="165" priority="155" operator="equal">
      <formula>0</formula>
    </cfRule>
  </conditionalFormatting>
  <conditionalFormatting sqref="F950:F955">
    <cfRule type="cellIs" dxfId="164" priority="154" operator="equal">
      <formula>0</formula>
    </cfRule>
  </conditionalFormatting>
  <conditionalFormatting sqref="F957">
    <cfRule type="cellIs" dxfId="163" priority="153" operator="equal">
      <formula>0</formula>
    </cfRule>
  </conditionalFormatting>
  <conditionalFormatting sqref="F960:F961 F963:F965">
    <cfRule type="cellIs" dxfId="162" priority="152" operator="equal">
      <formula>0</formula>
    </cfRule>
  </conditionalFormatting>
  <conditionalFormatting sqref="F967:F973 F975:F977">
    <cfRule type="cellIs" dxfId="161" priority="151" operator="equal">
      <formula>0</formula>
    </cfRule>
  </conditionalFormatting>
  <conditionalFormatting sqref="F980">
    <cfRule type="cellIs" dxfId="160" priority="150" operator="equal">
      <formula>0</formula>
    </cfRule>
  </conditionalFormatting>
  <conditionalFormatting sqref="F982:F983">
    <cfRule type="cellIs" dxfId="159" priority="149" operator="equal">
      <formula>0</formula>
    </cfRule>
  </conditionalFormatting>
  <conditionalFormatting sqref="F985:F991">
    <cfRule type="cellIs" dxfId="158" priority="148" operator="equal">
      <formula>0</formula>
    </cfRule>
  </conditionalFormatting>
  <conditionalFormatting sqref="F993:F998">
    <cfRule type="cellIs" dxfId="157" priority="147" operator="equal">
      <formula>0</formula>
    </cfRule>
  </conditionalFormatting>
  <conditionalFormatting sqref="F1000:F1003">
    <cfRule type="cellIs" dxfId="156" priority="146" operator="equal">
      <formula>0</formula>
    </cfRule>
  </conditionalFormatting>
  <conditionalFormatting sqref="F1006:F1016">
    <cfRule type="cellIs" dxfId="155" priority="145" operator="equal">
      <formula>0</formula>
    </cfRule>
  </conditionalFormatting>
  <conditionalFormatting sqref="F1019">
    <cfRule type="cellIs" dxfId="154" priority="144" operator="equal">
      <formula>0</formula>
    </cfRule>
  </conditionalFormatting>
  <conditionalFormatting sqref="F1021:F1023">
    <cfRule type="cellIs" dxfId="153" priority="143" operator="equal">
      <formula>0</formula>
    </cfRule>
  </conditionalFormatting>
  <conditionalFormatting sqref="F1025:F1029">
    <cfRule type="cellIs" dxfId="152" priority="142" operator="equal">
      <formula>0</formula>
    </cfRule>
  </conditionalFormatting>
  <conditionalFormatting sqref="F1031:F1034">
    <cfRule type="cellIs" dxfId="151" priority="141" operator="equal">
      <formula>0</formula>
    </cfRule>
  </conditionalFormatting>
  <conditionalFormatting sqref="F1037:F1038">
    <cfRule type="cellIs" dxfId="150" priority="140" operator="equal">
      <formula>0</formula>
    </cfRule>
  </conditionalFormatting>
  <conditionalFormatting sqref="F1040:F1045">
    <cfRule type="cellIs" dxfId="149" priority="139" operator="equal">
      <formula>0</formula>
    </cfRule>
  </conditionalFormatting>
  <conditionalFormatting sqref="F1047:F1056 F1058:F1068">
    <cfRule type="cellIs" dxfId="148" priority="138" operator="equal">
      <formula>0</formula>
    </cfRule>
  </conditionalFormatting>
  <conditionalFormatting sqref="F1070:F1072">
    <cfRule type="cellIs" dxfId="147" priority="137" operator="equal">
      <formula>0</formula>
    </cfRule>
  </conditionalFormatting>
  <conditionalFormatting sqref="F1074:F1076">
    <cfRule type="cellIs" dxfId="146" priority="136" operator="equal">
      <formula>0</formula>
    </cfRule>
  </conditionalFormatting>
  <conditionalFormatting sqref="F1078:F1090 F1092:F1095">
    <cfRule type="cellIs" dxfId="145" priority="135" operator="equal">
      <formula>0</formula>
    </cfRule>
  </conditionalFormatting>
  <conditionalFormatting sqref="F1100:F1101">
    <cfRule type="cellIs" dxfId="144" priority="273" operator="equal">
      <formula>0</formula>
    </cfRule>
  </conditionalFormatting>
  <conditionalFormatting sqref="F1103:F1106">
    <cfRule type="cellIs" dxfId="143" priority="134" operator="equal">
      <formula>0</formula>
    </cfRule>
  </conditionalFormatting>
  <conditionalFormatting sqref="F1108">
    <cfRule type="cellIs" dxfId="142" priority="133" operator="equal">
      <formula>0</formula>
    </cfRule>
  </conditionalFormatting>
  <conditionalFormatting sqref="F1110:F1116">
    <cfRule type="cellIs" dxfId="141" priority="132" operator="equal">
      <formula>0</formula>
    </cfRule>
  </conditionalFormatting>
  <conditionalFormatting sqref="F1118">
    <cfRule type="cellIs" dxfId="140" priority="131" operator="equal">
      <formula>0</formula>
    </cfRule>
  </conditionalFormatting>
  <conditionalFormatting sqref="F1120:F1125">
    <cfRule type="cellIs" dxfId="139" priority="130" operator="equal">
      <formula>0</formula>
    </cfRule>
  </conditionalFormatting>
  <conditionalFormatting sqref="F1127">
    <cfRule type="cellIs" dxfId="138" priority="129" operator="equal">
      <formula>0</formula>
    </cfRule>
  </conditionalFormatting>
  <conditionalFormatting sqref="F1130:F1131">
    <cfRule type="cellIs" dxfId="137" priority="128" operator="equal">
      <formula>0</formula>
    </cfRule>
  </conditionalFormatting>
  <conditionalFormatting sqref="F1133:F1135">
    <cfRule type="cellIs" dxfId="136" priority="127" operator="equal">
      <formula>0</formula>
    </cfRule>
  </conditionalFormatting>
  <conditionalFormatting sqref="F1137:F1143">
    <cfRule type="cellIs" dxfId="135" priority="126" operator="equal">
      <formula>0</formula>
    </cfRule>
  </conditionalFormatting>
  <conditionalFormatting sqref="F1145:F1147">
    <cfRule type="cellIs" dxfId="134" priority="125" operator="equal">
      <formula>0</formula>
    </cfRule>
  </conditionalFormatting>
  <conditionalFormatting sqref="F1150">
    <cfRule type="cellIs" dxfId="133" priority="124" operator="equal">
      <formula>0</formula>
    </cfRule>
  </conditionalFormatting>
  <conditionalFormatting sqref="F1152:F1153">
    <cfRule type="cellIs" dxfId="132" priority="123" operator="equal">
      <formula>0</formula>
    </cfRule>
  </conditionalFormatting>
  <conditionalFormatting sqref="F1155:F1161">
    <cfRule type="cellIs" dxfId="131" priority="121" operator="equal">
      <formula>0</formula>
    </cfRule>
  </conditionalFormatting>
  <conditionalFormatting sqref="F1163:F1168">
    <cfRule type="cellIs" dxfId="130" priority="122" operator="equal">
      <formula>0</formula>
    </cfRule>
  </conditionalFormatting>
  <conditionalFormatting sqref="F1170:F1173">
    <cfRule type="cellIs" dxfId="129" priority="120" operator="equal">
      <formula>0</formula>
    </cfRule>
  </conditionalFormatting>
  <conditionalFormatting sqref="F1176:F1177 F1179:F1181">
    <cfRule type="cellIs" dxfId="128" priority="119" operator="equal">
      <formula>0</formula>
    </cfRule>
  </conditionalFormatting>
  <conditionalFormatting sqref="F1183:F1203 F1205:F1206 F1208:F1209">
    <cfRule type="cellIs" dxfId="127" priority="118" operator="equal">
      <formula>0</formula>
    </cfRule>
  </conditionalFormatting>
  <conditionalFormatting sqref="F1211:F1218">
    <cfRule type="cellIs" dxfId="126" priority="117" operator="equal">
      <formula>0</formula>
    </cfRule>
  </conditionalFormatting>
  <conditionalFormatting sqref="F1220:F1222 F1224:F1225">
    <cfRule type="cellIs" dxfId="125" priority="116" operator="equal">
      <formula>0</formula>
    </cfRule>
  </conditionalFormatting>
  <conditionalFormatting sqref="F1227:F1230">
    <cfRule type="cellIs" dxfId="124" priority="115" operator="equal">
      <formula>0</formula>
    </cfRule>
  </conditionalFormatting>
  <conditionalFormatting sqref="F1232:F1242">
    <cfRule type="cellIs" dxfId="123" priority="114" operator="equal">
      <formula>0</formula>
    </cfRule>
  </conditionalFormatting>
  <conditionalFormatting sqref="F1245">
    <cfRule type="cellIs" dxfId="122" priority="113" operator="equal">
      <formula>0</formula>
    </cfRule>
  </conditionalFormatting>
  <conditionalFormatting sqref="F1247:F1249">
    <cfRule type="cellIs" dxfId="121" priority="112" operator="equal">
      <formula>0</formula>
    </cfRule>
  </conditionalFormatting>
  <conditionalFormatting sqref="F1251:F1255 F1257:F1260">
    <cfRule type="cellIs" dxfId="120" priority="111" operator="equal">
      <formula>0</formula>
    </cfRule>
  </conditionalFormatting>
  <conditionalFormatting sqref="F1265:F1266 F1268:F1270">
    <cfRule type="cellIs" dxfId="119" priority="267" operator="equal">
      <formula>0</formula>
    </cfRule>
  </conditionalFormatting>
  <conditionalFormatting sqref="F1272:F1273">
    <cfRule type="cellIs" dxfId="118" priority="110" operator="equal">
      <formula>0</formula>
    </cfRule>
  </conditionalFormatting>
  <conditionalFormatting sqref="F1275">
    <cfRule type="cellIs" dxfId="117" priority="109" operator="equal">
      <formula>0</formula>
    </cfRule>
  </conditionalFormatting>
  <conditionalFormatting sqref="F1277:F1283">
    <cfRule type="cellIs" dxfId="116" priority="108" operator="equal">
      <formula>0</formula>
    </cfRule>
  </conditionalFormatting>
  <conditionalFormatting sqref="F1285">
    <cfRule type="cellIs" dxfId="115" priority="107" operator="equal">
      <formula>0</formula>
    </cfRule>
  </conditionalFormatting>
  <conditionalFormatting sqref="F1287:F1292">
    <cfRule type="cellIs" dxfId="114" priority="106" operator="equal">
      <formula>0</formula>
    </cfRule>
  </conditionalFormatting>
  <conditionalFormatting sqref="F1294">
    <cfRule type="cellIs" dxfId="113" priority="105" operator="equal">
      <formula>0</formula>
    </cfRule>
  </conditionalFormatting>
  <conditionalFormatting sqref="F1297:F1298">
    <cfRule type="cellIs" dxfId="112" priority="104" operator="equal">
      <formula>0</formula>
    </cfRule>
  </conditionalFormatting>
  <conditionalFormatting sqref="F1300:F1302">
    <cfRule type="cellIs" dxfId="111" priority="103" operator="equal">
      <formula>0</formula>
    </cfRule>
  </conditionalFormatting>
  <conditionalFormatting sqref="F1304:F1310">
    <cfRule type="cellIs" dxfId="110" priority="102" operator="equal">
      <formula>0</formula>
    </cfRule>
  </conditionalFormatting>
  <conditionalFormatting sqref="F1312:F1314">
    <cfRule type="cellIs" dxfId="109" priority="101" operator="equal">
      <formula>0</formula>
    </cfRule>
  </conditionalFormatting>
  <conditionalFormatting sqref="F1317">
    <cfRule type="cellIs" dxfId="108" priority="100" operator="equal">
      <formula>0</formula>
    </cfRule>
  </conditionalFormatting>
  <conditionalFormatting sqref="F1319:F1320">
    <cfRule type="cellIs" dxfId="107" priority="99" operator="equal">
      <formula>0</formula>
    </cfRule>
  </conditionalFormatting>
  <conditionalFormatting sqref="F1322:F1328">
    <cfRule type="cellIs" dxfId="106" priority="98" operator="equal">
      <formula>0</formula>
    </cfRule>
  </conditionalFormatting>
  <conditionalFormatting sqref="F1330:F1335">
    <cfRule type="cellIs" dxfId="105" priority="97" operator="equal">
      <formula>0</formula>
    </cfRule>
  </conditionalFormatting>
  <conditionalFormatting sqref="F1337:F1340">
    <cfRule type="cellIs" dxfId="104" priority="96" operator="equal">
      <formula>0</formula>
    </cfRule>
  </conditionalFormatting>
  <conditionalFormatting sqref="F1343:F1344 F1346:F1348">
    <cfRule type="cellIs" dxfId="103" priority="95" operator="equal">
      <formula>0</formula>
    </cfRule>
  </conditionalFormatting>
  <conditionalFormatting sqref="F1350:F1370">
    <cfRule type="cellIs" dxfId="102" priority="94" operator="equal">
      <formula>0</formula>
    </cfRule>
  </conditionalFormatting>
  <conditionalFormatting sqref="F1372:F1373">
    <cfRule type="cellIs" dxfId="101" priority="93" operator="equal">
      <formula>0</formula>
    </cfRule>
  </conditionalFormatting>
  <conditionalFormatting sqref="F1375:F1376">
    <cfRule type="cellIs" dxfId="100" priority="92" operator="equal">
      <formula>0</formula>
    </cfRule>
  </conditionalFormatting>
  <conditionalFormatting sqref="F1378:F1385">
    <cfRule type="cellIs" dxfId="99" priority="91" operator="equal">
      <formula>0</formula>
    </cfRule>
  </conditionalFormatting>
  <conditionalFormatting sqref="F1387:F1389 F1391:F1392 F1394:F1397">
    <cfRule type="cellIs" dxfId="98" priority="90" operator="equal">
      <formula>0</formula>
    </cfRule>
  </conditionalFormatting>
  <conditionalFormatting sqref="F1399:F1409">
    <cfRule type="cellIs" dxfId="97" priority="89" operator="equal">
      <formula>0</formula>
    </cfRule>
  </conditionalFormatting>
  <conditionalFormatting sqref="F1412">
    <cfRule type="cellIs" dxfId="96" priority="88" operator="equal">
      <formula>0</formula>
    </cfRule>
  </conditionalFormatting>
  <conditionalFormatting sqref="F1414:F1416">
    <cfRule type="cellIs" dxfId="95" priority="87" operator="equal">
      <formula>0</formula>
    </cfRule>
  </conditionalFormatting>
  <conditionalFormatting sqref="F1418:F1422">
    <cfRule type="cellIs" dxfId="94" priority="86" operator="equal">
      <formula>0</formula>
    </cfRule>
  </conditionalFormatting>
  <conditionalFormatting sqref="F1424:F1427">
    <cfRule type="cellIs" dxfId="93" priority="85" operator="equal">
      <formula>0</formula>
    </cfRule>
  </conditionalFormatting>
  <conditionalFormatting sqref="F1432:F1433 F1435">
    <cfRule type="cellIs" dxfId="92" priority="261" operator="equal">
      <formula>0</formula>
    </cfRule>
  </conditionalFormatting>
  <conditionalFormatting sqref="F1452:F1457 F1459">
    <cfRule type="cellIs" dxfId="91" priority="245" operator="equal">
      <formula>0</formula>
    </cfRule>
  </conditionalFormatting>
  <conditionalFormatting sqref="F1462:F1463 F1465:F1467">
    <cfRule type="cellIs" dxfId="90" priority="84" operator="equal">
      <formula>0</formula>
    </cfRule>
  </conditionalFormatting>
  <conditionalFormatting sqref="F1469:F1475">
    <cfRule type="cellIs" dxfId="89" priority="83" operator="equal">
      <formula>0</formula>
    </cfRule>
  </conditionalFormatting>
  <conditionalFormatting sqref="F1477:F1479">
    <cfRule type="cellIs" dxfId="88" priority="82" operator="equal">
      <formula>0</formula>
    </cfRule>
  </conditionalFormatting>
  <conditionalFormatting sqref="F1482 F1484:F1485">
    <cfRule type="cellIs" dxfId="87" priority="81" operator="equal">
      <formula>0</formula>
    </cfRule>
  </conditionalFormatting>
  <conditionalFormatting sqref="F1487:F1491 F1493:F1494">
    <cfRule type="cellIs" dxfId="86" priority="80" operator="equal">
      <formula>0</formula>
    </cfRule>
  </conditionalFormatting>
  <conditionalFormatting sqref="F1497">
    <cfRule type="cellIs" dxfId="85" priority="79" operator="equal">
      <formula>0</formula>
    </cfRule>
  </conditionalFormatting>
  <conditionalFormatting sqref="F1499:F1501">
    <cfRule type="cellIs" dxfId="84" priority="78" operator="equal">
      <formula>0</formula>
    </cfRule>
  </conditionalFormatting>
  <conditionalFormatting sqref="F1503:F1507">
    <cfRule type="cellIs" dxfId="83" priority="77" operator="equal">
      <formula>0</formula>
    </cfRule>
  </conditionalFormatting>
  <conditionalFormatting sqref="F1509:F1512">
    <cfRule type="cellIs" dxfId="82" priority="76" operator="equal">
      <formula>0</formula>
    </cfRule>
  </conditionalFormatting>
  <conditionalFormatting sqref="F1515:F1525">
    <cfRule type="cellIs" dxfId="81" priority="75" operator="equal">
      <formula>0</formula>
    </cfRule>
  </conditionalFormatting>
  <conditionalFormatting sqref="F1528:F1529">
    <cfRule type="cellIs" dxfId="80" priority="74" operator="equal">
      <formula>0</formula>
    </cfRule>
  </conditionalFormatting>
  <conditionalFormatting sqref="F1531:F1536">
    <cfRule type="cellIs" dxfId="79" priority="73" operator="equal">
      <formula>0</formula>
    </cfRule>
  </conditionalFormatting>
  <conditionalFormatting sqref="F1538:F1547">
    <cfRule type="cellIs" dxfId="78" priority="72" operator="equal">
      <formula>0</formula>
    </cfRule>
  </conditionalFormatting>
  <conditionalFormatting sqref="F1549:F1559">
    <cfRule type="cellIs" dxfId="77" priority="71" operator="equal">
      <formula>0</formula>
    </cfRule>
  </conditionalFormatting>
  <conditionalFormatting sqref="F1561:F1563">
    <cfRule type="cellIs" dxfId="76" priority="70" operator="equal">
      <formula>0</formula>
    </cfRule>
  </conditionalFormatting>
  <conditionalFormatting sqref="F1565:F1567">
    <cfRule type="cellIs" dxfId="75" priority="69" operator="equal">
      <formula>0</formula>
    </cfRule>
  </conditionalFormatting>
  <conditionalFormatting sqref="F1569:F1581 F1583:F1586">
    <cfRule type="cellIs" dxfId="74" priority="68" operator="equal">
      <formula>0</formula>
    </cfRule>
  </conditionalFormatting>
  <conditionalFormatting sqref="F1863">
    <cfRule type="cellIs" dxfId="73" priority="2" operator="equal">
      <formula>0</formula>
    </cfRule>
  </conditionalFormatting>
  <conditionalFormatting sqref="F1876:F1877">
    <cfRule type="cellIs" dxfId="72" priority="1" operator="equal">
      <formula>0</formula>
    </cfRule>
  </conditionalFormatting>
  <conditionalFormatting sqref="F1896:F1897">
    <cfRule type="cellIs" dxfId="71" priority="258" operator="equal">
      <formula>0</formula>
    </cfRule>
  </conditionalFormatting>
  <conditionalFormatting sqref="F1899:F1916">
    <cfRule type="cellIs" dxfId="70" priority="244" operator="equal">
      <formula>0</formula>
    </cfRule>
  </conditionalFormatting>
  <conditionalFormatting sqref="F1918:F1935">
    <cfRule type="cellIs" dxfId="69" priority="243" operator="equal">
      <formula>0</formula>
    </cfRule>
  </conditionalFormatting>
  <conditionalFormatting sqref="F1937:F1940 F1942:F1945">
    <cfRule type="cellIs" dxfId="68" priority="242" operator="equal">
      <formula>0</formula>
    </cfRule>
  </conditionalFormatting>
  <conditionalFormatting sqref="F1947:F1948">
    <cfRule type="cellIs" dxfId="67" priority="241" operator="equal">
      <formula>0</formula>
    </cfRule>
  </conditionalFormatting>
  <conditionalFormatting sqref="F1950:F1952">
    <cfRule type="cellIs" dxfId="66" priority="240" operator="equal">
      <formula>0</formula>
    </cfRule>
  </conditionalFormatting>
  <conditionalFormatting sqref="F1954:F1969">
    <cfRule type="cellIs" dxfId="65" priority="239" operator="equal">
      <formula>0</formula>
    </cfRule>
  </conditionalFormatting>
  <conditionalFormatting sqref="F1971:F1974">
    <cfRule type="cellIs" dxfId="64" priority="238" operator="equal">
      <formula>0</formula>
    </cfRule>
  </conditionalFormatting>
  <conditionalFormatting sqref="F1978:F1979">
    <cfRule type="cellIs" dxfId="63" priority="257" operator="equal">
      <formula>0</formula>
    </cfRule>
  </conditionalFormatting>
  <conditionalFormatting sqref="F1981:F1985">
    <cfRule type="cellIs" dxfId="62" priority="67" operator="equal">
      <formula>0</formula>
    </cfRule>
  </conditionalFormatting>
  <conditionalFormatting sqref="F1987">
    <cfRule type="cellIs" dxfId="61" priority="66" operator="equal">
      <formula>0</formula>
    </cfRule>
  </conditionalFormatting>
  <conditionalFormatting sqref="F1989:F1995">
    <cfRule type="cellIs" dxfId="60" priority="65" operator="equal">
      <formula>0</formula>
    </cfRule>
  </conditionalFormatting>
  <conditionalFormatting sqref="F1997">
    <cfRule type="cellIs" dxfId="59" priority="64" operator="equal">
      <formula>0</formula>
    </cfRule>
  </conditionalFormatting>
  <conditionalFormatting sqref="F1999:F2004">
    <cfRule type="cellIs" dxfId="58" priority="63" operator="equal">
      <formula>0</formula>
    </cfRule>
  </conditionalFormatting>
  <conditionalFormatting sqref="F2006">
    <cfRule type="cellIs" dxfId="57" priority="62" operator="equal">
      <formula>0</formula>
    </cfRule>
  </conditionalFormatting>
  <conditionalFormatting sqref="F2008:F2012">
    <cfRule type="cellIs" dxfId="56" priority="61" operator="equal">
      <formula>0</formula>
    </cfRule>
  </conditionalFormatting>
  <conditionalFormatting sqref="F2014:F2015">
    <cfRule type="cellIs" dxfId="55" priority="60" operator="equal">
      <formula>0</formula>
    </cfRule>
  </conditionalFormatting>
  <conditionalFormatting sqref="F2017:F2019">
    <cfRule type="cellIs" dxfId="54" priority="59" operator="equal">
      <formula>0</formula>
    </cfRule>
  </conditionalFormatting>
  <conditionalFormatting sqref="F2021:F2022">
    <cfRule type="cellIs" dxfId="53" priority="58" operator="equal">
      <formula>0</formula>
    </cfRule>
  </conditionalFormatting>
  <conditionalFormatting sqref="F2024">
    <cfRule type="cellIs" dxfId="52" priority="57" operator="equal">
      <formula>0</formula>
    </cfRule>
  </conditionalFormatting>
  <conditionalFormatting sqref="F2026:F2032">
    <cfRule type="cellIs" dxfId="51" priority="56" operator="equal">
      <formula>0</formula>
    </cfRule>
  </conditionalFormatting>
  <conditionalFormatting sqref="F2034">
    <cfRule type="cellIs" dxfId="50" priority="55" operator="equal">
      <formula>0</formula>
    </cfRule>
  </conditionalFormatting>
  <conditionalFormatting sqref="F2036:F2041">
    <cfRule type="cellIs" dxfId="49" priority="54" operator="equal">
      <formula>0</formula>
    </cfRule>
  </conditionalFormatting>
  <conditionalFormatting sqref="F2043">
    <cfRule type="cellIs" dxfId="48" priority="53" operator="equal">
      <formula>0</formula>
    </cfRule>
  </conditionalFormatting>
  <conditionalFormatting sqref="F2046:F2047 F2049 F2051:F2052">
    <cfRule type="cellIs" dxfId="47" priority="52" operator="equal">
      <formula>0</formula>
    </cfRule>
  </conditionalFormatting>
  <conditionalFormatting sqref="F2054">
    <cfRule type="cellIs" dxfId="46" priority="51" operator="equal">
      <formula>0</formula>
    </cfRule>
  </conditionalFormatting>
  <conditionalFormatting sqref="F2056:F2062">
    <cfRule type="cellIs" dxfId="45" priority="50" operator="equal">
      <formula>0</formula>
    </cfRule>
  </conditionalFormatting>
  <conditionalFormatting sqref="F2064">
    <cfRule type="cellIs" dxfId="44" priority="49" operator="equal">
      <formula>0</formula>
    </cfRule>
  </conditionalFormatting>
  <conditionalFormatting sqref="F2066:F2071">
    <cfRule type="cellIs" dxfId="43" priority="48" operator="equal">
      <formula>0</formula>
    </cfRule>
  </conditionalFormatting>
  <conditionalFormatting sqref="F2073">
    <cfRule type="cellIs" dxfId="42" priority="47" operator="equal">
      <formula>0</formula>
    </cfRule>
  </conditionalFormatting>
  <conditionalFormatting sqref="F2077:F2079">
    <cfRule type="cellIs" dxfId="41" priority="46" operator="equal">
      <formula>0</formula>
    </cfRule>
  </conditionalFormatting>
  <conditionalFormatting sqref="F2081:F2083">
    <cfRule type="cellIs" dxfId="40" priority="45" operator="equal">
      <formula>0</formula>
    </cfRule>
  </conditionalFormatting>
  <conditionalFormatting sqref="F2085">
    <cfRule type="cellIs" dxfId="39" priority="44" operator="equal">
      <formula>0</formula>
    </cfRule>
  </conditionalFormatting>
  <conditionalFormatting sqref="F2087">
    <cfRule type="cellIs" dxfId="38" priority="43" operator="equal">
      <formula>0</formula>
    </cfRule>
  </conditionalFormatting>
  <conditionalFormatting sqref="F2089:F2095">
    <cfRule type="cellIs" dxfId="37" priority="42" operator="equal">
      <formula>0</formula>
    </cfRule>
  </conditionalFormatting>
  <conditionalFormatting sqref="F2097">
    <cfRule type="cellIs" dxfId="36" priority="41" operator="equal">
      <formula>0</formula>
    </cfRule>
  </conditionalFormatting>
  <conditionalFormatting sqref="F2099:F2104">
    <cfRule type="cellIs" dxfId="35" priority="40" operator="equal">
      <formula>0</formula>
    </cfRule>
  </conditionalFormatting>
  <conditionalFormatting sqref="F2106">
    <cfRule type="cellIs" dxfId="34" priority="39" operator="equal">
      <formula>0</formula>
    </cfRule>
  </conditionalFormatting>
  <conditionalFormatting sqref="F2109:F2110">
    <cfRule type="cellIs" dxfId="33" priority="38" operator="equal">
      <formula>0</formula>
    </cfRule>
  </conditionalFormatting>
  <conditionalFormatting sqref="F2112:F2114">
    <cfRule type="cellIs" dxfId="32" priority="37" operator="equal">
      <formula>0</formula>
    </cfRule>
  </conditionalFormatting>
  <conditionalFormatting sqref="F2116:F2137">
    <cfRule type="cellIs" dxfId="31" priority="36" operator="equal">
      <formula>0</formula>
    </cfRule>
  </conditionalFormatting>
  <conditionalFormatting sqref="F2139:F2140">
    <cfRule type="cellIs" dxfId="30" priority="35" operator="equal">
      <formula>0</formula>
    </cfRule>
  </conditionalFormatting>
  <conditionalFormatting sqref="F2142:F2143">
    <cfRule type="cellIs" dxfId="29" priority="34" operator="equal">
      <formula>0</formula>
    </cfRule>
  </conditionalFormatting>
  <conditionalFormatting sqref="F2145:F2152">
    <cfRule type="cellIs" dxfId="28" priority="33" operator="equal">
      <formula>0</formula>
    </cfRule>
  </conditionalFormatting>
  <conditionalFormatting sqref="F2154:F2161">
    <cfRule type="cellIs" dxfId="27" priority="32" operator="equal">
      <formula>0</formula>
    </cfRule>
  </conditionalFormatting>
  <conditionalFormatting sqref="F2164:F2166">
    <cfRule type="cellIs" dxfId="26" priority="31" operator="equal">
      <formula>0</formula>
    </cfRule>
  </conditionalFormatting>
  <conditionalFormatting sqref="F2168:F2169">
    <cfRule type="cellIs" dxfId="25" priority="30" operator="equal">
      <formula>0</formula>
    </cfRule>
  </conditionalFormatting>
  <conditionalFormatting sqref="F2171:F2175">
    <cfRule type="cellIs" dxfId="24" priority="29" operator="equal">
      <formula>0</formula>
    </cfRule>
  </conditionalFormatting>
  <conditionalFormatting sqref="F2177:F2187">
    <cfRule type="cellIs" dxfId="23" priority="28" operator="equal">
      <formula>0</formula>
    </cfRule>
  </conditionalFormatting>
  <conditionalFormatting sqref="F2189">
    <cfRule type="cellIs" dxfId="22" priority="27" operator="equal">
      <formula>0</formula>
    </cfRule>
  </conditionalFormatting>
  <conditionalFormatting sqref="F2192:F2199">
    <cfRule type="cellIs" dxfId="21" priority="26" operator="equal">
      <formula>0</formula>
    </cfRule>
  </conditionalFormatting>
  <conditionalFormatting sqref="F2201:F2202">
    <cfRule type="cellIs" dxfId="20" priority="25" operator="equal">
      <formula>0</formula>
    </cfRule>
  </conditionalFormatting>
  <conditionalFormatting sqref="F2204:F2211">
    <cfRule type="cellIs" dxfId="19" priority="24" operator="equal">
      <formula>0</formula>
    </cfRule>
  </conditionalFormatting>
  <conditionalFormatting sqref="F2213:F2215">
    <cfRule type="cellIs" dxfId="18" priority="23" operator="equal">
      <formula>0</formula>
    </cfRule>
  </conditionalFormatting>
  <conditionalFormatting sqref="F2217:F2227">
    <cfRule type="cellIs" dxfId="17" priority="22" operator="equal">
      <formula>0</formula>
    </cfRule>
  </conditionalFormatting>
  <conditionalFormatting sqref="F2229:F2230">
    <cfRule type="cellIs" dxfId="16" priority="21" operator="equal">
      <formula>0</formula>
    </cfRule>
  </conditionalFormatting>
  <conditionalFormatting sqref="F2233">
    <cfRule type="cellIs" dxfId="15" priority="20" operator="equal">
      <formula>0</formula>
    </cfRule>
  </conditionalFormatting>
  <conditionalFormatting sqref="F2235:F2237">
    <cfRule type="cellIs" dxfId="14" priority="19" operator="equal">
      <formula>0</formula>
    </cfRule>
  </conditionalFormatting>
  <conditionalFormatting sqref="F2239:F2242">
    <cfRule type="cellIs" dxfId="13" priority="18" operator="equal">
      <formula>0</formula>
    </cfRule>
  </conditionalFormatting>
  <conditionalFormatting sqref="F2244:F2254">
    <cfRule type="cellIs" dxfId="12" priority="17" operator="equal">
      <formula>0</formula>
    </cfRule>
  </conditionalFormatting>
  <conditionalFormatting sqref="F2257">
    <cfRule type="cellIs" dxfId="11" priority="16" operator="equal">
      <formula>0</formula>
    </cfRule>
  </conditionalFormatting>
  <conditionalFormatting sqref="F2259:F2261">
    <cfRule type="cellIs" dxfId="10" priority="15" operator="equal">
      <formula>0</formula>
    </cfRule>
  </conditionalFormatting>
  <conditionalFormatting sqref="F2263:F2266">
    <cfRule type="cellIs" dxfId="9" priority="14" operator="equal">
      <formula>0</formula>
    </cfRule>
  </conditionalFormatting>
  <conditionalFormatting sqref="F2268:F2278">
    <cfRule type="cellIs" dxfId="8" priority="13" operator="equal">
      <formula>0</formula>
    </cfRule>
  </conditionalFormatting>
  <conditionalFormatting sqref="F2310:F2311">
    <cfRule type="cellIs" dxfId="7" priority="9" operator="equal">
      <formula>0</formula>
    </cfRule>
  </conditionalFormatting>
  <conditionalFormatting sqref="F2313:F2318">
    <cfRule type="cellIs" dxfId="6" priority="8" operator="equal">
      <formula>0</formula>
    </cfRule>
  </conditionalFormatting>
  <conditionalFormatting sqref="F2320:F2329">
    <cfRule type="cellIs" dxfId="5" priority="7" operator="equal">
      <formula>0</formula>
    </cfRule>
  </conditionalFormatting>
  <conditionalFormatting sqref="F2331:F2341">
    <cfRule type="cellIs" dxfId="4" priority="6" operator="equal">
      <formula>0</formula>
    </cfRule>
  </conditionalFormatting>
  <conditionalFormatting sqref="F2343:F2345">
    <cfRule type="cellIs" dxfId="3" priority="5" operator="equal">
      <formula>0</formula>
    </cfRule>
  </conditionalFormatting>
  <conditionalFormatting sqref="F2347:F2349">
    <cfRule type="cellIs" dxfId="2" priority="4" operator="equal">
      <formula>0</formula>
    </cfRule>
  </conditionalFormatting>
  <conditionalFormatting sqref="F2351:F2363">
    <cfRule type="cellIs" dxfId="1" priority="3" operator="equal">
      <formula>0</formula>
    </cfRule>
  </conditionalFormatting>
  <conditionalFormatting sqref="F2365:F2368">
    <cfRule type="cellIs" dxfId="0" priority="247" operator="equal">
      <formula>0</formula>
    </cfRule>
  </conditionalFormatting>
  <printOptions horizontalCentered="1"/>
  <pageMargins left="0.39370078740157483" right="7.874015748031496E-2" top="0.27559055118110237" bottom="0.11811023622047245" header="0.31496062992125984" footer="0.31496062992125984"/>
  <pageSetup paperSize="9" scale="75"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BOQ</vt:lpstr>
      <vt:lpstr>BOQ  with Rates</vt:lpstr>
      <vt:lpstr>BOQ!Print_Area</vt:lpstr>
      <vt:lpstr>'BOQ  with Rates'!Print_Area</vt:lpstr>
      <vt:lpstr>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c:creator>
  <cp:lastModifiedBy>Arman</cp:lastModifiedBy>
  <cp:lastPrinted>2025-12-08T17:44:45Z</cp:lastPrinted>
  <dcterms:created xsi:type="dcterms:W3CDTF">2025-12-05T18:52:47Z</dcterms:created>
  <dcterms:modified xsi:type="dcterms:W3CDTF">2025-12-18T07:54:56Z</dcterms:modified>
</cp:coreProperties>
</file>