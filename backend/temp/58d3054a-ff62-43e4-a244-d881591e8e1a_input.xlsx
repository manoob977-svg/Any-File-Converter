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Users\Arman\Desktop\"/>
    </mc:Choice>
  </mc:AlternateContent>
  <xr:revisionPtr revIDLastSave="0" documentId="13_ncr:1_{A0356675-D9CC-4328-92DA-D00A82265011}" xr6:coauthVersionLast="47" xr6:coauthVersionMax="47" xr10:uidLastSave="{00000000-0000-0000-0000-000000000000}"/>
  <bookViews>
    <workbookView xWindow="-120" yWindow="-120" windowWidth="20730" windowHeight="11160" firstSheet="6" activeTab="8" xr2:uid="{00000000-000D-0000-FFFF-FFFF00000000}"/>
  </bookViews>
  <sheets>
    <sheet name="BOQ  with Rates " sheetId="3" state="hidden" r:id="rId1"/>
    <sheet name="BOQ  with out rates" sheetId="14" state="hidden" r:id="rId2"/>
    <sheet name="ContractBOQ  with out rates (2)" sheetId="15" state="hidden" r:id="rId3"/>
    <sheet name="BOQ UPDATES RATED FOR EVAL" sheetId="16" state="hidden" r:id="rId4"/>
    <sheet name="BOQ  with Rates  (7)" sheetId="17" state="hidden" r:id="rId5"/>
    <sheet name="Workable BOQ FINAL" sheetId="18" state="hidden" r:id="rId6"/>
    <sheet name="Workable BOQ FINAL (2)" sheetId="19" r:id="rId7"/>
    <sheet name="BOQ  with Rates  (5)" sheetId="10" state="hidden" r:id="rId8"/>
    <sheet name="BOQ  with Rates  (6)" sheetId="13" r:id="rId9"/>
    <sheet name="BOQ" sheetId="4" state="hidden" r:id="rId10"/>
    <sheet name="BOQ  with Rates  (2)" sheetId="5" state="hidden" r:id="rId11"/>
    <sheet name="BOQ  with Rates  (3)" sheetId="8" state="hidden" r:id="rId12"/>
    <sheet name="BOQ  with Rates  (4)" sheetId="9" state="hidden" r:id="rId13"/>
  </sheets>
  <definedNames>
    <definedName name="\A" localSheetId="8">#REF!</definedName>
    <definedName name="\A">#REF!</definedName>
    <definedName name="\B" localSheetId="8">#REF!</definedName>
    <definedName name="\B">#REF!</definedName>
    <definedName name="\c" localSheetId="8">#REF!</definedName>
    <definedName name="\c">#REF!</definedName>
    <definedName name="\cc" localSheetId="8">#REF!</definedName>
    <definedName name="\cc">#REF!</definedName>
    <definedName name="\ce" localSheetId="8">#REF!</definedName>
    <definedName name="\ce">#REF!</definedName>
    <definedName name="\D" localSheetId="8">#REF!</definedName>
    <definedName name="\D">#REF!</definedName>
    <definedName name="\dffff" localSheetId="8">#REF!</definedName>
    <definedName name="\dffff">#REF!</definedName>
    <definedName name="\e" localSheetId="8">#REF!</definedName>
    <definedName name="\e">#REF!</definedName>
    <definedName name="\F" localSheetId="8">#REF!</definedName>
    <definedName name="\F">#REF!</definedName>
    <definedName name="\G" localSheetId="8">#REF!</definedName>
    <definedName name="\G">#REF!</definedName>
    <definedName name="\H" localSheetId="8">#REF!</definedName>
    <definedName name="\H">#REF!</definedName>
    <definedName name="\I" localSheetId="8">#REF!</definedName>
    <definedName name="\I">#REF!</definedName>
    <definedName name="\j" localSheetId="8">#REF!</definedName>
    <definedName name="\j">#REF!</definedName>
    <definedName name="\K" localSheetId="8">#REF!</definedName>
    <definedName name="\K">#REF!</definedName>
    <definedName name="\L" localSheetId="8">#REF!</definedName>
    <definedName name="\L">#REF!</definedName>
    <definedName name="\M" localSheetId="8">#REF!</definedName>
    <definedName name="\M">#REF!</definedName>
    <definedName name="\n" localSheetId="8">#REF!</definedName>
    <definedName name="\n">#REF!</definedName>
    <definedName name="\O" localSheetId="8">#REF!</definedName>
    <definedName name="\O">#REF!</definedName>
    <definedName name="\p" localSheetId="8">#REF!</definedName>
    <definedName name="\p">#REF!</definedName>
    <definedName name="\Q" localSheetId="8">#REF!</definedName>
    <definedName name="\Q">#REF!</definedName>
    <definedName name="\R" localSheetId="8">#REF!</definedName>
    <definedName name="\R">#REF!</definedName>
    <definedName name="\s" localSheetId="8">#REF!</definedName>
    <definedName name="\s">#REF!</definedName>
    <definedName name="\T" localSheetId="8">#REF!</definedName>
    <definedName name="\T">#REF!</definedName>
    <definedName name="\U" localSheetId="8">#REF!</definedName>
    <definedName name="\U">#REF!</definedName>
    <definedName name="\V" localSheetId="8">#REF!</definedName>
    <definedName name="\V">#REF!</definedName>
    <definedName name="\W" localSheetId="8">#REF!</definedName>
    <definedName name="\W">#REF!</definedName>
    <definedName name="\X" localSheetId="8">#REF!</definedName>
    <definedName name="\X">#REF!</definedName>
    <definedName name="\Y" localSheetId="8">#REF!</definedName>
    <definedName name="\Y">#REF!</definedName>
    <definedName name="\Z" localSheetId="8">#REF!</definedName>
    <definedName name="\Z">#REF!</definedName>
    <definedName name="_____________________________________________________________________tw1" localSheetId="8">#REF!</definedName>
    <definedName name="_____________________________________________________________________tw1">#REF!</definedName>
    <definedName name="____________________________________________________________________tw1" localSheetId="8">#REF!</definedName>
    <definedName name="____________________________________________________________________tw1">#REF!</definedName>
    <definedName name="___________________________________________________________________tw1" localSheetId="8">#REF!</definedName>
    <definedName name="___________________________________________________________________tw1">#REF!</definedName>
    <definedName name="__________________________________________________________________tw1" localSheetId="8">#REF!</definedName>
    <definedName name="__________________________________________________________________tw1">#REF!</definedName>
    <definedName name="_________________________________________________________________tw1" localSheetId="8">#REF!</definedName>
    <definedName name="_________________________________________________________________tw1">#REF!</definedName>
    <definedName name="________________________________________________________________tw1" localSheetId="8">#REF!</definedName>
    <definedName name="________________________________________________________________tw1">#REF!</definedName>
    <definedName name="_______________________________________________________________tw1" localSheetId="8">#REF!</definedName>
    <definedName name="_______________________________________________________________tw1">#REF!</definedName>
    <definedName name="______________________________________________________________tw1" localSheetId="8">#REF!</definedName>
    <definedName name="______________________________________________________________tw1">#REF!</definedName>
    <definedName name="_____________________________________________________________tw1" localSheetId="8">#REF!</definedName>
    <definedName name="_____________________________________________________________tw1">#REF!</definedName>
    <definedName name="____________________________________________________________tw1" localSheetId="8">#REF!</definedName>
    <definedName name="____________________________________________________________tw1">#REF!</definedName>
    <definedName name="___________________________________________________________tw1" localSheetId="8">#REF!</definedName>
    <definedName name="___________________________________________________________tw1">#REF!</definedName>
    <definedName name="__________________________________________________________tw1" localSheetId="8">#REF!</definedName>
    <definedName name="__________________________________________________________tw1">#REF!</definedName>
    <definedName name="_________________________________________________________tw1" localSheetId="8">#REF!</definedName>
    <definedName name="_________________________________________________________tw1">#REF!</definedName>
    <definedName name="________________________________________________________tw1" localSheetId="8">#REF!</definedName>
    <definedName name="________________________________________________________tw1">#REF!</definedName>
    <definedName name="_______________________________________________________tw1" localSheetId="8">#REF!</definedName>
    <definedName name="_______________________________________________________tw1">#REF!</definedName>
    <definedName name="______________________________________________________tw1" localSheetId="8">#REF!</definedName>
    <definedName name="______________________________________________________tw1">#REF!</definedName>
    <definedName name="_____________________________________________________tw1" localSheetId="8">#REF!</definedName>
    <definedName name="_____________________________________________________tw1">#REF!</definedName>
    <definedName name="____________________________________________________tw1" localSheetId="8">#REF!</definedName>
    <definedName name="____________________________________________________tw1">#REF!</definedName>
    <definedName name="___________________________________________________tw1" localSheetId="8">#REF!</definedName>
    <definedName name="___________________________________________________tw1">#REF!</definedName>
    <definedName name="__________________________________________________tw1" localSheetId="8">#REF!</definedName>
    <definedName name="__________________________________________________tw1">#REF!</definedName>
    <definedName name="_________________________________________________tw1" localSheetId="8">#REF!</definedName>
    <definedName name="_________________________________________________tw1">#REF!</definedName>
    <definedName name="________________________________________________tw1" localSheetId="8">#REF!</definedName>
    <definedName name="________________________________________________tw1">#REF!</definedName>
    <definedName name="_______________________________________________tw1" localSheetId="8">#REF!</definedName>
    <definedName name="_______________________________________________tw1">#REF!</definedName>
    <definedName name="______________________________________________tw1" localSheetId="8">#REF!</definedName>
    <definedName name="______________________________________________tw1">#REF!</definedName>
    <definedName name="_____________________________________________tw1" localSheetId="8">#REF!</definedName>
    <definedName name="_____________________________________________tw1">#REF!</definedName>
    <definedName name="____________________________________________tw1" localSheetId="8">#REF!</definedName>
    <definedName name="____________________________________________tw1">#REF!</definedName>
    <definedName name="___________________________________________tw1" localSheetId="8">#REF!</definedName>
    <definedName name="___________________________________________tw1">#REF!</definedName>
    <definedName name="__________________________________________tw1" localSheetId="8">#REF!</definedName>
    <definedName name="__________________________________________tw1">#REF!</definedName>
    <definedName name="_________________________________________tw1" localSheetId="8">#REF!</definedName>
    <definedName name="_________________________________________tw1">#REF!</definedName>
    <definedName name="________________________________________ohr2" localSheetId="8">#REF!</definedName>
    <definedName name="________________________________________ohr2">#REF!</definedName>
    <definedName name="________________________________________tw1" localSheetId="8">#REF!</definedName>
    <definedName name="________________________________________tw1">#REF!</definedName>
    <definedName name="_______________________________________ohr2" localSheetId="8">#REF!</definedName>
    <definedName name="_______________________________________ohr2">#REF!</definedName>
    <definedName name="_______________________________________tw1" localSheetId="8">#REF!</definedName>
    <definedName name="_______________________________________tw1">#REF!</definedName>
    <definedName name="______________________________________ohr2" localSheetId="8">#REF!</definedName>
    <definedName name="______________________________________ohr2">#REF!</definedName>
    <definedName name="______________________________________tw1" localSheetId="8">#REF!</definedName>
    <definedName name="______________________________________tw1">#REF!</definedName>
    <definedName name="_____________________________________ohr2" localSheetId="8">#REF!</definedName>
    <definedName name="_____________________________________ohr2">#REF!</definedName>
    <definedName name="_____________________________________tw1" localSheetId="8">#REF!</definedName>
    <definedName name="_____________________________________tw1">#REF!</definedName>
    <definedName name="____________________________________ohr2" localSheetId="8">#REF!</definedName>
    <definedName name="____________________________________ohr2">#REF!</definedName>
    <definedName name="____________________________________tw1" localSheetId="8">#REF!</definedName>
    <definedName name="____________________________________tw1">#REF!</definedName>
    <definedName name="___________________________________ohr2" localSheetId="8">#REF!</definedName>
    <definedName name="___________________________________ohr2">#REF!</definedName>
    <definedName name="___________________________________tw1" localSheetId="8">#REF!</definedName>
    <definedName name="___________________________________tw1">#REF!</definedName>
    <definedName name="__________________________________ohr2" localSheetId="8">#REF!</definedName>
    <definedName name="__________________________________ohr2">#REF!</definedName>
    <definedName name="__________________________________tw1" localSheetId="8">#REF!</definedName>
    <definedName name="__________________________________tw1">#REF!</definedName>
    <definedName name="_________________________________ohr2" localSheetId="8">#REF!</definedName>
    <definedName name="_________________________________ohr2">#REF!</definedName>
    <definedName name="_________________________________tw1" localSheetId="8">#REF!</definedName>
    <definedName name="_________________________________tw1">#REF!</definedName>
    <definedName name="________________________________ohr2" localSheetId="8">#REF!</definedName>
    <definedName name="________________________________ohr2">#REF!</definedName>
    <definedName name="________________________________tw1" localSheetId="8">#REF!</definedName>
    <definedName name="________________________________tw1">#REF!</definedName>
    <definedName name="_______________________________ohr2" localSheetId="8">#REF!</definedName>
    <definedName name="_______________________________ohr2">#REF!</definedName>
    <definedName name="_______________________________tw1" localSheetId="8">#REF!</definedName>
    <definedName name="_______________________________tw1">#REF!</definedName>
    <definedName name="______________________________ohr2" localSheetId="8">#REF!</definedName>
    <definedName name="______________________________ohr2">#REF!</definedName>
    <definedName name="______________________________tw1" localSheetId="8">#REF!</definedName>
    <definedName name="______________________________tw1">#REF!</definedName>
    <definedName name="_____________________________ohr2" localSheetId="8">#REF!</definedName>
    <definedName name="_____________________________ohr2">#REF!</definedName>
    <definedName name="_____________________________tw1" localSheetId="8">#REF!</definedName>
    <definedName name="_____________________________tw1">#REF!</definedName>
    <definedName name="____________________________ohr2" localSheetId="8">#REF!</definedName>
    <definedName name="____________________________ohr2">#REF!</definedName>
    <definedName name="____________________________tw1" localSheetId="8">#REF!</definedName>
    <definedName name="____________________________tw1">#REF!</definedName>
    <definedName name="___________________________ohr2" localSheetId="8">#REF!</definedName>
    <definedName name="___________________________ohr2">#REF!</definedName>
    <definedName name="___________________________tw1" localSheetId="8">#REF!</definedName>
    <definedName name="___________________________tw1">#REF!</definedName>
    <definedName name="__________________________ohr2" localSheetId="8">#REF!</definedName>
    <definedName name="__________________________ohr2">#REF!</definedName>
    <definedName name="__________________________tw1" localSheetId="8">#REF!</definedName>
    <definedName name="__________________________tw1">#REF!</definedName>
    <definedName name="_________________________ohr2" localSheetId="8">#REF!</definedName>
    <definedName name="_________________________ohr2">#REF!</definedName>
    <definedName name="_________________________tw1" localSheetId="8">#REF!</definedName>
    <definedName name="_________________________tw1">#REF!</definedName>
    <definedName name="________________________ohr2" localSheetId="8">#REF!</definedName>
    <definedName name="________________________ohr2">#REF!</definedName>
    <definedName name="________________________tw1" localSheetId="8">#REF!</definedName>
    <definedName name="________________________tw1">#REF!</definedName>
    <definedName name="_______________________ohr2" localSheetId="8">#REF!</definedName>
    <definedName name="_______________________ohr2">#REF!</definedName>
    <definedName name="_______________________tw1" localSheetId="8">#REF!</definedName>
    <definedName name="_______________________tw1">#REF!</definedName>
    <definedName name="______________________ohr2" localSheetId="8">#REF!</definedName>
    <definedName name="______________________ohr2">#REF!</definedName>
    <definedName name="______________________tw1" localSheetId="8">#REF!</definedName>
    <definedName name="______________________tw1">#REF!</definedName>
    <definedName name="_____________________ohr2" localSheetId="8">#REF!</definedName>
    <definedName name="_____________________ohr2">#REF!</definedName>
    <definedName name="_____________________tw1" localSheetId="8">#REF!</definedName>
    <definedName name="_____________________tw1">#REF!</definedName>
    <definedName name="____________________ohr2" localSheetId="8">#REF!</definedName>
    <definedName name="____________________ohr2">#REF!</definedName>
    <definedName name="____________________tw1" localSheetId="8">#REF!</definedName>
    <definedName name="____________________tw1">#REF!</definedName>
    <definedName name="___________________ohr2" localSheetId="8">#REF!</definedName>
    <definedName name="___________________ohr2">#REF!</definedName>
    <definedName name="___________________tw1" localSheetId="8">#REF!</definedName>
    <definedName name="___________________tw1">#REF!</definedName>
    <definedName name="__________________ohr2" localSheetId="8">#REF!</definedName>
    <definedName name="__________________ohr2">#REF!</definedName>
    <definedName name="__________________tw1" localSheetId="8">#REF!</definedName>
    <definedName name="__________________tw1">#REF!</definedName>
    <definedName name="_________________ohr2" localSheetId="8">#REF!</definedName>
    <definedName name="_________________ohr2">#REF!</definedName>
    <definedName name="_________________tw1" localSheetId="8">#REF!</definedName>
    <definedName name="_________________tw1">#REF!</definedName>
    <definedName name="________________ohr2" localSheetId="8">#REF!</definedName>
    <definedName name="________________ohr2">#REF!</definedName>
    <definedName name="________________tw1" localSheetId="8">#REF!</definedName>
    <definedName name="________________tw1">#REF!</definedName>
    <definedName name="_______________ls3" localSheetId="8">#REF!</definedName>
    <definedName name="_______________ls3">#REF!</definedName>
    <definedName name="_______________ohr2" localSheetId="8">#REF!</definedName>
    <definedName name="_______________ohr2">#REF!</definedName>
    <definedName name="_______________tw1" localSheetId="8">#REF!</definedName>
    <definedName name="_______________tw1">#REF!</definedName>
    <definedName name="______________ls3" localSheetId="8">#REF!</definedName>
    <definedName name="______________ls3">#REF!</definedName>
    <definedName name="______________ohr2" localSheetId="8">#REF!</definedName>
    <definedName name="______________ohr2">#REF!</definedName>
    <definedName name="______________tw1" localSheetId="8">#REF!</definedName>
    <definedName name="______________tw1">#REF!</definedName>
    <definedName name="_____________ohr2" localSheetId="8">#REF!</definedName>
    <definedName name="_____________ohr2">#REF!</definedName>
    <definedName name="_____________tw1" localSheetId="8">#REF!</definedName>
    <definedName name="_____________tw1">#REF!</definedName>
    <definedName name="____________ls3" localSheetId="8">#REF!</definedName>
    <definedName name="____________ls3">#REF!</definedName>
    <definedName name="____________ohr2" localSheetId="8">#REF!</definedName>
    <definedName name="____________ohr2">#REF!</definedName>
    <definedName name="____________tw1" localSheetId="8">#REF!</definedName>
    <definedName name="____________tw1">#REF!</definedName>
    <definedName name="___________ohr2" localSheetId="8">#REF!</definedName>
    <definedName name="___________ohr2">#REF!</definedName>
    <definedName name="___________tw1" localSheetId="8">#REF!</definedName>
    <definedName name="___________tw1">#REF!</definedName>
    <definedName name="___________we443" localSheetId="8">#REF!</definedName>
    <definedName name="___________we443">#REF!</definedName>
    <definedName name="__________ls3" localSheetId="8">#REF!</definedName>
    <definedName name="__________ls3">#REF!</definedName>
    <definedName name="__________ohr2" localSheetId="8">#REF!</definedName>
    <definedName name="__________ohr2">#REF!</definedName>
    <definedName name="__________tw1" localSheetId="8">#REF!</definedName>
    <definedName name="__________tw1">#REF!</definedName>
    <definedName name="__________we443" localSheetId="8">#REF!</definedName>
    <definedName name="__________we443">#REF!</definedName>
    <definedName name="_________1" localSheetId="8">#REF!</definedName>
    <definedName name="_________1">#REF!</definedName>
    <definedName name="_________2" localSheetId="8">#REF!</definedName>
    <definedName name="_________2">#REF!</definedName>
    <definedName name="_________3" localSheetId="8">#REF!</definedName>
    <definedName name="_________3">#REF!</definedName>
    <definedName name="_________4" localSheetId="8">#REF!</definedName>
    <definedName name="_________4">#REF!</definedName>
    <definedName name="_________5" localSheetId="8">#REF!</definedName>
    <definedName name="_________5">#REF!</definedName>
    <definedName name="_________ls3" localSheetId="8">#REF!</definedName>
    <definedName name="_________ls3">#REF!</definedName>
    <definedName name="_________ohr2" localSheetId="8">#REF!</definedName>
    <definedName name="_________ohr2">#REF!</definedName>
    <definedName name="_________sw3" localSheetId="8" hidden="1">#REF!</definedName>
    <definedName name="_________sw3" hidden="1">#REF!</definedName>
    <definedName name="_________tw1" localSheetId="8">#REF!</definedName>
    <definedName name="_________tw1">#REF!</definedName>
    <definedName name="________1" localSheetId="8">#REF!</definedName>
    <definedName name="________1">#REF!</definedName>
    <definedName name="________2" localSheetId="8">#REF!</definedName>
    <definedName name="________2">#REF!</definedName>
    <definedName name="________3" localSheetId="8">#REF!</definedName>
    <definedName name="________3">#REF!</definedName>
    <definedName name="________4" localSheetId="8">#REF!</definedName>
    <definedName name="________4">#REF!</definedName>
    <definedName name="________5" localSheetId="8">#REF!</definedName>
    <definedName name="________5">#REF!</definedName>
    <definedName name="________ls3" localSheetId="8">#REF!</definedName>
    <definedName name="________ls3">#REF!</definedName>
    <definedName name="________ohr2" localSheetId="8">#REF!</definedName>
    <definedName name="________ohr2">#REF!</definedName>
    <definedName name="________sw3" localSheetId="8" hidden="1">#REF!</definedName>
    <definedName name="________sw3" hidden="1">#REF!</definedName>
    <definedName name="________tw1" localSheetId="8">#REF!</definedName>
    <definedName name="________tw1">#REF!</definedName>
    <definedName name="________we443" localSheetId="8">#REF!</definedName>
    <definedName name="________we443">#REF!</definedName>
    <definedName name="_______1" localSheetId="8">#REF!</definedName>
    <definedName name="_______1">#REF!</definedName>
    <definedName name="_______2" localSheetId="8">#REF!</definedName>
    <definedName name="_______2">#REF!</definedName>
    <definedName name="_______3" localSheetId="8">#REF!</definedName>
    <definedName name="_______3">#REF!</definedName>
    <definedName name="_______4" localSheetId="8">#REF!</definedName>
    <definedName name="_______4">#REF!</definedName>
    <definedName name="_______5" localSheetId="8">#REF!</definedName>
    <definedName name="_______5">#REF!</definedName>
    <definedName name="_______ls3" localSheetId="8">#REF!</definedName>
    <definedName name="_______ls3">#REF!</definedName>
    <definedName name="_______ohr2" localSheetId="8">#REF!</definedName>
    <definedName name="_______ohr2">#REF!</definedName>
    <definedName name="_______sw3" localSheetId="8" hidden="1">#REF!</definedName>
    <definedName name="_______sw3" hidden="1">#REF!</definedName>
    <definedName name="_______tw1" localSheetId="8">#REF!</definedName>
    <definedName name="_______tw1">#REF!</definedName>
    <definedName name="______1" localSheetId="8">#REF!</definedName>
    <definedName name="______1">#REF!</definedName>
    <definedName name="______2" localSheetId="8">#REF!</definedName>
    <definedName name="______2">#REF!</definedName>
    <definedName name="______3" localSheetId="8">#REF!</definedName>
    <definedName name="______3">#REF!</definedName>
    <definedName name="______4" localSheetId="8">#REF!</definedName>
    <definedName name="______4">#REF!</definedName>
    <definedName name="______5" localSheetId="8">#REF!</definedName>
    <definedName name="______5">#REF!</definedName>
    <definedName name="______ls3" localSheetId="8">#REF!</definedName>
    <definedName name="______ls3">#REF!</definedName>
    <definedName name="______ohr2" localSheetId="8">#REF!</definedName>
    <definedName name="______ohr2">#REF!</definedName>
    <definedName name="______sw3" localSheetId="8" hidden="1">#REF!</definedName>
    <definedName name="______sw3" hidden="1">#REF!</definedName>
    <definedName name="______tw1" localSheetId="8">#REF!</definedName>
    <definedName name="______tw1">#REF!</definedName>
    <definedName name="______we443" localSheetId="8">#REF!</definedName>
    <definedName name="______we443">#REF!</definedName>
    <definedName name="_____1" localSheetId="8">#REF!</definedName>
    <definedName name="_____1">#REF!</definedName>
    <definedName name="_____2" localSheetId="8">#REF!</definedName>
    <definedName name="_____2">#REF!</definedName>
    <definedName name="_____3" localSheetId="8">#REF!</definedName>
    <definedName name="_____3">#REF!</definedName>
    <definedName name="_____4" localSheetId="8">#REF!</definedName>
    <definedName name="_____4">#REF!</definedName>
    <definedName name="_____5" localSheetId="8">#REF!</definedName>
    <definedName name="_____5">#REF!</definedName>
    <definedName name="_____ls3" localSheetId="8">#REF!</definedName>
    <definedName name="_____ls3">#REF!</definedName>
    <definedName name="_____ohr2" localSheetId="8">#REF!</definedName>
    <definedName name="_____ohr2">#REF!</definedName>
    <definedName name="_____sw3" localSheetId="8" hidden="1">#REF!</definedName>
    <definedName name="_____sw3" hidden="1">#REF!</definedName>
    <definedName name="_____tw1" localSheetId="8">#REF!</definedName>
    <definedName name="_____tw1">#REF!</definedName>
    <definedName name="_____we443" localSheetId="8">#REF!</definedName>
    <definedName name="_____we443">#REF!</definedName>
    <definedName name="____1" localSheetId="8">#REF!</definedName>
    <definedName name="____1">#REF!</definedName>
    <definedName name="____2" localSheetId="8">#REF!</definedName>
    <definedName name="____2">#REF!</definedName>
    <definedName name="____3" localSheetId="8">#REF!</definedName>
    <definedName name="____3">#REF!</definedName>
    <definedName name="____4" localSheetId="8">#REF!</definedName>
    <definedName name="____4">#REF!</definedName>
    <definedName name="____5" localSheetId="8">#REF!</definedName>
    <definedName name="____5">#REF!</definedName>
    <definedName name="____ls3" localSheetId="8">#REF!</definedName>
    <definedName name="____ls3">#REF!</definedName>
    <definedName name="____ohr2" localSheetId="8">#REF!</definedName>
    <definedName name="____ohr2">#REF!</definedName>
    <definedName name="____sw3" localSheetId="8" hidden="1">#REF!</definedName>
    <definedName name="____sw3" hidden="1">#REF!</definedName>
    <definedName name="____tw1" localSheetId="8">#REF!</definedName>
    <definedName name="____tw1">#REF!</definedName>
    <definedName name="____we443" localSheetId="8">#REF!</definedName>
    <definedName name="____we443">#REF!</definedName>
    <definedName name="___1" localSheetId="8">#REF!</definedName>
    <definedName name="___1">#REF!</definedName>
    <definedName name="___2" localSheetId="8">#REF!</definedName>
    <definedName name="___2">#REF!</definedName>
    <definedName name="___3" localSheetId="8">#REF!</definedName>
    <definedName name="___3">#REF!</definedName>
    <definedName name="___4" localSheetId="8">#REF!</definedName>
    <definedName name="___4">#REF!</definedName>
    <definedName name="___5" localSheetId="8">#REF!</definedName>
    <definedName name="___5">#REF!</definedName>
    <definedName name="___ls3" localSheetId="8">#REF!</definedName>
    <definedName name="___ls3">#REF!</definedName>
    <definedName name="___ohr2" localSheetId="8">#REF!</definedName>
    <definedName name="___ohr2">#REF!</definedName>
    <definedName name="___sw3" localSheetId="8" hidden="1">#REF!</definedName>
    <definedName name="___sw3" hidden="1">#REF!</definedName>
    <definedName name="___tw1" localSheetId="8">#REF!</definedName>
    <definedName name="___tw1">#REF!</definedName>
    <definedName name="___we443" localSheetId="8">#REF!</definedName>
    <definedName name="___we443">#REF!</definedName>
    <definedName name="__1" localSheetId="8">#REF!</definedName>
    <definedName name="__1">#REF!</definedName>
    <definedName name="__123Graph_A" localSheetId="8" hidden="1">#REF!</definedName>
    <definedName name="__123Graph_A" hidden="1">#REF!</definedName>
    <definedName name="__123Graph_ASFAC" localSheetId="8" hidden="1">#REF!</definedName>
    <definedName name="__123Graph_ASFAC" hidden="1">#REF!</definedName>
    <definedName name="__123Graph_X" localSheetId="8" hidden="1">#REF!</definedName>
    <definedName name="__123Graph_X" hidden="1">#REF!</definedName>
    <definedName name="__123Graph_XSFAC" localSheetId="8" hidden="1">#REF!</definedName>
    <definedName name="__123Graph_XSFAC" hidden="1">#REF!</definedName>
    <definedName name="__2" localSheetId="8">#REF!</definedName>
    <definedName name="__2">#REF!</definedName>
    <definedName name="__3" localSheetId="8">#REF!</definedName>
    <definedName name="__3">#REF!</definedName>
    <definedName name="__4" localSheetId="8">#REF!</definedName>
    <definedName name="__4">#REF!</definedName>
    <definedName name="__5" localSheetId="8">#REF!</definedName>
    <definedName name="__5">#REF!</definedName>
    <definedName name="__ls3" localSheetId="8">#REF!</definedName>
    <definedName name="__ls3">#REF!</definedName>
    <definedName name="__ohr2" localSheetId="8">#REF!</definedName>
    <definedName name="__ohr2">#REF!</definedName>
    <definedName name="__sw3" localSheetId="8" hidden="1">#REF!</definedName>
    <definedName name="__sw3" hidden="1">#REF!</definedName>
    <definedName name="__tw1" localSheetId="8">#REF!</definedName>
    <definedName name="__tw1">#REF!</definedName>
    <definedName name="__we443" localSheetId="8">#REF!</definedName>
    <definedName name="__we443">#REF!</definedName>
    <definedName name="_1" localSheetId="8">#REF!</definedName>
    <definedName name="_1">#REF!</definedName>
    <definedName name="_1_1" localSheetId="8">#REF!</definedName>
    <definedName name="_1_1">#REF!</definedName>
    <definedName name="_12_4" localSheetId="8">#REF!</definedName>
    <definedName name="_12_4">#REF!</definedName>
    <definedName name="_15_5" localSheetId="8">#REF!</definedName>
    <definedName name="_15_5">#REF!</definedName>
    <definedName name="_2" localSheetId="8">#REF!</definedName>
    <definedName name="_2">#REF!</definedName>
    <definedName name="_2_2" localSheetId="8">#REF!</definedName>
    <definedName name="_2_2">#REF!</definedName>
    <definedName name="_21" localSheetId="8">#REF!</definedName>
    <definedName name="_21">#REF!</definedName>
    <definedName name="_22" localSheetId="8">#REF!</definedName>
    <definedName name="_22">#REF!</definedName>
    <definedName name="_3" localSheetId="8">#REF!</definedName>
    <definedName name="_3">#REF!</definedName>
    <definedName name="_3_1" localSheetId="8">#REF!</definedName>
    <definedName name="_3_1">#REF!</definedName>
    <definedName name="_3_3" localSheetId="8">#REF!</definedName>
    <definedName name="_3_3">#REF!</definedName>
    <definedName name="_4" localSheetId="8">#REF!</definedName>
    <definedName name="_4">#REF!</definedName>
    <definedName name="_4_4" localSheetId="8">#REF!</definedName>
    <definedName name="_4_4">#REF!</definedName>
    <definedName name="_5" localSheetId="8">#REF!</definedName>
    <definedName name="_5">#REF!</definedName>
    <definedName name="_5_5" localSheetId="8">#REF!</definedName>
    <definedName name="_5_5">#REF!</definedName>
    <definedName name="_6_2" localSheetId="8">#REF!</definedName>
    <definedName name="_6_2">#REF!</definedName>
    <definedName name="_9_3" localSheetId="8">#REF!</definedName>
    <definedName name="_9_3">#REF!</definedName>
    <definedName name="_a" localSheetId="8">#REF!</definedName>
    <definedName name="_a">#REF!</definedName>
    <definedName name="_a_10" localSheetId="8">#REF!</definedName>
    <definedName name="_a_10">#REF!</definedName>
    <definedName name="_a_11" localSheetId="8">#REF!</definedName>
    <definedName name="_a_11">#REF!</definedName>
    <definedName name="_a_12" localSheetId="8">#REF!</definedName>
    <definedName name="_a_12">#REF!</definedName>
    <definedName name="_a_13" localSheetId="8">#REF!</definedName>
    <definedName name="_a_13">#REF!</definedName>
    <definedName name="_a_14" localSheetId="8">#REF!</definedName>
    <definedName name="_a_14">#REF!</definedName>
    <definedName name="_a_15" localSheetId="8">#REF!</definedName>
    <definedName name="_a_15">#REF!</definedName>
    <definedName name="_a_16" localSheetId="8">#REF!</definedName>
    <definedName name="_a_16">#REF!</definedName>
    <definedName name="_a_17" localSheetId="8">#REF!</definedName>
    <definedName name="_a_17">#REF!</definedName>
    <definedName name="_a_18" localSheetId="8">#REF!</definedName>
    <definedName name="_a_18">#REF!</definedName>
    <definedName name="_a_19" localSheetId="8">#REF!</definedName>
    <definedName name="_a_19">#REF!</definedName>
    <definedName name="_a_20" localSheetId="8">#REF!</definedName>
    <definedName name="_a_20">#REF!</definedName>
    <definedName name="_a_21" localSheetId="8">#REF!</definedName>
    <definedName name="_a_21">#REF!</definedName>
    <definedName name="_a_22" localSheetId="8">#REF!</definedName>
    <definedName name="_a_22">#REF!</definedName>
    <definedName name="_a_23" localSheetId="8">#REF!</definedName>
    <definedName name="_a_23">#REF!</definedName>
    <definedName name="_a_24" localSheetId="8">#REF!</definedName>
    <definedName name="_a_24">#REF!</definedName>
    <definedName name="_a_25" localSheetId="8">#REF!</definedName>
    <definedName name="_a_25">#REF!</definedName>
    <definedName name="_a_26" localSheetId="8">#REF!</definedName>
    <definedName name="_a_26">#REF!</definedName>
    <definedName name="_a_27" localSheetId="8">#REF!</definedName>
    <definedName name="_a_27">#REF!</definedName>
    <definedName name="_a_28" localSheetId="8">#REF!</definedName>
    <definedName name="_a_28">#REF!</definedName>
    <definedName name="_a_29" localSheetId="8">#REF!</definedName>
    <definedName name="_a_29">#REF!</definedName>
    <definedName name="_a_30" localSheetId="8">#REF!</definedName>
    <definedName name="_a_30">#REF!</definedName>
    <definedName name="_a_34" localSheetId="8">#REF!</definedName>
    <definedName name="_a_34">#REF!</definedName>
    <definedName name="_a_4" localSheetId="8">#REF!</definedName>
    <definedName name="_a_4">#REF!</definedName>
    <definedName name="_a_4_15" localSheetId="8">#REF!</definedName>
    <definedName name="_a_4_15">#REF!</definedName>
    <definedName name="_a_4_8" localSheetId="8">#REF!</definedName>
    <definedName name="_a_4_8">#REF!</definedName>
    <definedName name="_a_5" localSheetId="8">#REF!</definedName>
    <definedName name="_a_5">#REF!</definedName>
    <definedName name="_a_5_15" localSheetId="8">#REF!</definedName>
    <definedName name="_a_5_15">#REF!</definedName>
    <definedName name="_a_5_8" localSheetId="8">#REF!</definedName>
    <definedName name="_a_5_8">#REF!</definedName>
    <definedName name="_a_8" localSheetId="8">#REF!</definedName>
    <definedName name="_a_8">#REF!</definedName>
    <definedName name="_A802313" localSheetId="8">#REF!</definedName>
    <definedName name="_A802313">#REF!</definedName>
    <definedName name="_AASDASD" localSheetId="8">#REF!</definedName>
    <definedName name="_AASDASD">#REF!</definedName>
    <definedName name="_BHR11" localSheetId="8">#REF!</definedName>
    <definedName name="_BHR11">#REF!</definedName>
    <definedName name="_BHR12" localSheetId="8">#REF!</definedName>
    <definedName name="_BHR12">#REF!</definedName>
    <definedName name="_BHR13" localSheetId="8">#REF!</definedName>
    <definedName name="_BHR13">#REF!</definedName>
    <definedName name="_BHR14" localSheetId="8">#REF!</definedName>
    <definedName name="_BHR14">#REF!</definedName>
    <definedName name="_BHR15" localSheetId="8">#REF!</definedName>
    <definedName name="_BHR15">#REF!</definedName>
    <definedName name="_BHR16" localSheetId="8">#REF!</definedName>
    <definedName name="_BHR16">#REF!</definedName>
    <definedName name="_BHR17" localSheetId="8">#REF!</definedName>
    <definedName name="_BHR17">#REF!</definedName>
    <definedName name="_BHR18" localSheetId="8">#REF!</definedName>
    <definedName name="_BHR18">#REF!</definedName>
    <definedName name="_BHR19" localSheetId="8">#REF!</definedName>
    <definedName name="_BHR19">#REF!</definedName>
    <definedName name="_BHR20" localSheetId="8">#REF!</definedName>
    <definedName name="_BHR20">#REF!</definedName>
    <definedName name="_BHR21" localSheetId="8">#REF!</definedName>
    <definedName name="_BHR21">#REF!</definedName>
    <definedName name="_BHR22" localSheetId="8">#REF!</definedName>
    <definedName name="_BHR22">#REF!</definedName>
    <definedName name="_BHR23" localSheetId="8">#REF!</definedName>
    <definedName name="_BHR23">#REF!</definedName>
    <definedName name="_BHR24" localSheetId="8">#REF!</definedName>
    <definedName name="_BHR24">#REF!</definedName>
    <definedName name="_BHR25" localSheetId="8">#REF!</definedName>
    <definedName name="_BHR25">#REF!</definedName>
    <definedName name="_BHR26" localSheetId="8">#REF!</definedName>
    <definedName name="_BHR26">#REF!</definedName>
    <definedName name="_BHR27" localSheetId="8">#REF!</definedName>
    <definedName name="_BHR27">#REF!</definedName>
    <definedName name="_BHR28" localSheetId="8">#REF!</definedName>
    <definedName name="_BHR28">#REF!</definedName>
    <definedName name="_BHR29" localSheetId="8">#REF!</definedName>
    <definedName name="_BHR29">#REF!</definedName>
    <definedName name="_BHR30" localSheetId="8">#REF!</definedName>
    <definedName name="_BHR30">#REF!</definedName>
    <definedName name="_BHR31" localSheetId="8">#REF!</definedName>
    <definedName name="_BHR31">#REF!</definedName>
    <definedName name="_BHR32" localSheetId="8">#REF!</definedName>
    <definedName name="_BHR32">#REF!</definedName>
    <definedName name="_BHR33" localSheetId="8">#REF!</definedName>
    <definedName name="_BHR33">#REF!</definedName>
    <definedName name="_BHR34" localSheetId="8">#REF!</definedName>
    <definedName name="_BHR34">#REF!</definedName>
    <definedName name="_BHR35" localSheetId="8">#REF!</definedName>
    <definedName name="_BHR35">#REF!</definedName>
    <definedName name="_BHR36" localSheetId="8">#REF!</definedName>
    <definedName name="_BHR36">#REF!</definedName>
    <definedName name="_BHR37" localSheetId="8">#REF!</definedName>
    <definedName name="_BHR37">#REF!</definedName>
    <definedName name="_BHR38" localSheetId="8">#REF!</definedName>
    <definedName name="_BHR38">#REF!</definedName>
    <definedName name="_BHR39" localSheetId="8">#REF!</definedName>
    <definedName name="_BHR39">#REF!</definedName>
    <definedName name="_BHR40" localSheetId="8">#REF!</definedName>
    <definedName name="_BHR40">#REF!</definedName>
    <definedName name="_BHR41" localSheetId="8">#REF!</definedName>
    <definedName name="_BHR41">#REF!</definedName>
    <definedName name="_BHR42" localSheetId="8">#REF!</definedName>
    <definedName name="_BHR42">#REF!</definedName>
    <definedName name="_BHR52" localSheetId="8">#REF!</definedName>
    <definedName name="_BHR52">#REF!</definedName>
    <definedName name="_BHR53" localSheetId="8">#REF!</definedName>
    <definedName name="_BHR53">#REF!</definedName>
    <definedName name="_BHR54" localSheetId="8">#REF!</definedName>
    <definedName name="_BHR54">#REF!</definedName>
    <definedName name="_BHR60" localSheetId="8">#REF!</definedName>
    <definedName name="_BHR60">#REF!</definedName>
    <definedName name="_BHR61" localSheetId="8">#REF!</definedName>
    <definedName name="_BHR61">#REF!</definedName>
    <definedName name="_BHR62" localSheetId="8">#REF!</definedName>
    <definedName name="_BHR62">#REF!</definedName>
    <definedName name="_c" localSheetId="8">#REF!</definedName>
    <definedName name="_c">#REF!</definedName>
    <definedName name="_con100" localSheetId="8">#REF!</definedName>
    <definedName name="_con100">#REF!</definedName>
    <definedName name="_con125" localSheetId="8">#REF!</definedName>
    <definedName name="_con125">#REF!</definedName>
    <definedName name="_con15" localSheetId="8">#REF!</definedName>
    <definedName name="_con15">#REF!</definedName>
    <definedName name="_con150" localSheetId="8">#REF!</definedName>
    <definedName name="_con150">#REF!</definedName>
    <definedName name="_con20" localSheetId="8">#REF!</definedName>
    <definedName name="_con20">#REF!</definedName>
    <definedName name="_con200" localSheetId="8">#REF!</definedName>
    <definedName name="_con200">#REF!</definedName>
    <definedName name="_con25" localSheetId="8">#REF!</definedName>
    <definedName name="_con25">#REF!</definedName>
    <definedName name="_con250" localSheetId="8">#REF!</definedName>
    <definedName name="_con250">#REF!</definedName>
    <definedName name="_con300" localSheetId="8">#REF!</definedName>
    <definedName name="_con300">#REF!</definedName>
    <definedName name="_con32" localSheetId="8">#REF!</definedName>
    <definedName name="_con32">#REF!</definedName>
    <definedName name="_con350" localSheetId="8">#REF!</definedName>
    <definedName name="_con350">#REF!</definedName>
    <definedName name="_con40" localSheetId="8">#REF!</definedName>
    <definedName name="_con40">#REF!</definedName>
    <definedName name="_con400" localSheetId="8">#REF!</definedName>
    <definedName name="_con400">#REF!</definedName>
    <definedName name="_con450" localSheetId="8">#REF!</definedName>
    <definedName name="_con450">#REF!</definedName>
    <definedName name="_con50" localSheetId="8">#REF!</definedName>
    <definedName name="_con50">#REF!</definedName>
    <definedName name="_con550" localSheetId="8">#REF!</definedName>
    <definedName name="_con550">#REF!</definedName>
    <definedName name="_con65" localSheetId="8">#REF!</definedName>
    <definedName name="_con65">#REF!</definedName>
    <definedName name="_con80" localSheetId="8">#REF!</definedName>
    <definedName name="_con80">#REF!</definedName>
    <definedName name="_cpr1400" localSheetId="8">#REF!</definedName>
    <definedName name="_cpr1400">#REF!</definedName>
    <definedName name="_cpr1800" localSheetId="8">#REF!</definedName>
    <definedName name="_cpr1800">#REF!</definedName>
    <definedName name="_csp100" localSheetId="8">#REF!</definedName>
    <definedName name="_csp100">#REF!</definedName>
    <definedName name="_csp125" localSheetId="8">#REF!</definedName>
    <definedName name="_csp125">#REF!</definedName>
    <definedName name="_csp15" localSheetId="8">#REF!</definedName>
    <definedName name="_csp15">#REF!</definedName>
    <definedName name="_csp150" localSheetId="8">#REF!</definedName>
    <definedName name="_csp150">#REF!</definedName>
    <definedName name="_csp20" localSheetId="8">#REF!</definedName>
    <definedName name="_csp20">#REF!</definedName>
    <definedName name="_csp200" localSheetId="8">#REF!</definedName>
    <definedName name="_csp200">#REF!</definedName>
    <definedName name="_csp25" localSheetId="8">#REF!</definedName>
    <definedName name="_csp25">#REF!</definedName>
    <definedName name="_csp250" localSheetId="8">#REF!</definedName>
    <definedName name="_csp250">#REF!</definedName>
    <definedName name="_csp300" localSheetId="8">#REF!</definedName>
    <definedName name="_csp300">#REF!</definedName>
    <definedName name="_csp32" localSheetId="8">#REF!</definedName>
    <definedName name="_csp32">#REF!</definedName>
    <definedName name="_csp350" localSheetId="8">#REF!</definedName>
    <definedName name="_csp350">#REF!</definedName>
    <definedName name="_csp40" localSheetId="8">#REF!</definedName>
    <definedName name="_csp40">#REF!</definedName>
    <definedName name="_csp400" localSheetId="8">#REF!</definedName>
    <definedName name="_csp400">#REF!</definedName>
    <definedName name="_csp450" localSheetId="8">#REF!</definedName>
    <definedName name="_csp450">#REF!</definedName>
    <definedName name="_csp50" localSheetId="8">#REF!</definedName>
    <definedName name="_csp50">#REF!</definedName>
    <definedName name="_csp550" localSheetId="8">#REF!</definedName>
    <definedName name="_csp550">#REF!</definedName>
    <definedName name="_csp65" localSheetId="8">#REF!</definedName>
    <definedName name="_csp65">#REF!</definedName>
    <definedName name="_csp80" localSheetId="8">#REF!</definedName>
    <definedName name="_csp80">#REF!</definedName>
    <definedName name="_dvl100" localSheetId="8">#REF!</definedName>
    <definedName name="_dvl100">#REF!</definedName>
    <definedName name="_dvl150" localSheetId="8">#REF!</definedName>
    <definedName name="_dvl150">#REF!</definedName>
    <definedName name="_dvl200" localSheetId="8">#REF!</definedName>
    <definedName name="_dvl200">#REF!</definedName>
    <definedName name="_fdm100" localSheetId="8">#REF!</definedName>
    <definedName name="_fdm100">#REF!</definedName>
    <definedName name="_fdm150" localSheetId="8">#REF!</definedName>
    <definedName name="_fdm150">#REF!</definedName>
    <definedName name="_fdm210" localSheetId="8">#REF!</definedName>
    <definedName name="_fdm210">#REF!</definedName>
    <definedName name="_fdm30" localSheetId="8">#REF!</definedName>
    <definedName name="_fdm30">#REF!</definedName>
    <definedName name="_fdm40" localSheetId="8">#REF!</definedName>
    <definedName name="_fdm40">#REF!</definedName>
    <definedName name="_fdm60" localSheetId="8">#REF!</definedName>
    <definedName name="_fdm60">#REF!</definedName>
    <definedName name="_Fill" localSheetId="8" hidden="1">#REF!</definedName>
    <definedName name="_Fill" hidden="1">#REF!</definedName>
    <definedName name="_xlnm._FilterDatabase" localSheetId="1" hidden="1">'BOQ  with out rates'!$B$1:$B$333</definedName>
    <definedName name="_xlnm._FilterDatabase" localSheetId="0" hidden="1">'BOQ  with Rates '!$B$1:$B$333</definedName>
    <definedName name="_xlnm._FilterDatabase" localSheetId="10" hidden="1">'BOQ  with Rates  (2)'!$A$3:$G$452</definedName>
    <definedName name="_xlnm._FilterDatabase" localSheetId="11" hidden="1">'BOQ  with Rates  (3)'!$A$3:$G$452</definedName>
    <definedName name="_xlnm._FilterDatabase" localSheetId="12" hidden="1">'BOQ  with Rates  (4)'!$A$3:$G$478</definedName>
    <definedName name="_xlnm._FilterDatabase" localSheetId="7" hidden="1">'BOQ  with Rates  (5)'!$A$3:$G$452</definedName>
    <definedName name="_xlnm._FilterDatabase" localSheetId="8" hidden="1">'BOQ  with Rates  (6)'!$B$1:$B$541</definedName>
    <definedName name="_xlnm._FilterDatabase" localSheetId="4" hidden="1">'BOQ  with Rates  (7)'!$B$1:$B$334</definedName>
    <definedName name="_xlnm._FilterDatabase" localSheetId="3" hidden="1">'BOQ UPDATES RATED FOR EVAL'!$B$1:$B$334</definedName>
    <definedName name="_xlnm._FilterDatabase" localSheetId="2" hidden="1">'ContractBOQ  with out rates (2)'!$B$1:$B$334</definedName>
    <definedName name="_xlnm._FilterDatabase" localSheetId="5" hidden="1">'Workable BOQ FINAL'!$B$1:$B$334</definedName>
    <definedName name="_xlnm._FilterDatabase" localSheetId="6" hidden="1">'Workable BOQ FINAL (2)'!$B$1:$B$334</definedName>
    <definedName name="_gal100" localSheetId="8">#REF!</definedName>
    <definedName name="_gal100">#REF!</definedName>
    <definedName name="_gal25" localSheetId="8">#REF!</definedName>
    <definedName name="_gal25">#REF!</definedName>
    <definedName name="_gal32" localSheetId="8">#REF!</definedName>
    <definedName name="_gal32">#REF!</definedName>
    <definedName name="_gal50" localSheetId="8">#REF!</definedName>
    <definedName name="_gal50">#REF!</definedName>
    <definedName name="_gal65" localSheetId="8">#REF!</definedName>
    <definedName name="_gal65">#REF!</definedName>
    <definedName name="_gal75" localSheetId="8">#REF!</definedName>
    <definedName name="_gal75">#REF!</definedName>
    <definedName name="_jhd" localSheetId="8">#REF!</definedName>
    <definedName name="_jhd">#REF!</definedName>
    <definedName name="_Key1" localSheetId="8" hidden="1">#REF!</definedName>
    <definedName name="_Key1" hidden="1">#REF!</definedName>
    <definedName name="_Key2" localSheetId="8" hidden="1">#REF!</definedName>
    <definedName name="_Key2" hidden="1">#REF!</definedName>
    <definedName name="_ls3" localSheetId="8">#REF!</definedName>
    <definedName name="_ls3">#REF!</definedName>
    <definedName name="_mhr11" localSheetId="8">#REF!</definedName>
    <definedName name="_mhr11">#REF!</definedName>
    <definedName name="_mhr12" localSheetId="8">#REF!</definedName>
    <definedName name="_mhr12">#REF!</definedName>
    <definedName name="_mhr13" localSheetId="8">#REF!</definedName>
    <definedName name="_mhr13">#REF!</definedName>
    <definedName name="_mhr14" localSheetId="8">#REF!</definedName>
    <definedName name="_mhr14">#REF!</definedName>
    <definedName name="_mhr21" localSheetId="8">#REF!</definedName>
    <definedName name="_mhr21">#REF!</definedName>
    <definedName name="_mhr22" localSheetId="8">#REF!</definedName>
    <definedName name="_mhr22">#REF!</definedName>
    <definedName name="_mhr23" localSheetId="8">#REF!</definedName>
    <definedName name="_mhr23">#REF!</definedName>
    <definedName name="_mhr31" localSheetId="8">#REF!</definedName>
    <definedName name="_mhr31">#REF!</definedName>
    <definedName name="_mhr32" localSheetId="8">#REF!</definedName>
    <definedName name="_mhr32">#REF!</definedName>
    <definedName name="_mhr33" localSheetId="8">#REF!</definedName>
    <definedName name="_mhr33">#REF!</definedName>
    <definedName name="_mhr41" localSheetId="8">#REF!</definedName>
    <definedName name="_mhr41">#REF!</definedName>
    <definedName name="_mhr53" localSheetId="8">#REF!</definedName>
    <definedName name="_mhr53">#REF!</definedName>
    <definedName name="_mhr54" localSheetId="8">#REF!</definedName>
    <definedName name="_mhr54">#REF!</definedName>
    <definedName name="_ohr2" localSheetId="8">#REF!</definedName>
    <definedName name="_ohr2">#REF!</definedName>
    <definedName name="_Order1" hidden="1">0</definedName>
    <definedName name="_Order2" hidden="1">0</definedName>
    <definedName name="_rad1" localSheetId="8">#REF!</definedName>
    <definedName name="_rad1">#REF!</definedName>
    <definedName name="_rad2" localSheetId="8">#REF!</definedName>
    <definedName name="_rad2">#REF!</definedName>
    <definedName name="_rad4" localSheetId="8">#REF!</definedName>
    <definedName name="_rad4">#REF!</definedName>
    <definedName name="_rad6" localSheetId="8">#REF!</definedName>
    <definedName name="_rad6">#REF!</definedName>
    <definedName name="_Regression_Int">1</definedName>
    <definedName name="_sad1" localSheetId="8">#REF!</definedName>
    <definedName name="_sad1">#REF!</definedName>
    <definedName name="_sad2" localSheetId="8">#REF!</definedName>
    <definedName name="_sad2">#REF!</definedName>
    <definedName name="_sad300" localSheetId="8">#REF!</definedName>
    <definedName name="_sad300">#REF!</definedName>
    <definedName name="_sad4" localSheetId="8">#REF!</definedName>
    <definedName name="_sad4">#REF!</definedName>
    <definedName name="_sad400" localSheetId="8">#REF!</definedName>
    <definedName name="_sad400">#REF!</definedName>
    <definedName name="_sad500" localSheetId="8">#REF!</definedName>
    <definedName name="_sad500">#REF!</definedName>
    <definedName name="_sad6" localSheetId="8">#REF!</definedName>
    <definedName name="_sad6">#REF!</definedName>
    <definedName name="_sad600" localSheetId="8">#REF!</definedName>
    <definedName name="_sad600">#REF!</definedName>
    <definedName name="_sld150" localSheetId="8">#REF!</definedName>
    <definedName name="_sld150">#REF!</definedName>
    <definedName name="_sld200" localSheetId="8">#REF!</definedName>
    <definedName name="_sld200">#REF!</definedName>
    <definedName name="_sld250" localSheetId="8">#REF!</definedName>
    <definedName name="_sld250">#REF!</definedName>
    <definedName name="_sld300" localSheetId="8">#REF!</definedName>
    <definedName name="_sld300">#REF!</definedName>
    <definedName name="_sld350" localSheetId="8">#REF!</definedName>
    <definedName name="_sld350">#REF!</definedName>
    <definedName name="_sld400" localSheetId="8">#REF!</definedName>
    <definedName name="_sld400">#REF!</definedName>
    <definedName name="_Sort" localSheetId="8" hidden="1">#REF!</definedName>
    <definedName name="_Sort" hidden="1">#REF!</definedName>
    <definedName name="_sw3" localSheetId="8" hidden="1">#REF!</definedName>
    <definedName name="_sw3" hidden="1">#REF!</definedName>
    <definedName name="_tw1" localSheetId="8">#REF!</definedName>
    <definedName name="_tw1">#REF!</definedName>
    <definedName name="_val100" localSheetId="8">#REF!</definedName>
    <definedName name="_val100">#REF!</definedName>
    <definedName name="_val125" localSheetId="8">#REF!</definedName>
    <definedName name="_val125">#REF!</definedName>
    <definedName name="_val13" localSheetId="8">#REF!</definedName>
    <definedName name="_val13">#REF!</definedName>
    <definedName name="_val15" localSheetId="8">#REF!</definedName>
    <definedName name="_val15">#REF!</definedName>
    <definedName name="_val150" localSheetId="8">#REF!</definedName>
    <definedName name="_val150">#REF!</definedName>
    <definedName name="_val20" localSheetId="8">#REF!</definedName>
    <definedName name="_val20">#REF!</definedName>
    <definedName name="_val200" localSheetId="8">#REF!</definedName>
    <definedName name="_val200">#REF!</definedName>
    <definedName name="_val25" localSheetId="8">#REF!</definedName>
    <definedName name="_val25">#REF!</definedName>
    <definedName name="_val250" localSheetId="8">#REF!</definedName>
    <definedName name="_val250">#REF!</definedName>
    <definedName name="_val32" localSheetId="8">#REF!</definedName>
    <definedName name="_val32">#REF!</definedName>
    <definedName name="_val38" localSheetId="8">#REF!</definedName>
    <definedName name="_val38">#REF!</definedName>
    <definedName name="_val40" localSheetId="8">#REF!</definedName>
    <definedName name="_val40">#REF!</definedName>
    <definedName name="_val50" localSheetId="8">#REF!</definedName>
    <definedName name="_val50">#REF!</definedName>
    <definedName name="_val65" localSheetId="8">#REF!</definedName>
    <definedName name="_val65">#REF!</definedName>
    <definedName name="_val75" localSheetId="8">#REF!</definedName>
    <definedName name="_val75">#REF!</definedName>
    <definedName name="_val80" localSheetId="8">#REF!</definedName>
    <definedName name="_val80">#REF!</definedName>
    <definedName name="_vlm250" localSheetId="8">#REF!</definedName>
    <definedName name="_vlm250">#REF!</definedName>
    <definedName name="_vlm80" localSheetId="8">#REF!</definedName>
    <definedName name="_vlm80">#REF!</definedName>
    <definedName name="_we443" localSheetId="8">#REF!</definedName>
    <definedName name="_we443">#REF!</definedName>
    <definedName name="a" localSheetId="8" hidden="1">#REF!</definedName>
    <definedName name="a" hidden="1">#REF!</definedName>
    <definedName name="aa" localSheetId="8">#REF!</definedName>
    <definedName name="aa">#REF!</definedName>
    <definedName name="AAA" localSheetId="8">#REF!</definedName>
    <definedName name="AAA">#REF!</definedName>
    <definedName name="aaaaaa" localSheetId="8">#REF!</definedName>
    <definedName name="aaaaaa">#REF!</definedName>
    <definedName name="AAAAAAAAAAAAAAAAAAAAAAADKFKLGLG" localSheetId="8" hidden="1">#REF!</definedName>
    <definedName name="AAAAAAAAAAAAAAAAAAAAAAADKFKLGLG" hidden="1">#REF!</definedName>
    <definedName name="AAb" localSheetId="8">#REF!</definedName>
    <definedName name="AAb">#REF!</definedName>
    <definedName name="aadxasdxasdxas" localSheetId="8">#REF!</definedName>
    <definedName name="aadxasdxasdxas">#REF!</definedName>
    <definedName name="aasdffs" localSheetId="8">#REF!</definedName>
    <definedName name="aasdffs">#REF!</definedName>
    <definedName name="abb" localSheetId="8" hidden="1">#REF!</definedName>
    <definedName name="abb" hidden="1">#REF!</definedName>
    <definedName name="abbas" localSheetId="8" hidden="1">#REF!</definedName>
    <definedName name="abbas" hidden="1">#REF!</definedName>
    <definedName name="abc" localSheetId="8">#REF!</definedName>
    <definedName name="abc">#REF!</definedName>
    <definedName name="abcd" localSheetId="8">#REF!</definedName>
    <definedName name="abcd">#REF!</definedName>
    <definedName name="ABDULLAH" localSheetId="8">#REF!</definedName>
    <definedName name="ABDULLAH">#REF!</definedName>
    <definedName name="abstract" hidden="1">{"'G.Ab'!$B$22:$E$22"}</definedName>
    <definedName name="ABSTRACT_NORTH" localSheetId="8">#REF!</definedName>
    <definedName name="ABSTRACT_NORTH">#REF!</definedName>
    <definedName name="ABSTRACT_PHED" localSheetId="8">#REF!</definedName>
    <definedName name="ABSTRACT_PHED">#REF!</definedName>
    <definedName name="AC" localSheetId="8" hidden="1">#REF!</definedName>
    <definedName name="AC" hidden="1">#REF!</definedName>
    <definedName name="Acoustic_Velocity" localSheetId="8">#REF!</definedName>
    <definedName name="Acoustic_Velocity">#REF!</definedName>
    <definedName name="Active_WetWell_Volume" localSheetId="8">#REF!</definedName>
    <definedName name="Active_WetWell_Volume">#REF!</definedName>
    <definedName name="ad" localSheetId="8">#REF!</definedName>
    <definedName name="ad">#REF!</definedName>
    <definedName name="adfsd" localSheetId="8">#REF!</definedName>
    <definedName name="adfsd">#REF!</definedName>
    <definedName name="agf" localSheetId="8">#REF!</definedName>
    <definedName name="agf">#REF!</definedName>
    <definedName name="ahucarrier" localSheetId="8">#REF!</definedName>
    <definedName name="ahucarrier">#REF!</definedName>
    <definedName name="ahufyronegis" localSheetId="8">#REF!</definedName>
    <definedName name="ahufyronegis">#REF!</definedName>
    <definedName name="ahusinko" localSheetId="8">#REF!</definedName>
    <definedName name="ahusinko">#REF!</definedName>
    <definedName name="ahutrane" localSheetId="8">#REF!</definedName>
    <definedName name="ahutrane">#REF!</definedName>
    <definedName name="aircooledchillercarrier" localSheetId="8">#REF!</definedName>
    <definedName name="aircooledchillercarrier">#REF!</definedName>
    <definedName name="aircooledchillerfyrogenis" localSheetId="8">#REF!</definedName>
    <definedName name="aircooledchillerfyrogenis">#REF!</definedName>
    <definedName name="aircooledchillertrane" localSheetId="8">#REF!</definedName>
    <definedName name="aircooledchillertrane">#REF!</definedName>
    <definedName name="ajmal" localSheetId="8">#REF!</definedName>
    <definedName name="ajmal">#REF!</definedName>
    <definedName name="allaha" localSheetId="8">#REF!</definedName>
    <definedName name="allaha">#REF!</definedName>
    <definedName name="Ammara" localSheetId="8">#REF!</definedName>
    <definedName name="Ammara">#REF!</definedName>
    <definedName name="anaerb" localSheetId="8" hidden="1">#REF!</definedName>
    <definedName name="anaerb" hidden="1">#REF!</definedName>
    <definedName name="anaerobic" localSheetId="8">#REF!</definedName>
    <definedName name="anaerobic">#REF!</definedName>
    <definedName name="Analysis111" localSheetId="8">#REF!</definedName>
    <definedName name="Analysis111">#REF!</definedName>
    <definedName name="anesar" localSheetId="8">#REF!</definedName>
    <definedName name="anesar">#REF!</definedName>
    <definedName name="anhgy" localSheetId="8">#REF!</definedName>
    <definedName name="anhgy">#REF!</definedName>
    <definedName name="anrer" localSheetId="8">#REF!</definedName>
    <definedName name="anrer">#REF!</definedName>
    <definedName name="anscount" hidden="1">1</definedName>
    <definedName name="appendix" localSheetId="8">#REF!</definedName>
    <definedName name="appendix">#REF!</definedName>
    <definedName name="as" localSheetId="8">#REF!</definedName>
    <definedName name="as">#REF!</definedName>
    <definedName name="asasa" localSheetId="8" hidden="1">#REF!</definedName>
    <definedName name="asasa" hidden="1">#REF!</definedName>
    <definedName name="asd" localSheetId="8">#REF!</definedName>
    <definedName name="asd">#REF!</definedName>
    <definedName name="asda_a_30" localSheetId="8">#REF!</definedName>
    <definedName name="asda_a_30">#REF!</definedName>
    <definedName name="asdasd" localSheetId="8">#REF!</definedName>
    <definedName name="asdasd">#REF!</definedName>
    <definedName name="asdasd28" localSheetId="8">#REF!</definedName>
    <definedName name="asdasd28">#REF!</definedName>
    <definedName name="asdasdad" localSheetId="8">#REF!</definedName>
    <definedName name="asdasdad">#REF!</definedName>
    <definedName name="asdasdas" localSheetId="8">#REF!</definedName>
    <definedName name="asdasdas">#REF!</definedName>
    <definedName name="asdd" localSheetId="8">#REF!</definedName>
    <definedName name="asdd">#REF!</definedName>
    <definedName name="asdfj" localSheetId="8">#REF!</definedName>
    <definedName name="asdfj">#REF!</definedName>
    <definedName name="asfdfsdfd" localSheetId="8" hidden="1">#REF!</definedName>
    <definedName name="asfdfsdfd" hidden="1">#REF!</definedName>
    <definedName name="ASIF" localSheetId="8" hidden="1">#REF!</definedName>
    <definedName name="ASIF" hidden="1">#REF!</definedName>
    <definedName name="ASIFKHAN" localSheetId="8">#REF!</definedName>
    <definedName name="ASIFKHAN">#REF!</definedName>
    <definedName name="Asik" localSheetId="8">#REF!</definedName>
    <definedName name="Asik">#REF!</definedName>
    <definedName name="Asik2" localSheetId="8">#REF!</definedName>
    <definedName name="Asik2">#REF!</definedName>
    <definedName name="asim" localSheetId="8">#REF!</definedName>
    <definedName name="asim">#REF!</definedName>
    <definedName name="ass" localSheetId="8">#REF!</definedName>
    <definedName name="ass">#REF!</definedName>
    <definedName name="ASSF" localSheetId="8">#REF!</definedName>
    <definedName name="ASSF">#REF!</definedName>
    <definedName name="assss" localSheetId="8">#REF!</definedName>
    <definedName name="assss">#REF!</definedName>
    <definedName name="ASTM_Bars" localSheetId="8">#REF!</definedName>
    <definedName name="ASTM_Bars">#REF!</definedName>
    <definedName name="asuf" localSheetId="8">#REF!</definedName>
    <definedName name="asuf">#REF!</definedName>
    <definedName name="AT" localSheetId="8">#REF!</definedName>
    <definedName name="AT">#REF!</definedName>
    <definedName name="axx" hidden="1">{"'G.Ab'!$B$22:$E$22"}</definedName>
    <definedName name="az" localSheetId="8">#REF!</definedName>
    <definedName name="az">#REF!</definedName>
    <definedName name="aze" localSheetId="8">#REF!</definedName>
    <definedName name="aze">#REF!</definedName>
    <definedName name="b" localSheetId="8">#REF!</definedName>
    <definedName name="b">#REF!</definedName>
    <definedName name="B_" localSheetId="8">#REF!</definedName>
    <definedName name="B_">#REF!</definedName>
    <definedName name="b_1" localSheetId="8">#REF!</definedName>
    <definedName name="b_1">#REF!</definedName>
    <definedName name="Bas_lev" localSheetId="8">#REF!</definedName>
    <definedName name="Bas_lev">#REF!</definedName>
    <definedName name="bb" localSheetId="8">#REF!</definedName>
    <definedName name="bb">#REF!</definedName>
    <definedName name="bbb" localSheetId="8" hidden="1">#REF!</definedName>
    <definedName name="bbb" hidden="1">#REF!</definedName>
    <definedName name="bbbbbbbbbb" localSheetId="8">#REF!</definedName>
    <definedName name="bbbbbbbbbb">#REF!</definedName>
    <definedName name="BBQQQ" localSheetId="8">#REF!</definedName>
    <definedName name="BBQQQ">#REF!</definedName>
    <definedName name="bed" localSheetId="8">#REF!</definedName>
    <definedName name="bed">#REF!</definedName>
    <definedName name="bend" localSheetId="8">#REF!</definedName>
    <definedName name="bend">#REF!</definedName>
    <definedName name="bend45" localSheetId="8">#REF!</definedName>
    <definedName name="bend45">#REF!</definedName>
    <definedName name="BERM" localSheetId="8">#REF!</definedName>
    <definedName name="BERM">#REF!</definedName>
    <definedName name="BFG" localSheetId="8">#REF!</definedName>
    <definedName name="BFG">#REF!</definedName>
    <definedName name="BHRQ" localSheetId="8">#REF!</definedName>
    <definedName name="BHRQ">#REF!</definedName>
    <definedName name="BL" localSheetId="8">#REF!</definedName>
    <definedName name="BL">#REF!</definedName>
    <definedName name="blkhjuolholgpo" localSheetId="8">#REF!</definedName>
    <definedName name="blkhjuolholgpo">#REF!</definedName>
    <definedName name="bo" localSheetId="8">#REF!</definedName>
    <definedName name="bo">#REF!</definedName>
    <definedName name="Boq" localSheetId="8">#REF!</definedName>
    <definedName name="Boq">#REF!</definedName>
    <definedName name="boynsr" localSheetId="8">#REF!</definedName>
    <definedName name="boynsr">#REF!</definedName>
    <definedName name="boynsr1" localSheetId="8">#REF!</definedName>
    <definedName name="boynsr1">#REF!</definedName>
    <definedName name="boynsr3" localSheetId="8">#REF!</definedName>
    <definedName name="boynsr3">#REF!</definedName>
    <definedName name="boynsr5" localSheetId="8">#REF!</definedName>
    <definedName name="boynsr5">#REF!</definedName>
    <definedName name="BOYSIR2" localSheetId="8">#REF!</definedName>
    <definedName name="BOYSIR2">#REF!</definedName>
    <definedName name="boysr" localSheetId="8">#REF!</definedName>
    <definedName name="boysr">#REF!</definedName>
    <definedName name="boysr1" localSheetId="8">#REF!</definedName>
    <definedName name="boysr1">#REF!</definedName>
    <definedName name="boysr2" localSheetId="8">#REF!</definedName>
    <definedName name="boysr2">#REF!</definedName>
    <definedName name="boysr3" localSheetId="8">#REF!</definedName>
    <definedName name="boysr3">#REF!</definedName>
    <definedName name="BPavmnt" localSheetId="8">#REF!</definedName>
    <definedName name="BPavmnt">#REF!</definedName>
    <definedName name="brick" localSheetId="8">#REF!</definedName>
    <definedName name="brick">#REF!</definedName>
    <definedName name="BT" localSheetId="8">#REF!</definedName>
    <definedName name="BT">#REF!</definedName>
    <definedName name="BTL" localSheetId="8">#REF!</definedName>
    <definedName name="BTL">#REF!</definedName>
    <definedName name="bv" localSheetId="8">#REF!</definedName>
    <definedName name="bv">#REF!</definedName>
    <definedName name="Bw" localSheetId="8">#REF!</definedName>
    <definedName name="Bw">#REF!</definedName>
    <definedName name="BWP" localSheetId="8">#REF!</definedName>
    <definedName name="BWP">#REF!</definedName>
    <definedName name="C.G2" localSheetId="8">#REF!</definedName>
    <definedName name="C.G2">#REF!</definedName>
    <definedName name="Calculation" localSheetId="8">#REF!</definedName>
    <definedName name="Calculation">#REF!</definedName>
    <definedName name="cb4r1400" localSheetId="8">#REF!</definedName>
    <definedName name="cb4r1400">#REF!</definedName>
    <definedName name="cb4r1800" localSheetId="8">#REF!</definedName>
    <definedName name="cb4r1800">#REF!</definedName>
    <definedName name="cb9r1400" localSheetId="8">#REF!</definedName>
    <definedName name="cb9r1400">#REF!</definedName>
    <definedName name="cbcbvcdgedtgdhvh" localSheetId="8">#REF!</definedName>
    <definedName name="cbcbvcdgedtgdhvh">#REF!</definedName>
    <definedName name="CC" localSheetId="8">#REF!</definedName>
    <definedName name="CC">#REF!</definedName>
    <definedName name="ccc" localSheetId="8" hidden="1">#REF!</definedName>
    <definedName name="ccc" hidden="1">#REF!</definedName>
    <definedName name="Celerity" localSheetId="8">#REF!</definedName>
    <definedName name="Celerity">#REF!</definedName>
    <definedName name="Cementitious_repair_material" localSheetId="8">#REF!</definedName>
    <definedName name="Cementitious_repair_material">#REF!</definedName>
    <definedName name="CESCL" localSheetId="8">#REF!</definedName>
    <definedName name="CESCL">#REF!</definedName>
    <definedName name="chamber">#N/A</definedName>
    <definedName name="chaudhry" localSheetId="8" hidden="1">#REF!</definedName>
    <definedName name="chaudhry" hidden="1">#REF!</definedName>
    <definedName name="CHOOT" localSheetId="8" hidden="1">#REF!</definedName>
    <definedName name="CHOOT" hidden="1">#REF!</definedName>
    <definedName name="CHOOTHA" localSheetId="8" hidden="1">#REF!</definedName>
    <definedName name="CHOOTHA" hidden="1">#REF!</definedName>
    <definedName name="compar" localSheetId="8" hidden="1">#REF!</definedName>
    <definedName name="compar" hidden="1">#REF!</definedName>
    <definedName name="cong100" localSheetId="8">#REF!</definedName>
    <definedName name="cong100">#REF!</definedName>
    <definedName name="cong20" localSheetId="8">#REF!</definedName>
    <definedName name="cong20">#REF!</definedName>
    <definedName name="cong25" localSheetId="8">#REF!</definedName>
    <definedName name="cong25">#REF!</definedName>
    <definedName name="cong32" localSheetId="8">#REF!</definedName>
    <definedName name="cong32">#REF!</definedName>
    <definedName name="cong40" localSheetId="8">#REF!</definedName>
    <definedName name="cong40">#REF!</definedName>
    <definedName name="cong50" localSheetId="8">#REF!</definedName>
    <definedName name="cong50">#REF!</definedName>
    <definedName name="cong65" localSheetId="8">#REF!</definedName>
    <definedName name="cong65">#REF!</definedName>
    <definedName name="cong75" localSheetId="8">#REF!</definedName>
    <definedName name="cong75">#REF!</definedName>
    <definedName name="cong80" localSheetId="8">#REF!</definedName>
    <definedName name="cong80">#REF!</definedName>
    <definedName name="Cont_Co_table" localSheetId="8">#REF!</definedName>
    <definedName name="Cont_Co_table">#REF!</definedName>
    <definedName name="CONUTER" localSheetId="8">#REF!</definedName>
    <definedName name="CONUTER">#REF!</definedName>
    <definedName name="coolingtowerbaltimore" localSheetId="8">#REF!</definedName>
    <definedName name="coolingtowerbaltimore">#REF!</definedName>
    <definedName name="coolingtowerkuken" localSheetId="8">#REF!</definedName>
    <definedName name="coolingtowerkuken">#REF!</definedName>
    <definedName name="coolingtowernihon" localSheetId="8">#REF!</definedName>
    <definedName name="coolingtowernihon">#REF!</definedName>
    <definedName name="coolingtowerocean" localSheetId="8">#REF!</definedName>
    <definedName name="coolingtowerocean">#REF!</definedName>
    <definedName name="coolingtowershinwa" localSheetId="8">#REF!</definedName>
    <definedName name="coolingtowershinwa">#REF!</definedName>
    <definedName name="COST" localSheetId="8">#REF!</definedName>
    <definedName name="COST">#REF!</definedName>
    <definedName name="COUNTER" localSheetId="8">#REF!</definedName>
    <definedName name="COUNTER">#REF!</definedName>
    <definedName name="cover" localSheetId="8">#REF!</definedName>
    <definedName name="cover">#REF!</definedName>
    <definedName name="Cover_for_Forcemain" localSheetId="8">#REF!</definedName>
    <definedName name="Cover_for_Forcemain">#REF!</definedName>
    <definedName name="CPRFAC" localSheetId="8">#REF!</definedName>
    <definedName name="CPRFAC">#REF!</definedName>
    <definedName name="CPRHND" localSheetId="8">#REF!</definedName>
    <definedName name="CPRHND">#REF!</definedName>
    <definedName name="CR" localSheetId="8">#REF!</definedName>
    <definedName name="CR">#REF!</definedName>
    <definedName name="Crumps_table" localSheetId="8">#REF!</definedName>
    <definedName name="Crumps_table">#REF!</definedName>
    <definedName name="CVHSP" localSheetId="8">#REF!</definedName>
    <definedName name="CVHSP">#REF!</definedName>
    <definedName name="CVSP" localSheetId="8">#REF!</definedName>
    <definedName name="CVSP">#REF!</definedName>
    <definedName name="CXDSBG" localSheetId="8">#REF!</definedName>
    <definedName name="CXDSBG">#REF!</definedName>
    <definedName name="Cycle_Time" localSheetId="8">#REF!</definedName>
    <definedName name="Cycle_Time">#REF!</definedName>
    <definedName name="d" localSheetId="8">#REF!</definedName>
    <definedName name="d">#REF!</definedName>
    <definedName name="d_1" localSheetId="8">#REF!</definedName>
    <definedName name="d_1">#REF!</definedName>
    <definedName name="d_2" localSheetId="8">#REF!</definedName>
    <definedName name="d_2">#REF!</definedName>
    <definedName name="D1_" localSheetId="8">#REF!</definedName>
    <definedName name="D1_">#REF!</definedName>
    <definedName name="d1_dc" localSheetId="8">#REF!</definedName>
    <definedName name="d1_dc">#REF!</definedName>
    <definedName name="D2_" localSheetId="8">#REF!</definedName>
    <definedName name="D2_">#REF!</definedName>
    <definedName name="d2_dc" localSheetId="8">#REF!</definedName>
    <definedName name="d2_dc">#REF!</definedName>
    <definedName name="DAF" localSheetId="8">#REF!</definedName>
    <definedName name="DAF">#REF!</definedName>
    <definedName name="data" localSheetId="8">#REF!</definedName>
    <definedName name="data">#REF!</definedName>
    <definedName name="data1" localSheetId="8">#REF!</definedName>
    <definedName name="data1">#REF!</definedName>
    <definedName name="_xlnm.Database" localSheetId="8">#REF!</definedName>
    <definedName name="_xlnm.Database">#REF!</definedName>
    <definedName name="dc" localSheetId="8">#REF!</definedName>
    <definedName name="dc">#REF!</definedName>
    <definedName name="dd" localSheetId="8">#REF!</definedName>
    <definedName name="dd">#REF!</definedName>
    <definedName name="ddd" localSheetId="8">#REF!</definedName>
    <definedName name="ddd">#REF!</definedName>
    <definedName name="DDDD" localSheetId="8">#REF!</definedName>
    <definedName name="DDDD">#REF!</definedName>
    <definedName name="ddddddd" localSheetId="8">#REF!</definedName>
    <definedName name="ddddddd">#REF!</definedName>
    <definedName name="ddsfds" localSheetId="8">#REF!</definedName>
    <definedName name="ddsfds">#REF!</definedName>
    <definedName name="Dead_Storage_Height" localSheetId="8">#REF!</definedName>
    <definedName name="Dead_Storage_Height">#REF!</definedName>
    <definedName name="Density_of_Water" localSheetId="8">#REF!</definedName>
    <definedName name="Density_of_Water">#REF!</definedName>
    <definedName name="DES_Pr" localSheetId="8">#REF!</definedName>
    <definedName name="DES_Pr">#REF!</definedName>
    <definedName name="Design" localSheetId="8">#REF!</definedName>
    <definedName name="Design">#REF!</definedName>
    <definedName name="Design_of_pumping_Machinery" localSheetId="8">#REF!</definedName>
    <definedName name="Design_of_pumping_Machinery">#REF!</definedName>
    <definedName name="DF" localSheetId="8">#REF!</definedName>
    <definedName name="DF">#REF!</definedName>
    <definedName name="dfafa" localSheetId="8">#REF!</definedName>
    <definedName name="dfafa">#REF!</definedName>
    <definedName name="dfgfd" localSheetId="8">#REF!</definedName>
    <definedName name="dfgfd">#REF!</definedName>
    <definedName name="dfsdfdsfasdfdfsdfs" localSheetId="8">#REF!</definedName>
    <definedName name="dfsdfdsfasdfdfsdfs">#REF!</definedName>
    <definedName name="dghghdyh" localSheetId="8">#REF!</definedName>
    <definedName name="dghghdyh">#REF!</definedName>
    <definedName name="dhrduhrtdju" localSheetId="8">#REF!</definedName>
    <definedName name="dhrduhrtdju">#REF!</definedName>
    <definedName name="Dia">"aa"</definedName>
    <definedName name="Dia_of_Incoming_Pipe" localSheetId="8">#REF!</definedName>
    <definedName name="Dia_of_Incoming_Pipe">#REF!</definedName>
    <definedName name="Diameter_Forcemain" localSheetId="8">#REF!</definedName>
    <definedName name="Diameter_Forcemain">#REF!</definedName>
    <definedName name="directfiredchillerbumyang" localSheetId="8">#REF!</definedName>
    <definedName name="directfiredchillerbumyang">#REF!</definedName>
    <definedName name="directfiredchillercarrier" localSheetId="8">#REF!</definedName>
    <definedName name="directfiredchillercarrier">#REF!</definedName>
    <definedName name="directfiredchillermitsubishi" localSheetId="8">#REF!</definedName>
    <definedName name="directfiredchillermitsubishi">#REF!</definedName>
    <definedName name="directfiredchillersanyo" localSheetId="8">#REF!</definedName>
    <definedName name="directfiredchillersanyo">#REF!</definedName>
    <definedName name="directfiredchillertrane" localSheetId="8">#REF!</definedName>
    <definedName name="directfiredchillertrane">#REF!</definedName>
    <definedName name="DIS" hidden="1">{"'G.Ab'!$B$22:$E$22"}</definedName>
    <definedName name="Discharge" localSheetId="8">#REF!</definedName>
    <definedName name="Discharge">#REF!</definedName>
    <definedName name="DNIT2" hidden="1">{"'G.Ab'!$B$22:$E$22"}</definedName>
    <definedName name="DPRFAC" localSheetId="8">#REF!</definedName>
    <definedName name="DPRFAC">#REF!</definedName>
    <definedName name="DPRHND" localSheetId="8">#REF!</definedName>
    <definedName name="DPRHND">#REF!</definedName>
    <definedName name="DRain" localSheetId="8">#REF!</definedName>
    <definedName name="DRain">#REF!</definedName>
    <definedName name="DRainName" localSheetId="8">#REF!</definedName>
    <definedName name="DRainName">#REF!</definedName>
    <definedName name="DRG" localSheetId="8">#REF!</definedName>
    <definedName name="DRG">#REF!</definedName>
    <definedName name="DROP" localSheetId="8">#REF!</definedName>
    <definedName name="DROP">#REF!</definedName>
    <definedName name="Drown_ratio" localSheetId="8">#REF!</definedName>
    <definedName name="Drown_ratio">#REF!</definedName>
    <definedName name="dsadas" localSheetId="8">#REF!</definedName>
    <definedName name="dsadas">#REF!</definedName>
    <definedName name="DSBL" localSheetId="8">#REF!</definedName>
    <definedName name="DSBL">#REF!</definedName>
    <definedName name="dsd" localSheetId="8">#REF!</definedName>
    <definedName name="dsd">#REF!</definedName>
    <definedName name="DSEL" localSheetId="8">#REF!</definedName>
    <definedName name="DSEL">#REF!</definedName>
    <definedName name="dsgdrshgehyedhy" localSheetId="8">#REF!</definedName>
    <definedName name="dsgdrshgehyedhy">#REF!</definedName>
    <definedName name="DSWC" localSheetId="8">#REF!</definedName>
    <definedName name="DSWC">#REF!</definedName>
    <definedName name="DSWD" localSheetId="8">#REF!</definedName>
    <definedName name="DSWD">#REF!</definedName>
    <definedName name="DSWL" localSheetId="8">#REF!</definedName>
    <definedName name="DSWL">#REF!</definedName>
    <definedName name="DT" localSheetId="8">#REF!</definedName>
    <definedName name="DT">#REF!</definedName>
    <definedName name="ducttest" localSheetId="8">#REF!</definedName>
    <definedName name="ducttest">#REF!</definedName>
    <definedName name="DVHSP" localSheetId="8">#REF!</definedName>
    <definedName name="DVHSP">#REF!</definedName>
    <definedName name="DVSP" localSheetId="8">#REF!</definedName>
    <definedName name="DVSP">#REF!</definedName>
    <definedName name="DX">#N/A</definedName>
    <definedName name="E" localSheetId="8">#REF!</definedName>
    <definedName name="E">#REF!</definedName>
    <definedName name="Echo" localSheetId="8">#REF!</definedName>
    <definedName name="Echo">#REF!</definedName>
    <definedName name="eee" localSheetId="8">#REF!</definedName>
    <definedName name="eee">#REF!</definedName>
    <definedName name="eeed" localSheetId="8">#REF!</definedName>
    <definedName name="eeed">#REF!</definedName>
    <definedName name="EFa" localSheetId="8">#REF!</definedName>
    <definedName name="EFa">#REF!</definedName>
    <definedName name="ELEVEN" localSheetId="8">#REF!</definedName>
    <definedName name="ELEVEN">#REF!</definedName>
    <definedName name="Embankment" localSheetId="8">#REF!</definedName>
    <definedName name="Embankment">#REF!</definedName>
    <definedName name="ertret" localSheetId="8">#REF!</definedName>
    <definedName name="ertret">#REF!</definedName>
    <definedName name="ESCL" localSheetId="8">#REF!</definedName>
    <definedName name="ESCL">#REF!</definedName>
    <definedName name="ESCLMAT" localSheetId="8">#REF!</definedName>
    <definedName name="ESCLMAT">#REF!</definedName>
    <definedName name="ESCLSCR" localSheetId="8">#REF!</definedName>
    <definedName name="ESCLSCR">#REF!</definedName>
    <definedName name="ESCLSER" localSheetId="8">#REF!</definedName>
    <definedName name="ESCLSER">#REF!</definedName>
    <definedName name="Estimate_For_Special_Repair_of_Banglo_No._C_5_In_Canal_Colony_Thingi." localSheetId="8">#REF!</definedName>
    <definedName name="Estimate_For_Special_Repair_of_Banglo_No._C_5_In_Canal_Colony_Thingi.">#REF!</definedName>
    <definedName name="etyrt" localSheetId="8">#REF!</definedName>
    <definedName name="etyrt">#REF!</definedName>
    <definedName name="Excel_BuiltIn_Print_Titles_11" localSheetId="8">#REF!</definedName>
    <definedName name="Excel_BuiltIn_Print_Titles_11">#REF!</definedName>
    <definedName name="Excel_BuiltIn_Print_Titles_11_1" localSheetId="8">#REF!</definedName>
    <definedName name="Excel_BuiltIn_Print_Titles_11_1">#REF!</definedName>
    <definedName name="Excel_BuiltIn_Print_Titles_11_15" localSheetId="8">#REF!</definedName>
    <definedName name="Excel_BuiltIn_Print_Titles_11_15">#REF!</definedName>
    <definedName name="Excel_BuiltIn_Print_Titles_11_8" localSheetId="8">#REF!</definedName>
    <definedName name="Excel_BuiltIn_Print_Titles_11_8">#REF!</definedName>
    <definedName name="Excel_BuiltIn_Print_Titles_12" localSheetId="8">#REF!</definedName>
    <definedName name="Excel_BuiltIn_Print_Titles_12">#REF!</definedName>
    <definedName name="Excel_BuiltIn_Print_Titles_12_1" localSheetId="8">#REF!</definedName>
    <definedName name="Excel_BuiltIn_Print_Titles_12_1">#REF!</definedName>
    <definedName name="Excel_BuiltIn_Print_Titles_12_15" localSheetId="8">#REF!</definedName>
    <definedName name="Excel_BuiltIn_Print_Titles_12_15">#REF!</definedName>
    <definedName name="Excel_BuiltIn_Print_Titles_12_8" localSheetId="8">#REF!</definedName>
    <definedName name="Excel_BuiltIn_Print_Titles_12_8">#REF!</definedName>
    <definedName name="Excel_BuiltIn_Print_Titles_15" localSheetId="8">#REF!</definedName>
    <definedName name="Excel_BuiltIn_Print_Titles_15">#REF!</definedName>
    <definedName name="Excel_BuiltIn_Print_Titles_28" localSheetId="8">#REF!</definedName>
    <definedName name="Excel_BuiltIn_Print_Titles_28">#REF!</definedName>
    <definedName name="Excel_BuiltIn_Print_Titles_6" localSheetId="8">#REF!</definedName>
    <definedName name="Excel_BuiltIn_Print_Titles_6">#REF!</definedName>
    <definedName name="Excel_BuiltIn_Print_Titles_6_15" localSheetId="8">#REF!</definedName>
    <definedName name="Excel_BuiltIn_Print_Titles_6_15">#REF!</definedName>
    <definedName name="Excel_BuiltIn_Print_Titles_6_8" localSheetId="8">#REF!</definedName>
    <definedName name="Excel_BuiltIn_Print_Titles_6_8">#REF!</definedName>
    <definedName name="F" localSheetId="8">#REF!</definedName>
    <definedName name="F">#REF!</definedName>
    <definedName name="F_" localSheetId="8">#REF!</definedName>
    <definedName name="F_">#REF!</definedName>
    <definedName name="F1_" localSheetId="8">#REF!</definedName>
    <definedName name="F1_">#REF!</definedName>
    <definedName name="fa" localSheetId="8">#REF!</definedName>
    <definedName name="fa">#REF!</definedName>
    <definedName name="fasd" localSheetId="8" hidden="1">#REF!</definedName>
    <definedName name="fasd" hidden="1">#REF!</definedName>
    <definedName name="fb4bn1200" localSheetId="8">#REF!</definedName>
    <definedName name="fb4bn1200">#REF!</definedName>
    <definedName name="fb4bn1600" localSheetId="8">#REF!</definedName>
    <definedName name="fb4bn1600">#REF!</definedName>
    <definedName name="fb4bn200" localSheetId="8">#REF!</definedName>
    <definedName name="fb4bn200">#REF!</definedName>
    <definedName name="fb4bn300" localSheetId="8">#REF!</definedName>
    <definedName name="fb4bn300">#REF!</definedName>
    <definedName name="fb4bn800" localSheetId="8">#REF!</definedName>
    <definedName name="fb4bn800">#REF!</definedName>
    <definedName name="fb4bn900" localSheetId="8">#REF!</definedName>
    <definedName name="fb4bn900">#REF!</definedName>
    <definedName name="fb4lf1200" localSheetId="8">#REF!</definedName>
    <definedName name="fb4lf1200">#REF!</definedName>
    <definedName name="fb4lf1600" localSheetId="8">#REF!</definedName>
    <definedName name="fb4lf1600">#REF!</definedName>
    <definedName name="fb4lf200" localSheetId="8">#REF!</definedName>
    <definedName name="fb4lf200">#REF!</definedName>
    <definedName name="fb4lf300" localSheetId="8">#REF!</definedName>
    <definedName name="fb4lf300">#REF!</definedName>
    <definedName name="fb4lf800" localSheetId="8">#REF!</definedName>
    <definedName name="fb4lf800">#REF!</definedName>
    <definedName name="fb4lf900" localSheetId="8">#REF!</definedName>
    <definedName name="fb4lf900">#REF!</definedName>
    <definedName name="fb9bn1200" localSheetId="8">#REF!</definedName>
    <definedName name="fb9bn1200">#REF!</definedName>
    <definedName name="fb9bn1800" localSheetId="8">#REF!</definedName>
    <definedName name="fb9bn1800">#REF!</definedName>
    <definedName name="fb9bn200" localSheetId="8">#REF!</definedName>
    <definedName name="fb9bn200">#REF!</definedName>
    <definedName name="fb9bn400" localSheetId="8">#REF!</definedName>
    <definedName name="fb9bn400">#REF!</definedName>
    <definedName name="fb9bn800" localSheetId="8">#REF!</definedName>
    <definedName name="fb9bn800">#REF!</definedName>
    <definedName name="fb9lf1200" localSheetId="8">#REF!</definedName>
    <definedName name="fb9lf1200">#REF!</definedName>
    <definedName name="fb9lf1800" localSheetId="8">#REF!</definedName>
    <definedName name="fb9lf1800">#REF!</definedName>
    <definedName name="fb9lf200" localSheetId="8">#REF!</definedName>
    <definedName name="fb9lf200">#REF!</definedName>
    <definedName name="fb9lf400" localSheetId="8">#REF!</definedName>
    <definedName name="fb9lf400">#REF!</definedName>
    <definedName name="fb9lf800" localSheetId="8">#REF!</definedName>
    <definedName name="fb9lf800">#REF!</definedName>
    <definedName name="Fc" localSheetId="8">#REF!</definedName>
    <definedName name="Fc">#REF!</definedName>
    <definedName name="FDD" localSheetId="8">#REF!</definedName>
    <definedName name="FDD">#REF!</definedName>
    <definedName name="fddphed" localSheetId="8">#REF!</definedName>
    <definedName name="fddphed">#REF!</definedName>
    <definedName name="fdsf" localSheetId="8">#REF!</definedName>
    <definedName name="fdsf">#REF!</definedName>
    <definedName name="fdsfsd" localSheetId="8">#REF!</definedName>
    <definedName name="fdsfsd">#REF!</definedName>
    <definedName name="fe9bn400" localSheetId="8">#REF!</definedName>
    <definedName name="fe9bn400">#REF!</definedName>
    <definedName name="fe9lf1200" localSheetId="8">#REF!</definedName>
    <definedName name="fe9lf1200">#REF!</definedName>
    <definedName name="fe9lf800" localSheetId="8">#REF!</definedName>
    <definedName name="fe9lf800">#REF!</definedName>
    <definedName name="FF" localSheetId="8">#REF!</definedName>
    <definedName name="FF">#REF!</definedName>
    <definedName name="fff" localSheetId="8">#REF!</definedName>
    <definedName name="fff">#REF!</definedName>
    <definedName name="FFG" localSheetId="8">#REF!</definedName>
    <definedName name="FFG">#REF!</definedName>
    <definedName name="fgg" localSheetId="8">#REF!</definedName>
    <definedName name="fgg">#REF!</definedName>
    <definedName name="fgyrtrtgfy" localSheetId="8">#REF!</definedName>
    <definedName name="fgyrtrtgfy">#REF!</definedName>
    <definedName name="fhdjivhdfjkvdfvjk" localSheetId="8">#REF!</definedName>
    <definedName name="fhdjivhdfjkvdfvjk">#REF!</definedName>
    <definedName name="fhdsfhdahf" localSheetId="8">#REF!</definedName>
    <definedName name="fhdsfhdahf">#REF!</definedName>
    <definedName name="FIFTYONE" localSheetId="8">#REF!</definedName>
    <definedName name="FIFTYONE">#REF!</definedName>
    <definedName name="fitups" localSheetId="8">#REF!</definedName>
    <definedName name="fitups">#REF!</definedName>
    <definedName name="FOURTEEN" localSheetId="8">#REF!</definedName>
    <definedName name="FOURTEEN">#REF!</definedName>
    <definedName name="FOURTYONE" localSheetId="8">#REF!</definedName>
    <definedName name="FOURTYONE">#REF!</definedName>
    <definedName name="FOURTYTWO" localSheetId="8">#REF!</definedName>
    <definedName name="FOURTYTWO">#REF!</definedName>
    <definedName name="fpbn1000" localSheetId="8">#REF!</definedName>
    <definedName name="fpbn1000">#REF!</definedName>
    <definedName name="fpbn1200" localSheetId="8">#REF!</definedName>
    <definedName name="fpbn1200">#REF!</definedName>
    <definedName name="fpbn1400" localSheetId="8">#REF!</definedName>
    <definedName name="fpbn1400">#REF!</definedName>
    <definedName name="fpbn1600" localSheetId="8">#REF!</definedName>
    <definedName name="fpbn1600">#REF!</definedName>
    <definedName name="fpbn1800" localSheetId="8">#REF!</definedName>
    <definedName name="fpbn1800">#REF!</definedName>
    <definedName name="fpbn200" localSheetId="8">#REF!</definedName>
    <definedName name="fpbn200">#REF!</definedName>
    <definedName name="fpbn300" localSheetId="8">#REF!</definedName>
    <definedName name="fpbn300">#REF!</definedName>
    <definedName name="fpbn400" localSheetId="8">#REF!</definedName>
    <definedName name="fpbn400">#REF!</definedName>
    <definedName name="fpbn800" localSheetId="8">#REF!</definedName>
    <definedName name="fpbn800">#REF!</definedName>
    <definedName name="fpbn900" localSheetId="8">#REF!</definedName>
    <definedName name="fpbn900">#REF!</definedName>
    <definedName name="fplf1000" localSheetId="8">#REF!</definedName>
    <definedName name="fplf1000">#REF!</definedName>
    <definedName name="fplf1200" localSheetId="8">#REF!</definedName>
    <definedName name="fplf1200">#REF!</definedName>
    <definedName name="fplf1400" localSheetId="8">#REF!</definedName>
    <definedName name="fplf1400">#REF!</definedName>
    <definedName name="fplf1600" localSheetId="8">#REF!</definedName>
    <definedName name="fplf1600">#REF!</definedName>
    <definedName name="fplf1800" localSheetId="8">#REF!</definedName>
    <definedName name="fplf1800">#REF!</definedName>
    <definedName name="fplf200" localSheetId="8">#REF!</definedName>
    <definedName name="fplf200">#REF!</definedName>
    <definedName name="fplf300" localSheetId="8">#REF!</definedName>
    <definedName name="fplf300">#REF!</definedName>
    <definedName name="fplf400" localSheetId="8">#REF!</definedName>
    <definedName name="fplf400">#REF!</definedName>
    <definedName name="fplf800" localSheetId="8">#REF!</definedName>
    <definedName name="fplf800">#REF!</definedName>
    <definedName name="fplf900" localSheetId="8">#REF!</definedName>
    <definedName name="fplf900">#REF!</definedName>
    <definedName name="Fr" localSheetId="8">#REF!</definedName>
    <definedName name="Fr">#REF!</definedName>
    <definedName name="FRA" localSheetId="8">#REF!</definedName>
    <definedName name="FRA">#REF!</definedName>
    <definedName name="Friction_Factor" localSheetId="8">#REF!</definedName>
    <definedName name="Friction_Factor">#REF!</definedName>
    <definedName name="Friction_Factor_Headloss" localSheetId="8">#REF!</definedName>
    <definedName name="Friction_Factor_Headloss">#REF!</definedName>
    <definedName name="Friction_Losses_in_Suction_Pipe" localSheetId="8">#REF!</definedName>
    <definedName name="Friction_Losses_in_Suction_Pipe">#REF!</definedName>
    <definedName name="FSL" localSheetId="8">#REF!</definedName>
    <definedName name="FSL">#REF!</definedName>
    <definedName name="ftbn23" localSheetId="8">#REF!</definedName>
    <definedName name="ftbn23">#REF!</definedName>
    <definedName name="ftee" localSheetId="8">#REF!</definedName>
    <definedName name="ftee">#REF!</definedName>
    <definedName name="FTFYF" localSheetId="8">#REF!</definedName>
    <definedName name="FTFYF">#REF!</definedName>
    <definedName name="ftlf23" localSheetId="8">#REF!</definedName>
    <definedName name="ftlf23">#REF!</definedName>
    <definedName name="FTS" localSheetId="8">#REF!</definedName>
    <definedName name="FTS">#REF!</definedName>
    <definedName name="fuktuduukhyfkuy" localSheetId="8">#REF!</definedName>
    <definedName name="fuktuduukhyfkuy">#REF!</definedName>
    <definedName name="fvadadfadfzd" localSheetId="8">#REF!</definedName>
    <definedName name="fvadadfadfzd">#REF!</definedName>
    <definedName name="FX">#N/A</definedName>
    <definedName name="fxgfggd" localSheetId="8">#REF!</definedName>
    <definedName name="fxgfggd">#REF!</definedName>
    <definedName name="G" localSheetId="8">#REF!</definedName>
    <definedName name="G">#REF!</definedName>
    <definedName name="g186." localSheetId="8">#REF!</definedName>
    <definedName name="g186.">#REF!</definedName>
    <definedName name="galv20" localSheetId="8">#REF!</definedName>
    <definedName name="galv20">#REF!</definedName>
    <definedName name="galv40" localSheetId="8">#REF!</definedName>
    <definedName name="galv40">#REF!</definedName>
    <definedName name="galv80" localSheetId="8">#REF!</definedName>
    <definedName name="galv80">#REF!</definedName>
    <definedName name="GESCL" localSheetId="8">#REF!</definedName>
    <definedName name="GESCL">#REF!</definedName>
    <definedName name="GF" localSheetId="8">#REF!</definedName>
    <definedName name="GF">#REF!</definedName>
    <definedName name="gfdyurturtfiuytiytioed" localSheetId="8">#REF!</definedName>
    <definedName name="gfdyurturtfiuytiytioed">#REF!</definedName>
    <definedName name="gfjtgfrjgj" localSheetId="8">#REF!</definedName>
    <definedName name="gfjtgfrjgj">#REF!</definedName>
    <definedName name="ggg" localSheetId="8">#REF!</definedName>
    <definedName name="ggg">#REF!</definedName>
    <definedName name="Ghakhat" localSheetId="8">#REF!</definedName>
    <definedName name="Ghakhat">#REF!</definedName>
    <definedName name="GIBSON_DR" localSheetId="8">#REF!</definedName>
    <definedName name="GIBSON_DR">#REF!</definedName>
    <definedName name="gjhjffgfh" localSheetId="8">#REF!</definedName>
    <definedName name="gjhjffgfh">#REF!</definedName>
    <definedName name="gjhjhmb" localSheetId="8">#REF!</definedName>
    <definedName name="gjhjhmb">#REF!</definedName>
    <definedName name="gpcd" localSheetId="8">#REF!</definedName>
    <definedName name="gpcd">#REF!</definedName>
    <definedName name="GPRFAC" localSheetId="8">#REF!</definedName>
    <definedName name="GPRFAC">#REF!</definedName>
    <definedName name="GPRHND" localSheetId="8">#REF!</definedName>
    <definedName name="GPRHND">#REF!</definedName>
    <definedName name="Grill" localSheetId="8">#REF!</definedName>
    <definedName name="Grill">#REF!</definedName>
    <definedName name="Ground_Level_at_PumpStation" localSheetId="8">#REF!</definedName>
    <definedName name="Ground_Level_at_PumpStation">#REF!</definedName>
    <definedName name="gs" localSheetId="8">#REF!</definedName>
    <definedName name="gs">#REF!</definedName>
    <definedName name="gulzar" localSheetId="8">#REF!</definedName>
    <definedName name="gulzar">#REF!</definedName>
    <definedName name="GVHSP" localSheetId="8">#REF!</definedName>
    <definedName name="GVHSP">#REF!</definedName>
    <definedName name="GVSP" localSheetId="8">#REF!</definedName>
    <definedName name="GVSP">#REF!</definedName>
    <definedName name="h" localSheetId="8">#REF!</definedName>
    <definedName name="h">#REF!</definedName>
    <definedName name="HazenWillaim_Coefficient_Old" localSheetId="8">#REF!</definedName>
    <definedName name="HazenWillaim_Coefficient_Old">#REF!</definedName>
    <definedName name="HazenWilliam_Coefficeint_New" localSheetId="8">#REF!</definedName>
    <definedName name="HazenWilliam_Coefficeint_New">#REF!</definedName>
    <definedName name="Head_at_Pump_Entry" localSheetId="8">#REF!</definedName>
    <definedName name="Head_at_Pump_Entry">#REF!</definedName>
    <definedName name="Head_h" localSheetId="8">#REF!</definedName>
    <definedName name="Head_h">#REF!</definedName>
    <definedName name="Head_Pump_Entry" localSheetId="8">#REF!</definedName>
    <definedName name="Head_Pump_Entry">#REF!</definedName>
    <definedName name="headlosses" localSheetId="8">#REF!</definedName>
    <definedName name="headlosses">#REF!</definedName>
    <definedName name="hfgjfjgf" localSheetId="8">#REF!</definedName>
    <definedName name="hfgjfjgf">#REF!</definedName>
    <definedName name="hh" localSheetId="8">#REF!</definedName>
    <definedName name="hh">#REF!</definedName>
    <definedName name="hhh">#N/A</definedName>
    <definedName name="hhjklhjkhjkhhhl" localSheetId="8">#REF!</definedName>
    <definedName name="hhjklhjkhjkhhhl">#REF!</definedName>
    <definedName name="hhkhkjhkhk" localSheetId="8">#REF!</definedName>
    <definedName name="hhkhkjhkhk">#REF!</definedName>
    <definedName name="Highest_LiquidLevel_in_Suction_Vessel" localSheetId="8">#REF!</definedName>
    <definedName name="Highest_LiquidLevel_in_Suction_Vessel">#REF!</definedName>
    <definedName name="hjg" localSheetId="8">#REF!</definedName>
    <definedName name="hjg">#REF!</definedName>
    <definedName name="HJGH" localSheetId="8">#REF!</definedName>
    <definedName name="HJGH">#REF!</definedName>
    <definedName name="hjhjkhk" localSheetId="8">#REF!</definedName>
    <definedName name="hjhjkhk">#REF!</definedName>
    <definedName name="hjythu" localSheetId="8">#REF!</definedName>
    <definedName name="hjythu">#REF!</definedName>
    <definedName name="HK" localSheetId="8">#REF!</definedName>
    <definedName name="HK">#REF!</definedName>
    <definedName name="hkjlkuykhvj" localSheetId="8">#REF!</definedName>
    <definedName name="hkjlkuykhvj">#REF!</definedName>
    <definedName name="Hl" localSheetId="8">#REF!</definedName>
    <definedName name="Hl">#REF!</definedName>
    <definedName name="Hl_by_dc" localSheetId="8">#REF!</definedName>
    <definedName name="Hl_by_dc">#REF!</definedName>
    <definedName name="household" localSheetId="8">#REF!</definedName>
    <definedName name="household">#REF!</definedName>
    <definedName name="hr" localSheetId="8">#REF!</definedName>
    <definedName name="hr">#REF!</definedName>
    <definedName name="HRS" localSheetId="8">#REF!</definedName>
    <definedName name="HRS">#REF!</definedName>
    <definedName name="HTML_CodePage" hidden="1">1252</definedName>
    <definedName name="HTML_Control" hidden="1">{"'G.Ab'!$B$22:$E$22"}</definedName>
    <definedName name="HTML_Description" hidden="1">""</definedName>
    <definedName name="HTML_Email" hidden="1">""</definedName>
    <definedName name="HTML_Header" hidden="1">"G.Ab"</definedName>
    <definedName name="HTML_LastUpdate" hidden="1">"1/27/06"</definedName>
    <definedName name="HTML_LineAfter" hidden="1">FALSE</definedName>
    <definedName name="HTML_LineBefore" hidden="1">FALSE</definedName>
    <definedName name="HTML_Name" hidden="1">"Mansoor"</definedName>
    <definedName name="HTML_OBDlg2" hidden="1">TRUE</definedName>
    <definedName name="HTML_OBDlg4" hidden="1">TRUE</definedName>
    <definedName name="HTML_OS" hidden="1">0</definedName>
    <definedName name="HTML_PathFile" hidden="1">"C:\My Documents\MyHTML.htm"</definedName>
    <definedName name="HTML_Title" hidden="1">"Basti Faiz Abad &amp; Adj"</definedName>
    <definedName name="hvactest" localSheetId="8">#REF!</definedName>
    <definedName name="hvactest">#REF!</definedName>
    <definedName name="hyd.149" localSheetId="8">#REF!</definedName>
    <definedName name="hyd.149">#REF!</definedName>
    <definedName name="Hydra" localSheetId="8">#REF!</definedName>
    <definedName name="Hydra">#REF!</definedName>
    <definedName name="hyt" localSheetId="8">#REF!</definedName>
    <definedName name="hyt">#REF!</definedName>
    <definedName name="i" localSheetId="8">#REF!</definedName>
    <definedName name="i">#REF!</definedName>
    <definedName name="iftikhar" localSheetId="8">#REF!</definedName>
    <definedName name="iftikhar">#REF!</definedName>
    <definedName name="IL_Highest_Point_in_Forcemain" localSheetId="8">#REF!</definedName>
    <definedName name="IL_Highest_Point_in_Forcemain">#REF!</definedName>
    <definedName name="IL_Incoming_Pipe" localSheetId="8">#REF!</definedName>
    <definedName name="IL_Incoming_Pipe">#REF!</definedName>
    <definedName name="IMESCL" localSheetId="8">#REF!</definedName>
    <definedName name="IMESCL">#REF!</definedName>
    <definedName name="IMPRFAC" localSheetId="8">#REF!</definedName>
    <definedName name="IMPRFAC">#REF!</definedName>
    <definedName name="IMPRHND" localSheetId="8">#REF!</definedName>
    <definedName name="IMPRHND">#REF!</definedName>
    <definedName name="IMVHSP" localSheetId="8">#REF!</definedName>
    <definedName name="IMVHSP">#REF!</definedName>
    <definedName name="IMVSP" localSheetId="8">#REF!</definedName>
    <definedName name="IMVSP">#REF!</definedName>
    <definedName name="INFO" localSheetId="8">#REF!</definedName>
    <definedName name="INFO">#REF!</definedName>
    <definedName name="IPF" localSheetId="8">#REF!</definedName>
    <definedName name="IPF">#REF!</definedName>
    <definedName name="items" localSheetId="8">#REF!</definedName>
    <definedName name="items">#REF!</definedName>
    <definedName name="iy" localSheetId="8">#REF!</definedName>
    <definedName name="iy">#REF!</definedName>
    <definedName name="j" localSheetId="8" hidden="1">#REF!</definedName>
    <definedName name="j" hidden="1">#REF!</definedName>
    <definedName name="jhuy" localSheetId="8">#REF!</definedName>
    <definedName name="jhuy">#REF!</definedName>
    <definedName name="jj" localSheetId="8" hidden="1">#REF!</definedName>
    <definedName name="jj" hidden="1">#REF!</definedName>
    <definedName name="JJA" localSheetId="8">#REF!</definedName>
    <definedName name="JJA">#REF!</definedName>
    <definedName name="JJJJJJ" localSheetId="8" hidden="1">#REF!</definedName>
    <definedName name="JJJJJJ" hidden="1">#REF!</definedName>
    <definedName name="jjkurs" localSheetId="8">#REF!</definedName>
    <definedName name="jjkurs">#REF!</definedName>
    <definedName name="jk" localSheetId="8" hidden="1">#REF!</definedName>
    <definedName name="jk" hidden="1">#REF!</definedName>
    <definedName name="JKJKJ" localSheetId="8">#REF!</definedName>
    <definedName name="JKJKJ">#REF!</definedName>
    <definedName name="jklmn" localSheetId="8" hidden="1">#REF!</definedName>
    <definedName name="jklmn" hidden="1">#REF!</definedName>
    <definedName name="joijijiji" localSheetId="8">#REF!</definedName>
    <definedName name="joijijiji">#REF!</definedName>
    <definedName name="k" localSheetId="8">#REF!</definedName>
    <definedName name="k">#REF!</definedName>
    <definedName name="K_F" localSheetId="8">#REF!</definedName>
    <definedName name="K_F">#REF!</definedName>
    <definedName name="k_F__dc" localSheetId="8">#REF!</definedName>
    <definedName name="k_F__dc">#REF!</definedName>
    <definedName name="K_H" localSheetId="8">#REF!</definedName>
    <definedName name="K_H">#REF!</definedName>
    <definedName name="kaleem" localSheetId="8">#REF!</definedName>
    <definedName name="kaleem">#REF!</definedName>
    <definedName name="khalid" localSheetId="8">#REF!</definedName>
    <definedName name="khalid">#REF!</definedName>
    <definedName name="KHAN" localSheetId="8">#REF!</definedName>
    <definedName name="KHAN">#REF!</definedName>
    <definedName name="khanspeed" localSheetId="8">#REF!</definedName>
    <definedName name="khanspeed">#REF!</definedName>
    <definedName name="khgkhgk" localSheetId="8">#REF!</definedName>
    <definedName name="khgkhgk">#REF!</definedName>
    <definedName name="khjgds" localSheetId="8" hidden="1">#REF!</definedName>
    <definedName name="khjgds" hidden="1">#REF!</definedName>
    <definedName name="Kinematic_Viscosity" localSheetId="8">#REF!</definedName>
    <definedName name="Kinematic_Viscosity">#REF!</definedName>
    <definedName name="kjjkjlj" localSheetId="8" hidden="1">#REF!</definedName>
    <definedName name="kjjkjlj" hidden="1">#REF!</definedName>
    <definedName name="kjkjjkj" localSheetId="8">#REF!</definedName>
    <definedName name="kjkjjkj">#REF!</definedName>
    <definedName name="kjkjkljlj" localSheetId="8">#REF!</definedName>
    <definedName name="kjkjkljlj">#REF!</definedName>
    <definedName name="kjuio" localSheetId="8">#REF!</definedName>
    <definedName name="kjuio">#REF!</definedName>
    <definedName name="KKK" localSheetId="8">#REF!</definedName>
    <definedName name="KKK">#REF!</definedName>
    <definedName name="klkj" localSheetId="8">#REF!</definedName>
    <definedName name="klkj">#REF!</definedName>
    <definedName name="L" localSheetId="8">#REF!</definedName>
    <definedName name="L">#REF!</definedName>
    <definedName name="L_1" localSheetId="8">#REF!</definedName>
    <definedName name="L_1">#REF!</definedName>
    <definedName name="L_10" localSheetId="8">#REF!</definedName>
    <definedName name="L_10">#REF!</definedName>
    <definedName name="L_11" localSheetId="8">#REF!</definedName>
    <definedName name="L_11">#REF!</definedName>
    <definedName name="L_12" localSheetId="8">#REF!</definedName>
    <definedName name="L_12">#REF!</definedName>
    <definedName name="L_13" localSheetId="8">#REF!</definedName>
    <definedName name="L_13">#REF!</definedName>
    <definedName name="L_14" localSheetId="8">#REF!</definedName>
    <definedName name="L_14">#REF!</definedName>
    <definedName name="L_15" localSheetId="8">#REF!</definedName>
    <definedName name="L_15">#REF!</definedName>
    <definedName name="L_16" localSheetId="8">#REF!</definedName>
    <definedName name="L_16">#REF!</definedName>
    <definedName name="L_2" localSheetId="8">#REF!</definedName>
    <definedName name="L_2">#REF!</definedName>
    <definedName name="L_3" localSheetId="8">#REF!</definedName>
    <definedName name="L_3">#REF!</definedName>
    <definedName name="L_4" localSheetId="8">#REF!</definedName>
    <definedName name="L_4">#REF!</definedName>
    <definedName name="L_5" localSheetId="8">#REF!</definedName>
    <definedName name="L_5">#REF!</definedName>
    <definedName name="L_6" localSheetId="8">#REF!</definedName>
    <definedName name="L_6">#REF!</definedName>
    <definedName name="L_7" localSheetId="8">#REF!</definedName>
    <definedName name="L_7">#REF!</definedName>
    <definedName name="L_8" localSheetId="8">#REF!</definedName>
    <definedName name="L_8">#REF!</definedName>
    <definedName name="L_9" localSheetId="8">#REF!</definedName>
    <definedName name="L_9">#REF!</definedName>
    <definedName name="L_jump" localSheetId="8">#REF!</definedName>
    <definedName name="L_jump">#REF!</definedName>
    <definedName name="Lengt" localSheetId="8">#REF!</definedName>
    <definedName name="Lengt">#REF!</definedName>
    <definedName name="Length">#N/A</definedName>
    <definedName name="Length_of_Forcemain" localSheetId="8">#REF!</definedName>
    <definedName name="Length_of_Forcemain">#REF!</definedName>
    <definedName name="Length_Pipe" localSheetId="8">#REF!</definedName>
    <definedName name="Length_Pipe">#REF!</definedName>
    <definedName name="Length_Pipe_Suction" localSheetId="8">#REF!</definedName>
    <definedName name="Length_Pipe_Suction">#REF!</definedName>
    <definedName name="limcount" hidden="1">1</definedName>
    <definedName name="LINEST" localSheetId="8">#REF!</definedName>
    <definedName name="LINEST">#REF!</definedName>
    <definedName name="lk" localSheetId="8">#REF!</definedName>
    <definedName name="lk">#REF!</definedName>
    <definedName name="lkj" localSheetId="8">#REF!</definedName>
    <definedName name="lkj">#REF!</definedName>
    <definedName name="lkju" localSheetId="8">#REF!</definedName>
    <definedName name="lkju">#REF!</definedName>
    <definedName name="ll" hidden="1">{"'G.Ab'!$B$22:$E$22"}</definedName>
    <definedName name="llllllllllll" localSheetId="8">#REF!</definedName>
    <definedName name="llllllllllll">#REF!</definedName>
    <definedName name="Lngthg" localSheetId="8">#REF!</definedName>
    <definedName name="Lngthg">#REF!</definedName>
    <definedName name="lora" localSheetId="8">#REF!</definedName>
    <definedName name="lora">#REF!</definedName>
    <definedName name="love" localSheetId="8">#REF!</definedName>
    <definedName name="love">#REF!</definedName>
    <definedName name="Lowest_Liquid_Level_in_Suction_Vessel" localSheetId="8">#REF!</definedName>
    <definedName name="Lowest_Liquid_Level_in_Suction_Vessel">#REF!</definedName>
    <definedName name="LP" localSheetId="8">#REF!</definedName>
    <definedName name="LP">#REF!</definedName>
    <definedName name="lpcd" localSheetId="8">#REF!</definedName>
    <definedName name="lpcd">#REF!</definedName>
    <definedName name="LPDC" localSheetId="8">#REF!</definedName>
    <definedName name="LPDC">#REF!</definedName>
    <definedName name="lpokopkmopmom" localSheetId="8">#REF!</definedName>
    <definedName name="lpokopkmopmom">#REF!</definedName>
    <definedName name="LS" localSheetId="8">#REF!</definedName>
    <definedName name="LS">#REF!</definedName>
    <definedName name="LSDS" localSheetId="8">#REF!</definedName>
    <definedName name="LSDS">#REF!</definedName>
    <definedName name="LUND" localSheetId="8" hidden="1">#REF!</definedName>
    <definedName name="LUND" hidden="1">#REF!</definedName>
    <definedName name="LX">#N/A</definedName>
    <definedName name="M" localSheetId="8">#REF!</definedName>
    <definedName name="M">#REF!</definedName>
    <definedName name="M_1" localSheetId="8">#REF!</definedName>
    <definedName name="M_1">#REF!</definedName>
    <definedName name="M_10" localSheetId="8">#REF!</definedName>
    <definedName name="M_10">#REF!</definedName>
    <definedName name="M_11" localSheetId="8">#REF!</definedName>
    <definedName name="M_11">#REF!</definedName>
    <definedName name="M_12" localSheetId="8">#REF!</definedName>
    <definedName name="M_12">#REF!</definedName>
    <definedName name="M_13" localSheetId="8">#REF!</definedName>
    <definedName name="M_13">#REF!</definedName>
    <definedName name="M_14" localSheetId="8">#REF!</definedName>
    <definedName name="M_14">#REF!</definedName>
    <definedName name="M_15" localSheetId="8">#REF!</definedName>
    <definedName name="M_15">#REF!</definedName>
    <definedName name="M_16" localSheetId="8">#REF!</definedName>
    <definedName name="M_16">#REF!</definedName>
    <definedName name="M_17" localSheetId="8">#REF!</definedName>
    <definedName name="M_17">#REF!</definedName>
    <definedName name="M_18" localSheetId="8">#REF!</definedName>
    <definedName name="M_18">#REF!</definedName>
    <definedName name="M_19" localSheetId="8">#REF!</definedName>
    <definedName name="M_19">#REF!</definedName>
    <definedName name="M_2" localSheetId="8">#REF!</definedName>
    <definedName name="M_2">#REF!</definedName>
    <definedName name="M_20" localSheetId="8">#REF!</definedName>
    <definedName name="M_20">#REF!</definedName>
    <definedName name="M_3" localSheetId="8">#REF!</definedName>
    <definedName name="M_3">#REF!</definedName>
    <definedName name="M_4" localSheetId="8">#REF!</definedName>
    <definedName name="M_4">#REF!</definedName>
    <definedName name="M_5" localSheetId="8">#REF!</definedName>
    <definedName name="M_5">#REF!</definedName>
    <definedName name="M_6" localSheetId="8">#REF!</definedName>
    <definedName name="M_6">#REF!</definedName>
    <definedName name="M_7" localSheetId="8">#REF!</definedName>
    <definedName name="M_7">#REF!</definedName>
    <definedName name="M_8" localSheetId="8">#REF!</definedName>
    <definedName name="M_8">#REF!</definedName>
    <definedName name="M_8a" localSheetId="8">#REF!</definedName>
    <definedName name="M_8a">#REF!</definedName>
    <definedName name="M_9" localSheetId="8">#REF!</definedName>
    <definedName name="M_9">#REF!</definedName>
    <definedName name="MACRO1" localSheetId="8">#REF!</definedName>
    <definedName name="MACRO1">#REF!</definedName>
    <definedName name="main1." localSheetId="8">#REF!</definedName>
    <definedName name="main1.">#REF!</definedName>
    <definedName name="main2." localSheetId="8">#REF!</definedName>
    <definedName name="main2.">#REF!</definedName>
    <definedName name="main3." localSheetId="8">#REF!</definedName>
    <definedName name="main3.">#REF!</definedName>
    <definedName name="main4." localSheetId="8">#REF!</definedName>
    <definedName name="main4.">#REF!</definedName>
    <definedName name="main5." localSheetId="8">#REF!</definedName>
    <definedName name="main5.">#REF!</definedName>
    <definedName name="main5287" localSheetId="8">#REF!</definedName>
    <definedName name="main5287">#REF!</definedName>
    <definedName name="main5288." localSheetId="8">#REF!</definedName>
    <definedName name="main5288.">#REF!</definedName>
    <definedName name="main5289." localSheetId="8">#REF!</definedName>
    <definedName name="main5289.">#REF!</definedName>
    <definedName name="main5290." localSheetId="8">#REF!</definedName>
    <definedName name="main5290.">#REF!</definedName>
    <definedName name="main5291." localSheetId="8">#REF!</definedName>
    <definedName name="main5291.">#REF!</definedName>
    <definedName name="main5292." localSheetId="8">#REF!</definedName>
    <definedName name="main5292.">#REF!</definedName>
    <definedName name="main5293." localSheetId="8">#REF!</definedName>
    <definedName name="main5293.">#REF!</definedName>
    <definedName name="main6." localSheetId="8">#REF!</definedName>
    <definedName name="main6.">#REF!</definedName>
    <definedName name="manhole" localSheetId="8">#REF!</definedName>
    <definedName name="manhole">#REF!</definedName>
    <definedName name="mat" localSheetId="8">#REF!</definedName>
    <definedName name="mat">#REF!</definedName>
    <definedName name="Maturatiom" localSheetId="8">#REF!</definedName>
    <definedName name="Maturatiom">#REF!</definedName>
    <definedName name="Max_Pressure" localSheetId="8">#REF!</definedName>
    <definedName name="Max_Pressure">#REF!</definedName>
    <definedName name="maz" localSheetId="8">#REF!</definedName>
    <definedName name="maz">#REF!</definedName>
    <definedName name="mechequiptest" localSheetId="8">#REF!</definedName>
    <definedName name="mechequiptest">#REF!</definedName>
    <definedName name="mechpipetest" localSheetId="8">#REF!</definedName>
    <definedName name="mechpipetest">#REF!</definedName>
    <definedName name="mghty" localSheetId="8">#REF!</definedName>
    <definedName name="mghty">#REF!</definedName>
    <definedName name="MH" localSheetId="8">#REF!</definedName>
    <definedName name="MH">#REF!</definedName>
    <definedName name="MHAND" localSheetId="8">#REF!</definedName>
    <definedName name="MHAND">#REF!</definedName>
    <definedName name="mhrq" localSheetId="8">#REF!</definedName>
    <definedName name="mhrq">#REF!</definedName>
    <definedName name="mla" localSheetId="8">#REF!</definedName>
    <definedName name="mla">#REF!</definedName>
    <definedName name="mm" hidden="1">{"'G.Ab'!$B$22:$E$22"}</definedName>
    <definedName name="mmmmm" localSheetId="8" hidden="1">#REF!</definedName>
    <definedName name="mmmmm" hidden="1">#REF!</definedName>
    <definedName name="mnt" localSheetId="8" hidden="1">#REF!</definedName>
    <definedName name="mnt" hidden="1">#REF!</definedName>
    <definedName name="Modulus_of_Elasticity_Pipe" localSheetId="8">#REF!</definedName>
    <definedName name="Modulus_of_Elasticity_Pipe">#REF!</definedName>
    <definedName name="Modulus_of_Elasticity_Water" localSheetId="8">#REF!</definedName>
    <definedName name="Modulus_of_Elasticity_Water">#REF!</definedName>
    <definedName name="mosaic" localSheetId="8" hidden="1">#REF!</definedName>
    <definedName name="mosaic" hidden="1">#REF!</definedName>
    <definedName name="MPRFAC" localSheetId="8">#REF!</definedName>
    <definedName name="MPRFAC">#REF!</definedName>
    <definedName name="MPRHND" localSheetId="8">#REF!</definedName>
    <definedName name="MPRHND">#REF!</definedName>
    <definedName name="ms" localSheetId="8">#REF!</definedName>
    <definedName name="ms">#REF!</definedName>
    <definedName name="mu" localSheetId="8" hidden="1">#REF!</definedName>
    <definedName name="mu" hidden="1">#REF!</definedName>
    <definedName name="Mudkey" localSheetId="8">#REF!</definedName>
    <definedName name="Mudkey">#REF!</definedName>
    <definedName name="MUHAMMAD" localSheetId="8">#REF!</definedName>
    <definedName name="MUHAMMAD">#REF!</definedName>
    <definedName name="MVHSP" localSheetId="8">#REF!</definedName>
    <definedName name="MVHSP">#REF!</definedName>
    <definedName name="MVSP" localSheetId="8">#REF!</definedName>
    <definedName name="MVSP">#REF!</definedName>
    <definedName name="n" localSheetId="8">#REF!</definedName>
    <definedName name="n">#REF!</definedName>
    <definedName name="Na" localSheetId="8">#REF!</definedName>
    <definedName name="Na">#REF!</definedName>
    <definedName name="NAK" localSheetId="8">#REF!</definedName>
    <definedName name="NAK">#REF!</definedName>
    <definedName name="new" localSheetId="8">#REF!</definedName>
    <definedName name="new">#REF!</definedName>
    <definedName name="NEW_GUJRAT" localSheetId="8">#REF!</definedName>
    <definedName name="NEW_GUJRAT">#REF!</definedName>
    <definedName name="NEW_GWALA" localSheetId="8">#REF!</definedName>
    <definedName name="NEW_GWALA">#REF!</definedName>
    <definedName name="NEW_JHELUM" localSheetId="8">#REF!</definedName>
    <definedName name="NEW_JHELUM">#REF!</definedName>
    <definedName name="NEW_LHR" localSheetId="8">#REF!</definedName>
    <definedName name="NEW_LHR">#REF!</definedName>
    <definedName name="New_Manthar" localSheetId="8">#REF!</definedName>
    <definedName name="New_Manthar">#REF!</definedName>
    <definedName name="New_Mnth" localSheetId="8">#REF!</definedName>
    <definedName name="New_Mnth">#REF!</definedName>
    <definedName name="NEW_MWALI" localSheetId="8">#REF!</definedName>
    <definedName name="NEW_MWALI">#REF!</definedName>
    <definedName name="NEW_OKARA" localSheetId="8">#REF!</definedName>
    <definedName name="NEW_OKARA">#REF!</definedName>
    <definedName name="NEW_RPINDI" localSheetId="8">#REF!</definedName>
    <definedName name="NEW_RPINDI">#REF!</definedName>
    <definedName name="NEW_SARGODHA" localSheetId="8">#REF!</definedName>
    <definedName name="NEW_SARGODHA">#REF!</definedName>
    <definedName name="NEW_SIALKOT" localSheetId="8">#REF!</definedName>
    <definedName name="NEW_SIALKOT">#REF!</definedName>
    <definedName name="NEW_SLOW" localSheetId="8">#REF!</definedName>
    <definedName name="NEW_SLOW">#REF!</definedName>
    <definedName name="ngf" localSheetId="8">#REF!</definedName>
    <definedName name="ngf">#REF!</definedName>
    <definedName name="nmfjhfj" localSheetId="8">#REF!</definedName>
    <definedName name="nmfjhfj">#REF!</definedName>
    <definedName name="nn" localSheetId="8">#REF!</definedName>
    <definedName name="nn">#REF!</definedName>
    <definedName name="nnn" localSheetId="8" hidden="1">#REF!</definedName>
    <definedName name="nnn" hidden="1">#REF!</definedName>
    <definedName name="NORTH_ABSTRACT" localSheetId="8">#REF!</definedName>
    <definedName name="NORTH_ABSTRACT">#REF!</definedName>
    <definedName name="NPSH_Available" localSheetId="8">#REF!</definedName>
    <definedName name="NPSH_Available">#REF!</definedName>
    <definedName name="NPSH_Safety_Margin" localSheetId="8">#REF!</definedName>
    <definedName name="NPSH_Safety_Margin">#REF!</definedName>
    <definedName name="NSL" localSheetId="8">#REF!</definedName>
    <definedName name="NSL">#REF!</definedName>
    <definedName name="o" localSheetId="8">#REF!</definedName>
    <definedName name="o">#REF!</definedName>
    <definedName name="O.H.R" localSheetId="8">#REF!</definedName>
    <definedName name="O.H.R">#REF!</definedName>
    <definedName name="o_10" localSheetId="8">#REF!</definedName>
    <definedName name="o_10">#REF!</definedName>
    <definedName name="o_11" localSheetId="8">#REF!</definedName>
    <definedName name="o_11">#REF!</definedName>
    <definedName name="o_12" localSheetId="8">#REF!</definedName>
    <definedName name="o_12">#REF!</definedName>
    <definedName name="o_13" localSheetId="8">#REF!</definedName>
    <definedName name="o_13">#REF!</definedName>
    <definedName name="o_14" localSheetId="8">#REF!</definedName>
    <definedName name="o_14">#REF!</definedName>
    <definedName name="o_15" localSheetId="8">#REF!</definedName>
    <definedName name="o_15">#REF!</definedName>
    <definedName name="o_16" localSheetId="8">#REF!</definedName>
    <definedName name="o_16">#REF!</definedName>
    <definedName name="o_17" localSheetId="8">#REF!</definedName>
    <definedName name="o_17">#REF!</definedName>
    <definedName name="o_18" localSheetId="8">#REF!</definedName>
    <definedName name="o_18">#REF!</definedName>
    <definedName name="o_19" localSheetId="8">#REF!</definedName>
    <definedName name="o_19">#REF!</definedName>
    <definedName name="o_20" localSheetId="8">#REF!</definedName>
    <definedName name="o_20">#REF!</definedName>
    <definedName name="o_21" localSheetId="8">#REF!</definedName>
    <definedName name="o_21">#REF!</definedName>
    <definedName name="o_22" localSheetId="8">#REF!</definedName>
    <definedName name="o_22">#REF!</definedName>
    <definedName name="o_23" localSheetId="8">#REF!</definedName>
    <definedName name="o_23">#REF!</definedName>
    <definedName name="o_24" localSheetId="8">#REF!</definedName>
    <definedName name="o_24">#REF!</definedName>
    <definedName name="o_25" localSheetId="8">#REF!</definedName>
    <definedName name="o_25">#REF!</definedName>
    <definedName name="o_26" localSheetId="8">#REF!</definedName>
    <definedName name="o_26">#REF!</definedName>
    <definedName name="o_27" localSheetId="8">#REF!</definedName>
    <definedName name="o_27">#REF!</definedName>
    <definedName name="o_28" localSheetId="8">#REF!</definedName>
    <definedName name="o_28">#REF!</definedName>
    <definedName name="o_29" localSheetId="8">#REF!</definedName>
    <definedName name="o_29">#REF!</definedName>
    <definedName name="o_30" localSheetId="8">#REF!</definedName>
    <definedName name="o_30">#REF!</definedName>
    <definedName name="o_34" localSheetId="8">#REF!</definedName>
    <definedName name="o_34">#REF!</definedName>
    <definedName name="o_4" localSheetId="8">#REF!</definedName>
    <definedName name="o_4">#REF!</definedName>
    <definedName name="o_4_15" localSheetId="8">#REF!</definedName>
    <definedName name="o_4_15">#REF!</definedName>
    <definedName name="o_4_8" localSheetId="8">#REF!</definedName>
    <definedName name="o_4_8">#REF!</definedName>
    <definedName name="o_5" localSheetId="8">#REF!</definedName>
    <definedName name="o_5">#REF!</definedName>
    <definedName name="o_5_15" localSheetId="8">#REF!</definedName>
    <definedName name="o_5_15">#REF!</definedName>
    <definedName name="o_5_8" localSheetId="8">#REF!</definedName>
    <definedName name="o_5_8">#REF!</definedName>
    <definedName name="o_8" localSheetId="8">#REF!</definedName>
    <definedName name="o_8">#REF!</definedName>
    <definedName name="OAFAC" localSheetId="8">#REF!</definedName>
    <definedName name="OAFAC">#REF!</definedName>
    <definedName name="oipu" localSheetId="8">#REF!</definedName>
    <definedName name="oipu">#REF!</definedName>
    <definedName name="OL" localSheetId="8">#REF!</definedName>
    <definedName name="OL">#REF!</definedName>
    <definedName name="old" localSheetId="8">#REF!</definedName>
    <definedName name="old">#REF!</definedName>
    <definedName name="omku" localSheetId="8">#REF!</definedName>
    <definedName name="omku">#REF!</definedName>
    <definedName name="ON_GOING_GUJRAT" localSheetId="8">#REF!</definedName>
    <definedName name="ON_GOING_GUJRAT">#REF!</definedName>
    <definedName name="ON_GOING_GWALA" localSheetId="8">#REF!</definedName>
    <definedName name="ON_GOING_GWALA">#REF!</definedName>
    <definedName name="ON_GOING_JHELUM" localSheetId="8">#REF!</definedName>
    <definedName name="ON_GOING_JHELUM">#REF!</definedName>
    <definedName name="ON_GOING_LHR" localSheetId="8">#REF!</definedName>
    <definedName name="ON_GOING_LHR">#REF!</definedName>
    <definedName name="ON_GOING_OKARA" localSheetId="8">#REF!</definedName>
    <definedName name="ON_GOING_OKARA">#REF!</definedName>
    <definedName name="ON_GOING_RPINDI" localSheetId="8">#REF!</definedName>
    <definedName name="ON_GOING_RPINDI">#REF!</definedName>
    <definedName name="ON_GOING_SARGODHA" localSheetId="8">#REF!</definedName>
    <definedName name="ON_GOING_SARGODHA">#REF!</definedName>
    <definedName name="ON_GOING_SIALKOT" localSheetId="8">#REF!</definedName>
    <definedName name="ON_GOING_SIALKOT">#REF!</definedName>
    <definedName name="ON_GOING_SLOW" localSheetId="8">#REF!</definedName>
    <definedName name="ON_GOING_SLOW">#REF!</definedName>
    <definedName name="OPKI" localSheetId="8">#REF!</definedName>
    <definedName name="OPKI">#REF!</definedName>
    <definedName name="opop" localSheetId="8">#REF!</definedName>
    <definedName name="opop">#REF!</definedName>
    <definedName name="p" hidden="1">{"'G.Ab'!$B$22:$E$22"}</definedName>
    <definedName name="p.h" localSheetId="8" hidden="1">#REF!</definedName>
    <definedName name="p.h" hidden="1">#REF!</definedName>
    <definedName name="P_D_GUJRAT" localSheetId="8">#REF!</definedName>
    <definedName name="P_D_GUJRAT">#REF!</definedName>
    <definedName name="pakistan" localSheetId="8">#REF!</definedName>
    <definedName name="pakistan">#REF!</definedName>
    <definedName name="PC" localSheetId="8" hidden="1">#REF!</definedName>
    <definedName name="PC" hidden="1">#REF!</definedName>
    <definedName name="pcc" localSheetId="8">#REF!</definedName>
    <definedName name="pcc">#REF!</definedName>
    <definedName name="PH" localSheetId="8">#REF!</definedName>
    <definedName name="PH">#REF!</definedName>
    <definedName name="phbn" localSheetId="8">#REF!</definedName>
    <definedName name="phbn">#REF!</definedName>
    <definedName name="phbnsr" localSheetId="8">#REF!</definedName>
    <definedName name="phbnsr">#REF!</definedName>
    <definedName name="phbnsr." localSheetId="8">#REF!</definedName>
    <definedName name="phbnsr.">#REF!</definedName>
    <definedName name="phbnsr1" localSheetId="8">#REF!</definedName>
    <definedName name="phbnsr1">#REF!</definedName>
    <definedName name="PHBNSR2" localSheetId="8">#REF!</definedName>
    <definedName name="PHBNSR2">#REF!</definedName>
    <definedName name="phbsr" localSheetId="8">#REF!</definedName>
    <definedName name="phbsr">#REF!</definedName>
    <definedName name="phbsr1" localSheetId="8">#REF!</definedName>
    <definedName name="phbsr1">#REF!</definedName>
    <definedName name="PHE_ABSTRACT" localSheetId="8">#REF!</definedName>
    <definedName name="PHE_ABSTRACT">#REF!</definedName>
    <definedName name="piipe" localSheetId="8">#REF!</definedName>
    <definedName name="piipe">#REF!</definedName>
    <definedName name="pipe" localSheetId="8">#REF!</definedName>
    <definedName name="pipe">#REF!</definedName>
    <definedName name="Pipe_Material" localSheetId="8">#REF!</definedName>
    <definedName name="Pipe_Material">#REF!</definedName>
    <definedName name="Pipe_Material_Suction" localSheetId="8">#REF!</definedName>
    <definedName name="Pipe_Material_Suction">#REF!</definedName>
    <definedName name="Pipe_Thickness" localSheetId="8">#REF!</definedName>
    <definedName name="Pipe_Thickness">#REF!</definedName>
    <definedName name="pk" localSheetId="8">#REF!</definedName>
    <definedName name="pk">#REF!</definedName>
    <definedName name="plaster" localSheetId="8">#REF!</definedName>
    <definedName name="plaster">#REF!</definedName>
    <definedName name="poi" localSheetId="8">#REF!</definedName>
    <definedName name="poi">#REF!</definedName>
    <definedName name="PR_ESC_2" localSheetId="8">#REF!</definedName>
    <definedName name="PR_ESC_2">#REF!</definedName>
    <definedName name="Pressure_Rise_in_Pipe" localSheetId="8">#REF!</definedName>
    <definedName name="Pressure_Rise_in_Pipe">#REF!</definedName>
    <definedName name="PRFAC" localSheetId="8">#REF!</definedName>
    <definedName name="PRFAC">#REF!</definedName>
    <definedName name="PRHND" localSheetId="8">#REF!</definedName>
    <definedName name="PRHND">#REF!</definedName>
    <definedName name="_xlnm.Print_Area" localSheetId="1">'BOQ  with out rates'!$A$1:$G$333</definedName>
    <definedName name="_xlnm.Print_Area" localSheetId="0">'BOQ  with Rates '!$A$1:$W$333</definedName>
    <definedName name="_xlnm.Print_Area" localSheetId="10">'BOQ  with Rates  (2)'!$A$1:$W$471</definedName>
    <definedName name="_xlnm.Print_Area" localSheetId="8">#REF!</definedName>
    <definedName name="_xlnm.Print_Area" localSheetId="4">'BOQ  with Rates  (7)'!$A$1:$F$321</definedName>
    <definedName name="_xlnm.Print_Area" localSheetId="3">'BOQ UPDATES RATED FOR EVAL'!$A$1:$G$321</definedName>
    <definedName name="_xlnm.Print_Area" localSheetId="2">'ContractBOQ  with out rates (2)'!$A$1:$G$321</definedName>
    <definedName name="_xlnm.Print_Area" localSheetId="5">'Workable BOQ FINAL'!$A$1:$I$321</definedName>
    <definedName name="_xlnm.Print_Area" localSheetId="6">'Workable BOQ FINAL (2)'!$A$1:$I$321</definedName>
    <definedName name="_xlnm.Print_Area">#REF!</definedName>
    <definedName name="PRINT_AREA_MI">#N/A</definedName>
    <definedName name="_xlnm.Print_Titles" localSheetId="8">#REF!</definedName>
    <definedName name="_xlnm.Print_Titles" localSheetId="4">'BOQ  with Rates  (7)'!$1:$4</definedName>
    <definedName name="_xlnm.Print_Titles" localSheetId="3">'BOQ UPDATES RATED FOR EVAL'!$1:$4</definedName>
    <definedName name="_xlnm.Print_Titles" localSheetId="2">'ContractBOQ  with out rates (2)'!$1:$4</definedName>
    <definedName name="_xlnm.Print_Titles" localSheetId="5">'Workable BOQ FINAL'!$1:$4</definedName>
    <definedName name="_xlnm.Print_Titles" localSheetId="6">'Workable BOQ FINAL (2)'!$1:$4</definedName>
    <definedName name="_xlnm.Print_Titles">#REF!</definedName>
    <definedName name="PrintArea1" localSheetId="8">#REF!</definedName>
    <definedName name="PrintArea1">#REF!</definedName>
    <definedName name="PrintTitles1" localSheetId="8">#REF!</definedName>
    <definedName name="PrintTitles1">#REF!</definedName>
    <definedName name="pu" localSheetId="8">#REF!</definedName>
    <definedName name="pu">#REF!</definedName>
    <definedName name="puda" localSheetId="8">#REF!</definedName>
    <definedName name="puda">#REF!</definedName>
    <definedName name="pudi" localSheetId="8">#REF!</definedName>
    <definedName name="pudi">#REF!</definedName>
    <definedName name="Pump_Cycle" localSheetId="8">#REF!</definedName>
    <definedName name="Pump_Cycle">#REF!</definedName>
    <definedName name="Pump_Power" localSheetId="8">#REF!</definedName>
    <definedName name="Pump_Power">#REF!</definedName>
    <definedName name="q" localSheetId="8">#REF!</definedName>
    <definedName name="q">#REF!</definedName>
    <definedName name="qaq" localSheetId="8" hidden="1">#REF!</definedName>
    <definedName name="qaq" hidden="1">#REF!</definedName>
    <definedName name="qf" localSheetId="8" hidden="1">#REF!</definedName>
    <definedName name="qf" hidden="1">#REF!</definedName>
    <definedName name="qq" hidden="1">{"'G.Ab'!$B$22:$E$22"}</definedName>
    <definedName name="qqq" localSheetId="8">#REF!</definedName>
    <definedName name="qqq">#REF!</definedName>
    <definedName name="QUANTITY_OF_ADDED_EARTH_WORKS">"$A$1:$E$5"</definedName>
    <definedName name="rao" localSheetId="8">#REF!</definedName>
    <definedName name="rao">#REF!</definedName>
    <definedName name="rasheed" localSheetId="8">#REF!</definedName>
    <definedName name="rasheed">#REF!</definedName>
    <definedName name="RAT" localSheetId="8">#REF!</definedName>
    <definedName name="RAT">#REF!</definedName>
    <definedName name="Rate" localSheetId="8">#REF!</definedName>
    <definedName name="Rate">#REF!</definedName>
    <definedName name="RATER" localSheetId="8">#REF!</definedName>
    <definedName name="RATER">#REF!</definedName>
    <definedName name="Rates" localSheetId="8">#REF!</definedName>
    <definedName name="Rates">#REF!</definedName>
    <definedName name="Ratio" localSheetId="8">#REF!</definedName>
    <definedName name="Ratio">#REF!</definedName>
    <definedName name="RC_" localSheetId="8">#REF!</definedName>
    <definedName name="RC_">#REF!</definedName>
    <definedName name="RC__" localSheetId="8">#REF!</definedName>
    <definedName name="RC__">#REF!</definedName>
    <definedName name="rcc" localSheetId="8">#REF!</definedName>
    <definedName name="rcc">#REF!</definedName>
    <definedName name="rdhyfdujsrj" localSheetId="8">#REF!</definedName>
    <definedName name="rdhyfdujsrj">#REF!</definedName>
    <definedName name="_xlnm.Recorder" localSheetId="8">#REF!</definedName>
    <definedName name="_xlnm.Recorder">#REF!</definedName>
    <definedName name="Red.Tee" localSheetId="8">#REF!</definedName>
    <definedName name="Red.Tee">#REF!</definedName>
    <definedName name="renovation" localSheetId="8">#REF!</definedName>
    <definedName name="renovation">#REF!</definedName>
    <definedName name="renovation234" localSheetId="8">#REF!</definedName>
    <definedName name="renovation234">#REF!</definedName>
    <definedName name="rert" localSheetId="8">#REF!</definedName>
    <definedName name="rert">#REF!</definedName>
    <definedName name="Retention_Time" localSheetId="8">#REF!</definedName>
    <definedName name="Retention_Time">#REF!</definedName>
    <definedName name="Reynold_No" localSheetId="8">#REF!</definedName>
    <definedName name="Reynold_No">#REF!</definedName>
    <definedName name="rizwan" localSheetId="8">#REF!</definedName>
    <definedName name="rizwan">#REF!</definedName>
    <definedName name="rrr" localSheetId="8">#REF!</definedName>
    <definedName name="rrr">#REF!</definedName>
    <definedName name="rrrr" localSheetId="8" hidden="1">#REF!</definedName>
    <definedName name="rrrr" hidden="1">#REF!</definedName>
    <definedName name="S" localSheetId="8">#REF!</definedName>
    <definedName name="S">#REF!</definedName>
    <definedName name="s.c" localSheetId="8">#REF!</definedName>
    <definedName name="s.c">#REF!</definedName>
    <definedName name="sa" localSheetId="8">#REF!</definedName>
    <definedName name="sa">#REF!</definedName>
    <definedName name="SAD" localSheetId="8">#REF!</definedName>
    <definedName name="SAD">#REF!</definedName>
    <definedName name="sadiq" localSheetId="8">#REF!</definedName>
    <definedName name="sadiq">#REF!</definedName>
    <definedName name="sadsasdada" localSheetId="8">#REF!</definedName>
    <definedName name="sadsasdada">#REF!</definedName>
    <definedName name="saeed" localSheetId="8" hidden="1">#REF!</definedName>
    <definedName name="saeed" hidden="1">#REF!</definedName>
    <definedName name="SALA" localSheetId="8">#REF!</definedName>
    <definedName name="SALA">#REF!</definedName>
    <definedName name="SANI" localSheetId="8">#REF!</definedName>
    <definedName name="SANI">#REF!</definedName>
    <definedName name="sasAS" localSheetId="8">#REF!</definedName>
    <definedName name="sasAS">#REF!</definedName>
    <definedName name="Sass" localSheetId="8">#REF!</definedName>
    <definedName name="Sass">#REF!</definedName>
    <definedName name="Sc" localSheetId="8">#REF!</definedName>
    <definedName name="Sc">#REF!</definedName>
    <definedName name="SC5X3.25" localSheetId="8">#REF!</definedName>
    <definedName name="SC5X3.25">#REF!</definedName>
    <definedName name="scfrtyuikj" localSheetId="8">#REF!</definedName>
    <definedName name="scfrtyuikj">#REF!</definedName>
    <definedName name="scv" localSheetId="8">#REF!</definedName>
    <definedName name="scv">#REF!</definedName>
    <definedName name="SD" localSheetId="8">#REF!</definedName>
    <definedName name="SD">#REF!</definedName>
    <definedName name="sddd" localSheetId="8" hidden="1">#REF!</definedName>
    <definedName name="sddd" hidden="1">#REF!</definedName>
    <definedName name="sdfdfd" localSheetId="8">#REF!</definedName>
    <definedName name="sdfdfd">#REF!</definedName>
    <definedName name="sdfEF" localSheetId="8">#REF!</definedName>
    <definedName name="sdfEF">#REF!</definedName>
    <definedName name="sdfsdf" localSheetId="8">#REF!</definedName>
    <definedName name="sdfsdf">#REF!</definedName>
    <definedName name="sdp" localSheetId="8">#REF!</definedName>
    <definedName name="sdp">#REF!</definedName>
    <definedName name="sdsd" localSheetId="8">#REF!</definedName>
    <definedName name="sdsd">#REF!</definedName>
    <definedName name="Sec.1" localSheetId="8">#REF!</definedName>
    <definedName name="Sec.1">#REF!</definedName>
    <definedName name="Sec.2" localSheetId="8">#REF!</definedName>
    <definedName name="Sec.2">#REF!</definedName>
    <definedName name="Sec.3" localSheetId="8">#REF!</definedName>
    <definedName name="Sec.3">#REF!</definedName>
    <definedName name="Sec.4" localSheetId="8">#REF!</definedName>
    <definedName name="Sec.4">#REF!</definedName>
    <definedName name="Sec.5" localSheetId="8">#REF!</definedName>
    <definedName name="Sec.5">#REF!</definedName>
    <definedName name="Sec.6" localSheetId="8">#REF!</definedName>
    <definedName name="Sec.6">#REF!</definedName>
    <definedName name="Sec.7" localSheetId="8">#REF!</definedName>
    <definedName name="Sec.7">#REF!</definedName>
    <definedName name="Sec.8" localSheetId="8">#REF!</definedName>
    <definedName name="Sec.8">#REF!</definedName>
    <definedName name="sencount" hidden="1">1</definedName>
    <definedName name="sewer" localSheetId="8">#REF!</definedName>
    <definedName name="sewer">#REF!</definedName>
    <definedName name="SF" localSheetId="8">#REF!</definedName>
    <definedName name="SF">#REF!</definedName>
    <definedName name="SFJLJSLJFLSDJLFJS" localSheetId="8">#REF!</definedName>
    <definedName name="SFJLJSLJFLSDJLFJS">#REF!</definedName>
    <definedName name="sg" hidden="1">{"'G.Ab'!$B$22:$E$22"}</definedName>
    <definedName name="Sheet" localSheetId="8">#REF!</definedName>
    <definedName name="Sheet">#REF!</definedName>
    <definedName name="sheet7" localSheetId="8">#REF!</definedName>
    <definedName name="sheet7">#REF!</definedName>
    <definedName name="sht" localSheetId="8">#REF!</definedName>
    <definedName name="sht">#REF!</definedName>
    <definedName name="SILL_HEIGHT" localSheetId="8">#REF!</definedName>
    <definedName name="SILL_HEIGHT">#REF!</definedName>
    <definedName name="SIR" localSheetId="8">#REF!</definedName>
    <definedName name="SIR">#REF!</definedName>
    <definedName name="SIXTY" localSheetId="8">#REF!</definedName>
    <definedName name="SIXTY">#REF!</definedName>
    <definedName name="SIXTYONE" localSheetId="8">#REF!</definedName>
    <definedName name="SIXTYONE">#REF!</definedName>
    <definedName name="SIXTYTWO" localSheetId="8">#REF!</definedName>
    <definedName name="SIXTYTWO">#REF!</definedName>
    <definedName name="SJDFKSDLKJFLKASDJLKFJLADSJ" localSheetId="8" hidden="1">#REF!</definedName>
    <definedName name="SJDFKSDLKJFLKASDJLKFJLADSJ" hidden="1">#REF!</definedName>
    <definedName name="SLOW_0" localSheetId="8">#REF!</definedName>
    <definedName name="SLOW_0">#REF!</definedName>
    <definedName name="SLOW_60" localSheetId="8">#REF!</definedName>
    <definedName name="SLOW_60">#REF!</definedName>
    <definedName name="solar" localSheetId="8">#REF!</definedName>
    <definedName name="solar">#REF!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1</definedName>
    <definedName name="solver_nwt" hidden="1">1</definedName>
    <definedName name="solver_pre" hidden="1">0.000001</definedName>
    <definedName name="solver_rel1" hidden="1">2</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PAN" localSheetId="8">#REF!</definedName>
    <definedName name="SPAN">#REF!</definedName>
    <definedName name="SPAN_" localSheetId="8">#REF!</definedName>
    <definedName name="SPAN_">#REF!</definedName>
    <definedName name="specials" localSheetId="8">#REF!</definedName>
    <definedName name="specials">#REF!</definedName>
    <definedName name="Specific_Speed_of_Pump" localSheetId="8">#REF!</definedName>
    <definedName name="Specific_Speed_of_Pump">#REF!</definedName>
    <definedName name="Specific_Weight_of_Water" localSheetId="8">#REF!</definedName>
    <definedName name="Specific_Weight_of_Water">#REF!</definedName>
    <definedName name="Speed_of_Pump" localSheetId="8">#REF!</definedName>
    <definedName name="Speed_of_Pump">#REF!</definedName>
    <definedName name="SQ" localSheetId="8" hidden="1">#REF!</definedName>
    <definedName name="SQ" hidden="1">#REF!</definedName>
    <definedName name="srag" localSheetId="8">#REF!</definedName>
    <definedName name="srag">#REF!</definedName>
    <definedName name="ss" localSheetId="8">#REF!</definedName>
    <definedName name="ss">#REF!</definedName>
    <definedName name="sss" localSheetId="8">#REF!</definedName>
    <definedName name="sss">#REF!</definedName>
    <definedName name="ssss" localSheetId="8">#REF!</definedName>
    <definedName name="ssss">#REF!</definedName>
    <definedName name="stafB" localSheetId="8">#REF!</definedName>
    <definedName name="stafB">#REF!</definedName>
    <definedName name="STAFF" localSheetId="8">#REF!</definedName>
    <definedName name="STAFF">#REF!</definedName>
    <definedName name="Static_Head" localSheetId="8">#REF!</definedName>
    <definedName name="Static_Head">#REF!</definedName>
    <definedName name="Steel">#N/A</definedName>
    <definedName name="Stone" localSheetId="8">#REF!</definedName>
    <definedName name="Stone">#REF!</definedName>
    <definedName name="SUB_B" localSheetId="8">#REF!</definedName>
    <definedName name="SUB_B">#REF!</definedName>
    <definedName name="sullage" localSheetId="8">#REF!</definedName>
    <definedName name="sullage">#REF!</definedName>
    <definedName name="summery" localSheetId="8">#REF!</definedName>
    <definedName name="summery">#REF!</definedName>
    <definedName name="Surface_Roughness_of_Pipe" localSheetId="8">#REF!</definedName>
    <definedName name="Surface_Roughness_of_Pipe">#REF!</definedName>
    <definedName name="Surge_Period" localSheetId="8">#REF!</definedName>
    <definedName name="Surge_Period">#REF!</definedName>
    <definedName name="sv" localSheetId="8">#REF!</definedName>
    <definedName name="sv">#REF!</definedName>
    <definedName name="Tee" localSheetId="8">#REF!</definedName>
    <definedName name="Tee">#REF!</definedName>
    <definedName name="test" localSheetId="8">#REF!</definedName>
    <definedName name="test">#REF!</definedName>
    <definedName name="th" localSheetId="8" hidden="1">#REF!</definedName>
    <definedName name="th" hidden="1">#REF!</definedName>
    <definedName name="tham" localSheetId="8" hidden="1">#REF!</definedName>
    <definedName name="tham" hidden="1">#REF!</definedName>
    <definedName name="thickness" localSheetId="8">#REF!</definedName>
    <definedName name="thickness">#REF!</definedName>
    <definedName name="THIRTEEN" localSheetId="8">#REF!</definedName>
    <definedName name="THIRTEEN">#REF!</definedName>
    <definedName name="THIRTYONE" localSheetId="8">#REF!</definedName>
    <definedName name="THIRTYONE">#REF!</definedName>
    <definedName name="THIRTYTHREE" localSheetId="8">#REF!</definedName>
    <definedName name="THIRTYTHREE">#REF!</definedName>
    <definedName name="THIRTYTWO" localSheetId="8">#REF!</definedName>
    <definedName name="THIRTYTWO">#REF!</definedName>
    <definedName name="title" localSheetId="8">#REF!</definedName>
    <definedName name="title">#REF!</definedName>
    <definedName name="tiytoigyotolg" localSheetId="8">#REF!</definedName>
    <definedName name="tiytoigyotolg">#REF!</definedName>
    <definedName name="Total_FrictionalHead" localSheetId="8">#REF!</definedName>
    <definedName name="Total_FrictionalHead">#REF!</definedName>
    <definedName name="Total_Head" localSheetId="8">#REF!</definedName>
    <definedName name="Total_Head">#REF!</definedName>
    <definedName name="Total_Head_for_Suction_Pipe" localSheetId="8">#REF!</definedName>
    <definedName name="Total_Head_for_Suction_Pipe">#REF!</definedName>
    <definedName name="Total_Head_SuctionPipe" localSheetId="8">#REF!</definedName>
    <definedName name="Total_Head_SuctionPipe">#REF!</definedName>
    <definedName name="Total_NPSH_Required" localSheetId="8">#REF!</definedName>
    <definedName name="Total_NPSH_Required">#REF!</definedName>
    <definedName name="Total_Pump_Power" localSheetId="8">#REF!</definedName>
    <definedName name="Total_Pump_Power">#REF!</definedName>
    <definedName name="tract" localSheetId="8">#REF!</definedName>
    <definedName name="tract">#REF!</definedName>
    <definedName name="TREA3" localSheetId="8">#REF!</definedName>
    <definedName name="TREA3">#REF!</definedName>
    <definedName name="trurtiu5rtui" localSheetId="8">#REF!</definedName>
    <definedName name="trurtiu5rtui">#REF!</definedName>
    <definedName name="ts" localSheetId="8">#REF!</definedName>
    <definedName name="ts">#REF!</definedName>
    <definedName name="ttt" localSheetId="8">#REF!</definedName>
    <definedName name="ttt">#REF!</definedName>
    <definedName name="tttttt" localSheetId="8">#REF!</definedName>
    <definedName name="tttttt">#REF!</definedName>
    <definedName name="TWELVE" localSheetId="8">#REF!</definedName>
    <definedName name="TWELVE">#REF!</definedName>
    <definedName name="TWENTYONE" localSheetId="8">#REF!</definedName>
    <definedName name="TWENTYONE">#REF!</definedName>
    <definedName name="TWENTYTHREE" localSheetId="8">#REF!</definedName>
    <definedName name="TWENTYTHREE">#REF!</definedName>
    <definedName name="TWENTYTWO" localSheetId="8">#REF!</definedName>
    <definedName name="TWENTYTWO">#REF!</definedName>
    <definedName name="tyogyoypoyhpyh" localSheetId="8">#REF!</definedName>
    <definedName name="tyogyoypoyhpyh">#REF!</definedName>
    <definedName name="Typ_basin" localSheetId="8">#REF!</definedName>
    <definedName name="Typ_basin">#REF!</definedName>
    <definedName name="Type_A" localSheetId="8">#REF!</definedName>
    <definedName name="Type_A">#REF!</definedName>
    <definedName name="Type_B" localSheetId="8">#REF!</definedName>
    <definedName name="Type_B">#REF!</definedName>
    <definedName name="TYPE_C" localSheetId="8">#REF!</definedName>
    <definedName name="TYPE_C">#REF!</definedName>
    <definedName name="u" localSheetId="8">#REF!</definedName>
    <definedName name="u">#REF!</definedName>
    <definedName name="UESCL" localSheetId="8">#REF!</definedName>
    <definedName name="UESCL">#REF!</definedName>
    <definedName name="UMESCL" localSheetId="8">#REF!</definedName>
    <definedName name="UMESCL">#REF!</definedName>
    <definedName name="UMPRFAC" localSheetId="8">#REF!</definedName>
    <definedName name="UMPRFAC">#REF!</definedName>
    <definedName name="UMPRHND" localSheetId="8">#REF!</definedName>
    <definedName name="UMPRHND">#REF!</definedName>
    <definedName name="UMVHSP" localSheetId="8">#REF!</definedName>
    <definedName name="UMVHSP">#REF!</definedName>
    <definedName name="UMVSP" localSheetId="8">#REF!</definedName>
    <definedName name="UMVSP">#REF!</definedName>
    <definedName name="UNIT" localSheetId="8">#REF!</definedName>
    <definedName name="UNIT">#REF!</definedName>
    <definedName name="UPRFAC" localSheetId="8">#REF!</definedName>
    <definedName name="UPRFAC">#REF!</definedName>
    <definedName name="UPRHND" localSheetId="8">#REF!</definedName>
    <definedName name="UPRHND">#REF!</definedName>
    <definedName name="USBL" localSheetId="8">#REF!</definedName>
    <definedName name="USBL">#REF!</definedName>
    <definedName name="USBR_FIG_12" localSheetId="8">#REF!</definedName>
    <definedName name="USBR_FIG_12">#REF!</definedName>
    <definedName name="USEL" localSheetId="8">#REF!</definedName>
    <definedName name="USEL">#REF!</definedName>
    <definedName name="USGL" localSheetId="8">#REF!</definedName>
    <definedName name="USGL">#REF!</definedName>
    <definedName name="USWD" localSheetId="8">#REF!</definedName>
    <definedName name="USWD">#REF!</definedName>
    <definedName name="USWL" localSheetId="8">#REF!</definedName>
    <definedName name="USWL">#REF!</definedName>
    <definedName name="uuu" localSheetId="8">#REF!</definedName>
    <definedName name="uuu">#REF!</definedName>
    <definedName name="UUUU" localSheetId="8">#REF!</definedName>
    <definedName name="UUUU">#REF!</definedName>
    <definedName name="UVHSP" localSheetId="8">#REF!</definedName>
    <definedName name="UVHSP">#REF!</definedName>
    <definedName name="UVSP" localSheetId="8">#REF!</definedName>
    <definedName name="UVSP">#REF!</definedName>
    <definedName name="v" localSheetId="8">#REF!</definedName>
    <definedName name="v">#REF!</definedName>
    <definedName name="V_JUMP" localSheetId="8">#REF!</definedName>
    <definedName name="V_JUMP">#REF!</definedName>
    <definedName name="Va" localSheetId="8">#REF!</definedName>
    <definedName name="Va">#REF!</definedName>
    <definedName name="VALVEECONOSTO" localSheetId="8">#REF!</definedName>
    <definedName name="VALVEECONOSTO">#REF!</definedName>
    <definedName name="VALVEMARAN" localSheetId="8">#REF!</definedName>
    <definedName name="VALVEMARAN">#REF!</definedName>
    <definedName name="Vapor_Pressure_of_Liquid" localSheetId="8">#REF!</definedName>
    <definedName name="Vapor_Pressure_of_Liquid">#REF!</definedName>
    <definedName name="vb" localSheetId="8">#REF!</definedName>
    <definedName name="vb">#REF!</definedName>
    <definedName name="Vd" localSheetId="8">#REF!</definedName>
    <definedName name="Vd">#REF!</definedName>
    <definedName name="vel" localSheetId="8">#REF!</definedName>
    <definedName name="vel">#REF!</definedName>
    <definedName name="Velocity_of_Flow" localSheetId="8">#REF!</definedName>
    <definedName name="Velocity_of_Flow">#REF!</definedName>
    <definedName name="vhghggighui" localSheetId="8">#REF!</definedName>
    <definedName name="vhghggighui">#REF!</definedName>
    <definedName name="VHSP" localSheetId="8">#REF!</definedName>
    <definedName name="VHSP">#REF!</definedName>
    <definedName name="vinstall" localSheetId="8">#REF!</definedName>
    <definedName name="vinstall">#REF!</definedName>
    <definedName name="virk" localSheetId="8">#REF!</definedName>
    <definedName name="virk">#REF!</definedName>
    <definedName name="VSP" localSheetId="8">#REF!</definedName>
    <definedName name="VSP">#REF!</definedName>
    <definedName name="vvv" localSheetId="8" hidden="1">#REF!</definedName>
    <definedName name="vvv" hidden="1">#REF!</definedName>
    <definedName name="w" localSheetId="8">#REF!</definedName>
    <definedName name="w">#REF!</definedName>
    <definedName name="wall" localSheetId="8">#REF!</definedName>
    <definedName name="wall">#REF!</definedName>
    <definedName name="wap" localSheetId="8">#REF!</definedName>
    <definedName name="wap">#REF!</definedName>
    <definedName name="WAS" localSheetId="8">#REF!</definedName>
    <definedName name="WAS">#REF!</definedName>
    <definedName name="weerr" localSheetId="8">#REF!</definedName>
    <definedName name="weerr">#REF!</definedName>
    <definedName name="welding" localSheetId="8">#REF!</definedName>
    <definedName name="welding">#REF!</definedName>
    <definedName name="WetWell_Capacity" localSheetId="8">#REF!</definedName>
    <definedName name="WetWell_Capacity">#REF!</definedName>
    <definedName name="WetWell_Volume" localSheetId="8">#REF!</definedName>
    <definedName name="WetWell_Volume">#REF!</definedName>
    <definedName name="woeoo" localSheetId="8">#REF!</definedName>
    <definedName name="woeoo">#REF!</definedName>
    <definedName name="wpl" localSheetId="8">#REF!</definedName>
    <definedName name="wpl">#REF!</definedName>
    <definedName name="wqrwqr" localSheetId="8">#REF!</definedName>
    <definedName name="wqrwqr">#REF!</definedName>
    <definedName name="WS" localSheetId="8">#REF!</definedName>
    <definedName name="WS">#REF!</definedName>
    <definedName name="WS_PIPE_INFO" localSheetId="8">#REF!</definedName>
    <definedName name="WS_PIPE_INFO">#REF!</definedName>
    <definedName name="wsqfdfqf" localSheetId="8">#REF!</definedName>
    <definedName name="wsqfdfqf">#REF!</definedName>
    <definedName name="wswqrfq" localSheetId="8">#REF!</definedName>
    <definedName name="wswqrfq">#REF!</definedName>
    <definedName name="ww" localSheetId="8">#REF!</definedName>
    <definedName name="ww">#REF!</definedName>
    <definedName name="www" localSheetId="8">#REF!</definedName>
    <definedName name="www">#REF!</definedName>
    <definedName name="xxx" localSheetId="8" hidden="1">#REF!</definedName>
    <definedName name="xxx" hidden="1">#REF!</definedName>
    <definedName name="y" localSheetId="8" hidden="1">#REF!</definedName>
    <definedName name="y" hidden="1">#REF!</definedName>
    <definedName name="yes" localSheetId="8">#REF!</definedName>
    <definedName name="yes">#REF!</definedName>
    <definedName name="yt" localSheetId="8">#REF!</definedName>
    <definedName name="yt">#REF!</definedName>
    <definedName name="yyy" localSheetId="8">#REF!</definedName>
    <definedName name="yyy">#REF!</definedName>
    <definedName name="z" localSheetId="8">#REF!</definedName>
    <definedName name="z">#REF!</definedName>
    <definedName name="Z_69042C41_47A7_11D6_8DB5_000021EBF94D_.wvu.Cols" localSheetId="8" hidden="1">#REF!</definedName>
    <definedName name="Z_69042C41_47A7_11D6_8DB5_000021EBF94D_.wvu.Cols" hidden="1">#REF!</definedName>
    <definedName name="Z1_">#N/A</definedName>
    <definedName name="Z2_">#N/A</definedName>
    <definedName name="zaman" localSheetId="8">#REF!</definedName>
    <definedName name="zaman">#REF!</definedName>
    <definedName name="ZEERO" localSheetId="8">#REF!</definedName>
    <definedName name="ZEERO">#REF!</definedName>
    <definedName name="ZERO" localSheetId="8">#REF!</definedName>
    <definedName name="ZERO">#REF!</definedName>
    <definedName name="Zesc" localSheetId="8">#REF!</definedName>
    <definedName name="Zesc">#REF!</definedName>
    <definedName name="ZINDAGI" localSheetId="8">#REF!</definedName>
    <definedName name="ZINDAGI">#REF!</definedName>
    <definedName name="zzz" localSheetId="8">#REF!</definedName>
    <definedName name="zzz">#REF!</definedName>
    <definedName name="zzzz" localSheetId="8">#REF!</definedName>
    <definedName name="zzzz">#REF!</definedName>
    <definedName name="zzzzz" localSheetId="8">#REF!</definedName>
    <definedName name="zzzzz">#REF!</definedName>
    <definedName name="zzzzzzzzzzz" localSheetId="8">#REF!</definedName>
    <definedName name="zzzzzzzzzzz">#REF!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22" i="13" l="1"/>
  <c r="D414" i="13"/>
  <c r="U396" i="13"/>
  <c r="P396" i="13"/>
  <c r="O396" i="13"/>
  <c r="J396" i="13"/>
  <c r="H396" i="13"/>
  <c r="D421" i="13"/>
  <c r="D411" i="13"/>
  <c r="D410" i="13"/>
  <c r="X242" i="13" l="1"/>
  <c r="U242" i="13"/>
  <c r="X241" i="13"/>
  <c r="J241" i="13"/>
  <c r="O6" i="13" l="1"/>
  <c r="M332" i="19" l="1"/>
  <c r="J329" i="19"/>
  <c r="J332" i="19" s="1"/>
  <c r="J327" i="19"/>
  <c r="Q326" i="19"/>
  <c r="Q325" i="19"/>
  <c r="Q324" i="19"/>
  <c r="Q323" i="19"/>
  <c r="Q322" i="19"/>
  <c r="Q321" i="19"/>
  <c r="Q320" i="19"/>
  <c r="J320" i="19"/>
  <c r="Q319" i="19"/>
  <c r="Q327" i="19" s="1"/>
  <c r="Q318" i="19"/>
  <c r="Q317" i="19"/>
  <c r="F304" i="19"/>
  <c r="F303" i="19"/>
  <c r="F302" i="19"/>
  <c r="F301" i="19"/>
  <c r="F300" i="19"/>
  <c r="F299" i="19"/>
  <c r="F298" i="19"/>
  <c r="F297" i="19"/>
  <c r="F296" i="19"/>
  <c r="F295" i="19"/>
  <c r="F294" i="19"/>
  <c r="F293" i="19"/>
  <c r="F292" i="19"/>
  <c r="F291" i="19"/>
  <c r="F290" i="19"/>
  <c r="F289" i="19"/>
  <c r="J295" i="19" s="1"/>
  <c r="F288" i="19"/>
  <c r="F287" i="19"/>
  <c r="F286" i="19"/>
  <c r="F285" i="19"/>
  <c r="F284" i="19"/>
  <c r="F283" i="19"/>
  <c r="F282" i="19"/>
  <c r="F281" i="19"/>
  <c r="F280" i="19"/>
  <c r="F279" i="19"/>
  <c r="F278" i="19"/>
  <c r="F277" i="19"/>
  <c r="F276" i="19"/>
  <c r="F275" i="19"/>
  <c r="F274" i="19"/>
  <c r="F273" i="19"/>
  <c r="F272" i="19"/>
  <c r="F271" i="19"/>
  <c r="F270" i="19"/>
  <c r="K269" i="19"/>
  <c r="K270" i="19" s="1"/>
  <c r="F269" i="19"/>
  <c r="J273" i="19" s="1"/>
  <c r="F268" i="19"/>
  <c r="F267" i="19"/>
  <c r="F266" i="19"/>
  <c r="F265" i="19"/>
  <c r="F264" i="19"/>
  <c r="F263" i="19"/>
  <c r="F262" i="19"/>
  <c r="F261" i="19"/>
  <c r="F260" i="19"/>
  <c r="J260" i="19" s="1"/>
  <c r="K261" i="19" s="1"/>
  <c r="F259" i="19"/>
  <c r="F258" i="19"/>
  <c r="F257" i="19"/>
  <c r="F256" i="19"/>
  <c r="F255" i="19"/>
  <c r="D254" i="19"/>
  <c r="F254" i="19" s="1"/>
  <c r="F253" i="19"/>
  <c r="F252" i="19"/>
  <c r="D251" i="19"/>
  <c r="F251" i="19" s="1"/>
  <c r="F250" i="19"/>
  <c r="F249" i="19"/>
  <c r="F248" i="19"/>
  <c r="F247" i="19"/>
  <c r="F246" i="19"/>
  <c r="F245" i="19"/>
  <c r="K244" i="19"/>
  <c r="J244" i="19"/>
  <c r="D244" i="19"/>
  <c r="F244" i="19" s="1"/>
  <c r="F243" i="19"/>
  <c r="F242" i="19"/>
  <c r="F241" i="19"/>
  <c r="F240" i="19"/>
  <c r="F239" i="19"/>
  <c r="J238" i="19" s="1"/>
  <c r="F238" i="19"/>
  <c r="D237" i="19"/>
  <c r="F237" i="19" s="1"/>
  <c r="F236" i="19"/>
  <c r="F235" i="19"/>
  <c r="F234" i="19"/>
  <c r="F233" i="19"/>
  <c r="F232" i="19"/>
  <c r="F231" i="19"/>
  <c r="L230" i="19"/>
  <c r="K230" i="19"/>
  <c r="F230" i="19"/>
  <c r="D229" i="19"/>
  <c r="F229" i="19" s="1"/>
  <c r="F228" i="19"/>
  <c r="F227" i="19"/>
  <c r="F226" i="19"/>
  <c r="F225" i="19"/>
  <c r="F224" i="19"/>
  <c r="F223" i="19"/>
  <c r="F222" i="19"/>
  <c r="F221" i="19"/>
  <c r="F220" i="19"/>
  <c r="F219" i="19"/>
  <c r="F218" i="19"/>
  <c r="F217" i="19"/>
  <c r="F216" i="19"/>
  <c r="F215" i="19"/>
  <c r="J214" i="19"/>
  <c r="K214" i="19" s="1"/>
  <c r="F214" i="19"/>
  <c r="F213" i="19"/>
  <c r="F212" i="19"/>
  <c r="F211" i="19"/>
  <c r="F210" i="19"/>
  <c r="F208" i="19"/>
  <c r="F207" i="19"/>
  <c r="F206" i="19"/>
  <c r="F205" i="19"/>
  <c r="F203" i="19"/>
  <c r="F202" i="19"/>
  <c r="F201" i="19"/>
  <c r="F200" i="19"/>
  <c r="F199" i="19"/>
  <c r="F198" i="19"/>
  <c r="F197" i="19"/>
  <c r="F195" i="19"/>
  <c r="F194" i="19"/>
  <c r="F193" i="19"/>
  <c r="F192" i="19"/>
  <c r="F191" i="19"/>
  <c r="F190" i="19"/>
  <c r="F189" i="19"/>
  <c r="F188" i="19"/>
  <c r="F187" i="19"/>
  <c r="F186" i="19"/>
  <c r="L52" i="19" s="1"/>
  <c r="F185" i="19"/>
  <c r="F183" i="19"/>
  <c r="J183" i="19" s="1"/>
  <c r="L183" i="19" s="1"/>
  <c r="F182" i="19"/>
  <c r="F181" i="19"/>
  <c r="F180" i="19"/>
  <c r="F179" i="19"/>
  <c r="F177" i="19"/>
  <c r="F176" i="19"/>
  <c r="F174" i="19"/>
  <c r="F173" i="19"/>
  <c r="F172" i="19"/>
  <c r="F171" i="19"/>
  <c r="F170" i="19"/>
  <c r="F169" i="19"/>
  <c r="F168" i="19"/>
  <c r="F167" i="19"/>
  <c r="F166" i="19"/>
  <c r="F165" i="19"/>
  <c r="F164" i="19"/>
  <c r="F163" i="19"/>
  <c r="F162" i="19"/>
  <c r="F161" i="19"/>
  <c r="F160" i="19"/>
  <c r="F159" i="19"/>
  <c r="F158" i="19"/>
  <c r="F157" i="19"/>
  <c r="F156" i="19"/>
  <c r="K155" i="19"/>
  <c r="J155" i="19"/>
  <c r="F155" i="19"/>
  <c r="J154" i="19"/>
  <c r="K154" i="19" s="1"/>
  <c r="F154" i="19"/>
  <c r="J153" i="19"/>
  <c r="K153" i="19" s="1"/>
  <c r="F153" i="19"/>
  <c r="J152" i="19"/>
  <c r="K152" i="19" s="1"/>
  <c r="F152" i="19"/>
  <c r="K151" i="19"/>
  <c r="J151" i="19"/>
  <c r="F151" i="19"/>
  <c r="J150" i="19"/>
  <c r="K150" i="19" s="1"/>
  <c r="F150" i="19"/>
  <c r="J149" i="19"/>
  <c r="K149" i="19" s="1"/>
  <c r="F149" i="19"/>
  <c r="J148" i="19"/>
  <c r="K148" i="19" s="1"/>
  <c r="F148" i="19"/>
  <c r="K147" i="19"/>
  <c r="J147" i="19"/>
  <c r="F147" i="19"/>
  <c r="J146" i="19"/>
  <c r="K146" i="19" s="1"/>
  <c r="F146" i="19"/>
  <c r="J145" i="19"/>
  <c r="K145" i="19" s="1"/>
  <c r="F145" i="19"/>
  <c r="J144" i="19"/>
  <c r="K144" i="19" s="1"/>
  <c r="F144" i="19"/>
  <c r="K143" i="19"/>
  <c r="J143" i="19"/>
  <c r="J142" i="19"/>
  <c r="K142" i="19" s="1"/>
  <c r="F142" i="19"/>
  <c r="J141" i="19"/>
  <c r="K141" i="19" s="1"/>
  <c r="F141" i="19"/>
  <c r="K140" i="19"/>
  <c r="J140" i="19"/>
  <c r="F140" i="19"/>
  <c r="J139" i="19"/>
  <c r="K139" i="19" s="1"/>
  <c r="J138" i="19"/>
  <c r="K138" i="19" s="1"/>
  <c r="F138" i="19"/>
  <c r="J137" i="19"/>
  <c r="K137" i="19" s="1"/>
  <c r="F137" i="19"/>
  <c r="K136" i="19"/>
  <c r="J136" i="19"/>
  <c r="F136" i="19"/>
  <c r="J135" i="19"/>
  <c r="K135" i="19" s="1"/>
  <c r="K134" i="19"/>
  <c r="J134" i="19"/>
  <c r="F134" i="19"/>
  <c r="J133" i="19"/>
  <c r="K133" i="19" s="1"/>
  <c r="F133" i="19"/>
  <c r="J132" i="19"/>
  <c r="K132" i="19" s="1"/>
  <c r="F132" i="19"/>
  <c r="J131" i="19"/>
  <c r="K131" i="19" s="1"/>
  <c r="F131" i="19"/>
  <c r="K130" i="19"/>
  <c r="J130" i="19"/>
  <c r="F130" i="19"/>
  <c r="J129" i="19"/>
  <c r="K129" i="19" s="1"/>
  <c r="F129" i="19"/>
  <c r="J128" i="19"/>
  <c r="K128" i="19" s="1"/>
  <c r="F128" i="19"/>
  <c r="J127" i="19"/>
  <c r="K127" i="19" s="1"/>
  <c r="F127" i="19"/>
  <c r="J126" i="19"/>
  <c r="F126" i="19"/>
  <c r="J125" i="19"/>
  <c r="F125" i="19"/>
  <c r="J124" i="19"/>
  <c r="F124" i="19"/>
  <c r="J123" i="19"/>
  <c r="K123" i="19" s="1"/>
  <c r="F123" i="19"/>
  <c r="J122" i="19"/>
  <c r="K122" i="19" s="1"/>
  <c r="F122" i="19"/>
  <c r="J121" i="19"/>
  <c r="F121" i="19"/>
  <c r="J120" i="19"/>
  <c r="K120" i="19" s="1"/>
  <c r="F120" i="19"/>
  <c r="J119" i="19"/>
  <c r="K119" i="19" s="1"/>
  <c r="F119" i="19"/>
  <c r="K118" i="19"/>
  <c r="J118" i="19"/>
  <c r="F118" i="19"/>
  <c r="J117" i="19"/>
  <c r="K117" i="19" s="1"/>
  <c r="E117" i="19"/>
  <c r="F117" i="19" s="1"/>
  <c r="J116" i="19"/>
  <c r="K116" i="19" s="1"/>
  <c r="F116" i="19"/>
  <c r="J115" i="19"/>
  <c r="F115" i="19"/>
  <c r="J111" i="19" s="1"/>
  <c r="J114" i="19"/>
  <c r="F114" i="19"/>
  <c r="J113" i="19"/>
  <c r="K113" i="19" s="1"/>
  <c r="F113" i="19"/>
  <c r="J112" i="19"/>
  <c r="K112" i="19" s="1"/>
  <c r="F112" i="19"/>
  <c r="L112" i="19" s="1"/>
  <c r="K111" i="19"/>
  <c r="F111" i="19"/>
  <c r="F110" i="19"/>
  <c r="F108" i="19"/>
  <c r="F107" i="19"/>
  <c r="F106" i="19"/>
  <c r="F105" i="19"/>
  <c r="F104" i="19"/>
  <c r="F103" i="19"/>
  <c r="F102" i="19"/>
  <c r="F101" i="19"/>
  <c r="F100" i="19"/>
  <c r="F99" i="19"/>
  <c r="K97" i="19" s="1"/>
  <c r="F98" i="19"/>
  <c r="F96" i="19"/>
  <c r="F95" i="19"/>
  <c r="F94" i="19"/>
  <c r="F93" i="19"/>
  <c r="F92" i="19"/>
  <c r="F91" i="19"/>
  <c r="F90" i="19"/>
  <c r="F89" i="19"/>
  <c r="F88" i="19"/>
  <c r="F87" i="19"/>
  <c r="F86" i="19"/>
  <c r="F85" i="19"/>
  <c r="F84" i="19"/>
  <c r="F83" i="19"/>
  <c r="F81" i="19"/>
  <c r="F80" i="19"/>
  <c r="F79" i="19"/>
  <c r="F78" i="19"/>
  <c r="F77" i="19"/>
  <c r="F76" i="19"/>
  <c r="J75" i="19"/>
  <c r="F75" i="19"/>
  <c r="F74" i="19"/>
  <c r="F73" i="19"/>
  <c r="F72" i="19"/>
  <c r="F71" i="19"/>
  <c r="J69" i="19"/>
  <c r="F69" i="19"/>
  <c r="J68" i="19" s="1"/>
  <c r="F68" i="19"/>
  <c r="F67" i="19"/>
  <c r="F66" i="19"/>
  <c r="F65" i="19"/>
  <c r="F64" i="19"/>
  <c r="F63" i="19"/>
  <c r="F62" i="19"/>
  <c r="F61" i="19"/>
  <c r="F60" i="19"/>
  <c r="F59" i="19"/>
  <c r="F58" i="19"/>
  <c r="F57" i="19"/>
  <c r="F56" i="19"/>
  <c r="F55" i="19"/>
  <c r="F54" i="19"/>
  <c r="K53" i="19"/>
  <c r="J53" i="19"/>
  <c r="F53" i="19"/>
  <c r="J52" i="19"/>
  <c r="K52" i="19" s="1"/>
  <c r="F52" i="19"/>
  <c r="F51" i="19"/>
  <c r="F50" i="19"/>
  <c r="F49" i="19"/>
  <c r="J48" i="19"/>
  <c r="K48" i="19" s="1"/>
  <c r="F48" i="19"/>
  <c r="J47" i="19"/>
  <c r="K47" i="19" s="1"/>
  <c r="F47" i="19"/>
  <c r="F46" i="19"/>
  <c r="F44" i="19"/>
  <c r="J43" i="19"/>
  <c r="F43" i="19"/>
  <c r="F42" i="19"/>
  <c r="F41" i="19"/>
  <c r="F40" i="19"/>
  <c r="J39" i="19"/>
  <c r="F39" i="19"/>
  <c r="F38" i="19"/>
  <c r="J37" i="19"/>
  <c r="F37" i="19"/>
  <c r="K36" i="19"/>
  <c r="F36" i="19"/>
  <c r="K35" i="19"/>
  <c r="F35" i="19"/>
  <c r="J34" i="19"/>
  <c r="F33" i="19"/>
  <c r="F32" i="19"/>
  <c r="F31" i="19"/>
  <c r="F30" i="19"/>
  <c r="F29" i="19"/>
  <c r="F28" i="19"/>
  <c r="F27" i="19"/>
  <c r="F26" i="19"/>
  <c r="F25" i="19"/>
  <c r="F24" i="19"/>
  <c r="F22" i="19"/>
  <c r="F21" i="19"/>
  <c r="F20" i="19"/>
  <c r="F19" i="19"/>
  <c r="F18" i="19"/>
  <c r="F17" i="19"/>
  <c r="F16" i="19"/>
  <c r="F15" i="19"/>
  <c r="F14" i="19"/>
  <c r="F13" i="19"/>
  <c r="F12" i="19"/>
  <c r="F11" i="19"/>
  <c r="F10" i="19"/>
  <c r="F9" i="19"/>
  <c r="F8" i="19"/>
  <c r="F6" i="19"/>
  <c r="F5" i="19"/>
  <c r="M332" i="18"/>
  <c r="J327" i="18"/>
  <c r="J329" i="18" s="1"/>
  <c r="J332" i="18" s="1"/>
  <c r="Q326" i="18"/>
  <c r="Q325" i="18"/>
  <c r="Q324" i="18"/>
  <c r="Q323" i="18"/>
  <c r="Q322" i="18"/>
  <c r="Q321" i="18"/>
  <c r="Q320" i="18"/>
  <c r="J320" i="18"/>
  <c r="Q319" i="18"/>
  <c r="Q318" i="18"/>
  <c r="Q317" i="18"/>
  <c r="F304" i="18"/>
  <c r="F303" i="18"/>
  <c r="F302" i="18"/>
  <c r="F301" i="18"/>
  <c r="F300" i="18"/>
  <c r="F299" i="18"/>
  <c r="F298" i="18"/>
  <c r="F297" i="18"/>
  <c r="F296" i="18"/>
  <c r="F295" i="18"/>
  <c r="F294" i="18"/>
  <c r="F293" i="18"/>
  <c r="F292" i="18"/>
  <c r="F291" i="18"/>
  <c r="F290" i="18"/>
  <c r="F289" i="18"/>
  <c r="F288" i="18"/>
  <c r="F287" i="18"/>
  <c r="F286" i="18"/>
  <c r="F285" i="18"/>
  <c r="F284" i="18"/>
  <c r="F283" i="18"/>
  <c r="F282" i="18"/>
  <c r="F281" i="18"/>
  <c r="F280" i="18"/>
  <c r="F279" i="18"/>
  <c r="F278" i="18"/>
  <c r="F277" i="18"/>
  <c r="F276" i="18"/>
  <c r="F275" i="18"/>
  <c r="F274" i="18"/>
  <c r="F273" i="18"/>
  <c r="F272" i="18"/>
  <c r="F271" i="18"/>
  <c r="F270" i="18"/>
  <c r="K269" i="18"/>
  <c r="K270" i="18" s="1"/>
  <c r="F269" i="18"/>
  <c r="F268" i="18"/>
  <c r="F267" i="18"/>
  <c r="F266" i="18"/>
  <c r="F265" i="18"/>
  <c r="F264" i="18"/>
  <c r="F263" i="18"/>
  <c r="F262" i="18"/>
  <c r="F261" i="18"/>
  <c r="F260" i="18"/>
  <c r="F259" i="18"/>
  <c r="F258" i="18"/>
  <c r="F257" i="18"/>
  <c r="F256" i="18"/>
  <c r="F255" i="18"/>
  <c r="D254" i="18"/>
  <c r="F254" i="18" s="1"/>
  <c r="F253" i="18"/>
  <c r="F252" i="18"/>
  <c r="D251" i="18"/>
  <c r="F251" i="18" s="1"/>
  <c r="F250" i="18"/>
  <c r="F249" i="18"/>
  <c r="F248" i="18"/>
  <c r="F247" i="18"/>
  <c r="F246" i="18"/>
  <c r="F245" i="18"/>
  <c r="K244" i="18"/>
  <c r="J244" i="18"/>
  <c r="D244" i="18"/>
  <c r="F244" i="18" s="1"/>
  <c r="F243" i="18"/>
  <c r="F242" i="18"/>
  <c r="F241" i="18"/>
  <c r="F240" i="18"/>
  <c r="F239" i="18"/>
  <c r="F238" i="18"/>
  <c r="D237" i="18"/>
  <c r="F237" i="18" s="1"/>
  <c r="F236" i="18"/>
  <c r="F235" i="18"/>
  <c r="F234" i="18"/>
  <c r="F233" i="18"/>
  <c r="F232" i="18"/>
  <c r="F231" i="18"/>
  <c r="L230" i="18"/>
  <c r="K230" i="18"/>
  <c r="F230" i="18"/>
  <c r="D229" i="18"/>
  <c r="F229" i="18" s="1"/>
  <c r="F228" i="18"/>
  <c r="F227" i="18"/>
  <c r="F226" i="18"/>
  <c r="F225" i="18"/>
  <c r="F224" i="18"/>
  <c r="F223" i="18"/>
  <c r="F222" i="18"/>
  <c r="F221" i="18"/>
  <c r="F220" i="18"/>
  <c r="F219" i="18"/>
  <c r="F218" i="18"/>
  <c r="F217" i="18"/>
  <c r="F216" i="18"/>
  <c r="F215" i="18"/>
  <c r="J214" i="18"/>
  <c r="K214" i="18" s="1"/>
  <c r="F214" i="18"/>
  <c r="F213" i="18"/>
  <c r="F212" i="18"/>
  <c r="F211" i="18"/>
  <c r="F210" i="18"/>
  <c r="F208" i="18"/>
  <c r="F207" i="18"/>
  <c r="F206" i="18"/>
  <c r="F205" i="18"/>
  <c r="F203" i="18"/>
  <c r="F202" i="18"/>
  <c r="F201" i="18"/>
  <c r="F200" i="18"/>
  <c r="F199" i="18"/>
  <c r="F198" i="18"/>
  <c r="F197" i="18"/>
  <c r="F195" i="18"/>
  <c r="F194" i="18"/>
  <c r="F193" i="18"/>
  <c r="F192" i="18"/>
  <c r="F191" i="18"/>
  <c r="F190" i="18"/>
  <c r="F189" i="18"/>
  <c r="F188" i="18"/>
  <c r="F187" i="18"/>
  <c r="F186" i="18"/>
  <c r="F185" i="18"/>
  <c r="F183" i="18"/>
  <c r="J183" i="18" s="1"/>
  <c r="L183" i="18" s="1"/>
  <c r="F182" i="18"/>
  <c r="F181" i="18"/>
  <c r="F180" i="18"/>
  <c r="F179" i="18"/>
  <c r="F177" i="18"/>
  <c r="F176" i="18"/>
  <c r="F174" i="18"/>
  <c r="F173" i="18"/>
  <c r="F172" i="18"/>
  <c r="F171" i="18"/>
  <c r="F170" i="18"/>
  <c r="F169" i="18"/>
  <c r="F168" i="18"/>
  <c r="F167" i="18"/>
  <c r="F166" i="18"/>
  <c r="F165" i="18"/>
  <c r="F164" i="18"/>
  <c r="F163" i="18"/>
  <c r="F162" i="18"/>
  <c r="F161" i="18"/>
  <c r="F160" i="18"/>
  <c r="F159" i="18"/>
  <c r="F158" i="18"/>
  <c r="F157" i="18"/>
  <c r="F156" i="18"/>
  <c r="J155" i="18"/>
  <c r="K155" i="18" s="1"/>
  <c r="F155" i="18"/>
  <c r="J154" i="18"/>
  <c r="K154" i="18" s="1"/>
  <c r="F154" i="18"/>
  <c r="J153" i="18"/>
  <c r="K153" i="18" s="1"/>
  <c r="F153" i="18"/>
  <c r="J152" i="18"/>
  <c r="K152" i="18" s="1"/>
  <c r="F152" i="18"/>
  <c r="J151" i="18"/>
  <c r="K151" i="18" s="1"/>
  <c r="F151" i="18"/>
  <c r="J150" i="18"/>
  <c r="K150" i="18" s="1"/>
  <c r="F150" i="18"/>
  <c r="J149" i="18"/>
  <c r="K149" i="18" s="1"/>
  <c r="F149" i="18"/>
  <c r="J148" i="18"/>
  <c r="K148" i="18" s="1"/>
  <c r="F148" i="18"/>
  <c r="J147" i="18"/>
  <c r="K147" i="18" s="1"/>
  <c r="F147" i="18"/>
  <c r="J146" i="18"/>
  <c r="K146" i="18" s="1"/>
  <c r="F146" i="18"/>
  <c r="J145" i="18"/>
  <c r="K145" i="18" s="1"/>
  <c r="F145" i="18"/>
  <c r="J144" i="18"/>
  <c r="K144" i="18" s="1"/>
  <c r="F144" i="18"/>
  <c r="J143" i="18"/>
  <c r="K143" i="18" s="1"/>
  <c r="J142" i="18"/>
  <c r="K142" i="18" s="1"/>
  <c r="F142" i="18"/>
  <c r="J141" i="18"/>
  <c r="K141" i="18" s="1"/>
  <c r="F141" i="18"/>
  <c r="J140" i="18"/>
  <c r="K140" i="18" s="1"/>
  <c r="F140" i="18"/>
  <c r="J139" i="18"/>
  <c r="K139" i="18" s="1"/>
  <c r="J138" i="18"/>
  <c r="K138" i="18" s="1"/>
  <c r="F138" i="18"/>
  <c r="J137" i="18"/>
  <c r="K137" i="18" s="1"/>
  <c r="F137" i="18"/>
  <c r="J136" i="18"/>
  <c r="K136" i="18" s="1"/>
  <c r="F136" i="18"/>
  <c r="J135" i="18"/>
  <c r="K135" i="18" s="1"/>
  <c r="J134" i="18"/>
  <c r="K134" i="18" s="1"/>
  <c r="F134" i="18"/>
  <c r="J133" i="18"/>
  <c r="K133" i="18" s="1"/>
  <c r="F133" i="18"/>
  <c r="J132" i="18"/>
  <c r="K132" i="18" s="1"/>
  <c r="F132" i="18"/>
  <c r="J131" i="18"/>
  <c r="K131" i="18" s="1"/>
  <c r="F131" i="18"/>
  <c r="J130" i="18"/>
  <c r="K130" i="18" s="1"/>
  <c r="F130" i="18"/>
  <c r="J129" i="18"/>
  <c r="K129" i="18" s="1"/>
  <c r="F129" i="18"/>
  <c r="J128" i="18"/>
  <c r="K128" i="18" s="1"/>
  <c r="F128" i="18"/>
  <c r="J127" i="18"/>
  <c r="K127" i="18" s="1"/>
  <c r="F127" i="18"/>
  <c r="J126" i="18"/>
  <c r="F126" i="18"/>
  <c r="J125" i="18"/>
  <c r="F125" i="18"/>
  <c r="J124" i="18"/>
  <c r="F124" i="18"/>
  <c r="J123" i="18"/>
  <c r="K123" i="18" s="1"/>
  <c r="F123" i="18"/>
  <c r="J122" i="18"/>
  <c r="K122" i="18" s="1"/>
  <c r="F122" i="18"/>
  <c r="J121" i="18"/>
  <c r="F121" i="18"/>
  <c r="J120" i="18"/>
  <c r="K120" i="18" s="1"/>
  <c r="F120" i="18"/>
  <c r="J119" i="18"/>
  <c r="K119" i="18" s="1"/>
  <c r="F119" i="18"/>
  <c r="J118" i="18"/>
  <c r="K118" i="18" s="1"/>
  <c r="F118" i="18"/>
  <c r="J117" i="18"/>
  <c r="K117" i="18" s="1"/>
  <c r="E117" i="18"/>
  <c r="F117" i="18" s="1"/>
  <c r="J116" i="18"/>
  <c r="K116" i="18" s="1"/>
  <c r="F116" i="18"/>
  <c r="J115" i="18"/>
  <c r="F115" i="18"/>
  <c r="J114" i="18"/>
  <c r="F114" i="18"/>
  <c r="J113" i="18"/>
  <c r="K113" i="18" s="1"/>
  <c r="F113" i="18"/>
  <c r="J112" i="18"/>
  <c r="K112" i="18" s="1"/>
  <c r="F112" i="18"/>
  <c r="K111" i="18"/>
  <c r="F111" i="18"/>
  <c r="F110" i="18"/>
  <c r="F108" i="18"/>
  <c r="F107" i="18"/>
  <c r="F106" i="18"/>
  <c r="F105" i="18"/>
  <c r="F104" i="18"/>
  <c r="F103" i="18"/>
  <c r="F102" i="18"/>
  <c r="F101" i="18"/>
  <c r="F100" i="18"/>
  <c r="F99" i="18"/>
  <c r="F98" i="18"/>
  <c r="F96" i="18"/>
  <c r="F95" i="18"/>
  <c r="F94" i="18"/>
  <c r="F93" i="18"/>
  <c r="F92" i="18"/>
  <c r="F91" i="18"/>
  <c r="F90" i="18"/>
  <c r="F89" i="18"/>
  <c r="F88" i="18"/>
  <c r="F87" i="18"/>
  <c r="F86" i="18"/>
  <c r="F85" i="18"/>
  <c r="F84" i="18"/>
  <c r="F83" i="18"/>
  <c r="F81" i="18"/>
  <c r="F80" i="18"/>
  <c r="F79" i="18"/>
  <c r="F78" i="18"/>
  <c r="F77" i="18"/>
  <c r="F76" i="18"/>
  <c r="J75" i="18"/>
  <c r="F75" i="18"/>
  <c r="F74" i="18"/>
  <c r="F73" i="18"/>
  <c r="F72" i="18"/>
  <c r="F71" i="18"/>
  <c r="J69" i="18"/>
  <c r="F69" i="18"/>
  <c r="F68" i="18"/>
  <c r="F67" i="18"/>
  <c r="F66" i="18"/>
  <c r="F65" i="18"/>
  <c r="F64" i="18"/>
  <c r="F63" i="18"/>
  <c r="F62" i="18"/>
  <c r="F61" i="18"/>
  <c r="F60" i="18"/>
  <c r="F59" i="18"/>
  <c r="F58" i="18"/>
  <c r="F57" i="18"/>
  <c r="F56" i="18"/>
  <c r="F55" i="18"/>
  <c r="F54" i="18"/>
  <c r="J53" i="18"/>
  <c r="K53" i="18" s="1"/>
  <c r="F53" i="18"/>
  <c r="J52" i="18"/>
  <c r="K52" i="18" s="1"/>
  <c r="F52" i="18"/>
  <c r="F51" i="18"/>
  <c r="F50" i="18"/>
  <c r="F49" i="18"/>
  <c r="J48" i="18"/>
  <c r="K48" i="18" s="1"/>
  <c r="F48" i="18"/>
  <c r="J47" i="18"/>
  <c r="K47" i="18" s="1"/>
  <c r="F47" i="18"/>
  <c r="F46" i="18"/>
  <c r="F44" i="18"/>
  <c r="J43" i="18"/>
  <c r="F43" i="18"/>
  <c r="F42" i="18"/>
  <c r="F41" i="18"/>
  <c r="F40" i="18"/>
  <c r="J39" i="18"/>
  <c r="F39" i="18"/>
  <c r="F38" i="18"/>
  <c r="J37" i="18"/>
  <c r="F37" i="18"/>
  <c r="K36" i="18"/>
  <c r="F36" i="18"/>
  <c r="K35" i="18"/>
  <c r="F35" i="18"/>
  <c r="J34" i="18"/>
  <c r="F33" i="18"/>
  <c r="F32" i="18"/>
  <c r="F31" i="18"/>
  <c r="F30" i="18"/>
  <c r="F29" i="18"/>
  <c r="F28" i="18"/>
  <c r="F27" i="18"/>
  <c r="F26" i="18"/>
  <c r="F25" i="18"/>
  <c r="F24" i="18"/>
  <c r="F22" i="18"/>
  <c r="F21" i="18"/>
  <c r="F20" i="18"/>
  <c r="F19" i="18"/>
  <c r="F18" i="18"/>
  <c r="F17" i="18"/>
  <c r="F16" i="18"/>
  <c r="F15" i="18"/>
  <c r="F14" i="18"/>
  <c r="F13" i="18"/>
  <c r="F12" i="18"/>
  <c r="F11" i="18"/>
  <c r="F10" i="18"/>
  <c r="F9" i="18"/>
  <c r="F8" i="18"/>
  <c r="F6" i="18"/>
  <c r="F5" i="18"/>
  <c r="J332" i="17"/>
  <c r="G327" i="17"/>
  <c r="G329" i="17" s="1"/>
  <c r="G332" i="17" s="1"/>
  <c r="N326" i="17"/>
  <c r="N325" i="17"/>
  <c r="N324" i="17"/>
  <c r="N323" i="17"/>
  <c r="N322" i="17"/>
  <c r="N321" i="17"/>
  <c r="N320" i="17"/>
  <c r="G320" i="17"/>
  <c r="N319" i="17"/>
  <c r="N318" i="17"/>
  <c r="N317" i="17"/>
  <c r="F304" i="17"/>
  <c r="F303" i="17"/>
  <c r="F302" i="17"/>
  <c r="F301" i="17"/>
  <c r="F300" i="17"/>
  <c r="F299" i="17"/>
  <c r="F298" i="17"/>
  <c r="F297" i="17"/>
  <c r="F296" i="17"/>
  <c r="F295" i="17"/>
  <c r="F294" i="17"/>
  <c r="F293" i="17"/>
  <c r="F292" i="17"/>
  <c r="F291" i="17"/>
  <c r="F290" i="17"/>
  <c r="F289" i="17"/>
  <c r="F288" i="17"/>
  <c r="F287" i="17"/>
  <c r="F286" i="17"/>
  <c r="F285" i="17"/>
  <c r="F284" i="17"/>
  <c r="F283" i="17"/>
  <c r="F282" i="17"/>
  <c r="F281" i="17"/>
  <c r="F280" i="17"/>
  <c r="F279" i="17"/>
  <c r="F278" i="17"/>
  <c r="F277" i="17"/>
  <c r="F276" i="17"/>
  <c r="F275" i="17"/>
  <c r="F274" i="17"/>
  <c r="F273" i="17"/>
  <c r="F272" i="17"/>
  <c r="F271" i="17"/>
  <c r="F270" i="17"/>
  <c r="H269" i="17"/>
  <c r="H270" i="17" s="1"/>
  <c r="F269" i="17"/>
  <c r="F268" i="17"/>
  <c r="F267" i="17"/>
  <c r="F266" i="17"/>
  <c r="F265" i="17"/>
  <c r="F264" i="17"/>
  <c r="F263" i="17"/>
  <c r="F262" i="17"/>
  <c r="F261" i="17"/>
  <c r="F260" i="17"/>
  <c r="G260" i="17" s="1"/>
  <c r="H261" i="17" s="1"/>
  <c r="F259" i="17"/>
  <c r="F258" i="17"/>
  <c r="F257" i="17"/>
  <c r="F256" i="17"/>
  <c r="F255" i="17"/>
  <c r="D254" i="17"/>
  <c r="F254" i="17" s="1"/>
  <c r="F253" i="17"/>
  <c r="F252" i="17"/>
  <c r="D251" i="17"/>
  <c r="F251" i="17" s="1"/>
  <c r="F250" i="17"/>
  <c r="F249" i="17"/>
  <c r="F248" i="17"/>
  <c r="F247" i="17"/>
  <c r="F246" i="17"/>
  <c r="F245" i="17"/>
  <c r="H244" i="17"/>
  <c r="G244" i="17"/>
  <c r="D244" i="17"/>
  <c r="F244" i="17" s="1"/>
  <c r="F243" i="17"/>
  <c r="F242" i="17"/>
  <c r="F241" i="17"/>
  <c r="F240" i="17"/>
  <c r="F239" i="17"/>
  <c r="F238" i="17"/>
  <c r="D237" i="17"/>
  <c r="F237" i="17" s="1"/>
  <c r="F236" i="17"/>
  <c r="F235" i="17"/>
  <c r="F234" i="17"/>
  <c r="F233" i="17"/>
  <c r="F232" i="17"/>
  <c r="F231" i="17"/>
  <c r="I230" i="17"/>
  <c r="H230" i="17"/>
  <c r="F230" i="17"/>
  <c r="D229" i="17"/>
  <c r="F229" i="17" s="1"/>
  <c r="F228" i="17"/>
  <c r="F227" i="17"/>
  <c r="F226" i="17"/>
  <c r="F225" i="17"/>
  <c r="F224" i="17"/>
  <c r="F223" i="17"/>
  <c r="F222" i="17"/>
  <c r="F221" i="17"/>
  <c r="F220" i="17"/>
  <c r="F219" i="17"/>
  <c r="F218" i="17"/>
  <c r="F217" i="17"/>
  <c r="F216" i="17"/>
  <c r="F215" i="17"/>
  <c r="G214" i="17"/>
  <c r="H214" i="17" s="1"/>
  <c r="F214" i="17"/>
  <c r="F213" i="17"/>
  <c r="F212" i="17"/>
  <c r="F211" i="17"/>
  <c r="F210" i="17"/>
  <c r="F208" i="17"/>
  <c r="F207" i="17"/>
  <c r="F206" i="17"/>
  <c r="F205" i="17"/>
  <c r="F203" i="17"/>
  <c r="F202" i="17"/>
  <c r="F201" i="17"/>
  <c r="F200" i="17"/>
  <c r="F199" i="17"/>
  <c r="F198" i="17"/>
  <c r="F197" i="17"/>
  <c r="F195" i="17"/>
  <c r="F194" i="17"/>
  <c r="F193" i="17"/>
  <c r="F192" i="17"/>
  <c r="F191" i="17"/>
  <c r="F190" i="17"/>
  <c r="F189" i="17"/>
  <c r="F188" i="17"/>
  <c r="F187" i="17"/>
  <c r="F186" i="17"/>
  <c r="F185" i="17"/>
  <c r="F183" i="17"/>
  <c r="G183" i="17" s="1"/>
  <c r="I183" i="17" s="1"/>
  <c r="F182" i="17"/>
  <c r="F181" i="17"/>
  <c r="F180" i="17"/>
  <c r="F179" i="17"/>
  <c r="F177" i="17"/>
  <c r="F176" i="17"/>
  <c r="F174" i="17"/>
  <c r="F173" i="17"/>
  <c r="F172" i="17"/>
  <c r="F171" i="17"/>
  <c r="F170" i="17"/>
  <c r="F169" i="17"/>
  <c r="F168" i="17"/>
  <c r="F167" i="17"/>
  <c r="F166" i="17"/>
  <c r="F165" i="17"/>
  <c r="F164" i="17"/>
  <c r="F163" i="17"/>
  <c r="F162" i="17"/>
  <c r="F161" i="17"/>
  <c r="F160" i="17"/>
  <c r="F159" i="17"/>
  <c r="F158" i="17"/>
  <c r="F157" i="17"/>
  <c r="F156" i="17"/>
  <c r="G155" i="17"/>
  <c r="H155" i="17" s="1"/>
  <c r="F155" i="17"/>
  <c r="G154" i="17"/>
  <c r="H154" i="17" s="1"/>
  <c r="F154" i="17"/>
  <c r="G153" i="17"/>
  <c r="H153" i="17" s="1"/>
  <c r="F153" i="17"/>
  <c r="G152" i="17"/>
  <c r="H152" i="17" s="1"/>
  <c r="F152" i="17"/>
  <c r="G151" i="17"/>
  <c r="H151" i="17" s="1"/>
  <c r="F151" i="17"/>
  <c r="G150" i="17"/>
  <c r="H150" i="17" s="1"/>
  <c r="F150" i="17"/>
  <c r="G149" i="17"/>
  <c r="H149" i="17" s="1"/>
  <c r="F149" i="17"/>
  <c r="G148" i="17"/>
  <c r="H148" i="17" s="1"/>
  <c r="F148" i="17"/>
  <c r="G147" i="17"/>
  <c r="H147" i="17" s="1"/>
  <c r="F147" i="17"/>
  <c r="G146" i="17"/>
  <c r="H146" i="17" s="1"/>
  <c r="F146" i="17"/>
  <c r="G145" i="17"/>
  <c r="H145" i="17" s="1"/>
  <c r="F145" i="17"/>
  <c r="G144" i="17"/>
  <c r="H144" i="17" s="1"/>
  <c r="F144" i="17"/>
  <c r="G143" i="17"/>
  <c r="H143" i="17" s="1"/>
  <c r="G142" i="17"/>
  <c r="H142" i="17" s="1"/>
  <c r="F142" i="17"/>
  <c r="G141" i="17"/>
  <c r="H141" i="17" s="1"/>
  <c r="F141" i="17"/>
  <c r="G140" i="17"/>
  <c r="H140" i="17" s="1"/>
  <c r="F140" i="17"/>
  <c r="G139" i="17"/>
  <c r="H139" i="17" s="1"/>
  <c r="G138" i="17"/>
  <c r="H138" i="17" s="1"/>
  <c r="F138" i="17"/>
  <c r="G137" i="17"/>
  <c r="H137" i="17" s="1"/>
  <c r="F137" i="17"/>
  <c r="G136" i="17"/>
  <c r="H136" i="17" s="1"/>
  <c r="F136" i="17"/>
  <c r="G135" i="17"/>
  <c r="H135" i="17" s="1"/>
  <c r="G134" i="17"/>
  <c r="H134" i="17" s="1"/>
  <c r="F134" i="17"/>
  <c r="G133" i="17"/>
  <c r="H133" i="17" s="1"/>
  <c r="F133" i="17"/>
  <c r="G132" i="17"/>
  <c r="H132" i="17" s="1"/>
  <c r="F132" i="17"/>
  <c r="G131" i="17"/>
  <c r="H131" i="17" s="1"/>
  <c r="F131" i="17"/>
  <c r="G130" i="17"/>
  <c r="H130" i="17" s="1"/>
  <c r="F130" i="17"/>
  <c r="G129" i="17"/>
  <c r="H129" i="17" s="1"/>
  <c r="F129" i="17"/>
  <c r="G128" i="17"/>
  <c r="H128" i="17" s="1"/>
  <c r="F128" i="17"/>
  <c r="G127" i="17"/>
  <c r="H127" i="17" s="1"/>
  <c r="F127" i="17"/>
  <c r="G126" i="17"/>
  <c r="F126" i="17"/>
  <c r="G125" i="17"/>
  <c r="F125" i="17"/>
  <c r="G124" i="17"/>
  <c r="F124" i="17"/>
  <c r="G123" i="17"/>
  <c r="H123" i="17" s="1"/>
  <c r="F123" i="17"/>
  <c r="G122" i="17"/>
  <c r="H122" i="17" s="1"/>
  <c r="F122" i="17"/>
  <c r="G121" i="17"/>
  <c r="F121" i="17"/>
  <c r="G120" i="17"/>
  <c r="H120" i="17" s="1"/>
  <c r="F120" i="17"/>
  <c r="G119" i="17"/>
  <c r="H119" i="17" s="1"/>
  <c r="F119" i="17"/>
  <c r="G118" i="17"/>
  <c r="H118" i="17" s="1"/>
  <c r="F118" i="17"/>
  <c r="G117" i="17"/>
  <c r="H117" i="17" s="1"/>
  <c r="E117" i="17"/>
  <c r="F117" i="17" s="1"/>
  <c r="G116" i="17"/>
  <c r="H116" i="17" s="1"/>
  <c r="F116" i="17"/>
  <c r="G115" i="17"/>
  <c r="F115" i="17"/>
  <c r="G114" i="17"/>
  <c r="F114" i="17"/>
  <c r="G113" i="17"/>
  <c r="H113" i="17" s="1"/>
  <c r="F113" i="17"/>
  <c r="G112" i="17"/>
  <c r="H112" i="17" s="1"/>
  <c r="F112" i="17"/>
  <c r="H111" i="17"/>
  <c r="F111" i="17"/>
  <c r="F110" i="17"/>
  <c r="F108" i="17"/>
  <c r="F107" i="17"/>
  <c r="F106" i="17"/>
  <c r="F105" i="17"/>
  <c r="F104" i="17"/>
  <c r="F103" i="17"/>
  <c r="F102" i="17"/>
  <c r="F101" i="17"/>
  <c r="F100" i="17"/>
  <c r="F99" i="17"/>
  <c r="F98" i="17"/>
  <c r="F96" i="17"/>
  <c r="F95" i="17"/>
  <c r="F94" i="17"/>
  <c r="F93" i="17"/>
  <c r="F92" i="17"/>
  <c r="F91" i="17"/>
  <c r="F90" i="17"/>
  <c r="F89" i="17"/>
  <c r="F88" i="17"/>
  <c r="F87" i="17"/>
  <c r="F86" i="17"/>
  <c r="F85" i="17"/>
  <c r="F84" i="17"/>
  <c r="F83" i="17"/>
  <c r="F81" i="17"/>
  <c r="F80" i="17"/>
  <c r="F79" i="17"/>
  <c r="F78" i="17"/>
  <c r="F77" i="17"/>
  <c r="F76" i="17"/>
  <c r="G75" i="17"/>
  <c r="F75" i="17"/>
  <c r="F74" i="17"/>
  <c r="F73" i="17"/>
  <c r="F72" i="17"/>
  <c r="F71" i="17"/>
  <c r="G69" i="17"/>
  <c r="F69" i="17"/>
  <c r="F68" i="17"/>
  <c r="F67" i="17"/>
  <c r="F66" i="17"/>
  <c r="F65" i="17"/>
  <c r="F64" i="17"/>
  <c r="F63" i="17"/>
  <c r="F62" i="17"/>
  <c r="F61" i="17"/>
  <c r="F60" i="17"/>
  <c r="F59" i="17"/>
  <c r="F58" i="17"/>
  <c r="F57" i="17"/>
  <c r="F56" i="17"/>
  <c r="F55" i="17"/>
  <c r="F54" i="17"/>
  <c r="G53" i="17"/>
  <c r="H53" i="17" s="1"/>
  <c r="F53" i="17"/>
  <c r="G52" i="17"/>
  <c r="H52" i="17" s="1"/>
  <c r="F52" i="17"/>
  <c r="F51" i="17"/>
  <c r="F50" i="17"/>
  <c r="F49" i="17"/>
  <c r="G48" i="17"/>
  <c r="H48" i="17" s="1"/>
  <c r="F48" i="17"/>
  <c r="G47" i="17"/>
  <c r="H47" i="17" s="1"/>
  <c r="F47" i="17"/>
  <c r="F46" i="17"/>
  <c r="F44" i="17"/>
  <c r="G43" i="17"/>
  <c r="F43" i="17"/>
  <c r="F42" i="17"/>
  <c r="F41" i="17"/>
  <c r="F40" i="17"/>
  <c r="G39" i="17"/>
  <c r="F39" i="17"/>
  <c r="F38" i="17"/>
  <c r="G37" i="17"/>
  <c r="F37" i="17"/>
  <c r="H36" i="17"/>
  <c r="F36" i="17"/>
  <c r="H35" i="17"/>
  <c r="F35" i="17"/>
  <c r="G34" i="17"/>
  <c r="F33" i="17"/>
  <c r="F32" i="17"/>
  <c r="F31" i="17"/>
  <c r="F30" i="17"/>
  <c r="F29" i="17"/>
  <c r="F28" i="17"/>
  <c r="F27" i="17"/>
  <c r="F26" i="17"/>
  <c r="F25" i="17"/>
  <c r="F24" i="17"/>
  <c r="F22" i="17"/>
  <c r="F21" i="17"/>
  <c r="F20" i="17"/>
  <c r="F19" i="17"/>
  <c r="F18" i="17"/>
  <c r="F17" i="17"/>
  <c r="F16" i="17"/>
  <c r="F15" i="17"/>
  <c r="F14" i="17"/>
  <c r="F13" i="17"/>
  <c r="F12" i="17"/>
  <c r="F11" i="17"/>
  <c r="F10" i="17"/>
  <c r="F9" i="17"/>
  <c r="F8" i="17"/>
  <c r="F6" i="17"/>
  <c r="F5" i="17"/>
  <c r="I321" i="16"/>
  <c r="F322" i="16"/>
  <c r="F323" i="16"/>
  <c r="F324" i="16"/>
  <c r="F325" i="16"/>
  <c r="F326" i="16"/>
  <c r="F327" i="16"/>
  <c r="F328" i="16"/>
  <c r="F329" i="16"/>
  <c r="F330" i="16"/>
  <c r="F331" i="16"/>
  <c r="H321" i="16"/>
  <c r="K332" i="16"/>
  <c r="H329" i="16"/>
  <c r="H332" i="16" s="1"/>
  <c r="H327" i="16"/>
  <c r="O326" i="16"/>
  <c r="O325" i="16"/>
  <c r="O324" i="16"/>
  <c r="O323" i="16"/>
  <c r="G323" i="16"/>
  <c r="G327" i="16" s="1"/>
  <c r="G329" i="16" s="1"/>
  <c r="O322" i="16"/>
  <c r="O321" i="16"/>
  <c r="O320" i="16"/>
  <c r="O319" i="16"/>
  <c r="O318" i="16"/>
  <c r="O317" i="16"/>
  <c r="O327" i="16" s="1"/>
  <c r="I269" i="16"/>
  <c r="I270" i="16" s="1"/>
  <c r="I261" i="16"/>
  <c r="D254" i="16"/>
  <c r="D251" i="16"/>
  <c r="I244" i="16"/>
  <c r="D244" i="16"/>
  <c r="D237" i="16"/>
  <c r="J230" i="16"/>
  <c r="I230" i="16"/>
  <c r="D229" i="16"/>
  <c r="I214" i="16"/>
  <c r="J183" i="16"/>
  <c r="I155" i="16"/>
  <c r="I154" i="16"/>
  <c r="I153" i="16"/>
  <c r="I152" i="16"/>
  <c r="I151" i="16"/>
  <c r="I150" i="16"/>
  <c r="I149" i="16"/>
  <c r="I148" i="16"/>
  <c r="I147" i="16"/>
  <c r="I146" i="16"/>
  <c r="I145" i="16"/>
  <c r="I144" i="16"/>
  <c r="I143" i="16"/>
  <c r="I142" i="16"/>
  <c r="I141" i="16"/>
  <c r="I140" i="16"/>
  <c r="I139" i="16"/>
  <c r="I138" i="16"/>
  <c r="I137" i="16"/>
  <c r="I136" i="16"/>
  <c r="I135" i="16"/>
  <c r="I134" i="16"/>
  <c r="I133" i="16"/>
  <c r="I132" i="16"/>
  <c r="I131" i="16"/>
  <c r="I130" i="16"/>
  <c r="I129" i="16"/>
  <c r="I128" i="16"/>
  <c r="I127" i="16"/>
  <c r="I123" i="16"/>
  <c r="I122" i="16"/>
  <c r="I120" i="16"/>
  <c r="I119" i="16"/>
  <c r="I118" i="16"/>
  <c r="I117" i="16"/>
  <c r="I116" i="16"/>
  <c r="I113" i="16"/>
  <c r="J112" i="16"/>
  <c r="I112" i="16"/>
  <c r="I111" i="16"/>
  <c r="I97" i="16"/>
  <c r="M97" i="16" s="1"/>
  <c r="J93" i="16"/>
  <c r="L92" i="16"/>
  <c r="I53" i="16"/>
  <c r="J52" i="16"/>
  <c r="I52" i="16"/>
  <c r="I48" i="16"/>
  <c r="I47" i="16"/>
  <c r="I36" i="16"/>
  <c r="I35" i="16"/>
  <c r="K332" i="15"/>
  <c r="H327" i="15"/>
  <c r="H329" i="15" s="1"/>
  <c r="H332" i="15" s="1"/>
  <c r="O326" i="15"/>
  <c r="O325" i="15"/>
  <c r="O324" i="15"/>
  <c r="O323" i="15"/>
  <c r="O322" i="15"/>
  <c r="O321" i="15"/>
  <c r="O320" i="15"/>
  <c r="H320" i="15"/>
  <c r="O319" i="15"/>
  <c r="O318" i="15"/>
  <c r="O317" i="15"/>
  <c r="O327" i="15" s="1"/>
  <c r="H295" i="15"/>
  <c r="H273" i="15"/>
  <c r="I269" i="15"/>
  <c r="I270" i="15" s="1"/>
  <c r="H260" i="15"/>
  <c r="I261" i="15" s="1"/>
  <c r="D254" i="15"/>
  <c r="D251" i="15"/>
  <c r="I244" i="15"/>
  <c r="H244" i="15"/>
  <c r="D244" i="15"/>
  <c r="H238" i="15"/>
  <c r="D237" i="15"/>
  <c r="J230" i="15"/>
  <c r="I230" i="15"/>
  <c r="D229" i="15"/>
  <c r="H214" i="15"/>
  <c r="I214" i="15" s="1"/>
  <c r="J52" i="15"/>
  <c r="H183" i="15"/>
  <c r="J183" i="15" s="1"/>
  <c r="H155" i="15"/>
  <c r="I155" i="15" s="1"/>
  <c r="H154" i="15"/>
  <c r="I154" i="15" s="1"/>
  <c r="H153" i="15"/>
  <c r="I153" i="15" s="1"/>
  <c r="H152" i="15"/>
  <c r="I152" i="15" s="1"/>
  <c r="H151" i="15"/>
  <c r="I151" i="15" s="1"/>
  <c r="H150" i="15"/>
  <c r="I150" i="15" s="1"/>
  <c r="H149" i="15"/>
  <c r="I149" i="15" s="1"/>
  <c r="H148" i="15"/>
  <c r="I148" i="15" s="1"/>
  <c r="H147" i="15"/>
  <c r="I147" i="15" s="1"/>
  <c r="H146" i="15"/>
  <c r="I146" i="15" s="1"/>
  <c r="H145" i="15"/>
  <c r="I145" i="15" s="1"/>
  <c r="H144" i="15"/>
  <c r="I144" i="15" s="1"/>
  <c r="I143" i="15"/>
  <c r="H143" i="15"/>
  <c r="H142" i="15"/>
  <c r="I142" i="15" s="1"/>
  <c r="H141" i="15"/>
  <c r="I141" i="15" s="1"/>
  <c r="H140" i="15"/>
  <c r="I140" i="15" s="1"/>
  <c r="H139" i="15"/>
  <c r="I139" i="15" s="1"/>
  <c r="H138" i="15"/>
  <c r="I138" i="15" s="1"/>
  <c r="H137" i="15"/>
  <c r="I137" i="15" s="1"/>
  <c r="H136" i="15"/>
  <c r="I136" i="15" s="1"/>
  <c r="H135" i="15"/>
  <c r="I135" i="15" s="1"/>
  <c r="I134" i="15"/>
  <c r="H134" i="15"/>
  <c r="H133" i="15"/>
  <c r="I133" i="15" s="1"/>
  <c r="H132" i="15"/>
  <c r="I132" i="15" s="1"/>
  <c r="H131" i="15"/>
  <c r="I131" i="15" s="1"/>
  <c r="H130" i="15"/>
  <c r="I130" i="15" s="1"/>
  <c r="H129" i="15"/>
  <c r="I129" i="15" s="1"/>
  <c r="H128" i="15"/>
  <c r="I128" i="15" s="1"/>
  <c r="H127" i="15"/>
  <c r="I127" i="15" s="1"/>
  <c r="H126" i="15"/>
  <c r="H125" i="15"/>
  <c r="H124" i="15"/>
  <c r="H123" i="15"/>
  <c r="I123" i="15" s="1"/>
  <c r="H122" i="15"/>
  <c r="I122" i="15" s="1"/>
  <c r="H121" i="15"/>
  <c r="H120" i="15"/>
  <c r="I120" i="15" s="1"/>
  <c r="H119" i="15"/>
  <c r="I119" i="15" s="1"/>
  <c r="H118" i="15"/>
  <c r="I118" i="15" s="1"/>
  <c r="H117" i="15"/>
  <c r="I117" i="15" s="1"/>
  <c r="H116" i="15"/>
  <c r="I116" i="15" s="1"/>
  <c r="H115" i="15"/>
  <c r="H114" i="15"/>
  <c r="H113" i="15"/>
  <c r="I113" i="15" s="1"/>
  <c r="H111" i="15"/>
  <c r="H112" i="15"/>
  <c r="I112" i="15" s="1"/>
  <c r="J112" i="15"/>
  <c r="I111" i="15"/>
  <c r="I97" i="15"/>
  <c r="H75" i="15"/>
  <c r="H69" i="15"/>
  <c r="H68" i="15"/>
  <c r="H93" i="15"/>
  <c r="H53" i="15"/>
  <c r="I53" i="15" s="1"/>
  <c r="H52" i="15"/>
  <c r="I52" i="15" s="1"/>
  <c r="H48" i="15"/>
  <c r="I48" i="15" s="1"/>
  <c r="I47" i="15"/>
  <c r="H47" i="15"/>
  <c r="H43" i="15"/>
  <c r="H39" i="15"/>
  <c r="H37" i="15"/>
  <c r="I36" i="15"/>
  <c r="I35" i="15"/>
  <c r="H34" i="15"/>
  <c r="K331" i="14"/>
  <c r="H326" i="14"/>
  <c r="H328" i="14" s="1"/>
  <c r="H331" i="14" s="1"/>
  <c r="O325" i="14"/>
  <c r="O324" i="14"/>
  <c r="O323" i="14"/>
  <c r="O322" i="14"/>
  <c r="O321" i="14"/>
  <c r="O320" i="14"/>
  <c r="O319" i="14"/>
  <c r="H319" i="14"/>
  <c r="O318" i="14"/>
  <c r="O317" i="14"/>
  <c r="O316" i="14"/>
  <c r="G303" i="14"/>
  <c r="G302" i="14"/>
  <c r="G301" i="14"/>
  <c r="G300" i="14"/>
  <c r="G299" i="14"/>
  <c r="G298" i="14"/>
  <c r="G297" i="14"/>
  <c r="G296" i="14"/>
  <c r="G295" i="14"/>
  <c r="G294" i="14"/>
  <c r="G293" i="14"/>
  <c r="G292" i="14"/>
  <c r="G291" i="14"/>
  <c r="G290" i="14"/>
  <c r="G289" i="14"/>
  <c r="G288" i="14"/>
  <c r="G287" i="14"/>
  <c r="G286" i="14"/>
  <c r="G285" i="14"/>
  <c r="G284" i="14"/>
  <c r="G283" i="14"/>
  <c r="G282" i="14"/>
  <c r="G281" i="14"/>
  <c r="G280" i="14"/>
  <c r="G279" i="14"/>
  <c r="G278" i="14"/>
  <c r="G277" i="14"/>
  <c r="G276" i="14"/>
  <c r="G275" i="14"/>
  <c r="G274" i="14"/>
  <c r="G273" i="14"/>
  <c r="G272" i="14"/>
  <c r="G271" i="14"/>
  <c r="G270" i="14"/>
  <c r="H272" i="14" s="1"/>
  <c r="I269" i="14"/>
  <c r="G269" i="14"/>
  <c r="I268" i="14"/>
  <c r="G268" i="14"/>
  <c r="G267" i="14"/>
  <c r="G266" i="14"/>
  <c r="G265" i="14"/>
  <c r="G264" i="14"/>
  <c r="G263" i="14"/>
  <c r="G262" i="14"/>
  <c r="G261" i="14"/>
  <c r="G260" i="14"/>
  <c r="G259" i="14"/>
  <c r="H259" i="14" s="1"/>
  <c r="I260" i="14" s="1"/>
  <c r="G258" i="14"/>
  <c r="G257" i="14"/>
  <c r="G256" i="14"/>
  <c r="G255" i="14"/>
  <c r="G254" i="14"/>
  <c r="D253" i="14"/>
  <c r="G253" i="14" s="1"/>
  <c r="G252" i="14"/>
  <c r="G251" i="14"/>
  <c r="D250" i="14"/>
  <c r="G250" i="14" s="1"/>
  <c r="G249" i="14"/>
  <c r="G248" i="14"/>
  <c r="G247" i="14"/>
  <c r="G246" i="14"/>
  <c r="G245" i="14"/>
  <c r="G244" i="14"/>
  <c r="I243" i="14"/>
  <c r="H243" i="14"/>
  <c r="D243" i="14"/>
  <c r="G243" i="14" s="1"/>
  <c r="G242" i="14"/>
  <c r="G241" i="14"/>
  <c r="G240" i="14"/>
  <c r="G239" i="14"/>
  <c r="G238" i="14"/>
  <c r="G237" i="14"/>
  <c r="D236" i="14"/>
  <c r="G236" i="14" s="1"/>
  <c r="G235" i="14"/>
  <c r="G234" i="14"/>
  <c r="G233" i="14"/>
  <c r="G232" i="14"/>
  <c r="G231" i="14"/>
  <c r="G230" i="14"/>
  <c r="J229" i="14"/>
  <c r="I229" i="14"/>
  <c r="G229" i="14"/>
  <c r="D228" i="14"/>
  <c r="G228" i="14" s="1"/>
  <c r="G227" i="14"/>
  <c r="G226" i="14"/>
  <c r="G225" i="14"/>
  <c r="G224" i="14"/>
  <c r="G223" i="14"/>
  <c r="G222" i="14"/>
  <c r="G221" i="14"/>
  <c r="G220" i="14"/>
  <c r="G219" i="14"/>
  <c r="G218" i="14"/>
  <c r="G217" i="14"/>
  <c r="G216" i="14"/>
  <c r="G215" i="14"/>
  <c r="G214" i="14"/>
  <c r="H213" i="14"/>
  <c r="I213" i="14" s="1"/>
  <c r="G213" i="14"/>
  <c r="G212" i="14"/>
  <c r="G211" i="14"/>
  <c r="G210" i="14"/>
  <c r="G209" i="14"/>
  <c r="G207" i="14"/>
  <c r="G206" i="14"/>
  <c r="G205" i="14"/>
  <c r="G204" i="14"/>
  <c r="G202" i="14"/>
  <c r="G201" i="14"/>
  <c r="G200" i="14"/>
  <c r="G199" i="14"/>
  <c r="G198" i="14"/>
  <c r="G197" i="14"/>
  <c r="G196" i="14"/>
  <c r="G194" i="14"/>
  <c r="G193" i="14"/>
  <c r="G192" i="14"/>
  <c r="G191" i="14"/>
  <c r="G190" i="14"/>
  <c r="G189" i="14"/>
  <c r="G188" i="14"/>
  <c r="G187" i="14"/>
  <c r="G186" i="14"/>
  <c r="G185" i="14"/>
  <c r="G184" i="14"/>
  <c r="G182" i="14"/>
  <c r="H182" i="14" s="1"/>
  <c r="J182" i="14" s="1"/>
  <c r="G181" i="14"/>
  <c r="G180" i="14"/>
  <c r="G179" i="14"/>
  <c r="G178" i="14"/>
  <c r="G176" i="14"/>
  <c r="G175" i="14"/>
  <c r="G173" i="14"/>
  <c r="G172" i="14"/>
  <c r="G171" i="14"/>
  <c r="G170" i="14"/>
  <c r="G169" i="14"/>
  <c r="G168" i="14"/>
  <c r="G167" i="14"/>
  <c r="G166" i="14"/>
  <c r="G165" i="14"/>
  <c r="G164" i="14"/>
  <c r="G163" i="14"/>
  <c r="G162" i="14"/>
  <c r="G161" i="14"/>
  <c r="G160" i="14"/>
  <c r="G159" i="14"/>
  <c r="G158" i="14"/>
  <c r="G157" i="14"/>
  <c r="G156" i="14"/>
  <c r="G155" i="14"/>
  <c r="H154" i="14"/>
  <c r="I154" i="14" s="1"/>
  <c r="G154" i="14"/>
  <c r="H153" i="14"/>
  <c r="I153" i="14" s="1"/>
  <c r="G153" i="14"/>
  <c r="H152" i="14"/>
  <c r="I152" i="14" s="1"/>
  <c r="G152" i="14"/>
  <c r="H151" i="14"/>
  <c r="I151" i="14" s="1"/>
  <c r="G151" i="14"/>
  <c r="H150" i="14"/>
  <c r="I150" i="14" s="1"/>
  <c r="G150" i="14"/>
  <c r="H149" i="14"/>
  <c r="I149" i="14" s="1"/>
  <c r="G149" i="14"/>
  <c r="H148" i="14"/>
  <c r="I148" i="14" s="1"/>
  <c r="G148" i="14"/>
  <c r="H147" i="14"/>
  <c r="I147" i="14" s="1"/>
  <c r="G147" i="14"/>
  <c r="H146" i="14"/>
  <c r="I146" i="14" s="1"/>
  <c r="G146" i="14"/>
  <c r="H145" i="14"/>
  <c r="I145" i="14" s="1"/>
  <c r="G145" i="14"/>
  <c r="H144" i="14"/>
  <c r="I144" i="14" s="1"/>
  <c r="G144" i="14"/>
  <c r="H143" i="14"/>
  <c r="I143" i="14" s="1"/>
  <c r="G143" i="14"/>
  <c r="H142" i="14"/>
  <c r="I142" i="14" s="1"/>
  <c r="H141" i="14"/>
  <c r="I141" i="14" s="1"/>
  <c r="G141" i="14"/>
  <c r="H140" i="14"/>
  <c r="I140" i="14" s="1"/>
  <c r="G140" i="14"/>
  <c r="H139" i="14"/>
  <c r="I139" i="14" s="1"/>
  <c r="G139" i="14"/>
  <c r="H138" i="14"/>
  <c r="I138" i="14" s="1"/>
  <c r="H137" i="14"/>
  <c r="I137" i="14" s="1"/>
  <c r="G137" i="14"/>
  <c r="H136" i="14"/>
  <c r="I136" i="14" s="1"/>
  <c r="G136" i="14"/>
  <c r="H135" i="14"/>
  <c r="I135" i="14" s="1"/>
  <c r="G135" i="14"/>
  <c r="H134" i="14"/>
  <c r="I134" i="14" s="1"/>
  <c r="H133" i="14"/>
  <c r="I133" i="14" s="1"/>
  <c r="G133" i="14"/>
  <c r="H132" i="14"/>
  <c r="I132" i="14" s="1"/>
  <c r="G132" i="14"/>
  <c r="H131" i="14"/>
  <c r="I131" i="14" s="1"/>
  <c r="G131" i="14"/>
  <c r="H130" i="14"/>
  <c r="I130" i="14" s="1"/>
  <c r="G130" i="14"/>
  <c r="H129" i="14"/>
  <c r="I129" i="14" s="1"/>
  <c r="G129" i="14"/>
  <c r="H128" i="14"/>
  <c r="I128" i="14" s="1"/>
  <c r="G128" i="14"/>
  <c r="H127" i="14"/>
  <c r="I127" i="14" s="1"/>
  <c r="G127" i="14"/>
  <c r="H126" i="14"/>
  <c r="I126" i="14" s="1"/>
  <c r="G126" i="14"/>
  <c r="H125" i="14"/>
  <c r="G125" i="14"/>
  <c r="H124" i="14"/>
  <c r="G124" i="14"/>
  <c r="H123" i="14"/>
  <c r="G123" i="14"/>
  <c r="H122" i="14"/>
  <c r="I122" i="14" s="1"/>
  <c r="G122" i="14"/>
  <c r="H121" i="14"/>
  <c r="I121" i="14" s="1"/>
  <c r="G121" i="14"/>
  <c r="H120" i="14"/>
  <c r="G120" i="14"/>
  <c r="H119" i="14"/>
  <c r="I119" i="14" s="1"/>
  <c r="G119" i="14"/>
  <c r="H118" i="14"/>
  <c r="I118" i="14" s="1"/>
  <c r="G118" i="14"/>
  <c r="H117" i="14"/>
  <c r="I117" i="14" s="1"/>
  <c r="G117" i="14"/>
  <c r="H116" i="14"/>
  <c r="I116" i="14" s="1"/>
  <c r="E116" i="14"/>
  <c r="G116" i="14" s="1"/>
  <c r="H115" i="14"/>
  <c r="I115" i="14" s="1"/>
  <c r="G115" i="14"/>
  <c r="H114" i="14"/>
  <c r="G114" i="14"/>
  <c r="H113" i="14"/>
  <c r="G113" i="14"/>
  <c r="H112" i="14"/>
  <c r="I112" i="14" s="1"/>
  <c r="G112" i="14"/>
  <c r="H111" i="14"/>
  <c r="I111" i="14" s="1"/>
  <c r="G111" i="14"/>
  <c r="I110" i="14"/>
  <c r="G110" i="14"/>
  <c r="G109" i="14"/>
  <c r="G107" i="14"/>
  <c r="G106" i="14"/>
  <c r="G105" i="14"/>
  <c r="G104" i="14"/>
  <c r="G103" i="14"/>
  <c r="G102" i="14"/>
  <c r="G101" i="14"/>
  <c r="G100" i="14"/>
  <c r="G99" i="14"/>
  <c r="G98" i="14"/>
  <c r="G97" i="14"/>
  <c r="G95" i="14"/>
  <c r="G94" i="14"/>
  <c r="G93" i="14"/>
  <c r="G92" i="14"/>
  <c r="G91" i="14"/>
  <c r="G90" i="14"/>
  <c r="G89" i="14"/>
  <c r="G88" i="14"/>
  <c r="G87" i="14"/>
  <c r="G86" i="14"/>
  <c r="G85" i="14"/>
  <c r="G84" i="14"/>
  <c r="G83" i="14"/>
  <c r="G82" i="14"/>
  <c r="G80" i="14"/>
  <c r="G79" i="14"/>
  <c r="G78" i="14"/>
  <c r="G77" i="14"/>
  <c r="G76" i="14"/>
  <c r="G75" i="14"/>
  <c r="H74" i="14"/>
  <c r="G74" i="14"/>
  <c r="G73" i="14"/>
  <c r="G72" i="14"/>
  <c r="G71" i="14"/>
  <c r="G70" i="14"/>
  <c r="H68" i="14"/>
  <c r="G68" i="14"/>
  <c r="G67" i="14"/>
  <c r="G66" i="14"/>
  <c r="G65" i="14"/>
  <c r="G64" i="14"/>
  <c r="G63" i="14"/>
  <c r="G62" i="14"/>
  <c r="G61" i="14"/>
  <c r="G60" i="14"/>
  <c r="G59" i="14"/>
  <c r="G58" i="14"/>
  <c r="G57" i="14"/>
  <c r="G56" i="14"/>
  <c r="G55" i="14"/>
  <c r="G54" i="14"/>
  <c r="G53" i="14"/>
  <c r="H52" i="14"/>
  <c r="I52" i="14" s="1"/>
  <c r="G52" i="14"/>
  <c r="H51" i="14"/>
  <c r="I51" i="14" s="1"/>
  <c r="G51" i="14"/>
  <c r="G50" i="14"/>
  <c r="G49" i="14"/>
  <c r="G48" i="14"/>
  <c r="H47" i="14"/>
  <c r="I47" i="14" s="1"/>
  <c r="G47" i="14"/>
  <c r="H46" i="14"/>
  <c r="I46" i="14" s="1"/>
  <c r="G46" i="14"/>
  <c r="G45" i="14"/>
  <c r="G43" i="14"/>
  <c r="H42" i="14"/>
  <c r="G42" i="14"/>
  <c r="G41" i="14"/>
  <c r="G40" i="14"/>
  <c r="G39" i="14"/>
  <c r="H38" i="14"/>
  <c r="G38" i="14"/>
  <c r="G37" i="14"/>
  <c r="H36" i="14"/>
  <c r="G36" i="14"/>
  <c r="I35" i="14"/>
  <c r="G35" i="14"/>
  <c r="I34" i="14"/>
  <c r="G34" i="14"/>
  <c r="H33" i="14"/>
  <c r="G32" i="14"/>
  <c r="G31" i="14"/>
  <c r="G30" i="14"/>
  <c r="G29" i="14"/>
  <c r="G28" i="14"/>
  <c r="G27" i="14"/>
  <c r="G26" i="14"/>
  <c r="G25" i="14"/>
  <c r="G24" i="14"/>
  <c r="G23" i="14"/>
  <c r="G21" i="14"/>
  <c r="G20" i="14"/>
  <c r="G19" i="14"/>
  <c r="G18" i="14"/>
  <c r="G17" i="14"/>
  <c r="G16" i="14"/>
  <c r="G15" i="14"/>
  <c r="G14" i="14"/>
  <c r="G13" i="14"/>
  <c r="G12" i="14"/>
  <c r="G11" i="14"/>
  <c r="G10" i="14"/>
  <c r="G9" i="14"/>
  <c r="G8" i="14"/>
  <c r="G7" i="14"/>
  <c r="G5" i="14"/>
  <c r="G4" i="14"/>
  <c r="U250" i="3"/>
  <c r="U228" i="3"/>
  <c r="U253" i="3"/>
  <c r="U243" i="3"/>
  <c r="U236" i="3"/>
  <c r="Z229" i="3"/>
  <c r="Y229" i="3"/>
  <c r="Y243" i="3"/>
  <c r="X243" i="3"/>
  <c r="F323" i="19" l="1"/>
  <c r="F327" i="19" s="1"/>
  <c r="F329" i="19" s="1"/>
  <c r="O97" i="19"/>
  <c r="L97" i="19"/>
  <c r="J237" i="19"/>
  <c r="J186" i="19"/>
  <c r="J93" i="19"/>
  <c r="J68" i="18"/>
  <c r="J238" i="18"/>
  <c r="K97" i="18"/>
  <c r="L97" i="18" s="1"/>
  <c r="L52" i="18"/>
  <c r="J260" i="18"/>
  <c r="K261" i="18" s="1"/>
  <c r="J111" i="18"/>
  <c r="L112" i="18"/>
  <c r="J273" i="18"/>
  <c r="J295" i="18"/>
  <c r="Q327" i="18"/>
  <c r="J237" i="18"/>
  <c r="O97" i="18"/>
  <c r="F323" i="18"/>
  <c r="F327" i="18" s="1"/>
  <c r="F329" i="18" s="1"/>
  <c r="J93" i="18"/>
  <c r="J186" i="18"/>
  <c r="I112" i="17"/>
  <c r="G238" i="17"/>
  <c r="G93" i="17"/>
  <c r="G111" i="17"/>
  <c r="I52" i="17"/>
  <c r="G273" i="17"/>
  <c r="F323" i="17"/>
  <c r="F327" i="17" s="1"/>
  <c r="F329" i="17" s="1"/>
  <c r="H97" i="17"/>
  <c r="G295" i="17"/>
  <c r="N327" i="17"/>
  <c r="K92" i="17"/>
  <c r="I93" i="17"/>
  <c r="G68" i="17"/>
  <c r="G237" i="17"/>
  <c r="G186" i="17"/>
  <c r="L93" i="16"/>
  <c r="I5" i="16"/>
  <c r="J97" i="16"/>
  <c r="K98" i="16" s="1"/>
  <c r="J93" i="15"/>
  <c r="L92" i="15"/>
  <c r="M97" i="15"/>
  <c r="J97" i="15"/>
  <c r="I5" i="15"/>
  <c r="G323" i="15"/>
  <c r="G327" i="15" s="1"/>
  <c r="G329" i="15" s="1"/>
  <c r="H237" i="15"/>
  <c r="H186" i="15"/>
  <c r="J111" i="14"/>
  <c r="H185" i="14"/>
  <c r="H92" i="14"/>
  <c r="I96" i="14"/>
  <c r="I4" i="14" s="1"/>
  <c r="H294" i="14"/>
  <c r="O326" i="14"/>
  <c r="G322" i="14"/>
  <c r="G326" i="14" s="1"/>
  <c r="G328" i="14" s="1"/>
  <c r="H236" i="14"/>
  <c r="J92" i="14"/>
  <c r="L91" i="14"/>
  <c r="M96" i="14"/>
  <c r="J96" i="14"/>
  <c r="K97" i="14" s="1"/>
  <c r="H110" i="14"/>
  <c r="H67" i="14"/>
  <c r="H237" i="14"/>
  <c r="J51" i="14"/>
  <c r="L93" i="19" l="1"/>
  <c r="M98" i="19" s="1"/>
  <c r="N92" i="19"/>
  <c r="N93" i="19" s="1"/>
  <c r="N92" i="18"/>
  <c r="N93" i="18" s="1"/>
  <c r="L93" i="18"/>
  <c r="M98" i="18"/>
  <c r="L97" i="17"/>
  <c r="I97" i="17"/>
  <c r="J98" i="17" s="1"/>
  <c r="K93" i="17"/>
  <c r="K98" i="15"/>
  <c r="L93" i="15"/>
  <c r="L92" i="14"/>
  <c r="X47" i="3" l="1"/>
  <c r="Y35" i="3" l="1"/>
  <c r="Y34" i="3"/>
  <c r="AA539" i="13"/>
  <c r="X534" i="13"/>
  <c r="X536" i="13" s="1"/>
  <c r="AE533" i="13"/>
  <c r="AE532" i="13"/>
  <c r="AE531" i="13"/>
  <c r="AE530" i="13"/>
  <c r="AE529" i="13"/>
  <c r="AE528" i="13"/>
  <c r="AE527" i="13"/>
  <c r="X527" i="13"/>
  <c r="U527" i="13"/>
  <c r="AE526" i="13"/>
  <c r="U526" i="13"/>
  <c r="AE525" i="13"/>
  <c r="U525" i="13"/>
  <c r="AE524" i="13"/>
  <c r="U524" i="13"/>
  <c r="U523" i="13"/>
  <c r="U522" i="13"/>
  <c r="U521" i="13"/>
  <c r="U520" i="13"/>
  <c r="U519" i="13"/>
  <c r="U518" i="13"/>
  <c r="U517" i="13"/>
  <c r="U516" i="13"/>
  <c r="U515" i="13"/>
  <c r="U514" i="13"/>
  <c r="U513" i="13"/>
  <c r="U512" i="13"/>
  <c r="U511" i="13"/>
  <c r="W511" i="13" s="1"/>
  <c r="U510" i="13"/>
  <c r="W510" i="13" s="1"/>
  <c r="U509" i="13"/>
  <c r="W509" i="13" s="1"/>
  <c r="U508" i="13"/>
  <c r="W508" i="13" s="1"/>
  <c r="U507" i="13"/>
  <c r="W507" i="13" s="1"/>
  <c r="U506" i="13"/>
  <c r="W506" i="13" s="1"/>
  <c r="U505" i="13"/>
  <c r="W505" i="13" s="1"/>
  <c r="U504" i="13"/>
  <c r="W504" i="13" s="1"/>
  <c r="U503" i="13"/>
  <c r="W503" i="13" s="1"/>
  <c r="U501" i="13"/>
  <c r="W501" i="13" s="1"/>
  <c r="U500" i="13"/>
  <c r="W500" i="13" s="1"/>
  <c r="U498" i="13"/>
  <c r="W498" i="13" s="1"/>
  <c r="U497" i="13"/>
  <c r="W497" i="13" s="1"/>
  <c r="U496" i="13"/>
  <c r="W496" i="13" s="1"/>
  <c r="U495" i="13"/>
  <c r="W495" i="13" s="1"/>
  <c r="U494" i="13"/>
  <c r="W494" i="13" s="1"/>
  <c r="U493" i="13"/>
  <c r="W493" i="13" s="1"/>
  <c r="U492" i="13"/>
  <c r="W492" i="13" s="1"/>
  <c r="U491" i="13"/>
  <c r="W491" i="13" s="1"/>
  <c r="U490" i="13"/>
  <c r="W490" i="13" s="1"/>
  <c r="U489" i="13"/>
  <c r="W489" i="13" s="1"/>
  <c r="U488" i="13"/>
  <c r="W488" i="13" s="1"/>
  <c r="U487" i="13"/>
  <c r="W487" i="13" s="1"/>
  <c r="U486" i="13"/>
  <c r="W486" i="13" s="1"/>
  <c r="U485" i="13"/>
  <c r="W485" i="13" s="1"/>
  <c r="W484" i="13"/>
  <c r="W483" i="13"/>
  <c r="W482" i="13"/>
  <c r="U482" i="13"/>
  <c r="U481" i="13"/>
  <c r="W481" i="13" s="1"/>
  <c r="U480" i="13"/>
  <c r="W480" i="13" s="1"/>
  <c r="U479" i="13"/>
  <c r="W479" i="13" s="1"/>
  <c r="U478" i="13"/>
  <c r="W478" i="13" s="1"/>
  <c r="U476" i="13"/>
  <c r="W476" i="13" s="1"/>
  <c r="U475" i="13"/>
  <c r="W475" i="13" s="1"/>
  <c r="U474" i="13"/>
  <c r="W474" i="13" s="1"/>
  <c r="U473" i="13"/>
  <c r="W473" i="13" s="1"/>
  <c r="U472" i="13"/>
  <c r="W472" i="13" s="1"/>
  <c r="U468" i="13"/>
  <c r="W468" i="13" s="1"/>
  <c r="U467" i="13"/>
  <c r="W467" i="13" s="1"/>
  <c r="Y466" i="13"/>
  <c r="U466" i="13"/>
  <c r="W466" i="13" s="1"/>
  <c r="V465" i="13"/>
  <c r="W465" i="13" s="1"/>
  <c r="U465" i="13"/>
  <c r="W464" i="13"/>
  <c r="W463" i="13"/>
  <c r="W462" i="13"/>
  <c r="U462" i="13"/>
  <c r="U461" i="13"/>
  <c r="W461" i="13" s="1"/>
  <c r="W460" i="13"/>
  <c r="U460" i="13"/>
  <c r="U459" i="13"/>
  <c r="W459" i="13" s="1"/>
  <c r="U458" i="13"/>
  <c r="W458" i="13" s="1"/>
  <c r="U457" i="13"/>
  <c r="W457" i="13" s="1"/>
  <c r="U456" i="13"/>
  <c r="W456" i="13" s="1"/>
  <c r="W455" i="13"/>
  <c r="U454" i="13"/>
  <c r="W454" i="13" s="1"/>
  <c r="U453" i="13"/>
  <c r="W453" i="13" s="1"/>
  <c r="U452" i="13"/>
  <c r="W452" i="13" s="1"/>
  <c r="U451" i="13"/>
  <c r="W451" i="13" s="1"/>
  <c r="U450" i="13"/>
  <c r="W450" i="13" s="1"/>
  <c r="U449" i="13"/>
  <c r="W449" i="13" s="1"/>
  <c r="U448" i="13"/>
  <c r="W448" i="13" s="1"/>
  <c r="U447" i="13"/>
  <c r="W447" i="13" s="1"/>
  <c r="W446" i="13"/>
  <c r="U446" i="13"/>
  <c r="W445" i="13"/>
  <c r="U445" i="13"/>
  <c r="W444" i="13"/>
  <c r="U444" i="13"/>
  <c r="W443" i="13"/>
  <c r="U443" i="13"/>
  <c r="W442" i="13"/>
  <c r="U442" i="13"/>
  <c r="W441" i="13"/>
  <c r="U441" i="13"/>
  <c r="U440" i="13"/>
  <c r="W440" i="13" s="1"/>
  <c r="U439" i="13"/>
  <c r="W439" i="13" s="1"/>
  <c r="U438" i="13"/>
  <c r="W438" i="13" s="1"/>
  <c r="U437" i="13"/>
  <c r="W437" i="13" s="1"/>
  <c r="U436" i="13"/>
  <c r="W436" i="13" s="1"/>
  <c r="U435" i="13"/>
  <c r="W435" i="13" s="1"/>
  <c r="U434" i="13"/>
  <c r="W434" i="13" s="1"/>
  <c r="W433" i="13"/>
  <c r="U433" i="13"/>
  <c r="U432" i="13"/>
  <c r="W432" i="13" s="1"/>
  <c r="U431" i="13"/>
  <c r="W431" i="13" s="1"/>
  <c r="U430" i="13"/>
  <c r="W430" i="13" s="1"/>
  <c r="U429" i="13"/>
  <c r="W429" i="13" s="1"/>
  <c r="U428" i="13"/>
  <c r="W428" i="13" s="1"/>
  <c r="U427" i="13"/>
  <c r="W427" i="13" s="1"/>
  <c r="U426" i="13"/>
  <c r="W426" i="13" s="1"/>
  <c r="W425" i="13"/>
  <c r="U425" i="13"/>
  <c r="U424" i="13"/>
  <c r="W424" i="13" s="1"/>
  <c r="U423" i="13"/>
  <c r="W423" i="13" s="1"/>
  <c r="U422" i="13"/>
  <c r="W422" i="13" s="1"/>
  <c r="U421" i="13"/>
  <c r="W421" i="13" s="1"/>
  <c r="U420" i="13"/>
  <c r="W420" i="13" s="1"/>
  <c r="U419" i="13"/>
  <c r="W419" i="13" s="1"/>
  <c r="U418" i="13"/>
  <c r="W418" i="13" s="1"/>
  <c r="U417" i="13"/>
  <c r="W417" i="13" s="1"/>
  <c r="U416" i="13"/>
  <c r="W416" i="13" s="1"/>
  <c r="U415" i="13"/>
  <c r="W415" i="13" s="1"/>
  <c r="U414" i="13"/>
  <c r="W414" i="13" s="1"/>
  <c r="U413" i="13"/>
  <c r="W413" i="13" s="1"/>
  <c r="U412" i="13"/>
  <c r="W412" i="13" s="1"/>
  <c r="W411" i="13"/>
  <c r="U410" i="13"/>
  <c r="W410" i="13" s="1"/>
  <c r="U409" i="13"/>
  <c r="W409" i="13" s="1"/>
  <c r="U408" i="13"/>
  <c r="W408" i="13" s="1"/>
  <c r="U406" i="13"/>
  <c r="W406" i="13" s="1"/>
  <c r="U405" i="13"/>
  <c r="W405" i="13" s="1"/>
  <c r="U404" i="13"/>
  <c r="W404" i="13" s="1"/>
  <c r="W403" i="13"/>
  <c r="U403" i="13"/>
  <c r="U402" i="13"/>
  <c r="U401" i="13"/>
  <c r="W401" i="13" s="1"/>
  <c r="U400" i="13"/>
  <c r="W400" i="13" s="1"/>
  <c r="U399" i="13"/>
  <c r="W399" i="13" s="1"/>
  <c r="U398" i="13"/>
  <c r="W398" i="13" s="1"/>
  <c r="U397" i="13"/>
  <c r="W397" i="13" s="1"/>
  <c r="W396" i="13"/>
  <c r="U395" i="13"/>
  <c r="W395" i="13" s="1"/>
  <c r="U394" i="13"/>
  <c r="W394" i="13" s="1"/>
  <c r="U393" i="13"/>
  <c r="W393" i="13" s="1"/>
  <c r="U392" i="13"/>
  <c r="W392" i="13" s="1"/>
  <c r="U391" i="13"/>
  <c r="W391" i="13" s="1"/>
  <c r="U390" i="13"/>
  <c r="W390" i="13" s="1"/>
  <c r="U389" i="13"/>
  <c r="W389" i="13" s="1"/>
  <c r="U388" i="13"/>
  <c r="W388" i="13" s="1"/>
  <c r="U387" i="13"/>
  <c r="W387" i="13" s="1"/>
  <c r="U386" i="13"/>
  <c r="W386" i="13" s="1"/>
  <c r="U385" i="13"/>
  <c r="U384" i="13"/>
  <c r="W384" i="13" s="1"/>
  <c r="U383" i="13"/>
  <c r="W383" i="13" s="1"/>
  <c r="U382" i="13"/>
  <c r="W382" i="13" s="1"/>
  <c r="U381" i="13"/>
  <c r="U380" i="13"/>
  <c r="W380" i="13" s="1"/>
  <c r="U379" i="13"/>
  <c r="W379" i="13" s="1"/>
  <c r="U378" i="13"/>
  <c r="U377" i="13"/>
  <c r="W377" i="13" s="1"/>
  <c r="U376" i="13"/>
  <c r="W376" i="13" s="1"/>
  <c r="U375" i="13"/>
  <c r="W375" i="13" s="1"/>
  <c r="U374" i="13"/>
  <c r="W374" i="13" s="1"/>
  <c r="U373" i="13"/>
  <c r="U372" i="13"/>
  <c r="W372" i="13" s="1"/>
  <c r="U371" i="13"/>
  <c r="W371" i="13" s="1"/>
  <c r="U370" i="13"/>
  <c r="W370" i="13" s="1"/>
  <c r="U369" i="13"/>
  <c r="W369" i="13" s="1"/>
  <c r="U368" i="13"/>
  <c r="U367" i="13"/>
  <c r="W367" i="13" s="1"/>
  <c r="U366" i="13"/>
  <c r="W366" i="13" s="1"/>
  <c r="U365" i="13"/>
  <c r="W365" i="13" s="1"/>
  <c r="U364" i="13"/>
  <c r="W364" i="13" s="1"/>
  <c r="U363" i="13"/>
  <c r="W363" i="13" s="1"/>
  <c r="W362" i="13"/>
  <c r="U362" i="13"/>
  <c r="U361" i="13"/>
  <c r="W361" i="13" s="1"/>
  <c r="W360" i="13"/>
  <c r="U360" i="13"/>
  <c r="U359" i="13"/>
  <c r="W359" i="13" s="1"/>
  <c r="U358" i="13"/>
  <c r="W358" i="13" s="1"/>
  <c r="U357" i="13"/>
  <c r="W357" i="13" s="1"/>
  <c r="U356" i="13"/>
  <c r="W356" i="13" s="1"/>
  <c r="U355" i="13"/>
  <c r="W355" i="13" s="1"/>
  <c r="W354" i="13"/>
  <c r="U354" i="13"/>
  <c r="U353" i="13"/>
  <c r="W353" i="13" s="1"/>
  <c r="W352" i="13"/>
  <c r="U352" i="13"/>
  <c r="U350" i="13"/>
  <c r="U349" i="13"/>
  <c r="W349" i="13" s="1"/>
  <c r="U348" i="13"/>
  <c r="W348" i="13" s="1"/>
  <c r="U347" i="13"/>
  <c r="W347" i="13" s="1"/>
  <c r="U346" i="13"/>
  <c r="W346" i="13" s="1"/>
  <c r="U345" i="13"/>
  <c r="W345" i="13" s="1"/>
  <c r="U344" i="13"/>
  <c r="W344" i="13" s="1"/>
  <c r="U343" i="13"/>
  <c r="W343" i="13" s="1"/>
  <c r="U342" i="13"/>
  <c r="W342" i="13" s="1"/>
  <c r="U341" i="13"/>
  <c r="W341" i="13" s="1"/>
  <c r="U340" i="13"/>
  <c r="W340" i="13" s="1"/>
  <c r="U338" i="13"/>
  <c r="W338" i="13" s="1"/>
  <c r="U337" i="13"/>
  <c r="W337" i="13" s="1"/>
  <c r="U336" i="13"/>
  <c r="W336" i="13" s="1"/>
  <c r="U335" i="13"/>
  <c r="W335" i="13" s="1"/>
  <c r="U332" i="13"/>
  <c r="W331" i="13"/>
  <c r="U331" i="13"/>
  <c r="U330" i="13"/>
  <c r="W330" i="13" s="1"/>
  <c r="U328" i="13"/>
  <c r="W328" i="13" s="1"/>
  <c r="U327" i="13"/>
  <c r="W327" i="13" s="1"/>
  <c r="U326" i="13"/>
  <c r="W326" i="13" s="1"/>
  <c r="U325" i="13"/>
  <c r="W325" i="13" s="1"/>
  <c r="U324" i="13"/>
  <c r="U322" i="13"/>
  <c r="W322" i="13" s="1"/>
  <c r="U312" i="13"/>
  <c r="U311" i="13"/>
  <c r="W311" i="13" s="1"/>
  <c r="U308" i="13"/>
  <c r="U307" i="13"/>
  <c r="W307" i="13" s="1"/>
  <c r="U305" i="13"/>
  <c r="W305" i="13" s="1"/>
  <c r="U304" i="13"/>
  <c r="W304" i="13" s="1"/>
  <c r="U303" i="13"/>
  <c r="W303" i="13" s="1"/>
  <c r="U302" i="13"/>
  <c r="W302" i="13" s="1"/>
  <c r="U301" i="13"/>
  <c r="U300" i="13"/>
  <c r="W300" i="13" s="1"/>
  <c r="U299" i="13"/>
  <c r="W299" i="13" s="1"/>
  <c r="U298" i="13"/>
  <c r="U297" i="13"/>
  <c r="W297" i="13" s="1"/>
  <c r="U296" i="13"/>
  <c r="W296" i="13" s="1"/>
  <c r="U295" i="13"/>
  <c r="W295" i="13" s="1"/>
  <c r="U294" i="13"/>
  <c r="U293" i="13"/>
  <c r="W293" i="13" s="1"/>
  <c r="U292" i="13"/>
  <c r="W292" i="13" s="1"/>
  <c r="U291" i="13"/>
  <c r="W291" i="13" s="1"/>
  <c r="U290" i="13"/>
  <c r="W290" i="13" s="1"/>
  <c r="U289" i="13"/>
  <c r="W289" i="13" s="1"/>
  <c r="U288" i="13"/>
  <c r="W288" i="13" s="1"/>
  <c r="U287" i="13"/>
  <c r="W287" i="13" s="1"/>
  <c r="U286" i="13"/>
  <c r="W286" i="13" s="1"/>
  <c r="U285" i="13"/>
  <c r="U284" i="13"/>
  <c r="W284" i="13" s="1"/>
  <c r="U283" i="13"/>
  <c r="W283" i="13" s="1"/>
  <c r="U282" i="13"/>
  <c r="U281" i="13"/>
  <c r="W281" i="13" s="1"/>
  <c r="U280" i="13"/>
  <c r="W280" i="13" s="1"/>
  <c r="U279" i="13"/>
  <c r="U278" i="13"/>
  <c r="W278" i="13" s="1"/>
  <c r="U277" i="13"/>
  <c r="W277" i="13" s="1"/>
  <c r="U276" i="13"/>
  <c r="W276" i="13" s="1"/>
  <c r="U275" i="13"/>
  <c r="W275" i="13" s="1"/>
  <c r="W274" i="13"/>
  <c r="U274" i="13"/>
  <c r="U273" i="13"/>
  <c r="W273" i="13" s="1"/>
  <c r="U272" i="13"/>
  <c r="W272" i="13" s="1"/>
  <c r="U271" i="13"/>
  <c r="W271" i="13" s="1"/>
  <c r="U270" i="13"/>
  <c r="W270" i="13" s="1"/>
  <c r="U269" i="13"/>
  <c r="W269" i="13" s="1"/>
  <c r="U267" i="13"/>
  <c r="W267" i="13" s="1"/>
  <c r="U266" i="13"/>
  <c r="W266" i="13" s="1"/>
  <c r="W265" i="13"/>
  <c r="U265" i="13"/>
  <c r="U264" i="13"/>
  <c r="W264" i="13" s="1"/>
  <c r="U263" i="13"/>
  <c r="W263" i="13" s="1"/>
  <c r="U262" i="13"/>
  <c r="W262" i="13" s="1"/>
  <c r="U261" i="13"/>
  <c r="W261" i="13" s="1"/>
  <c r="U260" i="13"/>
  <c r="W260" i="13" s="1"/>
  <c r="U259" i="13"/>
  <c r="W259" i="13" s="1"/>
  <c r="U256" i="13"/>
  <c r="W250" i="13"/>
  <c r="U250" i="13"/>
  <c r="U249" i="13"/>
  <c r="W249" i="13" s="1"/>
  <c r="X247" i="13"/>
  <c r="U247" i="13"/>
  <c r="W247" i="13" s="1"/>
  <c r="X246" i="13"/>
  <c r="U246" i="13"/>
  <c r="W246" i="13" s="1"/>
  <c r="X245" i="13"/>
  <c r="U245" i="13"/>
  <c r="W245" i="13" s="1"/>
  <c r="Y244" i="13"/>
  <c r="X244" i="13"/>
  <c r="U244" i="13"/>
  <c r="W244" i="13" s="1"/>
  <c r="X243" i="13"/>
  <c r="U243" i="13"/>
  <c r="Y243" i="13" s="1"/>
  <c r="W242" i="13"/>
  <c r="W241" i="13"/>
  <c r="X240" i="13"/>
  <c r="U240" i="13"/>
  <c r="W240" i="13" s="1"/>
  <c r="Y239" i="13"/>
  <c r="X239" i="13"/>
  <c r="U239" i="13"/>
  <c r="W239" i="13" s="1"/>
  <c r="X238" i="13"/>
  <c r="U238" i="13"/>
  <c r="W238" i="13" s="1"/>
  <c r="X237" i="13"/>
  <c r="U237" i="13"/>
  <c r="W237" i="13" s="1"/>
  <c r="X236" i="13"/>
  <c r="U236" i="13"/>
  <c r="W236" i="13" s="1"/>
  <c r="X235" i="13"/>
  <c r="U235" i="13"/>
  <c r="W235" i="13" s="1"/>
  <c r="X234" i="13"/>
  <c r="Y234" i="13" s="1"/>
  <c r="U234" i="13"/>
  <c r="W234" i="13" s="1"/>
  <c r="X233" i="13"/>
  <c r="U233" i="13"/>
  <c r="W233" i="13" s="1"/>
  <c r="X232" i="13"/>
  <c r="U232" i="13"/>
  <c r="W232" i="13" s="1"/>
  <c r="X231" i="13"/>
  <c r="U231" i="13"/>
  <c r="W231" i="13" s="1"/>
  <c r="X230" i="13"/>
  <c r="U230" i="13"/>
  <c r="W230" i="13" s="1"/>
  <c r="X229" i="13"/>
  <c r="U229" i="13"/>
  <c r="X228" i="13"/>
  <c r="U228" i="13"/>
  <c r="Y228" i="13" s="1"/>
  <c r="Y227" i="13"/>
  <c r="X227" i="13"/>
  <c r="U227" i="13"/>
  <c r="W227" i="13" s="1"/>
  <c r="X226" i="13"/>
  <c r="U226" i="13"/>
  <c r="Y226" i="13" s="1"/>
  <c r="X225" i="13"/>
  <c r="U225" i="13"/>
  <c r="Y225" i="13" s="1"/>
  <c r="X224" i="13"/>
  <c r="U224" i="13"/>
  <c r="W224" i="13" s="1"/>
  <c r="X223" i="13"/>
  <c r="U223" i="13"/>
  <c r="W223" i="13" s="1"/>
  <c r="X222" i="13"/>
  <c r="U222" i="13"/>
  <c r="Y222" i="13" s="1"/>
  <c r="X221" i="13"/>
  <c r="U221" i="13"/>
  <c r="X220" i="13"/>
  <c r="U220" i="13"/>
  <c r="Y220" i="13" s="1"/>
  <c r="Y219" i="13"/>
  <c r="X219" i="13"/>
  <c r="U219" i="13"/>
  <c r="W219" i="13" s="1"/>
  <c r="X217" i="13"/>
  <c r="U217" i="13"/>
  <c r="Y217" i="13" s="1"/>
  <c r="X216" i="13"/>
  <c r="U216" i="13"/>
  <c r="Y216" i="13" s="1"/>
  <c r="Y215" i="13"/>
  <c r="X215" i="13"/>
  <c r="U215" i="13"/>
  <c r="W215" i="13" s="1"/>
  <c r="X214" i="13"/>
  <c r="U214" i="13"/>
  <c r="Y214" i="13" s="1"/>
  <c r="X213" i="13"/>
  <c r="U213" i="13"/>
  <c r="Y213" i="13" s="1"/>
  <c r="Y212" i="13"/>
  <c r="X212" i="13"/>
  <c r="U212" i="13"/>
  <c r="W212" i="13" s="1"/>
  <c r="X211" i="13"/>
  <c r="U211" i="13"/>
  <c r="Y211" i="13" s="1"/>
  <c r="X209" i="13"/>
  <c r="U209" i="13"/>
  <c r="Y209" i="13" s="1"/>
  <c r="X208" i="13"/>
  <c r="U208" i="13"/>
  <c r="W208" i="13" s="1"/>
  <c r="X207" i="13"/>
  <c r="U207" i="13"/>
  <c r="W207" i="13" s="1"/>
  <c r="Y206" i="13"/>
  <c r="X206" i="13"/>
  <c r="U206" i="13"/>
  <c r="W206" i="13" s="1"/>
  <c r="X205" i="13"/>
  <c r="U205" i="13"/>
  <c r="W205" i="13" s="1"/>
  <c r="X204" i="13"/>
  <c r="U204" i="13"/>
  <c r="W204" i="13" s="1"/>
  <c r="X203" i="13"/>
  <c r="U203" i="13"/>
  <c r="W203" i="13" s="1"/>
  <c r="Y202" i="13"/>
  <c r="X202" i="13"/>
  <c r="U202" i="13"/>
  <c r="W202" i="13" s="1"/>
  <c r="X200" i="13"/>
  <c r="Y200" i="13" s="1"/>
  <c r="U200" i="13"/>
  <c r="W200" i="13" s="1"/>
  <c r="X199" i="13"/>
  <c r="U199" i="13"/>
  <c r="W199" i="13" s="1"/>
  <c r="X198" i="13"/>
  <c r="U198" i="13"/>
  <c r="V198" i="13" s="1"/>
  <c r="X197" i="13"/>
  <c r="U197" i="13"/>
  <c r="Y197" i="13" s="1"/>
  <c r="X196" i="13"/>
  <c r="U196" i="13"/>
  <c r="Y196" i="13" s="1"/>
  <c r="X195" i="13"/>
  <c r="U195" i="13"/>
  <c r="Y195" i="13" s="1"/>
  <c r="X191" i="13"/>
  <c r="U191" i="13"/>
  <c r="X190" i="13"/>
  <c r="U190" i="13"/>
  <c r="W190" i="13" s="1"/>
  <c r="X189" i="13"/>
  <c r="U189" i="13"/>
  <c r="W189" i="13" s="1"/>
  <c r="Y188" i="13"/>
  <c r="U187" i="13"/>
  <c r="W187" i="13" s="1"/>
  <c r="U186" i="13"/>
  <c r="W186" i="13" s="1"/>
  <c r="U185" i="13"/>
  <c r="U184" i="13"/>
  <c r="W184" i="13" s="1"/>
  <c r="U183" i="13"/>
  <c r="W183" i="13" s="1"/>
  <c r="U182" i="13"/>
  <c r="W182" i="13" s="1"/>
  <c r="U181" i="13"/>
  <c r="W181" i="13" s="1"/>
  <c r="U180" i="13"/>
  <c r="W180" i="13" s="1"/>
  <c r="U179" i="13"/>
  <c r="W179" i="13" s="1"/>
  <c r="U178" i="13"/>
  <c r="W178" i="13" s="1"/>
  <c r="U177" i="13"/>
  <c r="W177" i="13" s="1"/>
  <c r="U176" i="13"/>
  <c r="W176" i="13" s="1"/>
  <c r="U175" i="13"/>
  <c r="W175" i="13" s="1"/>
  <c r="W174" i="13"/>
  <c r="U174" i="13"/>
  <c r="U172" i="13"/>
  <c r="U170" i="13"/>
  <c r="W170" i="13" s="1"/>
  <c r="U169" i="13"/>
  <c r="W169" i="13" s="1"/>
  <c r="U168" i="13"/>
  <c r="W168" i="13" s="1"/>
  <c r="U167" i="13"/>
  <c r="U165" i="13"/>
  <c r="W165" i="13" s="1"/>
  <c r="U164" i="13"/>
  <c r="W164" i="13" s="1"/>
  <c r="U163" i="13"/>
  <c r="W163" i="13" s="1"/>
  <c r="U162" i="13"/>
  <c r="W162" i="13" s="1"/>
  <c r="U159" i="13"/>
  <c r="U157" i="13"/>
  <c r="W157" i="13" s="1"/>
  <c r="U155" i="13"/>
  <c r="U154" i="13"/>
  <c r="W154" i="13" s="1"/>
  <c r="U153" i="13"/>
  <c r="W153" i="13" s="1"/>
  <c r="U151" i="13"/>
  <c r="W151" i="13" s="1"/>
  <c r="O151" i="13"/>
  <c r="O150" i="13"/>
  <c r="U150" i="13" s="1"/>
  <c r="W150" i="13" s="1"/>
  <c r="U149" i="13"/>
  <c r="W149" i="13" s="1"/>
  <c r="U148" i="13"/>
  <c r="W148" i="13" s="1"/>
  <c r="U147" i="13"/>
  <c r="W147" i="13" s="1"/>
  <c r="U146" i="13"/>
  <c r="W146" i="13" s="1"/>
  <c r="U145" i="13"/>
  <c r="W145" i="13" s="1"/>
  <c r="U144" i="13"/>
  <c r="W144" i="13" s="1"/>
  <c r="U143" i="13"/>
  <c r="W143" i="13" s="1"/>
  <c r="U142" i="13"/>
  <c r="W142" i="13" s="1"/>
  <c r="U141" i="13"/>
  <c r="W141" i="13" s="1"/>
  <c r="U140" i="13"/>
  <c r="W140" i="13" s="1"/>
  <c r="U139" i="13"/>
  <c r="O137" i="13"/>
  <c r="H137" i="13"/>
  <c r="D137" i="13"/>
  <c r="U136" i="13"/>
  <c r="W136" i="13" s="1"/>
  <c r="U135" i="13"/>
  <c r="W135" i="13" s="1"/>
  <c r="U134" i="13"/>
  <c r="W134" i="13" s="1"/>
  <c r="U133" i="13"/>
  <c r="U132" i="13"/>
  <c r="W132" i="13" s="1"/>
  <c r="U131" i="13"/>
  <c r="W131" i="13" s="1"/>
  <c r="U130" i="13"/>
  <c r="W130" i="13" s="1"/>
  <c r="H129" i="13"/>
  <c r="U129" i="13" s="1"/>
  <c r="W129" i="13" s="1"/>
  <c r="U128" i="13"/>
  <c r="W128" i="13" s="1"/>
  <c r="U127" i="13"/>
  <c r="W127" i="13" s="1"/>
  <c r="P126" i="13"/>
  <c r="U126" i="13" s="1"/>
  <c r="W126" i="13" s="1"/>
  <c r="P125" i="13"/>
  <c r="O125" i="13"/>
  <c r="H125" i="13"/>
  <c r="U124" i="13"/>
  <c r="W124" i="13" s="1"/>
  <c r="U117" i="13"/>
  <c r="W117" i="13" s="1"/>
  <c r="U116" i="13"/>
  <c r="W116" i="13" s="1"/>
  <c r="U115" i="13"/>
  <c r="W115" i="13" s="1"/>
  <c r="P114" i="13"/>
  <c r="O114" i="13"/>
  <c r="U114" i="13" s="1"/>
  <c r="W114" i="13" s="1"/>
  <c r="H114" i="13"/>
  <c r="U110" i="13"/>
  <c r="W110" i="13" s="1"/>
  <c r="U109" i="13"/>
  <c r="W109" i="13" s="1"/>
  <c r="U108" i="13"/>
  <c r="W108" i="13" s="1"/>
  <c r="P107" i="13"/>
  <c r="O107" i="13"/>
  <c r="H107" i="13"/>
  <c r="D107" i="13"/>
  <c r="U106" i="13"/>
  <c r="U105" i="13"/>
  <c r="W105" i="13" s="1"/>
  <c r="U104" i="13"/>
  <c r="W104" i="13" s="1"/>
  <c r="Z103" i="13"/>
  <c r="U103" i="13"/>
  <c r="W103" i="13" s="1"/>
  <c r="Y102" i="13"/>
  <c r="X102" i="13"/>
  <c r="U102" i="13"/>
  <c r="W102" i="13" s="1"/>
  <c r="U101" i="13"/>
  <c r="W101" i="13" s="1"/>
  <c r="P100" i="13"/>
  <c r="U100" i="13" s="1"/>
  <c r="W100" i="13" s="1"/>
  <c r="O100" i="13"/>
  <c r="H100" i="13"/>
  <c r="D100" i="13"/>
  <c r="U97" i="13"/>
  <c r="P96" i="13"/>
  <c r="O96" i="13"/>
  <c r="H96" i="13"/>
  <c r="U96" i="13" s="1"/>
  <c r="W96" i="13" s="1"/>
  <c r="O91" i="13"/>
  <c r="U91" i="13" s="1"/>
  <c r="W91" i="13" s="1"/>
  <c r="U90" i="13"/>
  <c r="W90" i="13" s="1"/>
  <c r="O89" i="13"/>
  <c r="U89" i="13" s="1"/>
  <c r="W89" i="13" s="1"/>
  <c r="O88" i="13"/>
  <c r="U88" i="13" s="1"/>
  <c r="W88" i="13" s="1"/>
  <c r="U86" i="13"/>
  <c r="W86" i="13" s="1"/>
  <c r="U85" i="13"/>
  <c r="W85" i="13" s="1"/>
  <c r="U84" i="13"/>
  <c r="W84" i="13" s="1"/>
  <c r="U83" i="13"/>
  <c r="W83" i="13" s="1"/>
  <c r="U81" i="13"/>
  <c r="W81" i="13" s="1"/>
  <c r="U80" i="13"/>
  <c r="W79" i="13"/>
  <c r="U79" i="13"/>
  <c r="U78" i="13"/>
  <c r="W78" i="13" s="1"/>
  <c r="U77" i="13"/>
  <c r="W77" i="13" s="1"/>
  <c r="U76" i="13"/>
  <c r="W76" i="13" s="1"/>
  <c r="U75" i="13"/>
  <c r="W75" i="13" s="1"/>
  <c r="U74" i="13"/>
  <c r="W74" i="13" s="1"/>
  <c r="U72" i="13"/>
  <c r="W72" i="13" s="1"/>
  <c r="U71" i="13"/>
  <c r="U70" i="13"/>
  <c r="W70" i="13" s="1"/>
  <c r="U68" i="13"/>
  <c r="W68" i="13" s="1"/>
  <c r="U67" i="13"/>
  <c r="W67" i="13" s="1"/>
  <c r="X66" i="13"/>
  <c r="U66" i="13"/>
  <c r="Y66" i="13" s="1"/>
  <c r="U65" i="13"/>
  <c r="W65" i="13" s="1"/>
  <c r="U64" i="13"/>
  <c r="W64" i="13" s="1"/>
  <c r="U63" i="13"/>
  <c r="W63" i="13" s="1"/>
  <c r="U62" i="13"/>
  <c r="W62" i="13" s="1"/>
  <c r="U61" i="13"/>
  <c r="W61" i="13" s="1"/>
  <c r="X60" i="13"/>
  <c r="U60" i="13"/>
  <c r="W60" i="13" s="1"/>
  <c r="U59" i="13"/>
  <c r="W59" i="13" s="1"/>
  <c r="U58" i="13"/>
  <c r="W58" i="13" s="1"/>
  <c r="U57" i="13"/>
  <c r="W57" i="13" s="1"/>
  <c r="X56" i="13"/>
  <c r="U56" i="13"/>
  <c r="Y56" i="13" s="1"/>
  <c r="U55" i="13"/>
  <c r="W55" i="13" s="1"/>
  <c r="U54" i="13"/>
  <c r="W54" i="13" s="1"/>
  <c r="U53" i="13"/>
  <c r="W53" i="13" s="1"/>
  <c r="U52" i="13"/>
  <c r="W52" i="13" s="1"/>
  <c r="X51" i="13"/>
  <c r="U51" i="13"/>
  <c r="Y51" i="13" s="1"/>
  <c r="P50" i="13"/>
  <c r="U50" i="13" s="1"/>
  <c r="W50" i="13" s="1"/>
  <c r="W49" i="13"/>
  <c r="U49" i="13"/>
  <c r="U48" i="13"/>
  <c r="W48" i="13" s="1"/>
  <c r="U47" i="13"/>
  <c r="W47" i="13" s="1"/>
  <c r="U46" i="13"/>
  <c r="W46" i="13" s="1"/>
  <c r="X45" i="13"/>
  <c r="U45" i="13"/>
  <c r="W45" i="13" s="1"/>
  <c r="U44" i="13"/>
  <c r="W44" i="13" s="1"/>
  <c r="P43" i="13"/>
  <c r="O43" i="13"/>
  <c r="H43" i="13"/>
  <c r="U42" i="13"/>
  <c r="W42" i="13" s="1"/>
  <c r="U41" i="13"/>
  <c r="U40" i="13"/>
  <c r="W40" i="13" s="1"/>
  <c r="W38" i="13"/>
  <c r="U38" i="13"/>
  <c r="U37" i="13"/>
  <c r="W37" i="13" s="1"/>
  <c r="W36" i="13"/>
  <c r="U36" i="13"/>
  <c r="W35" i="13"/>
  <c r="U34" i="13"/>
  <c r="W34" i="13" s="1"/>
  <c r="U33" i="13"/>
  <c r="W33" i="13" s="1"/>
  <c r="U32" i="13"/>
  <c r="W32" i="13" s="1"/>
  <c r="O31" i="13"/>
  <c r="U31" i="13" s="1"/>
  <c r="W31" i="13" s="1"/>
  <c r="U30" i="13"/>
  <c r="W30" i="13" s="1"/>
  <c r="U29" i="13"/>
  <c r="W29" i="13" s="1"/>
  <c r="U28" i="13"/>
  <c r="W28" i="13" s="1"/>
  <c r="U27" i="13"/>
  <c r="W27" i="13" s="1"/>
  <c r="U26" i="13"/>
  <c r="W26" i="13" s="1"/>
  <c r="U25" i="13"/>
  <c r="U24" i="13"/>
  <c r="W24" i="13" s="1"/>
  <c r="U23" i="13"/>
  <c r="W23" i="13" s="1"/>
  <c r="U22" i="13"/>
  <c r="W22" i="13" s="1"/>
  <c r="U21" i="13"/>
  <c r="W21" i="13" s="1"/>
  <c r="U20" i="13"/>
  <c r="W20" i="13" s="1"/>
  <c r="U19" i="13"/>
  <c r="W19" i="13" s="1"/>
  <c r="U18" i="13"/>
  <c r="W18" i="13" s="1"/>
  <c r="U17" i="13"/>
  <c r="W17" i="13" s="1"/>
  <c r="U16" i="13"/>
  <c r="W16" i="13" s="1"/>
  <c r="U15" i="13"/>
  <c r="W15" i="13" s="1"/>
  <c r="U14" i="13"/>
  <c r="W14" i="13" s="1"/>
  <c r="U13" i="13"/>
  <c r="W13" i="13" s="1"/>
  <c r="U12" i="13"/>
  <c r="W12" i="13" s="1"/>
  <c r="U11" i="13"/>
  <c r="W11" i="13" s="1"/>
  <c r="U10" i="13"/>
  <c r="W10" i="13" s="1"/>
  <c r="U8" i="13"/>
  <c r="W8" i="13" s="1"/>
  <c r="U7" i="13"/>
  <c r="U6" i="13"/>
  <c r="W6" i="13" s="1"/>
  <c r="U5" i="13"/>
  <c r="W5" i="13" s="1"/>
  <c r="X153" i="13" l="1"/>
  <c r="W213" i="13"/>
  <c r="W216" i="13"/>
  <c r="W220" i="13"/>
  <c r="W228" i="13"/>
  <c r="Y238" i="13"/>
  <c r="Y247" i="13"/>
  <c r="X423" i="13"/>
  <c r="Y189" i="13"/>
  <c r="AE534" i="13"/>
  <c r="X466" i="13"/>
  <c r="Y467" i="13" s="1"/>
  <c r="Y468" i="13" s="1"/>
  <c r="U43" i="13"/>
  <c r="W43" i="13" s="1"/>
  <c r="W530" i="13" s="1"/>
  <c r="W534" i="13" s="1"/>
  <c r="W536" i="13" s="1"/>
  <c r="U125" i="13"/>
  <c r="W125" i="13" s="1"/>
  <c r="Y205" i="13"/>
  <c r="W211" i="13"/>
  <c r="W214" i="13"/>
  <c r="W217" i="13"/>
  <c r="W226" i="13"/>
  <c r="Y229" i="13"/>
  <c r="Y60" i="13"/>
  <c r="Y190" i="13"/>
  <c r="Y191" i="13"/>
  <c r="Y230" i="13"/>
  <c r="Y235" i="13"/>
  <c r="Y245" i="13"/>
  <c r="U137" i="13"/>
  <c r="W137" i="13" s="1"/>
  <c r="Y172" i="13"/>
  <c r="Y45" i="13"/>
  <c r="U107" i="13"/>
  <c r="W107" i="13" s="1"/>
  <c r="X151" i="13" s="1"/>
  <c r="Y231" i="13"/>
  <c r="Y242" i="13"/>
  <c r="Y246" i="13"/>
  <c r="X249" i="13"/>
  <c r="Z172" i="13"/>
  <c r="Y7" i="13"/>
  <c r="AC172" i="13"/>
  <c r="W195" i="13"/>
  <c r="W196" i="13"/>
  <c r="W197" i="13"/>
  <c r="W222" i="13"/>
  <c r="W198" i="13"/>
  <c r="X406" i="13"/>
  <c r="X330" i="13"/>
  <c r="W51" i="13"/>
  <c r="W56" i="13"/>
  <c r="Y199" i="13"/>
  <c r="Y204" i="13"/>
  <c r="Y208" i="13"/>
  <c r="Y221" i="13"/>
  <c r="Y224" i="13"/>
  <c r="Y233" i="13"/>
  <c r="Y237" i="13"/>
  <c r="Y241" i="13"/>
  <c r="X307" i="13"/>
  <c r="X308" i="13" s="1"/>
  <c r="W66" i="13"/>
  <c r="Y198" i="13"/>
  <c r="Y203" i="13"/>
  <c r="Y207" i="13"/>
  <c r="Y223" i="13"/>
  <c r="Y232" i="13"/>
  <c r="Y236" i="13"/>
  <c r="Y240" i="13"/>
  <c r="X446" i="13"/>
  <c r="X422" i="13"/>
  <c r="X447" i="13"/>
  <c r="Y448" i="13" s="1"/>
  <c r="X476" i="13"/>
  <c r="X501" i="13"/>
  <c r="AA483" i="10"/>
  <c r="X478" i="10"/>
  <c r="X480" i="10" s="1"/>
  <c r="AE477" i="10"/>
  <c r="AE476" i="10"/>
  <c r="AE475" i="10"/>
  <c r="AE474" i="10"/>
  <c r="AE473" i="10"/>
  <c r="AE472" i="10"/>
  <c r="AE471" i="10"/>
  <c r="X471" i="10"/>
  <c r="U471" i="10"/>
  <c r="AE470" i="10"/>
  <c r="U470" i="10"/>
  <c r="AE469" i="10"/>
  <c r="AE478" i="10" s="1"/>
  <c r="U469" i="10"/>
  <c r="AE468" i="10"/>
  <c r="U468" i="10"/>
  <c r="U467" i="10"/>
  <c r="U466" i="10"/>
  <c r="U465" i="10"/>
  <c r="U464" i="10"/>
  <c r="U463" i="10"/>
  <c r="U462" i="10"/>
  <c r="U461" i="10"/>
  <c r="U460" i="10"/>
  <c r="U459" i="10"/>
  <c r="U458" i="10"/>
  <c r="U457" i="10"/>
  <c r="U456" i="10"/>
  <c r="U455" i="10"/>
  <c r="W455" i="10" s="1"/>
  <c r="U454" i="10"/>
  <c r="W454" i="10" s="1"/>
  <c r="U453" i="10"/>
  <c r="W453" i="10" s="1"/>
  <c r="U452" i="10"/>
  <c r="W452" i="10" s="1"/>
  <c r="U451" i="10"/>
  <c r="W451" i="10" s="1"/>
  <c r="U450" i="10"/>
  <c r="W450" i="10" s="1"/>
  <c r="U449" i="10"/>
  <c r="W449" i="10" s="1"/>
  <c r="U448" i="10"/>
  <c r="W448" i="10" s="1"/>
  <c r="U447" i="10"/>
  <c r="W447" i="10" s="1"/>
  <c r="U445" i="10"/>
  <c r="W445" i="10" s="1"/>
  <c r="U444" i="10"/>
  <c r="W444" i="10" s="1"/>
  <c r="U443" i="10"/>
  <c r="W443" i="10" s="1"/>
  <c r="U442" i="10"/>
  <c r="W442" i="10" s="1"/>
  <c r="U441" i="10"/>
  <c r="W441" i="10" s="1"/>
  <c r="U440" i="10"/>
  <c r="W440" i="10" s="1"/>
  <c r="U439" i="10"/>
  <c r="W439" i="10" s="1"/>
  <c r="U438" i="10"/>
  <c r="W438" i="10" s="1"/>
  <c r="U437" i="10"/>
  <c r="W437" i="10" s="1"/>
  <c r="U436" i="10"/>
  <c r="W436" i="10" s="1"/>
  <c r="U435" i="10"/>
  <c r="W435" i="10" s="1"/>
  <c r="U434" i="10"/>
  <c r="W434" i="10" s="1"/>
  <c r="U433" i="10"/>
  <c r="W433" i="10" s="1"/>
  <c r="U432" i="10"/>
  <c r="W432" i="10" s="1"/>
  <c r="U431" i="10"/>
  <c r="W431" i="10" s="1"/>
  <c r="U430" i="10"/>
  <c r="W430" i="10" s="1"/>
  <c r="U429" i="10"/>
  <c r="W429" i="10" s="1"/>
  <c r="W428" i="10"/>
  <c r="W427" i="10"/>
  <c r="U426" i="10"/>
  <c r="W426" i="10" s="1"/>
  <c r="U425" i="10"/>
  <c r="W425" i="10" s="1"/>
  <c r="U424" i="10"/>
  <c r="W424" i="10" s="1"/>
  <c r="U423" i="10"/>
  <c r="W423" i="10" s="1"/>
  <c r="U422" i="10"/>
  <c r="W422" i="10" s="1"/>
  <c r="U420" i="10"/>
  <c r="W420" i="10" s="1"/>
  <c r="U419" i="10"/>
  <c r="W419" i="10" s="1"/>
  <c r="U418" i="10"/>
  <c r="W418" i="10" s="1"/>
  <c r="U417" i="10"/>
  <c r="W417" i="10" s="1"/>
  <c r="U416" i="10"/>
  <c r="W416" i="10" s="1"/>
  <c r="U415" i="10"/>
  <c r="W415" i="10" s="1"/>
  <c r="U414" i="10"/>
  <c r="W414" i="10" s="1"/>
  <c r="U413" i="10"/>
  <c r="W413" i="10" s="1"/>
  <c r="U412" i="10"/>
  <c r="W412" i="10" s="1"/>
  <c r="U411" i="10"/>
  <c r="W411" i="10" s="1"/>
  <c r="Y410" i="10"/>
  <c r="W410" i="10"/>
  <c r="U410" i="10"/>
  <c r="V409" i="10"/>
  <c r="W409" i="10" s="1"/>
  <c r="U409" i="10"/>
  <c r="W408" i="10"/>
  <c r="W407" i="10"/>
  <c r="U406" i="10"/>
  <c r="W406" i="10" s="1"/>
  <c r="U405" i="10"/>
  <c r="W405" i="10" s="1"/>
  <c r="U404" i="10"/>
  <c r="W404" i="10" s="1"/>
  <c r="U403" i="10"/>
  <c r="W403" i="10" s="1"/>
  <c r="U402" i="10"/>
  <c r="W402" i="10" s="1"/>
  <c r="U401" i="10"/>
  <c r="W401" i="10" s="1"/>
  <c r="U400" i="10"/>
  <c r="W400" i="10" s="1"/>
  <c r="W399" i="10"/>
  <c r="U398" i="10"/>
  <c r="W398" i="10" s="1"/>
  <c r="U397" i="10"/>
  <c r="W397" i="10" s="1"/>
  <c r="U396" i="10"/>
  <c r="W396" i="10" s="1"/>
  <c r="U395" i="10"/>
  <c r="W395" i="10" s="1"/>
  <c r="U394" i="10"/>
  <c r="W394" i="10" s="1"/>
  <c r="U393" i="10"/>
  <c r="W393" i="10" s="1"/>
  <c r="U392" i="10"/>
  <c r="W392" i="10" s="1"/>
  <c r="U391" i="10"/>
  <c r="W391" i="10" s="1"/>
  <c r="W390" i="10"/>
  <c r="U390" i="10"/>
  <c r="W389" i="10"/>
  <c r="U389" i="10"/>
  <c r="W388" i="10"/>
  <c r="U388" i="10"/>
  <c r="W387" i="10"/>
  <c r="U387" i="10"/>
  <c r="W386" i="10"/>
  <c r="U386" i="10"/>
  <c r="W385" i="10"/>
  <c r="U385" i="10"/>
  <c r="U384" i="10"/>
  <c r="W384" i="10" s="1"/>
  <c r="U383" i="10"/>
  <c r="W383" i="10" s="1"/>
  <c r="U382" i="10"/>
  <c r="W382" i="10" s="1"/>
  <c r="U381" i="10"/>
  <c r="W381" i="10" s="1"/>
  <c r="U380" i="10"/>
  <c r="W380" i="10" s="1"/>
  <c r="U379" i="10"/>
  <c r="W379" i="10" s="1"/>
  <c r="U378" i="10"/>
  <c r="W378" i="10" s="1"/>
  <c r="U377" i="10"/>
  <c r="W377" i="10" s="1"/>
  <c r="U376" i="10"/>
  <c r="W376" i="10" s="1"/>
  <c r="U375" i="10"/>
  <c r="W375" i="10" s="1"/>
  <c r="U374" i="10"/>
  <c r="W374" i="10" s="1"/>
  <c r="U373" i="10"/>
  <c r="W373" i="10" s="1"/>
  <c r="U372" i="10"/>
  <c r="W372" i="10" s="1"/>
  <c r="U371" i="10"/>
  <c r="W371" i="10" s="1"/>
  <c r="U370" i="10"/>
  <c r="W370" i="10" s="1"/>
  <c r="U369" i="10"/>
  <c r="W369" i="10" s="1"/>
  <c r="U368" i="10"/>
  <c r="W368" i="10" s="1"/>
  <c r="U367" i="10"/>
  <c r="W367" i="10" s="1"/>
  <c r="U366" i="10"/>
  <c r="W366" i="10" s="1"/>
  <c r="U365" i="10"/>
  <c r="W365" i="10" s="1"/>
  <c r="U364" i="10"/>
  <c r="W364" i="10" s="1"/>
  <c r="U363" i="10"/>
  <c r="W363" i="10" s="1"/>
  <c r="U362" i="10"/>
  <c r="W362" i="10" s="1"/>
  <c r="U361" i="10"/>
  <c r="W361" i="10" s="1"/>
  <c r="U360" i="10"/>
  <c r="W360" i="10" s="1"/>
  <c r="U359" i="10"/>
  <c r="W359" i="10" s="1"/>
  <c r="U358" i="10"/>
  <c r="W358" i="10" s="1"/>
  <c r="U357" i="10"/>
  <c r="W357" i="10" s="1"/>
  <c r="U356" i="10"/>
  <c r="W356" i="10" s="1"/>
  <c r="W355" i="10"/>
  <c r="U354" i="10"/>
  <c r="W354" i="10" s="1"/>
  <c r="U353" i="10"/>
  <c r="W353" i="10" s="1"/>
  <c r="U352" i="10"/>
  <c r="W352" i="10" s="1"/>
  <c r="U350" i="10"/>
  <c r="W350" i="10" s="1"/>
  <c r="U349" i="10"/>
  <c r="W349" i="10" s="1"/>
  <c r="U348" i="10"/>
  <c r="W348" i="10" s="1"/>
  <c r="U347" i="10"/>
  <c r="W347" i="10" s="1"/>
  <c r="U346" i="10"/>
  <c r="U345" i="10"/>
  <c r="W345" i="10" s="1"/>
  <c r="U344" i="10"/>
  <c r="W344" i="10" s="1"/>
  <c r="U343" i="10"/>
  <c r="W343" i="10" s="1"/>
  <c r="U342" i="10"/>
  <c r="W342" i="10" s="1"/>
  <c r="U341" i="10"/>
  <c r="W341" i="10" s="1"/>
  <c r="U340" i="10"/>
  <c r="W340" i="10" s="1"/>
  <c r="U339" i="10"/>
  <c r="W339" i="10" s="1"/>
  <c r="U338" i="10"/>
  <c r="W338" i="10" s="1"/>
  <c r="U337" i="10"/>
  <c r="W337" i="10" s="1"/>
  <c r="U336" i="10"/>
  <c r="W336" i="10" s="1"/>
  <c r="U335" i="10"/>
  <c r="W335" i="10" s="1"/>
  <c r="U334" i="10"/>
  <c r="W334" i="10" s="1"/>
  <c r="U333" i="10"/>
  <c r="W333" i="10" s="1"/>
  <c r="U332" i="10"/>
  <c r="W332" i="10" s="1"/>
  <c r="U331" i="10"/>
  <c r="W331" i="10" s="1"/>
  <c r="U330" i="10"/>
  <c r="W330" i="10" s="1"/>
  <c r="U329" i="10"/>
  <c r="U328" i="10"/>
  <c r="W328" i="10" s="1"/>
  <c r="U327" i="10"/>
  <c r="W327" i="10" s="1"/>
  <c r="U326" i="10"/>
  <c r="W326" i="10" s="1"/>
  <c r="U325" i="10"/>
  <c r="U324" i="10"/>
  <c r="W324" i="10" s="1"/>
  <c r="U323" i="10"/>
  <c r="W323" i="10" s="1"/>
  <c r="U322" i="10"/>
  <c r="W321" i="10"/>
  <c r="U321" i="10"/>
  <c r="U320" i="10"/>
  <c r="W320" i="10" s="1"/>
  <c r="U319" i="10"/>
  <c r="W319" i="10" s="1"/>
  <c r="U318" i="10"/>
  <c r="W318" i="10" s="1"/>
  <c r="U317" i="10"/>
  <c r="U316" i="10"/>
  <c r="W316" i="10" s="1"/>
  <c r="U315" i="10"/>
  <c r="W315" i="10" s="1"/>
  <c r="U314" i="10"/>
  <c r="W314" i="10" s="1"/>
  <c r="U313" i="10"/>
  <c r="W313" i="10" s="1"/>
  <c r="U312" i="10"/>
  <c r="U311" i="10"/>
  <c r="W311" i="10" s="1"/>
  <c r="U310" i="10"/>
  <c r="W310" i="10" s="1"/>
  <c r="U309" i="10"/>
  <c r="W309" i="10" s="1"/>
  <c r="U308" i="10"/>
  <c r="W308" i="10" s="1"/>
  <c r="U307" i="10"/>
  <c r="W307" i="10" s="1"/>
  <c r="U306" i="10"/>
  <c r="W306" i="10" s="1"/>
  <c r="U305" i="10"/>
  <c r="W305" i="10" s="1"/>
  <c r="U304" i="10"/>
  <c r="W304" i="10" s="1"/>
  <c r="U303" i="10"/>
  <c r="W303" i="10" s="1"/>
  <c r="W302" i="10"/>
  <c r="U302" i="10"/>
  <c r="U301" i="10"/>
  <c r="W301" i="10" s="1"/>
  <c r="U300" i="10"/>
  <c r="W300" i="10" s="1"/>
  <c r="U299" i="10"/>
  <c r="W299" i="10" s="1"/>
  <c r="U298" i="10"/>
  <c r="W298" i="10" s="1"/>
  <c r="U297" i="10"/>
  <c r="W297" i="10" s="1"/>
  <c r="W296" i="10"/>
  <c r="U296" i="10"/>
  <c r="U295" i="10"/>
  <c r="W295" i="10" s="1"/>
  <c r="U294" i="10"/>
  <c r="W294" i="10" s="1"/>
  <c r="U293" i="10"/>
  <c r="U292" i="10"/>
  <c r="W292" i="10" s="1"/>
  <c r="U291" i="10"/>
  <c r="W291" i="10" s="1"/>
  <c r="U290" i="10"/>
  <c r="W290" i="10" s="1"/>
  <c r="U289" i="10"/>
  <c r="W289" i="10" s="1"/>
  <c r="U288" i="10"/>
  <c r="W288" i="10" s="1"/>
  <c r="U287" i="10"/>
  <c r="W287" i="10" s="1"/>
  <c r="U286" i="10"/>
  <c r="W286" i="10" s="1"/>
  <c r="U285" i="10"/>
  <c r="W285" i="10" s="1"/>
  <c r="U284" i="10"/>
  <c r="W284" i="10" s="1"/>
  <c r="U283" i="10"/>
  <c r="W283" i="10" s="1"/>
  <c r="U282" i="10"/>
  <c r="W282" i="10" s="1"/>
  <c r="U281" i="10"/>
  <c r="W281" i="10" s="1"/>
  <c r="U280" i="10"/>
  <c r="W280" i="10" s="1"/>
  <c r="U279" i="10"/>
  <c r="W279" i="10" s="1"/>
  <c r="U278" i="10"/>
  <c r="W278" i="10" s="1"/>
  <c r="U277" i="10"/>
  <c r="W277" i="10" s="1"/>
  <c r="U276" i="10"/>
  <c r="W276" i="10" s="1"/>
  <c r="U275" i="10"/>
  <c r="W275" i="10" s="1"/>
  <c r="U274" i="10"/>
  <c r="U273" i="10"/>
  <c r="W273" i="10" s="1"/>
  <c r="U272" i="10"/>
  <c r="W272" i="10" s="1"/>
  <c r="U270" i="10"/>
  <c r="W270" i="10" s="1"/>
  <c r="U269" i="10"/>
  <c r="W269" i="10" s="1"/>
  <c r="U268" i="10"/>
  <c r="W268" i="10" s="1"/>
  <c r="U267" i="10"/>
  <c r="W267" i="10" s="1"/>
  <c r="U266" i="10"/>
  <c r="U265" i="10"/>
  <c r="W265" i="10" s="1"/>
  <c r="W264" i="10"/>
  <c r="U264" i="10"/>
  <c r="U263" i="10"/>
  <c r="W263" i="10" s="1"/>
  <c r="U262" i="10"/>
  <c r="W262" i="10" s="1"/>
  <c r="U261" i="10"/>
  <c r="W261" i="10" s="1"/>
  <c r="U260" i="10"/>
  <c r="U259" i="10"/>
  <c r="W259" i="10" s="1"/>
  <c r="U258" i="10"/>
  <c r="W258" i="10" s="1"/>
  <c r="U257" i="10"/>
  <c r="W257" i="10" s="1"/>
  <c r="U256" i="10"/>
  <c r="U255" i="10"/>
  <c r="W255" i="10" s="1"/>
  <c r="U253" i="10"/>
  <c r="W253" i="10" s="1"/>
  <c r="U252" i="10"/>
  <c r="W252" i="10" s="1"/>
  <c r="U251" i="10"/>
  <c r="W251" i="10" s="1"/>
  <c r="U250" i="10"/>
  <c r="W250" i="10" s="1"/>
  <c r="U249" i="10"/>
  <c r="U248" i="10"/>
  <c r="W248" i="10" s="1"/>
  <c r="W247" i="10"/>
  <c r="U247" i="10"/>
  <c r="U246" i="10"/>
  <c r="U245" i="10"/>
  <c r="W245" i="10" s="1"/>
  <c r="W244" i="10"/>
  <c r="U244" i="10"/>
  <c r="U243" i="10"/>
  <c r="W243" i="10" s="1"/>
  <c r="U242" i="10"/>
  <c r="U241" i="10"/>
  <c r="W241" i="10" s="1"/>
  <c r="U240" i="10"/>
  <c r="W240" i="10" s="1"/>
  <c r="U239" i="10"/>
  <c r="W239" i="10" s="1"/>
  <c r="U238" i="10"/>
  <c r="W238" i="10" s="1"/>
  <c r="U237" i="10"/>
  <c r="W237" i="10" s="1"/>
  <c r="U236" i="10"/>
  <c r="W236" i="10" s="1"/>
  <c r="U235" i="10"/>
  <c r="W235" i="10" s="1"/>
  <c r="W234" i="10"/>
  <c r="U234" i="10"/>
  <c r="U233" i="10"/>
  <c r="U232" i="10"/>
  <c r="W232" i="10" s="1"/>
  <c r="U231" i="10"/>
  <c r="W231" i="10" s="1"/>
  <c r="U230" i="10"/>
  <c r="W229" i="10"/>
  <c r="U229" i="10"/>
  <c r="U228" i="10"/>
  <c r="W228" i="10" s="1"/>
  <c r="U227" i="10"/>
  <c r="W226" i="10"/>
  <c r="U226" i="10"/>
  <c r="U225" i="10"/>
  <c r="W225" i="10" s="1"/>
  <c r="U224" i="10"/>
  <c r="W224" i="10" s="1"/>
  <c r="U223" i="10"/>
  <c r="W223" i="10" s="1"/>
  <c r="U222" i="10"/>
  <c r="W222" i="10" s="1"/>
  <c r="U221" i="10"/>
  <c r="W221" i="10" s="1"/>
  <c r="U220" i="10"/>
  <c r="W220" i="10" s="1"/>
  <c r="U219" i="10"/>
  <c r="W219" i="10" s="1"/>
  <c r="W218" i="10"/>
  <c r="U218" i="10"/>
  <c r="U217" i="10"/>
  <c r="W217" i="10" s="1"/>
  <c r="U216" i="10"/>
  <c r="W216" i="10" s="1"/>
  <c r="U215" i="10"/>
  <c r="W215" i="10" s="1"/>
  <c r="U214" i="10"/>
  <c r="W214" i="10" s="1"/>
  <c r="U213" i="10"/>
  <c r="W213" i="10" s="1"/>
  <c r="U212" i="10"/>
  <c r="W212" i="10" s="1"/>
  <c r="U211" i="10"/>
  <c r="W211" i="10" s="1"/>
  <c r="W210" i="10"/>
  <c r="U210" i="10"/>
  <c r="U209" i="10"/>
  <c r="W209" i="10" s="1"/>
  <c r="U208" i="10"/>
  <c r="W208" i="10" s="1"/>
  <c r="U207" i="10"/>
  <c r="W207" i="10" s="1"/>
  <c r="U206" i="10"/>
  <c r="W206" i="10" s="1"/>
  <c r="U205" i="10"/>
  <c r="W205" i="10" s="1"/>
  <c r="U204" i="10"/>
  <c r="Z203" i="10"/>
  <c r="U203" i="10"/>
  <c r="W203" i="10" s="1"/>
  <c r="W202" i="10"/>
  <c r="U202" i="10"/>
  <c r="U201" i="10"/>
  <c r="W201" i="10" s="1"/>
  <c r="U200" i="10"/>
  <c r="U199" i="10"/>
  <c r="W199" i="10" s="1"/>
  <c r="W198" i="10"/>
  <c r="U198" i="10"/>
  <c r="X196" i="10"/>
  <c r="U196" i="10"/>
  <c r="W196" i="10" s="1"/>
  <c r="X195" i="10"/>
  <c r="U195" i="10"/>
  <c r="W195" i="10" s="1"/>
  <c r="X194" i="10"/>
  <c r="W194" i="10"/>
  <c r="U194" i="10"/>
  <c r="X193" i="10"/>
  <c r="U193" i="10"/>
  <c r="W193" i="10" s="1"/>
  <c r="X192" i="10"/>
  <c r="U192" i="10"/>
  <c r="X191" i="10"/>
  <c r="W191" i="10"/>
  <c r="U191" i="10"/>
  <c r="Y191" i="10" s="1"/>
  <c r="X190" i="10"/>
  <c r="U190" i="10"/>
  <c r="W190" i="10" s="1"/>
  <c r="X189" i="10"/>
  <c r="U189" i="10"/>
  <c r="X188" i="10"/>
  <c r="U188" i="10"/>
  <c r="Y188" i="10" s="1"/>
  <c r="X187" i="10"/>
  <c r="U187" i="10"/>
  <c r="W187" i="10" s="1"/>
  <c r="X186" i="10"/>
  <c r="U186" i="10"/>
  <c r="X185" i="10"/>
  <c r="W185" i="10"/>
  <c r="U185" i="10"/>
  <c r="Y185" i="10" s="1"/>
  <c r="X184" i="10"/>
  <c r="U184" i="10"/>
  <c r="W184" i="10" s="1"/>
  <c r="X183" i="10"/>
  <c r="U183" i="10"/>
  <c r="W183" i="10" s="1"/>
  <c r="X182" i="10"/>
  <c r="W182" i="10"/>
  <c r="U182" i="10"/>
  <c r="Y182" i="10" s="1"/>
  <c r="X181" i="10"/>
  <c r="U181" i="10"/>
  <c r="W181" i="10" s="1"/>
  <c r="X180" i="10"/>
  <c r="U180" i="10"/>
  <c r="X179" i="10"/>
  <c r="U179" i="10"/>
  <c r="Y179" i="10" s="1"/>
  <c r="X178" i="10"/>
  <c r="U178" i="10"/>
  <c r="X177" i="10"/>
  <c r="U177" i="10"/>
  <c r="X176" i="10"/>
  <c r="U176" i="10"/>
  <c r="W176" i="10" s="1"/>
  <c r="X175" i="10"/>
  <c r="U175" i="10"/>
  <c r="X174" i="10"/>
  <c r="U174" i="10"/>
  <c r="Y174" i="10" s="1"/>
  <c r="X173" i="10"/>
  <c r="Y173" i="10" s="1"/>
  <c r="U173" i="10"/>
  <c r="W173" i="10" s="1"/>
  <c r="X172" i="10"/>
  <c r="U172" i="10"/>
  <c r="W172" i="10" s="1"/>
  <c r="X171" i="10"/>
  <c r="U171" i="10"/>
  <c r="W171" i="10" s="1"/>
  <c r="X170" i="10"/>
  <c r="Y170" i="10" s="1"/>
  <c r="U170" i="10"/>
  <c r="X169" i="10"/>
  <c r="U169" i="10"/>
  <c r="Y169" i="10" s="1"/>
  <c r="X168" i="10"/>
  <c r="Y168" i="10" s="1"/>
  <c r="U168" i="10"/>
  <c r="W168" i="10" s="1"/>
  <c r="X167" i="10"/>
  <c r="Y167" i="10" s="1"/>
  <c r="W167" i="10"/>
  <c r="U167" i="10"/>
  <c r="X166" i="10"/>
  <c r="W166" i="10"/>
  <c r="U166" i="10"/>
  <c r="Y166" i="10" s="1"/>
  <c r="X165" i="10"/>
  <c r="U165" i="10"/>
  <c r="W165" i="10" s="1"/>
  <c r="X164" i="10"/>
  <c r="W164" i="10"/>
  <c r="U164" i="10"/>
  <c r="X163" i="10"/>
  <c r="W163" i="10"/>
  <c r="U163" i="10"/>
  <c r="Y163" i="10" s="1"/>
  <c r="X162" i="10"/>
  <c r="U162" i="10"/>
  <c r="W162" i="10" s="1"/>
  <c r="X161" i="10"/>
  <c r="Y161" i="10" s="1"/>
  <c r="W161" i="10"/>
  <c r="U161" i="10"/>
  <c r="X160" i="10"/>
  <c r="U160" i="10"/>
  <c r="Y160" i="10" s="1"/>
  <c r="X159" i="10"/>
  <c r="Y159" i="10" s="1"/>
  <c r="U159" i="10"/>
  <c r="W159" i="10" s="1"/>
  <c r="X158" i="10"/>
  <c r="U158" i="10"/>
  <c r="X157" i="10"/>
  <c r="U157" i="10"/>
  <c r="Y157" i="10" s="1"/>
  <c r="X156" i="10"/>
  <c r="Y156" i="10" s="1"/>
  <c r="U156" i="10"/>
  <c r="W156" i="10" s="1"/>
  <c r="X155" i="10"/>
  <c r="U155" i="10"/>
  <c r="Y155" i="10" s="1"/>
  <c r="X154" i="10"/>
  <c r="U154" i="10"/>
  <c r="Y154" i="10" s="1"/>
  <c r="X153" i="10"/>
  <c r="U153" i="10"/>
  <c r="W153" i="10" s="1"/>
  <c r="X152" i="10"/>
  <c r="U152" i="10"/>
  <c r="W152" i="10" s="1"/>
  <c r="X151" i="10"/>
  <c r="U151" i="10"/>
  <c r="Y151" i="10" s="1"/>
  <c r="X150" i="10"/>
  <c r="Y150" i="10" s="1"/>
  <c r="W150" i="10"/>
  <c r="U150" i="10"/>
  <c r="X149" i="10"/>
  <c r="U149" i="10"/>
  <c r="X148" i="10"/>
  <c r="U148" i="10"/>
  <c r="Y148" i="10" s="1"/>
  <c r="X147" i="10"/>
  <c r="Y147" i="10" s="1"/>
  <c r="U147" i="10"/>
  <c r="X146" i="10"/>
  <c r="Y146" i="10" s="1"/>
  <c r="W146" i="10"/>
  <c r="U146" i="10"/>
  <c r="X145" i="10"/>
  <c r="W145" i="10"/>
  <c r="U145" i="10"/>
  <c r="X144" i="10"/>
  <c r="W144" i="10"/>
  <c r="U144" i="10"/>
  <c r="X143" i="10"/>
  <c r="U143" i="10"/>
  <c r="W143" i="10" s="1"/>
  <c r="X142" i="10"/>
  <c r="W142" i="10"/>
  <c r="U142" i="10"/>
  <c r="X141" i="10"/>
  <c r="Y141" i="10" s="1"/>
  <c r="W141" i="10"/>
  <c r="U141" i="10"/>
  <c r="X140" i="10"/>
  <c r="U140" i="10"/>
  <c r="Y140" i="10" s="1"/>
  <c r="X139" i="10"/>
  <c r="U139" i="10"/>
  <c r="X138" i="10"/>
  <c r="W138" i="10"/>
  <c r="U138" i="10"/>
  <c r="Y137" i="10"/>
  <c r="W136" i="10"/>
  <c r="U136" i="10"/>
  <c r="U135" i="10"/>
  <c r="W135" i="10" s="1"/>
  <c r="U134" i="10"/>
  <c r="U133" i="10"/>
  <c r="W133" i="10" s="1"/>
  <c r="W132" i="10"/>
  <c r="U132" i="10"/>
  <c r="U131" i="10"/>
  <c r="W131" i="10" s="1"/>
  <c r="U130" i="10"/>
  <c r="W130" i="10" s="1"/>
  <c r="U129" i="10"/>
  <c r="W129" i="10" s="1"/>
  <c r="U128" i="10"/>
  <c r="W128" i="10" s="1"/>
  <c r="U127" i="10"/>
  <c r="W127" i="10" s="1"/>
  <c r="W126" i="10"/>
  <c r="U126" i="10"/>
  <c r="U125" i="10"/>
  <c r="W125" i="10" s="1"/>
  <c r="U124" i="10"/>
  <c r="W124" i="10" s="1"/>
  <c r="U123" i="10"/>
  <c r="W123" i="10" s="1"/>
  <c r="U122" i="10"/>
  <c r="U121" i="10"/>
  <c r="U119" i="10"/>
  <c r="W119" i="10" s="1"/>
  <c r="W118" i="10"/>
  <c r="U118" i="10"/>
  <c r="U117" i="10"/>
  <c r="W117" i="10" s="1"/>
  <c r="U116" i="10"/>
  <c r="U115" i="10"/>
  <c r="W115" i="10" s="1"/>
  <c r="U114" i="10"/>
  <c r="W114" i="10" s="1"/>
  <c r="U113" i="10"/>
  <c r="W113" i="10" s="1"/>
  <c r="U112" i="10"/>
  <c r="W112" i="10" s="1"/>
  <c r="U111" i="10"/>
  <c r="W111" i="10" s="1"/>
  <c r="U110" i="10"/>
  <c r="W110" i="10" s="1"/>
  <c r="U109" i="10"/>
  <c r="W109" i="10" s="1"/>
  <c r="U108" i="10"/>
  <c r="U107" i="10"/>
  <c r="W107" i="10" s="1"/>
  <c r="U106" i="10"/>
  <c r="W106" i="10" s="1"/>
  <c r="U105" i="10"/>
  <c r="W105" i="10" s="1"/>
  <c r="U104" i="10"/>
  <c r="W103" i="10"/>
  <c r="U103" i="10"/>
  <c r="U102" i="10"/>
  <c r="W102" i="10" s="1"/>
  <c r="O100" i="10"/>
  <c r="U100" i="10" s="1"/>
  <c r="W100" i="10" s="1"/>
  <c r="O99" i="10"/>
  <c r="U99" i="10" s="1"/>
  <c r="W99" i="10" s="1"/>
  <c r="U98" i="10"/>
  <c r="W98" i="10" s="1"/>
  <c r="U97" i="10"/>
  <c r="W97" i="10" s="1"/>
  <c r="U96" i="10"/>
  <c r="W96" i="10" s="1"/>
  <c r="W95" i="10"/>
  <c r="U95" i="10"/>
  <c r="U94" i="10"/>
  <c r="W94" i="10" s="1"/>
  <c r="U93" i="10"/>
  <c r="W93" i="10" s="1"/>
  <c r="U92" i="10"/>
  <c r="W92" i="10" s="1"/>
  <c r="U91" i="10"/>
  <c r="W91" i="10" s="1"/>
  <c r="U90" i="10"/>
  <c r="W90" i="10" s="1"/>
  <c r="W89" i="10"/>
  <c r="U89" i="10"/>
  <c r="U88" i="10"/>
  <c r="U87" i="10"/>
  <c r="W87" i="10" s="1"/>
  <c r="O87" i="10"/>
  <c r="O86" i="10"/>
  <c r="H86" i="10"/>
  <c r="D86" i="10"/>
  <c r="U86" i="10" s="1"/>
  <c r="W86" i="10" s="1"/>
  <c r="U85" i="10"/>
  <c r="W85" i="10" s="1"/>
  <c r="U84" i="10"/>
  <c r="W84" i="10" s="1"/>
  <c r="W83" i="10"/>
  <c r="U83" i="10"/>
  <c r="U82" i="10"/>
  <c r="W82" i="10" s="1"/>
  <c r="U81" i="10"/>
  <c r="U80" i="10"/>
  <c r="W80" i="10" s="1"/>
  <c r="U79" i="10"/>
  <c r="W79" i="10" s="1"/>
  <c r="W78" i="10"/>
  <c r="U78" i="10"/>
  <c r="H77" i="10"/>
  <c r="U77" i="10" s="1"/>
  <c r="W77" i="10" s="1"/>
  <c r="U76" i="10"/>
  <c r="W76" i="10" s="1"/>
  <c r="U75" i="10"/>
  <c r="W75" i="10" s="1"/>
  <c r="P74" i="10"/>
  <c r="U74" i="10" s="1"/>
  <c r="W74" i="10" s="1"/>
  <c r="P73" i="10"/>
  <c r="O73" i="10"/>
  <c r="H73" i="10"/>
  <c r="U73" i="10" s="1"/>
  <c r="W73" i="10" s="1"/>
  <c r="U72" i="10"/>
  <c r="W72" i="10" s="1"/>
  <c r="P71" i="10"/>
  <c r="O71" i="10"/>
  <c r="H71" i="10"/>
  <c r="U71" i="10" s="1"/>
  <c r="W71" i="10" s="1"/>
  <c r="P70" i="10"/>
  <c r="O70" i="10"/>
  <c r="H70" i="10"/>
  <c r="D70" i="10"/>
  <c r="U70" i="10" s="1"/>
  <c r="W70" i="10" s="1"/>
  <c r="U69" i="10"/>
  <c r="P68" i="10"/>
  <c r="O68" i="10"/>
  <c r="H68" i="10"/>
  <c r="D68" i="10"/>
  <c r="P67" i="10"/>
  <c r="U67" i="10" s="1"/>
  <c r="W67" i="10" s="1"/>
  <c r="P66" i="10"/>
  <c r="O66" i="10"/>
  <c r="H66" i="10"/>
  <c r="U65" i="10"/>
  <c r="P64" i="10"/>
  <c r="O64" i="10"/>
  <c r="H64" i="10"/>
  <c r="O63" i="10"/>
  <c r="U63" i="10" s="1"/>
  <c r="W63" i="10" s="1"/>
  <c r="U62" i="10"/>
  <c r="W62" i="10" s="1"/>
  <c r="O62" i="10"/>
  <c r="O61" i="10"/>
  <c r="U61" i="10" s="1"/>
  <c r="W61" i="10" s="1"/>
  <c r="O60" i="10"/>
  <c r="U60" i="10" s="1"/>
  <c r="W60" i="10" s="1"/>
  <c r="W58" i="10"/>
  <c r="U58" i="10"/>
  <c r="U57" i="10"/>
  <c r="W57" i="10" s="1"/>
  <c r="W56" i="10"/>
  <c r="U56" i="10"/>
  <c r="U55" i="10"/>
  <c r="W55" i="10" s="1"/>
  <c r="U53" i="10"/>
  <c r="W53" i="10" s="1"/>
  <c r="U52" i="10"/>
  <c r="U51" i="10"/>
  <c r="W51" i="10" s="1"/>
  <c r="U50" i="10"/>
  <c r="W50" i="10" s="1"/>
  <c r="U49" i="10"/>
  <c r="W49" i="10" s="1"/>
  <c r="W48" i="10"/>
  <c r="U48" i="10"/>
  <c r="U47" i="10"/>
  <c r="W47" i="10" s="1"/>
  <c r="W46" i="10"/>
  <c r="U46" i="10"/>
  <c r="U44" i="10"/>
  <c r="W44" i="10" s="1"/>
  <c r="U43" i="10"/>
  <c r="U42" i="10"/>
  <c r="W42" i="10" s="1"/>
  <c r="W41" i="10"/>
  <c r="U41" i="10"/>
  <c r="U40" i="10"/>
  <c r="W40" i="10" s="1"/>
  <c r="U39" i="10"/>
  <c r="W39" i="10" s="1"/>
  <c r="U38" i="10"/>
  <c r="W38" i="10" s="1"/>
  <c r="U37" i="10"/>
  <c r="W37" i="10" s="1"/>
  <c r="U36" i="10"/>
  <c r="W36" i="10" s="1"/>
  <c r="U35" i="10"/>
  <c r="U34" i="10"/>
  <c r="W34" i="10" s="1"/>
  <c r="U32" i="10"/>
  <c r="W32" i="10" s="1"/>
  <c r="W31" i="10"/>
  <c r="U31" i="10"/>
  <c r="U30" i="10"/>
  <c r="W30" i="10" s="1"/>
  <c r="W29" i="10"/>
  <c r="U28" i="10"/>
  <c r="W28" i="10" s="1"/>
  <c r="U27" i="10"/>
  <c r="W27" i="10" s="1"/>
  <c r="U26" i="10"/>
  <c r="W26" i="10" s="1"/>
  <c r="U25" i="10"/>
  <c r="W25" i="10" s="1"/>
  <c r="U24" i="10"/>
  <c r="W24" i="10" s="1"/>
  <c r="U23" i="10"/>
  <c r="W22" i="10"/>
  <c r="U22" i="10"/>
  <c r="U21" i="10"/>
  <c r="W21" i="10" s="1"/>
  <c r="U20" i="10"/>
  <c r="W20" i="10" s="1"/>
  <c r="U19" i="10"/>
  <c r="W19" i="10" s="1"/>
  <c r="W18" i="10"/>
  <c r="U18" i="10"/>
  <c r="U17" i="10"/>
  <c r="W17" i="10" s="1"/>
  <c r="W16" i="10"/>
  <c r="U16" i="10"/>
  <c r="U15" i="10"/>
  <c r="W15" i="10" s="1"/>
  <c r="U14" i="10"/>
  <c r="W14" i="10" s="1"/>
  <c r="U13" i="10"/>
  <c r="W13" i="10" s="1"/>
  <c r="W12" i="10"/>
  <c r="U12" i="10"/>
  <c r="U11" i="10"/>
  <c r="W11" i="10" s="1"/>
  <c r="U10" i="10"/>
  <c r="W10" i="10" s="1"/>
  <c r="U9" i="10"/>
  <c r="W9" i="10" s="1"/>
  <c r="U8" i="10"/>
  <c r="W8" i="10" s="1"/>
  <c r="U6" i="10"/>
  <c r="W6" i="10" s="1"/>
  <c r="U5" i="10"/>
  <c r="W5" i="10" s="1"/>
  <c r="Z63" i="9"/>
  <c r="U61" i="9"/>
  <c r="AB37" i="9"/>
  <c r="AA478" i="9"/>
  <c r="X473" i="9"/>
  <c r="X475" i="9" s="1"/>
  <c r="AE472" i="9"/>
  <c r="AE471" i="9"/>
  <c r="AE470" i="9"/>
  <c r="AE469" i="9"/>
  <c r="AE468" i="9"/>
  <c r="AE467" i="9"/>
  <c r="AE466" i="9"/>
  <c r="X466" i="9"/>
  <c r="U466" i="9"/>
  <c r="AE465" i="9"/>
  <c r="U465" i="9"/>
  <c r="AE464" i="9"/>
  <c r="U464" i="9"/>
  <c r="AE463" i="9"/>
  <c r="U463" i="9"/>
  <c r="U462" i="9"/>
  <c r="U461" i="9"/>
  <c r="U460" i="9"/>
  <c r="U459" i="9"/>
  <c r="U458" i="9"/>
  <c r="U457" i="9"/>
  <c r="U456" i="9"/>
  <c r="U455" i="9"/>
  <c r="U454" i="9"/>
  <c r="U453" i="9"/>
  <c r="U452" i="9"/>
  <c r="U451" i="9"/>
  <c r="U450" i="9"/>
  <c r="W450" i="9" s="1"/>
  <c r="U449" i="9"/>
  <c r="W449" i="9" s="1"/>
  <c r="U448" i="9"/>
  <c r="W448" i="9" s="1"/>
  <c r="U447" i="9"/>
  <c r="W447" i="9" s="1"/>
  <c r="U446" i="9"/>
  <c r="W446" i="9" s="1"/>
  <c r="U445" i="9"/>
  <c r="W445" i="9" s="1"/>
  <c r="U444" i="9"/>
  <c r="W444" i="9" s="1"/>
  <c r="U443" i="9"/>
  <c r="W443" i="9" s="1"/>
  <c r="U442" i="9"/>
  <c r="W442" i="9" s="1"/>
  <c r="U440" i="9"/>
  <c r="W440" i="9" s="1"/>
  <c r="U439" i="9"/>
  <c r="W439" i="9" s="1"/>
  <c r="U438" i="9"/>
  <c r="W438" i="9" s="1"/>
  <c r="U437" i="9"/>
  <c r="W437" i="9" s="1"/>
  <c r="U436" i="9"/>
  <c r="W436" i="9" s="1"/>
  <c r="U435" i="9"/>
  <c r="W435" i="9" s="1"/>
  <c r="U434" i="9"/>
  <c r="W434" i="9" s="1"/>
  <c r="U433" i="9"/>
  <c r="W433" i="9" s="1"/>
  <c r="U432" i="9"/>
  <c r="W432" i="9" s="1"/>
  <c r="U431" i="9"/>
  <c r="W431" i="9" s="1"/>
  <c r="U430" i="9"/>
  <c r="W430" i="9" s="1"/>
  <c r="U429" i="9"/>
  <c r="W429" i="9" s="1"/>
  <c r="U428" i="9"/>
  <c r="W428" i="9" s="1"/>
  <c r="U427" i="9"/>
  <c r="W427" i="9" s="1"/>
  <c r="U426" i="9"/>
  <c r="W426" i="9" s="1"/>
  <c r="U425" i="9"/>
  <c r="W425" i="9" s="1"/>
  <c r="U424" i="9"/>
  <c r="W424" i="9" s="1"/>
  <c r="W423" i="9"/>
  <c r="W422" i="9"/>
  <c r="U421" i="9"/>
  <c r="W421" i="9" s="1"/>
  <c r="U420" i="9"/>
  <c r="W420" i="9" s="1"/>
  <c r="U419" i="9"/>
  <c r="W419" i="9" s="1"/>
  <c r="U418" i="9"/>
  <c r="W418" i="9" s="1"/>
  <c r="U417" i="9"/>
  <c r="W417" i="9" s="1"/>
  <c r="U415" i="9"/>
  <c r="W415" i="9" s="1"/>
  <c r="U414" i="9"/>
  <c r="W414" i="9" s="1"/>
  <c r="U413" i="9"/>
  <c r="W413" i="9" s="1"/>
  <c r="U412" i="9"/>
  <c r="W412" i="9" s="1"/>
  <c r="U411" i="9"/>
  <c r="W411" i="9" s="1"/>
  <c r="U410" i="9"/>
  <c r="W410" i="9" s="1"/>
  <c r="U409" i="9"/>
  <c r="W409" i="9" s="1"/>
  <c r="U408" i="9"/>
  <c r="W408" i="9" s="1"/>
  <c r="U407" i="9"/>
  <c r="W407" i="9" s="1"/>
  <c r="Y406" i="9"/>
  <c r="U406" i="9"/>
  <c r="W406" i="9" s="1"/>
  <c r="V405" i="9"/>
  <c r="W405" i="9" s="1"/>
  <c r="U405" i="9"/>
  <c r="W404" i="9"/>
  <c r="W403" i="9"/>
  <c r="U402" i="9"/>
  <c r="W402" i="9" s="1"/>
  <c r="U401" i="9"/>
  <c r="W401" i="9" s="1"/>
  <c r="U400" i="9"/>
  <c r="W400" i="9" s="1"/>
  <c r="U399" i="9"/>
  <c r="W399" i="9" s="1"/>
  <c r="U398" i="9"/>
  <c r="W398" i="9" s="1"/>
  <c r="U397" i="9"/>
  <c r="W397" i="9" s="1"/>
  <c r="U396" i="9"/>
  <c r="W396" i="9" s="1"/>
  <c r="W395" i="9"/>
  <c r="U394" i="9"/>
  <c r="W394" i="9" s="1"/>
  <c r="U393" i="9"/>
  <c r="W393" i="9" s="1"/>
  <c r="U392" i="9"/>
  <c r="W392" i="9" s="1"/>
  <c r="U391" i="9"/>
  <c r="W391" i="9" s="1"/>
  <c r="U390" i="9"/>
  <c r="W390" i="9" s="1"/>
  <c r="U389" i="9"/>
  <c r="W389" i="9" s="1"/>
  <c r="U388" i="9"/>
  <c r="W388" i="9" s="1"/>
  <c r="U387" i="9"/>
  <c r="W387" i="9" s="1"/>
  <c r="W386" i="9"/>
  <c r="U386" i="9"/>
  <c r="W385" i="9"/>
  <c r="U385" i="9"/>
  <c r="W384" i="9"/>
  <c r="U384" i="9"/>
  <c r="W383" i="9"/>
  <c r="U383" i="9"/>
  <c r="W382" i="9"/>
  <c r="U382" i="9"/>
  <c r="W381" i="9"/>
  <c r="U381" i="9"/>
  <c r="U380" i="9"/>
  <c r="W380" i="9" s="1"/>
  <c r="W379" i="9"/>
  <c r="U379" i="9"/>
  <c r="U378" i="9"/>
  <c r="W378" i="9" s="1"/>
  <c r="U377" i="9"/>
  <c r="W377" i="9" s="1"/>
  <c r="U376" i="9"/>
  <c r="W376" i="9" s="1"/>
  <c r="U375" i="9"/>
  <c r="W375" i="9" s="1"/>
  <c r="U374" i="9"/>
  <c r="W374" i="9" s="1"/>
  <c r="U373" i="9"/>
  <c r="W373" i="9" s="1"/>
  <c r="U372" i="9"/>
  <c r="W372" i="9" s="1"/>
  <c r="U371" i="9"/>
  <c r="W371" i="9" s="1"/>
  <c r="U370" i="9"/>
  <c r="W370" i="9" s="1"/>
  <c r="U369" i="9"/>
  <c r="W369" i="9" s="1"/>
  <c r="W368" i="9"/>
  <c r="U368" i="9"/>
  <c r="U367" i="9"/>
  <c r="W367" i="9" s="1"/>
  <c r="U366" i="9"/>
  <c r="W366" i="9" s="1"/>
  <c r="U365" i="9"/>
  <c r="W365" i="9" s="1"/>
  <c r="U364" i="9"/>
  <c r="W364" i="9" s="1"/>
  <c r="U363" i="9"/>
  <c r="W363" i="9" s="1"/>
  <c r="U362" i="9"/>
  <c r="W362" i="9" s="1"/>
  <c r="U361" i="9"/>
  <c r="W361" i="9" s="1"/>
  <c r="U360" i="9"/>
  <c r="W360" i="9" s="1"/>
  <c r="U359" i="9"/>
  <c r="W359" i="9" s="1"/>
  <c r="U358" i="9"/>
  <c r="W358" i="9" s="1"/>
  <c r="U357" i="9"/>
  <c r="W357" i="9" s="1"/>
  <c r="U356" i="9"/>
  <c r="W356" i="9" s="1"/>
  <c r="U355" i="9"/>
  <c r="W355" i="9" s="1"/>
  <c r="U354" i="9"/>
  <c r="W354" i="9" s="1"/>
  <c r="U353" i="9"/>
  <c r="W353" i="9" s="1"/>
  <c r="U352" i="9"/>
  <c r="W352" i="9" s="1"/>
  <c r="W351" i="9"/>
  <c r="U350" i="9"/>
  <c r="W350" i="9" s="1"/>
  <c r="U349" i="9"/>
  <c r="W349" i="9" s="1"/>
  <c r="U348" i="9"/>
  <c r="W348" i="9" s="1"/>
  <c r="U346" i="9"/>
  <c r="W346" i="9" s="1"/>
  <c r="U345" i="9"/>
  <c r="W345" i="9" s="1"/>
  <c r="U344" i="9"/>
  <c r="W344" i="9" s="1"/>
  <c r="U343" i="9"/>
  <c r="W343" i="9" s="1"/>
  <c r="U342" i="9"/>
  <c r="U341" i="9"/>
  <c r="W341" i="9" s="1"/>
  <c r="U340" i="9"/>
  <c r="W340" i="9" s="1"/>
  <c r="U339" i="9"/>
  <c r="W339" i="9" s="1"/>
  <c r="U338" i="9"/>
  <c r="W338" i="9" s="1"/>
  <c r="U337" i="9"/>
  <c r="W337" i="9" s="1"/>
  <c r="U336" i="9"/>
  <c r="W336" i="9" s="1"/>
  <c r="U335" i="9"/>
  <c r="W335" i="9" s="1"/>
  <c r="U334" i="9"/>
  <c r="W334" i="9" s="1"/>
  <c r="U333" i="9"/>
  <c r="W333" i="9" s="1"/>
  <c r="U332" i="9"/>
  <c r="W332" i="9" s="1"/>
  <c r="U331" i="9"/>
  <c r="W331" i="9" s="1"/>
  <c r="U330" i="9"/>
  <c r="W330" i="9" s="1"/>
  <c r="U329" i="9"/>
  <c r="W329" i="9" s="1"/>
  <c r="U328" i="9"/>
  <c r="W328" i="9" s="1"/>
  <c r="U327" i="9"/>
  <c r="W327" i="9" s="1"/>
  <c r="U326" i="9"/>
  <c r="W326" i="9" s="1"/>
  <c r="U325" i="9"/>
  <c r="U324" i="9"/>
  <c r="W324" i="9" s="1"/>
  <c r="U323" i="9"/>
  <c r="W323" i="9" s="1"/>
  <c r="U322" i="9"/>
  <c r="W322" i="9" s="1"/>
  <c r="U321" i="9"/>
  <c r="U320" i="9"/>
  <c r="W320" i="9" s="1"/>
  <c r="U319" i="9"/>
  <c r="W319" i="9" s="1"/>
  <c r="U318" i="9"/>
  <c r="U317" i="9"/>
  <c r="W317" i="9" s="1"/>
  <c r="U316" i="9"/>
  <c r="W316" i="9" s="1"/>
  <c r="U315" i="9"/>
  <c r="W315" i="9" s="1"/>
  <c r="U314" i="9"/>
  <c r="W314" i="9" s="1"/>
  <c r="U313" i="9"/>
  <c r="U312" i="9"/>
  <c r="W312" i="9" s="1"/>
  <c r="U311" i="9"/>
  <c r="W311" i="9" s="1"/>
  <c r="U310" i="9"/>
  <c r="W310" i="9" s="1"/>
  <c r="U309" i="9"/>
  <c r="W309" i="9" s="1"/>
  <c r="U308" i="9"/>
  <c r="U307" i="9"/>
  <c r="W307" i="9" s="1"/>
  <c r="U306" i="9"/>
  <c r="W306" i="9" s="1"/>
  <c r="U305" i="9"/>
  <c r="W305" i="9" s="1"/>
  <c r="U304" i="9"/>
  <c r="W304" i="9" s="1"/>
  <c r="U303" i="9"/>
  <c r="W303" i="9" s="1"/>
  <c r="U302" i="9"/>
  <c r="W302" i="9" s="1"/>
  <c r="U301" i="9"/>
  <c r="W301" i="9" s="1"/>
  <c r="U300" i="9"/>
  <c r="W300" i="9" s="1"/>
  <c r="U299" i="9"/>
  <c r="W299" i="9" s="1"/>
  <c r="U298" i="9"/>
  <c r="W298" i="9" s="1"/>
  <c r="U297" i="9"/>
  <c r="W297" i="9" s="1"/>
  <c r="U296" i="9"/>
  <c r="W296" i="9" s="1"/>
  <c r="U295" i="9"/>
  <c r="W295" i="9" s="1"/>
  <c r="U294" i="9"/>
  <c r="W294" i="9" s="1"/>
  <c r="U293" i="9"/>
  <c r="W293" i="9" s="1"/>
  <c r="U292" i="9"/>
  <c r="W292" i="9" s="1"/>
  <c r="U291" i="9"/>
  <c r="W291" i="9" s="1"/>
  <c r="U290" i="9"/>
  <c r="W290" i="9" s="1"/>
  <c r="U289" i="9"/>
  <c r="U288" i="9"/>
  <c r="W288" i="9" s="1"/>
  <c r="U287" i="9"/>
  <c r="W287" i="9" s="1"/>
  <c r="U286" i="9"/>
  <c r="W286" i="9" s="1"/>
  <c r="U285" i="9"/>
  <c r="W285" i="9" s="1"/>
  <c r="U284" i="9"/>
  <c r="W284" i="9" s="1"/>
  <c r="U283" i="9"/>
  <c r="W283" i="9" s="1"/>
  <c r="U282" i="9"/>
  <c r="W282" i="9" s="1"/>
  <c r="U281" i="9"/>
  <c r="W281" i="9" s="1"/>
  <c r="U280" i="9"/>
  <c r="W280" i="9" s="1"/>
  <c r="U279" i="9"/>
  <c r="W279" i="9" s="1"/>
  <c r="U278" i="9"/>
  <c r="W278" i="9" s="1"/>
  <c r="U277" i="9"/>
  <c r="W277" i="9" s="1"/>
  <c r="U276" i="9"/>
  <c r="W276" i="9" s="1"/>
  <c r="U275" i="9"/>
  <c r="W275" i="9" s="1"/>
  <c r="U274" i="9"/>
  <c r="W274" i="9" s="1"/>
  <c r="U273" i="9"/>
  <c r="W273" i="9" s="1"/>
  <c r="U272" i="9"/>
  <c r="W272" i="9" s="1"/>
  <c r="U271" i="9"/>
  <c r="U270" i="9"/>
  <c r="W270" i="9" s="1"/>
  <c r="U269" i="9"/>
  <c r="W269" i="9" s="1"/>
  <c r="U267" i="9"/>
  <c r="W267" i="9" s="1"/>
  <c r="U266" i="9"/>
  <c r="W266" i="9" s="1"/>
  <c r="U265" i="9"/>
  <c r="W265" i="9" s="1"/>
  <c r="U264" i="9"/>
  <c r="W264" i="9" s="1"/>
  <c r="U263" i="9"/>
  <c r="U262" i="9"/>
  <c r="W262" i="9" s="1"/>
  <c r="U261" i="9"/>
  <c r="W261" i="9" s="1"/>
  <c r="U260" i="9"/>
  <c r="W260" i="9" s="1"/>
  <c r="U259" i="9"/>
  <c r="W259" i="9" s="1"/>
  <c r="U258" i="9"/>
  <c r="W258" i="9" s="1"/>
  <c r="U257" i="9"/>
  <c r="U256" i="9"/>
  <c r="W256" i="9" s="1"/>
  <c r="U255" i="9"/>
  <c r="W255" i="9" s="1"/>
  <c r="U254" i="9"/>
  <c r="W254" i="9" s="1"/>
  <c r="U253" i="9"/>
  <c r="U252" i="9"/>
  <c r="W252" i="9" s="1"/>
  <c r="U250" i="9"/>
  <c r="W250" i="9" s="1"/>
  <c r="U249" i="9"/>
  <c r="W249" i="9" s="1"/>
  <c r="U248" i="9"/>
  <c r="W248" i="9" s="1"/>
  <c r="U247" i="9"/>
  <c r="W247" i="9" s="1"/>
  <c r="U246" i="9"/>
  <c r="U245" i="9"/>
  <c r="W245" i="9" s="1"/>
  <c r="U244" i="9"/>
  <c r="W244" i="9" s="1"/>
  <c r="U243" i="9"/>
  <c r="U242" i="9"/>
  <c r="W242" i="9" s="1"/>
  <c r="U241" i="9"/>
  <c r="W241" i="9" s="1"/>
  <c r="U240" i="9"/>
  <c r="W240" i="9" s="1"/>
  <c r="U239" i="9"/>
  <c r="U238" i="9"/>
  <c r="W238" i="9" s="1"/>
  <c r="U237" i="9"/>
  <c r="W237" i="9" s="1"/>
  <c r="U236" i="9"/>
  <c r="W236" i="9" s="1"/>
  <c r="U235" i="9"/>
  <c r="W235" i="9" s="1"/>
  <c r="U234" i="9"/>
  <c r="W234" i="9" s="1"/>
  <c r="U233" i="9"/>
  <c r="W233" i="9" s="1"/>
  <c r="U232" i="9"/>
  <c r="W232" i="9" s="1"/>
  <c r="U231" i="9"/>
  <c r="W231" i="9" s="1"/>
  <c r="U230" i="9"/>
  <c r="U229" i="9"/>
  <c r="W229" i="9" s="1"/>
  <c r="U228" i="9"/>
  <c r="W228" i="9" s="1"/>
  <c r="U227" i="9"/>
  <c r="U226" i="9"/>
  <c r="W226" i="9" s="1"/>
  <c r="U225" i="9"/>
  <c r="W225" i="9" s="1"/>
  <c r="U224" i="9"/>
  <c r="U223" i="9"/>
  <c r="W223" i="9" s="1"/>
  <c r="U222" i="9"/>
  <c r="W222" i="9" s="1"/>
  <c r="U221" i="9"/>
  <c r="W221" i="9" s="1"/>
  <c r="U220" i="9"/>
  <c r="W220" i="9" s="1"/>
  <c r="U219" i="9"/>
  <c r="W219" i="9" s="1"/>
  <c r="U218" i="9"/>
  <c r="W218" i="9" s="1"/>
  <c r="U217" i="9"/>
  <c r="W217" i="9" s="1"/>
  <c r="U216" i="9"/>
  <c r="W216" i="9" s="1"/>
  <c r="U215" i="9"/>
  <c r="W215" i="9" s="1"/>
  <c r="U214" i="9"/>
  <c r="W214" i="9" s="1"/>
  <c r="U213" i="9"/>
  <c r="W213" i="9" s="1"/>
  <c r="U212" i="9"/>
  <c r="W212" i="9" s="1"/>
  <c r="U211" i="9"/>
  <c r="W211" i="9" s="1"/>
  <c r="U210" i="9"/>
  <c r="W210" i="9" s="1"/>
  <c r="U209" i="9"/>
  <c r="W209" i="9" s="1"/>
  <c r="U208" i="9"/>
  <c r="W208" i="9" s="1"/>
  <c r="U207" i="9"/>
  <c r="W207" i="9" s="1"/>
  <c r="U206" i="9"/>
  <c r="W206" i="9" s="1"/>
  <c r="U205" i="9"/>
  <c r="W205" i="9" s="1"/>
  <c r="U204" i="9"/>
  <c r="W204" i="9" s="1"/>
  <c r="U203" i="9"/>
  <c r="W203" i="9" s="1"/>
  <c r="U202" i="9"/>
  <c r="W202" i="9" s="1"/>
  <c r="U201" i="9"/>
  <c r="Z200" i="9"/>
  <c r="U200" i="9"/>
  <c r="W200" i="9" s="1"/>
  <c r="U199" i="9"/>
  <c r="W199" i="9" s="1"/>
  <c r="U198" i="9"/>
  <c r="W198" i="9" s="1"/>
  <c r="U197" i="9"/>
  <c r="U196" i="9"/>
  <c r="W196" i="9" s="1"/>
  <c r="U195" i="9"/>
  <c r="W195" i="9" s="1"/>
  <c r="X193" i="9"/>
  <c r="U193" i="9"/>
  <c r="X192" i="9"/>
  <c r="U192" i="9"/>
  <c r="W192" i="9" s="1"/>
  <c r="X191" i="9"/>
  <c r="U191" i="9"/>
  <c r="X190" i="9"/>
  <c r="U190" i="9"/>
  <c r="X189" i="9"/>
  <c r="U189" i="9"/>
  <c r="X188" i="9"/>
  <c r="U188" i="9"/>
  <c r="X187" i="9"/>
  <c r="U187" i="9"/>
  <c r="X186" i="9"/>
  <c r="U186" i="9"/>
  <c r="X185" i="9"/>
  <c r="U185" i="9"/>
  <c r="X184" i="9"/>
  <c r="U184" i="9"/>
  <c r="X183" i="9"/>
  <c r="U183" i="9"/>
  <c r="X182" i="9"/>
  <c r="U182" i="9"/>
  <c r="X181" i="9"/>
  <c r="U181" i="9"/>
  <c r="X180" i="9"/>
  <c r="U180" i="9"/>
  <c r="X179" i="9"/>
  <c r="U179" i="9"/>
  <c r="X178" i="9"/>
  <c r="U178" i="9"/>
  <c r="X177" i="9"/>
  <c r="U177" i="9"/>
  <c r="X176" i="9"/>
  <c r="U176" i="9"/>
  <c r="X175" i="9"/>
  <c r="U175" i="9"/>
  <c r="X174" i="9"/>
  <c r="U174" i="9"/>
  <c r="W174" i="9" s="1"/>
  <c r="X173" i="9"/>
  <c r="U173" i="9"/>
  <c r="X172" i="9"/>
  <c r="U172" i="9"/>
  <c r="W172" i="9" s="1"/>
  <c r="X171" i="9"/>
  <c r="U171" i="9"/>
  <c r="X170" i="9"/>
  <c r="U170" i="9"/>
  <c r="W170" i="9" s="1"/>
  <c r="X169" i="9"/>
  <c r="U169" i="9"/>
  <c r="X168" i="9"/>
  <c r="U168" i="9"/>
  <c r="X167" i="9"/>
  <c r="U167" i="9"/>
  <c r="X166" i="9"/>
  <c r="U166" i="9"/>
  <c r="W166" i="9" s="1"/>
  <c r="X165" i="9"/>
  <c r="U165" i="9"/>
  <c r="X164" i="9"/>
  <c r="U164" i="9"/>
  <c r="X163" i="9"/>
  <c r="U163" i="9"/>
  <c r="W163" i="9" s="1"/>
  <c r="X162" i="9"/>
  <c r="U162" i="9"/>
  <c r="X161" i="9"/>
  <c r="U161" i="9"/>
  <c r="W161" i="9" s="1"/>
  <c r="X160" i="9"/>
  <c r="U160" i="9"/>
  <c r="X159" i="9"/>
  <c r="U159" i="9"/>
  <c r="X158" i="9"/>
  <c r="U158" i="9"/>
  <c r="X157" i="9"/>
  <c r="U157" i="9"/>
  <c r="X156" i="9"/>
  <c r="U156" i="9"/>
  <c r="X155" i="9"/>
  <c r="U155" i="9"/>
  <c r="X154" i="9"/>
  <c r="U154" i="9"/>
  <c r="X153" i="9"/>
  <c r="U153" i="9"/>
  <c r="X152" i="9"/>
  <c r="U152" i="9"/>
  <c r="X151" i="9"/>
  <c r="U151" i="9"/>
  <c r="X150" i="9"/>
  <c r="U150" i="9"/>
  <c r="X149" i="9"/>
  <c r="U149" i="9"/>
  <c r="X148" i="9"/>
  <c r="U148" i="9"/>
  <c r="X147" i="9"/>
  <c r="U147" i="9"/>
  <c r="X146" i="9"/>
  <c r="U146" i="9"/>
  <c r="X145" i="9"/>
  <c r="U145" i="9"/>
  <c r="X144" i="9"/>
  <c r="U144" i="9"/>
  <c r="X143" i="9"/>
  <c r="U143" i="9"/>
  <c r="W143" i="9" s="1"/>
  <c r="X142" i="9"/>
  <c r="U142" i="9"/>
  <c r="W142" i="9" s="1"/>
  <c r="X141" i="9"/>
  <c r="U141" i="9"/>
  <c r="X140" i="9"/>
  <c r="U140" i="9"/>
  <c r="X139" i="9"/>
  <c r="U139" i="9"/>
  <c r="X138" i="9"/>
  <c r="U138" i="9"/>
  <c r="X137" i="9"/>
  <c r="U137" i="9"/>
  <c r="X136" i="9"/>
  <c r="U136" i="9"/>
  <c r="Y135" i="9"/>
  <c r="U134" i="9"/>
  <c r="W134" i="9" s="1"/>
  <c r="U133" i="9"/>
  <c r="W133" i="9" s="1"/>
  <c r="U132" i="9"/>
  <c r="U131" i="9"/>
  <c r="W131" i="9" s="1"/>
  <c r="U130" i="9"/>
  <c r="W130" i="9" s="1"/>
  <c r="U129" i="9"/>
  <c r="W129" i="9" s="1"/>
  <c r="U128" i="9"/>
  <c r="W128" i="9" s="1"/>
  <c r="U127" i="9"/>
  <c r="W127" i="9" s="1"/>
  <c r="U126" i="9"/>
  <c r="W126" i="9" s="1"/>
  <c r="U125" i="9"/>
  <c r="W125" i="9" s="1"/>
  <c r="U124" i="9"/>
  <c r="W124" i="9" s="1"/>
  <c r="U123" i="9"/>
  <c r="W123" i="9" s="1"/>
  <c r="U122" i="9"/>
  <c r="W122" i="9" s="1"/>
  <c r="U121" i="9"/>
  <c r="W121" i="9" s="1"/>
  <c r="U120" i="9"/>
  <c r="U118" i="9"/>
  <c r="W118" i="9" s="1"/>
  <c r="U117" i="9"/>
  <c r="W117" i="9" s="1"/>
  <c r="U116" i="9"/>
  <c r="W116" i="9" s="1"/>
  <c r="U115" i="9"/>
  <c r="U114" i="9"/>
  <c r="W114" i="9" s="1"/>
  <c r="U113" i="9"/>
  <c r="W113" i="9" s="1"/>
  <c r="U112" i="9"/>
  <c r="W112" i="9" s="1"/>
  <c r="U111" i="9"/>
  <c r="W111" i="9" s="1"/>
  <c r="U110" i="9"/>
  <c r="W110" i="9" s="1"/>
  <c r="U109" i="9"/>
  <c r="W109" i="9" s="1"/>
  <c r="U108" i="9"/>
  <c r="W108" i="9" s="1"/>
  <c r="U107" i="9"/>
  <c r="U106" i="9"/>
  <c r="W106" i="9" s="1"/>
  <c r="U105" i="9"/>
  <c r="W105" i="9" s="1"/>
  <c r="U104" i="9"/>
  <c r="W104" i="9" s="1"/>
  <c r="U103" i="9"/>
  <c r="U102" i="9"/>
  <c r="W102" i="9" s="1"/>
  <c r="U101" i="9"/>
  <c r="W101" i="9" s="1"/>
  <c r="O99" i="9"/>
  <c r="U99" i="9" s="1"/>
  <c r="W99" i="9" s="1"/>
  <c r="O98" i="9"/>
  <c r="U98" i="9" s="1"/>
  <c r="W98" i="9" s="1"/>
  <c r="U97" i="9"/>
  <c r="W97" i="9" s="1"/>
  <c r="U96" i="9"/>
  <c r="W96" i="9" s="1"/>
  <c r="U95" i="9"/>
  <c r="W95" i="9" s="1"/>
  <c r="U94" i="9"/>
  <c r="W94" i="9" s="1"/>
  <c r="U93" i="9"/>
  <c r="W93" i="9" s="1"/>
  <c r="U92" i="9"/>
  <c r="W92" i="9" s="1"/>
  <c r="U91" i="9"/>
  <c r="W91" i="9" s="1"/>
  <c r="U90" i="9"/>
  <c r="W90" i="9" s="1"/>
  <c r="U89" i="9"/>
  <c r="W89" i="9" s="1"/>
  <c r="U88" i="9"/>
  <c r="W88" i="9" s="1"/>
  <c r="U87" i="9"/>
  <c r="O86" i="9"/>
  <c r="U86" i="9" s="1"/>
  <c r="W86" i="9" s="1"/>
  <c r="O85" i="9"/>
  <c r="H85" i="9"/>
  <c r="D85" i="9"/>
  <c r="U84" i="9"/>
  <c r="W84" i="9" s="1"/>
  <c r="U83" i="9"/>
  <c r="W83" i="9" s="1"/>
  <c r="U82" i="9"/>
  <c r="W82" i="9" s="1"/>
  <c r="U81" i="9"/>
  <c r="U80" i="9"/>
  <c r="W80" i="9" s="1"/>
  <c r="U79" i="9"/>
  <c r="W79" i="9" s="1"/>
  <c r="U78" i="9"/>
  <c r="W78" i="9" s="1"/>
  <c r="H77" i="9"/>
  <c r="U77" i="9" s="1"/>
  <c r="W77" i="9" s="1"/>
  <c r="U76" i="9"/>
  <c r="W76" i="9" s="1"/>
  <c r="U75" i="9"/>
  <c r="W75" i="9" s="1"/>
  <c r="P74" i="9"/>
  <c r="U74" i="9" s="1"/>
  <c r="W74" i="9" s="1"/>
  <c r="P73" i="9"/>
  <c r="O73" i="9"/>
  <c r="H73" i="9"/>
  <c r="U72" i="9"/>
  <c r="W72" i="9" s="1"/>
  <c r="P71" i="9"/>
  <c r="O71" i="9"/>
  <c r="H71" i="9"/>
  <c r="P70" i="9"/>
  <c r="O70" i="9"/>
  <c r="H70" i="9"/>
  <c r="D70" i="9"/>
  <c r="U69" i="9"/>
  <c r="P68" i="9"/>
  <c r="O68" i="9"/>
  <c r="H68" i="9"/>
  <c r="D68" i="9"/>
  <c r="P67" i="9"/>
  <c r="U67" i="9" s="1"/>
  <c r="W67" i="9" s="1"/>
  <c r="P66" i="9"/>
  <c r="O66" i="9"/>
  <c r="H66" i="9"/>
  <c r="U65" i="9"/>
  <c r="P64" i="9"/>
  <c r="O64" i="9"/>
  <c r="H64" i="9"/>
  <c r="O63" i="9"/>
  <c r="W63" i="9" s="1"/>
  <c r="O62" i="9"/>
  <c r="U62" i="9" s="1"/>
  <c r="W62" i="9" s="1"/>
  <c r="O61" i="9"/>
  <c r="O60" i="9"/>
  <c r="U60" i="9" s="1"/>
  <c r="W60" i="9" s="1"/>
  <c r="U58" i="9"/>
  <c r="W58" i="9" s="1"/>
  <c r="U57" i="9"/>
  <c r="W57" i="9" s="1"/>
  <c r="U56" i="9"/>
  <c r="W56" i="9" s="1"/>
  <c r="U55" i="9"/>
  <c r="W55" i="9" s="1"/>
  <c r="U53" i="9"/>
  <c r="W53" i="9" s="1"/>
  <c r="U52" i="9"/>
  <c r="U51" i="9"/>
  <c r="W51" i="9" s="1"/>
  <c r="U50" i="9"/>
  <c r="W50" i="9" s="1"/>
  <c r="U49" i="9"/>
  <c r="W49" i="9" s="1"/>
  <c r="U48" i="9"/>
  <c r="W48" i="9" s="1"/>
  <c r="U47" i="9"/>
  <c r="W47" i="9" s="1"/>
  <c r="U46" i="9"/>
  <c r="W46" i="9" s="1"/>
  <c r="U44" i="9"/>
  <c r="W44" i="9" s="1"/>
  <c r="U43" i="9"/>
  <c r="U42" i="9"/>
  <c r="W42" i="9" s="1"/>
  <c r="U41" i="9"/>
  <c r="W41" i="9" s="1"/>
  <c r="U40" i="9"/>
  <c r="W40" i="9" s="1"/>
  <c r="U39" i="9"/>
  <c r="W39" i="9" s="1"/>
  <c r="U38" i="9"/>
  <c r="W38" i="9" s="1"/>
  <c r="W37" i="9"/>
  <c r="U36" i="9"/>
  <c r="W36" i="9" s="1"/>
  <c r="U35" i="9"/>
  <c r="U34" i="9"/>
  <c r="W34" i="9" s="1"/>
  <c r="U32" i="9"/>
  <c r="W32" i="9" s="1"/>
  <c r="U31" i="9"/>
  <c r="W31" i="9" s="1"/>
  <c r="U30" i="9"/>
  <c r="W30" i="9" s="1"/>
  <c r="W29" i="9"/>
  <c r="U28" i="9"/>
  <c r="W28" i="9" s="1"/>
  <c r="U27" i="9"/>
  <c r="W27" i="9" s="1"/>
  <c r="U26" i="9"/>
  <c r="W26" i="9" s="1"/>
  <c r="U25" i="9"/>
  <c r="W25" i="9" s="1"/>
  <c r="U24" i="9"/>
  <c r="W24" i="9" s="1"/>
  <c r="U23" i="9"/>
  <c r="U22" i="9"/>
  <c r="W22" i="9" s="1"/>
  <c r="U21" i="9"/>
  <c r="W21" i="9" s="1"/>
  <c r="U20" i="9"/>
  <c r="W20" i="9" s="1"/>
  <c r="U19" i="9"/>
  <c r="W19" i="9" s="1"/>
  <c r="U18" i="9"/>
  <c r="W18" i="9" s="1"/>
  <c r="U17" i="9"/>
  <c r="W17" i="9" s="1"/>
  <c r="U16" i="9"/>
  <c r="W16" i="9" s="1"/>
  <c r="U15" i="9"/>
  <c r="W15" i="9" s="1"/>
  <c r="U14" i="9"/>
  <c r="W14" i="9" s="1"/>
  <c r="U13" i="9"/>
  <c r="W13" i="9" s="1"/>
  <c r="U12" i="9"/>
  <c r="W12" i="9" s="1"/>
  <c r="U11" i="9"/>
  <c r="W11" i="9" s="1"/>
  <c r="U10" i="9"/>
  <c r="W10" i="9" s="1"/>
  <c r="U9" i="9"/>
  <c r="W9" i="9" s="1"/>
  <c r="U8" i="9"/>
  <c r="W8" i="9" s="1"/>
  <c r="U6" i="9"/>
  <c r="W6" i="9" s="1"/>
  <c r="U5" i="9"/>
  <c r="W5" i="9" s="1"/>
  <c r="AA483" i="8"/>
  <c r="X478" i="8"/>
  <c r="X480" i="8" s="1"/>
  <c r="AE477" i="8"/>
  <c r="AE478" i="8" s="1"/>
  <c r="AE476" i="8"/>
  <c r="AE475" i="8"/>
  <c r="AE474" i="8"/>
  <c r="AE473" i="8"/>
  <c r="AE472" i="8"/>
  <c r="W97" i="3"/>
  <c r="U68" i="10" l="1"/>
  <c r="W68" i="10" s="1"/>
  <c r="Y144" i="10"/>
  <c r="W148" i="10"/>
  <c r="W157" i="10"/>
  <c r="Y145" i="10"/>
  <c r="Y162" i="10"/>
  <c r="Y171" i="10"/>
  <c r="Y176" i="10"/>
  <c r="Y181" i="10"/>
  <c r="Y186" i="10"/>
  <c r="Y190" i="10"/>
  <c r="X420" i="10"/>
  <c r="Y149" i="10"/>
  <c r="Y153" i="10"/>
  <c r="Y158" i="10"/>
  <c r="Y177" i="10"/>
  <c r="Y195" i="10"/>
  <c r="U64" i="10"/>
  <c r="W64" i="10" s="1"/>
  <c r="X100" i="10" s="1"/>
  <c r="Y142" i="10"/>
  <c r="W154" i="10"/>
  <c r="Y172" i="10"/>
  <c r="Y178" i="10"/>
  <c r="Y196" i="10"/>
  <c r="Y187" i="10"/>
  <c r="Y192" i="10"/>
  <c r="W61" i="9"/>
  <c r="X367" i="10"/>
  <c r="U66" i="10"/>
  <c r="W66" i="10" s="1"/>
  <c r="Y138" i="10"/>
  <c r="W160" i="10"/>
  <c r="Y164" i="10"/>
  <c r="W169" i="10"/>
  <c r="W179" i="10"/>
  <c r="W188" i="10"/>
  <c r="Y139" i="10"/>
  <c r="V147" i="10"/>
  <c r="W147" i="10" s="1"/>
  <c r="W151" i="10"/>
  <c r="Y193" i="10"/>
  <c r="X188" i="13"/>
  <c r="W139" i="10"/>
  <c r="Y143" i="10"/>
  <c r="Y165" i="10"/>
  <c r="Y175" i="10"/>
  <c r="Y180" i="10"/>
  <c r="Y184" i="10"/>
  <c r="Y189" i="10"/>
  <c r="Y194" i="10"/>
  <c r="Z151" i="13"/>
  <c r="AA174" i="13" s="1"/>
  <c r="AB150" i="13"/>
  <c r="AB151" i="13" s="1"/>
  <c r="Z189" i="13"/>
  <c r="X445" i="10"/>
  <c r="X198" i="10"/>
  <c r="X350" i="10"/>
  <c r="X272" i="10"/>
  <c r="X391" i="10"/>
  <c r="Y392" i="10" s="1"/>
  <c r="X102" i="10"/>
  <c r="Y121" i="10"/>
  <c r="X255" i="10"/>
  <c r="X256" i="10" s="1"/>
  <c r="X410" i="10"/>
  <c r="Y411" i="10" s="1"/>
  <c r="Y412" i="10" s="1"/>
  <c r="X390" i="10"/>
  <c r="X366" i="10"/>
  <c r="W149" i="10"/>
  <c r="W155" i="10"/>
  <c r="W180" i="10"/>
  <c r="W186" i="10"/>
  <c r="W189" i="10"/>
  <c r="Y152" i="10"/>
  <c r="Y183" i="10"/>
  <c r="W177" i="10"/>
  <c r="W175" i="10"/>
  <c r="Y156" i="9"/>
  <c r="Y162" i="9"/>
  <c r="Y180" i="9"/>
  <c r="Y186" i="9"/>
  <c r="Y173" i="9"/>
  <c r="Y191" i="9"/>
  <c r="U85" i="9"/>
  <c r="W85" i="9" s="1"/>
  <c r="Y193" i="9"/>
  <c r="U70" i="9"/>
  <c r="W70" i="9" s="1"/>
  <c r="Y158" i="9"/>
  <c r="Y164" i="9"/>
  <c r="Y190" i="9"/>
  <c r="Y142" i="9"/>
  <c r="Y138" i="9"/>
  <c r="U64" i="9"/>
  <c r="W64" i="9" s="1"/>
  <c r="Y145" i="9"/>
  <c r="Y151" i="9"/>
  <c r="Y157" i="9"/>
  <c r="Y169" i="9"/>
  <c r="Y140" i="9"/>
  <c r="Y141" i="9"/>
  <c r="Y170" i="9"/>
  <c r="Y159" i="9"/>
  <c r="U68" i="9"/>
  <c r="W68" i="9" s="1"/>
  <c r="Y177" i="9"/>
  <c r="Y183" i="9"/>
  <c r="Y189" i="9"/>
  <c r="U73" i="9"/>
  <c r="W73" i="9" s="1"/>
  <c r="Y148" i="9"/>
  <c r="Y154" i="9"/>
  <c r="Y160" i="9"/>
  <c r="W140" i="9"/>
  <c r="Y143" i="9"/>
  <c r="Y161" i="9"/>
  <c r="Y168" i="9"/>
  <c r="Y163" i="9"/>
  <c r="Y192" i="9"/>
  <c r="Y166" i="9"/>
  <c r="Y155" i="9"/>
  <c r="U66" i="9"/>
  <c r="W66" i="9" s="1"/>
  <c r="U71" i="9"/>
  <c r="W71" i="9" s="1"/>
  <c r="Y172" i="9"/>
  <c r="Y137" i="9"/>
  <c r="Y144" i="9"/>
  <c r="Y150" i="9"/>
  <c r="Y176" i="9"/>
  <c r="Y182" i="9"/>
  <c r="Y188" i="9"/>
  <c r="W160" i="9"/>
  <c r="Y167" i="9"/>
  <c r="Y139" i="9"/>
  <c r="Y146" i="9"/>
  <c r="Y152" i="9"/>
  <c r="W157" i="9"/>
  <c r="W164" i="9"/>
  <c r="W173" i="9"/>
  <c r="Y178" i="9"/>
  <c r="Y184" i="9"/>
  <c r="Y147" i="9"/>
  <c r="Y153" i="9"/>
  <c r="Y179" i="9"/>
  <c r="Y185" i="9"/>
  <c r="AE473" i="9"/>
  <c r="Y165" i="9"/>
  <c r="W158" i="9"/>
  <c r="W191" i="9"/>
  <c r="Y136" i="9"/>
  <c r="Y171" i="9"/>
  <c r="Y174" i="9"/>
  <c r="Y149" i="9"/>
  <c r="Y175" i="9"/>
  <c r="Y181" i="9"/>
  <c r="Y187" i="9"/>
  <c r="X387" i="9"/>
  <c r="Y388" i="9" s="1"/>
  <c r="X406" i="9"/>
  <c r="Y407" i="9" s="1"/>
  <c r="Y408" i="9" s="1"/>
  <c r="X386" i="9"/>
  <c r="X362" i="9"/>
  <c r="X363" i="9"/>
  <c r="X101" i="9"/>
  <c r="X415" i="9"/>
  <c r="X440" i="9"/>
  <c r="Y120" i="9"/>
  <c r="X346" i="9"/>
  <c r="X269" i="9"/>
  <c r="X195" i="9"/>
  <c r="X252" i="9"/>
  <c r="X253" i="9" s="1"/>
  <c r="W146" i="9"/>
  <c r="W149" i="9"/>
  <c r="W152" i="9"/>
  <c r="W177" i="9"/>
  <c r="W180" i="9"/>
  <c r="W183" i="9"/>
  <c r="W186" i="9"/>
  <c r="W168" i="9"/>
  <c r="W136" i="9"/>
  <c r="W139" i="9"/>
  <c r="W141" i="9"/>
  <c r="V144" i="9"/>
  <c r="W144" i="9" s="1"/>
  <c r="W156" i="9"/>
  <c r="W159" i="9"/>
  <c r="W162" i="9"/>
  <c r="W165" i="9"/>
  <c r="W190" i="9"/>
  <c r="W193" i="9"/>
  <c r="W147" i="9"/>
  <c r="W150" i="9"/>
  <c r="W153" i="9"/>
  <c r="W178" i="9"/>
  <c r="W181" i="9"/>
  <c r="W184" i="9"/>
  <c r="W187" i="9"/>
  <c r="W169" i="9"/>
  <c r="W137" i="9"/>
  <c r="W145" i="9"/>
  <c r="W148" i="9"/>
  <c r="W151" i="9"/>
  <c r="W154" i="9"/>
  <c r="W176" i="9"/>
  <c r="W179" i="9"/>
  <c r="W182" i="9"/>
  <c r="W185" i="9"/>
  <c r="W188" i="9"/>
  <c r="W474" i="10" l="1"/>
  <c r="W478" i="10" s="1"/>
  <c r="W480" i="10" s="1"/>
  <c r="Y122" i="10"/>
  <c r="AC121" i="10"/>
  <c r="Z121" i="10"/>
  <c r="Z138" i="10"/>
  <c r="X137" i="10"/>
  <c r="AB99" i="10"/>
  <c r="Z100" i="10"/>
  <c r="X99" i="9"/>
  <c r="AB98" i="9" s="1"/>
  <c r="AC120" i="9"/>
  <c r="Z120" i="9"/>
  <c r="Z136" i="9"/>
  <c r="X135" i="9"/>
  <c r="W469" i="9"/>
  <c r="W473" i="9" s="1"/>
  <c r="W475" i="9" s="1"/>
  <c r="W474" i="8"/>
  <c r="W478" i="8" s="1"/>
  <c r="W480" i="8" s="1"/>
  <c r="AB100" i="10" l="1"/>
  <c r="AA123" i="10"/>
  <c r="AB99" i="9"/>
  <c r="Z99" i="9"/>
  <c r="AA121" i="9" s="1"/>
  <c r="AA483" i="5" l="1"/>
  <c r="X478" i="5"/>
  <c r="X480" i="5" s="1"/>
  <c r="AE477" i="5"/>
  <c r="AE476" i="5"/>
  <c r="AE475" i="5"/>
  <c r="AE474" i="5"/>
  <c r="AE473" i="5"/>
  <c r="AE472" i="5"/>
  <c r="AE471" i="5"/>
  <c r="X471" i="5"/>
  <c r="U471" i="5"/>
  <c r="AE470" i="5"/>
  <c r="U470" i="5"/>
  <c r="AE469" i="5"/>
  <c r="U469" i="5"/>
  <c r="AE468" i="5"/>
  <c r="U468" i="5"/>
  <c r="U467" i="5"/>
  <c r="U466" i="5"/>
  <c r="U465" i="5"/>
  <c r="U464" i="5"/>
  <c r="U463" i="5"/>
  <c r="U462" i="5"/>
  <c r="U461" i="5"/>
  <c r="U460" i="5"/>
  <c r="U459" i="5"/>
  <c r="U458" i="5"/>
  <c r="U457" i="5"/>
  <c r="U456" i="5"/>
  <c r="U455" i="5"/>
  <c r="W455" i="5" s="1"/>
  <c r="W454" i="5"/>
  <c r="U454" i="5"/>
  <c r="U453" i="5"/>
  <c r="W453" i="5" s="1"/>
  <c r="U452" i="5"/>
  <c r="W452" i="5" s="1"/>
  <c r="U451" i="5"/>
  <c r="W451" i="5" s="1"/>
  <c r="U450" i="5"/>
  <c r="W450" i="5" s="1"/>
  <c r="U449" i="5"/>
  <c r="W449" i="5" s="1"/>
  <c r="W448" i="5"/>
  <c r="U448" i="5"/>
  <c r="U447" i="5"/>
  <c r="W447" i="5" s="1"/>
  <c r="U445" i="5"/>
  <c r="W445" i="5" s="1"/>
  <c r="U444" i="5"/>
  <c r="W444" i="5" s="1"/>
  <c r="U443" i="5"/>
  <c r="W443" i="5" s="1"/>
  <c r="U442" i="5"/>
  <c r="W442" i="5" s="1"/>
  <c r="U441" i="5"/>
  <c r="W441" i="5" s="1"/>
  <c r="U440" i="5"/>
  <c r="W440" i="5" s="1"/>
  <c r="U439" i="5"/>
  <c r="W439" i="5" s="1"/>
  <c r="U438" i="5"/>
  <c r="W438" i="5" s="1"/>
  <c r="U437" i="5"/>
  <c r="W437" i="5" s="1"/>
  <c r="U436" i="5"/>
  <c r="W436" i="5" s="1"/>
  <c r="U435" i="5"/>
  <c r="W435" i="5" s="1"/>
  <c r="U434" i="5"/>
  <c r="W434" i="5" s="1"/>
  <c r="U433" i="5"/>
  <c r="W433" i="5" s="1"/>
  <c r="U432" i="5"/>
  <c r="W432" i="5" s="1"/>
  <c r="U431" i="5"/>
  <c r="W431" i="5" s="1"/>
  <c r="U430" i="5"/>
  <c r="W430" i="5" s="1"/>
  <c r="U429" i="5"/>
  <c r="W429" i="5" s="1"/>
  <c r="W428" i="5"/>
  <c r="W427" i="5"/>
  <c r="U426" i="5"/>
  <c r="W426" i="5" s="1"/>
  <c r="U425" i="5"/>
  <c r="W425" i="5" s="1"/>
  <c r="U424" i="5"/>
  <c r="W424" i="5" s="1"/>
  <c r="U423" i="5"/>
  <c r="W423" i="5" s="1"/>
  <c r="U422" i="5"/>
  <c r="W422" i="5" s="1"/>
  <c r="U420" i="5"/>
  <c r="W420" i="5" s="1"/>
  <c r="U419" i="5"/>
  <c r="W419" i="5" s="1"/>
  <c r="U418" i="5"/>
  <c r="W418" i="5" s="1"/>
  <c r="U417" i="5"/>
  <c r="W417" i="5" s="1"/>
  <c r="U416" i="5"/>
  <c r="W416" i="5" s="1"/>
  <c r="U415" i="5"/>
  <c r="W415" i="5" s="1"/>
  <c r="U414" i="5"/>
  <c r="W414" i="5" s="1"/>
  <c r="U413" i="5"/>
  <c r="W413" i="5" s="1"/>
  <c r="U412" i="5"/>
  <c r="W412" i="5" s="1"/>
  <c r="U411" i="5"/>
  <c r="W411" i="5" s="1"/>
  <c r="Y410" i="5"/>
  <c r="U410" i="5"/>
  <c r="W410" i="5" s="1"/>
  <c r="V409" i="5"/>
  <c r="W409" i="5" s="1"/>
  <c r="U409" i="5"/>
  <c r="W408" i="5"/>
  <c r="W407" i="5"/>
  <c r="U406" i="5"/>
  <c r="W406" i="5" s="1"/>
  <c r="U405" i="5"/>
  <c r="W405" i="5" s="1"/>
  <c r="U404" i="5"/>
  <c r="W404" i="5" s="1"/>
  <c r="U403" i="5"/>
  <c r="W403" i="5" s="1"/>
  <c r="U402" i="5"/>
  <c r="W402" i="5" s="1"/>
  <c r="U401" i="5"/>
  <c r="W401" i="5" s="1"/>
  <c r="U400" i="5"/>
  <c r="W400" i="5" s="1"/>
  <c r="W399" i="5"/>
  <c r="U398" i="5"/>
  <c r="W398" i="5" s="1"/>
  <c r="U397" i="5"/>
  <c r="W397" i="5" s="1"/>
  <c r="U396" i="5"/>
  <c r="W396" i="5" s="1"/>
  <c r="U395" i="5"/>
  <c r="W395" i="5" s="1"/>
  <c r="U394" i="5"/>
  <c r="W394" i="5" s="1"/>
  <c r="U393" i="5"/>
  <c r="W393" i="5" s="1"/>
  <c r="U392" i="5"/>
  <c r="W392" i="5" s="1"/>
  <c r="U391" i="5"/>
  <c r="W391" i="5" s="1"/>
  <c r="W390" i="5"/>
  <c r="U390" i="5"/>
  <c r="W389" i="5"/>
  <c r="U389" i="5"/>
  <c r="W388" i="5"/>
  <c r="U388" i="5"/>
  <c r="W387" i="5"/>
  <c r="U387" i="5"/>
  <c r="W386" i="5"/>
  <c r="U386" i="5"/>
  <c r="W385" i="5"/>
  <c r="U385" i="5"/>
  <c r="U384" i="5"/>
  <c r="W384" i="5" s="1"/>
  <c r="W383" i="5"/>
  <c r="U383" i="5"/>
  <c r="U382" i="5"/>
  <c r="W382" i="5" s="1"/>
  <c r="U381" i="5"/>
  <c r="W381" i="5" s="1"/>
  <c r="U380" i="5"/>
  <c r="W380" i="5" s="1"/>
  <c r="U379" i="5"/>
  <c r="W379" i="5" s="1"/>
  <c r="U378" i="5"/>
  <c r="W378" i="5" s="1"/>
  <c r="U377" i="5"/>
  <c r="W377" i="5" s="1"/>
  <c r="U376" i="5"/>
  <c r="W376" i="5" s="1"/>
  <c r="U375" i="5"/>
  <c r="W375" i="5" s="1"/>
  <c r="U374" i="5"/>
  <c r="W374" i="5" s="1"/>
  <c r="U373" i="5"/>
  <c r="W373" i="5" s="1"/>
  <c r="U372" i="5"/>
  <c r="W372" i="5" s="1"/>
  <c r="W371" i="5"/>
  <c r="U371" i="5"/>
  <c r="U370" i="5"/>
  <c r="W370" i="5" s="1"/>
  <c r="U369" i="5"/>
  <c r="W369" i="5" s="1"/>
  <c r="U368" i="5"/>
  <c r="W368" i="5" s="1"/>
  <c r="U367" i="5"/>
  <c r="W367" i="5" s="1"/>
  <c r="W366" i="5"/>
  <c r="U366" i="5"/>
  <c r="U365" i="5"/>
  <c r="W365" i="5" s="1"/>
  <c r="U364" i="5"/>
  <c r="W364" i="5" s="1"/>
  <c r="U363" i="5"/>
  <c r="W363" i="5" s="1"/>
  <c r="U362" i="5"/>
  <c r="W362" i="5" s="1"/>
  <c r="U361" i="5"/>
  <c r="W361" i="5" s="1"/>
  <c r="U360" i="5"/>
  <c r="W360" i="5" s="1"/>
  <c r="U359" i="5"/>
  <c r="W359" i="5" s="1"/>
  <c r="U358" i="5"/>
  <c r="W358" i="5" s="1"/>
  <c r="U357" i="5"/>
  <c r="W357" i="5" s="1"/>
  <c r="U356" i="5"/>
  <c r="W356" i="5" s="1"/>
  <c r="W355" i="5"/>
  <c r="U354" i="5"/>
  <c r="W354" i="5" s="1"/>
  <c r="U353" i="5"/>
  <c r="W353" i="5" s="1"/>
  <c r="U352" i="5"/>
  <c r="W352" i="5" s="1"/>
  <c r="U350" i="5"/>
  <c r="W350" i="5" s="1"/>
  <c r="U349" i="5"/>
  <c r="W349" i="5" s="1"/>
  <c r="U348" i="5"/>
  <c r="W348" i="5" s="1"/>
  <c r="U347" i="5"/>
  <c r="W347" i="5" s="1"/>
  <c r="U346" i="5"/>
  <c r="U345" i="5"/>
  <c r="W345" i="5" s="1"/>
  <c r="U344" i="5"/>
  <c r="W344" i="5" s="1"/>
  <c r="U343" i="5"/>
  <c r="W343" i="5" s="1"/>
  <c r="U342" i="5"/>
  <c r="W342" i="5" s="1"/>
  <c r="U341" i="5"/>
  <c r="W341" i="5" s="1"/>
  <c r="U340" i="5"/>
  <c r="W340" i="5" s="1"/>
  <c r="U339" i="5"/>
  <c r="W339" i="5" s="1"/>
  <c r="U338" i="5"/>
  <c r="W338" i="5" s="1"/>
  <c r="U337" i="5"/>
  <c r="W337" i="5" s="1"/>
  <c r="U336" i="5"/>
  <c r="W336" i="5" s="1"/>
  <c r="U335" i="5"/>
  <c r="W335" i="5" s="1"/>
  <c r="U334" i="5"/>
  <c r="W334" i="5" s="1"/>
  <c r="U333" i="5"/>
  <c r="W333" i="5" s="1"/>
  <c r="U332" i="5"/>
  <c r="W332" i="5" s="1"/>
  <c r="U331" i="5"/>
  <c r="W331" i="5" s="1"/>
  <c r="U330" i="5"/>
  <c r="W330" i="5" s="1"/>
  <c r="U329" i="5"/>
  <c r="U328" i="5"/>
  <c r="W328" i="5" s="1"/>
  <c r="U327" i="5"/>
  <c r="W327" i="5" s="1"/>
  <c r="U326" i="5"/>
  <c r="W326" i="5" s="1"/>
  <c r="U325" i="5"/>
  <c r="U324" i="5"/>
  <c r="W324" i="5" s="1"/>
  <c r="W323" i="5"/>
  <c r="U323" i="5"/>
  <c r="U322" i="5"/>
  <c r="U321" i="5"/>
  <c r="W321" i="5" s="1"/>
  <c r="U320" i="5"/>
  <c r="W320" i="5" s="1"/>
  <c r="U319" i="5"/>
  <c r="W319" i="5" s="1"/>
  <c r="U318" i="5"/>
  <c r="W318" i="5" s="1"/>
  <c r="U317" i="5"/>
  <c r="U316" i="5"/>
  <c r="W316" i="5" s="1"/>
  <c r="W315" i="5"/>
  <c r="U315" i="5"/>
  <c r="W314" i="5"/>
  <c r="U314" i="5"/>
  <c r="U313" i="5"/>
  <c r="W313" i="5" s="1"/>
  <c r="U312" i="5"/>
  <c r="U311" i="5"/>
  <c r="W311" i="5" s="1"/>
  <c r="U310" i="5"/>
  <c r="W310" i="5" s="1"/>
  <c r="U309" i="5"/>
  <c r="W309" i="5" s="1"/>
  <c r="W308" i="5"/>
  <c r="U308" i="5"/>
  <c r="U307" i="5"/>
  <c r="W307" i="5" s="1"/>
  <c r="U306" i="5"/>
  <c r="W306" i="5" s="1"/>
  <c r="U305" i="5"/>
  <c r="W305" i="5" s="1"/>
  <c r="U304" i="5"/>
  <c r="W304" i="5" s="1"/>
  <c r="U303" i="5"/>
  <c r="W303" i="5" s="1"/>
  <c r="W302" i="5"/>
  <c r="U302" i="5"/>
  <c r="U301" i="5"/>
  <c r="W301" i="5" s="1"/>
  <c r="U300" i="5"/>
  <c r="W300" i="5" s="1"/>
  <c r="U299" i="5"/>
  <c r="W299" i="5" s="1"/>
  <c r="U298" i="5"/>
  <c r="W298" i="5" s="1"/>
  <c r="U297" i="5"/>
  <c r="W297" i="5" s="1"/>
  <c r="W296" i="5"/>
  <c r="U296" i="5"/>
  <c r="U295" i="5"/>
  <c r="W295" i="5" s="1"/>
  <c r="U294" i="5"/>
  <c r="W294" i="5" s="1"/>
  <c r="U293" i="5"/>
  <c r="U292" i="5"/>
  <c r="W292" i="5" s="1"/>
  <c r="U291" i="5"/>
  <c r="W291" i="5" s="1"/>
  <c r="U290" i="5"/>
  <c r="W290" i="5" s="1"/>
  <c r="U289" i="5"/>
  <c r="W289" i="5" s="1"/>
  <c r="U288" i="5"/>
  <c r="W288" i="5" s="1"/>
  <c r="U287" i="5"/>
  <c r="W287" i="5" s="1"/>
  <c r="U286" i="5"/>
  <c r="W286" i="5" s="1"/>
  <c r="U285" i="5"/>
  <c r="W285" i="5" s="1"/>
  <c r="U284" i="5"/>
  <c r="W284" i="5" s="1"/>
  <c r="U283" i="5"/>
  <c r="W283" i="5" s="1"/>
  <c r="U282" i="5"/>
  <c r="W282" i="5" s="1"/>
  <c r="U281" i="5"/>
  <c r="W281" i="5" s="1"/>
  <c r="U280" i="5"/>
  <c r="W280" i="5" s="1"/>
  <c r="U279" i="5"/>
  <c r="W279" i="5" s="1"/>
  <c r="U278" i="5"/>
  <c r="W278" i="5" s="1"/>
  <c r="U277" i="5"/>
  <c r="W277" i="5" s="1"/>
  <c r="U276" i="5"/>
  <c r="W276" i="5" s="1"/>
  <c r="U275" i="5"/>
  <c r="W275" i="5" s="1"/>
  <c r="U274" i="5"/>
  <c r="U273" i="5"/>
  <c r="W273" i="5" s="1"/>
  <c r="U272" i="5"/>
  <c r="W272" i="5" s="1"/>
  <c r="U270" i="5"/>
  <c r="W270" i="5" s="1"/>
  <c r="U269" i="5"/>
  <c r="W269" i="5" s="1"/>
  <c r="U268" i="5"/>
  <c r="W268" i="5" s="1"/>
  <c r="U267" i="5"/>
  <c r="W267" i="5" s="1"/>
  <c r="U266" i="5"/>
  <c r="U265" i="5"/>
  <c r="W265" i="5" s="1"/>
  <c r="W264" i="5"/>
  <c r="U264" i="5"/>
  <c r="U263" i="5"/>
  <c r="W263" i="5" s="1"/>
  <c r="U262" i="5"/>
  <c r="W262" i="5" s="1"/>
  <c r="W261" i="5"/>
  <c r="U261" i="5"/>
  <c r="U260" i="5"/>
  <c r="U259" i="5"/>
  <c r="W259" i="5" s="1"/>
  <c r="U258" i="5"/>
  <c r="W258" i="5" s="1"/>
  <c r="W257" i="5"/>
  <c r="U257" i="5"/>
  <c r="U256" i="5"/>
  <c r="W255" i="5"/>
  <c r="U255" i="5"/>
  <c r="W253" i="5"/>
  <c r="U253" i="5"/>
  <c r="U252" i="5"/>
  <c r="W252" i="5" s="1"/>
  <c r="U251" i="5"/>
  <c r="W251" i="5" s="1"/>
  <c r="U250" i="5"/>
  <c r="W250" i="5" s="1"/>
  <c r="U249" i="5"/>
  <c r="U248" i="5"/>
  <c r="W248" i="5" s="1"/>
  <c r="U247" i="5"/>
  <c r="W247" i="5" s="1"/>
  <c r="U246" i="5"/>
  <c r="W245" i="5"/>
  <c r="U245" i="5"/>
  <c r="W244" i="5"/>
  <c r="U244" i="5"/>
  <c r="U243" i="5"/>
  <c r="W243" i="5" s="1"/>
  <c r="U242" i="5"/>
  <c r="U241" i="5"/>
  <c r="W241" i="5" s="1"/>
  <c r="U240" i="5"/>
  <c r="W240" i="5" s="1"/>
  <c r="U239" i="5"/>
  <c r="W239" i="5" s="1"/>
  <c r="U238" i="5"/>
  <c r="W238" i="5" s="1"/>
  <c r="U237" i="5"/>
  <c r="W237" i="5" s="1"/>
  <c r="U236" i="5"/>
  <c r="W236" i="5" s="1"/>
  <c r="U235" i="5"/>
  <c r="W235" i="5" s="1"/>
  <c r="U234" i="5"/>
  <c r="W234" i="5" s="1"/>
  <c r="U233" i="5"/>
  <c r="U232" i="5"/>
  <c r="W232" i="5" s="1"/>
  <c r="U231" i="5"/>
  <c r="W231" i="5" s="1"/>
  <c r="U230" i="5"/>
  <c r="U229" i="5"/>
  <c r="W229" i="5" s="1"/>
  <c r="U228" i="5"/>
  <c r="W228" i="5" s="1"/>
  <c r="U227" i="5"/>
  <c r="U226" i="5"/>
  <c r="W226" i="5" s="1"/>
  <c r="U225" i="5"/>
  <c r="W225" i="5" s="1"/>
  <c r="U224" i="5"/>
  <c r="W224" i="5" s="1"/>
  <c r="U223" i="5"/>
  <c r="W223" i="5" s="1"/>
  <c r="U222" i="5"/>
  <c r="W222" i="5" s="1"/>
  <c r="U221" i="5"/>
  <c r="W221" i="5" s="1"/>
  <c r="U220" i="5"/>
  <c r="W220" i="5" s="1"/>
  <c r="U219" i="5"/>
  <c r="W219" i="5" s="1"/>
  <c r="W218" i="5"/>
  <c r="U218" i="5"/>
  <c r="U217" i="5"/>
  <c r="W217" i="5" s="1"/>
  <c r="U216" i="5"/>
  <c r="W216" i="5" s="1"/>
  <c r="U215" i="5"/>
  <c r="W215" i="5" s="1"/>
  <c r="U214" i="5"/>
  <c r="W214" i="5" s="1"/>
  <c r="U213" i="5"/>
  <c r="W213" i="5" s="1"/>
  <c r="U212" i="5"/>
  <c r="W212" i="5" s="1"/>
  <c r="U211" i="5"/>
  <c r="W211" i="5" s="1"/>
  <c r="U210" i="5"/>
  <c r="W210" i="5" s="1"/>
  <c r="U209" i="5"/>
  <c r="W209" i="5" s="1"/>
  <c r="U208" i="5"/>
  <c r="W208" i="5" s="1"/>
  <c r="U207" i="5"/>
  <c r="W207" i="5" s="1"/>
  <c r="U206" i="5"/>
  <c r="W206" i="5" s="1"/>
  <c r="U205" i="5"/>
  <c r="W205" i="5" s="1"/>
  <c r="U204" i="5"/>
  <c r="Z203" i="5"/>
  <c r="U203" i="5"/>
  <c r="W203" i="5" s="1"/>
  <c r="U202" i="5"/>
  <c r="W202" i="5" s="1"/>
  <c r="U201" i="5"/>
  <c r="W201" i="5" s="1"/>
  <c r="U200" i="5"/>
  <c r="W199" i="5"/>
  <c r="U199" i="5"/>
  <c r="U198" i="5"/>
  <c r="W198" i="5" s="1"/>
  <c r="X196" i="5"/>
  <c r="U196" i="5"/>
  <c r="Y196" i="5" s="1"/>
  <c r="X195" i="5"/>
  <c r="U195" i="5"/>
  <c r="W195" i="5" s="1"/>
  <c r="X194" i="5"/>
  <c r="U194" i="5"/>
  <c r="X193" i="5"/>
  <c r="U193" i="5"/>
  <c r="W193" i="5" s="1"/>
  <c r="X192" i="5"/>
  <c r="U192" i="5"/>
  <c r="X191" i="5"/>
  <c r="U191" i="5"/>
  <c r="X190" i="5"/>
  <c r="U190" i="5"/>
  <c r="W190" i="5" s="1"/>
  <c r="X189" i="5"/>
  <c r="U189" i="5"/>
  <c r="Y189" i="5" s="1"/>
  <c r="X188" i="5"/>
  <c r="U188" i="5"/>
  <c r="X187" i="5"/>
  <c r="U187" i="5"/>
  <c r="X186" i="5"/>
  <c r="U186" i="5"/>
  <c r="Y186" i="5" s="1"/>
  <c r="X185" i="5"/>
  <c r="U185" i="5"/>
  <c r="Y185" i="5" s="1"/>
  <c r="X184" i="5"/>
  <c r="U184" i="5"/>
  <c r="Y184" i="5" s="1"/>
  <c r="X183" i="5"/>
  <c r="Y183" i="5" s="1"/>
  <c r="W183" i="5"/>
  <c r="U183" i="5"/>
  <c r="X182" i="5"/>
  <c r="U182" i="5"/>
  <c r="Y182" i="5" s="1"/>
  <c r="X181" i="5"/>
  <c r="U181" i="5"/>
  <c r="Y181" i="5" s="1"/>
  <c r="X180" i="5"/>
  <c r="U180" i="5"/>
  <c r="W180" i="5" s="1"/>
  <c r="X179" i="5"/>
  <c r="U179" i="5"/>
  <c r="Y179" i="5" s="1"/>
  <c r="X178" i="5"/>
  <c r="U178" i="5"/>
  <c r="Y178" i="5" s="1"/>
  <c r="X177" i="5"/>
  <c r="U177" i="5"/>
  <c r="Y177" i="5" s="1"/>
  <c r="Y176" i="5"/>
  <c r="X176" i="5"/>
  <c r="U176" i="5"/>
  <c r="W176" i="5" s="1"/>
  <c r="X175" i="5"/>
  <c r="U175" i="5"/>
  <c r="X174" i="5"/>
  <c r="U174" i="5"/>
  <c r="Y174" i="5" s="1"/>
  <c r="X173" i="5"/>
  <c r="U173" i="5"/>
  <c r="W173" i="5" s="1"/>
  <c r="X172" i="5"/>
  <c r="U172" i="5"/>
  <c r="Y172" i="5" s="1"/>
  <c r="X171" i="5"/>
  <c r="U171" i="5"/>
  <c r="X170" i="5"/>
  <c r="Y170" i="5" s="1"/>
  <c r="U170" i="5"/>
  <c r="X169" i="5"/>
  <c r="U169" i="5"/>
  <c r="X168" i="5"/>
  <c r="U168" i="5"/>
  <c r="W168" i="5" s="1"/>
  <c r="X167" i="5"/>
  <c r="U167" i="5"/>
  <c r="W167" i="5" s="1"/>
  <c r="X166" i="5"/>
  <c r="U166" i="5"/>
  <c r="X165" i="5"/>
  <c r="U165" i="5"/>
  <c r="W165" i="5" s="1"/>
  <c r="X164" i="5"/>
  <c r="U164" i="5"/>
  <c r="Y164" i="5" s="1"/>
  <c r="X163" i="5"/>
  <c r="U163" i="5"/>
  <c r="X162" i="5"/>
  <c r="U162" i="5"/>
  <c r="W162" i="5" s="1"/>
  <c r="Y161" i="5"/>
  <c r="X161" i="5"/>
  <c r="U161" i="5"/>
  <c r="W161" i="5" s="1"/>
  <c r="X160" i="5"/>
  <c r="U160" i="5"/>
  <c r="X159" i="5"/>
  <c r="U159" i="5"/>
  <c r="W159" i="5" s="1"/>
  <c r="X158" i="5"/>
  <c r="U158" i="5"/>
  <c r="Y158" i="5" s="1"/>
  <c r="X157" i="5"/>
  <c r="U157" i="5"/>
  <c r="X156" i="5"/>
  <c r="U156" i="5"/>
  <c r="X155" i="5"/>
  <c r="U155" i="5"/>
  <c r="Y155" i="5" s="1"/>
  <c r="X154" i="5"/>
  <c r="U154" i="5"/>
  <c r="Y154" i="5" s="1"/>
  <c r="X153" i="5"/>
  <c r="U153" i="5"/>
  <c r="W153" i="5" s="1"/>
  <c r="X152" i="5"/>
  <c r="U152" i="5"/>
  <c r="W152" i="5" s="1"/>
  <c r="X151" i="5"/>
  <c r="U151" i="5"/>
  <c r="X150" i="5"/>
  <c r="Y150" i="5" s="1"/>
  <c r="U150" i="5"/>
  <c r="W150" i="5" s="1"/>
  <c r="X149" i="5"/>
  <c r="U149" i="5"/>
  <c r="Y149" i="5" s="1"/>
  <c r="X148" i="5"/>
  <c r="U148" i="5"/>
  <c r="Y148" i="5" s="1"/>
  <c r="X147" i="5"/>
  <c r="Y147" i="5" s="1"/>
  <c r="V147" i="5"/>
  <c r="W147" i="5" s="1"/>
  <c r="U147" i="5"/>
  <c r="X146" i="5"/>
  <c r="U146" i="5"/>
  <c r="Y146" i="5" s="1"/>
  <c r="X145" i="5"/>
  <c r="U145" i="5"/>
  <c r="X144" i="5"/>
  <c r="U144" i="5"/>
  <c r="X143" i="5"/>
  <c r="Y143" i="5" s="1"/>
  <c r="W143" i="5"/>
  <c r="U143" i="5"/>
  <c r="X142" i="5"/>
  <c r="U142" i="5"/>
  <c r="X141" i="5"/>
  <c r="U141" i="5"/>
  <c r="Y141" i="5" s="1"/>
  <c r="X140" i="5"/>
  <c r="U140" i="5"/>
  <c r="Y140" i="5" s="1"/>
  <c r="X139" i="5"/>
  <c r="U139" i="5"/>
  <c r="Y139" i="5" s="1"/>
  <c r="X138" i="5"/>
  <c r="U138" i="5"/>
  <c r="Y138" i="5" s="1"/>
  <c r="Y137" i="5"/>
  <c r="U136" i="5"/>
  <c r="W136" i="5" s="1"/>
  <c r="U135" i="5"/>
  <c r="W135" i="5" s="1"/>
  <c r="U134" i="5"/>
  <c r="P133" i="5"/>
  <c r="U133" i="5" s="1"/>
  <c r="W133" i="5" s="1"/>
  <c r="P132" i="5"/>
  <c r="U132" i="5" s="1"/>
  <c r="W132" i="5" s="1"/>
  <c r="P131" i="5"/>
  <c r="U131" i="5" s="1"/>
  <c r="W131" i="5" s="1"/>
  <c r="P130" i="5"/>
  <c r="U130" i="5" s="1"/>
  <c r="W130" i="5" s="1"/>
  <c r="P129" i="5"/>
  <c r="U129" i="5" s="1"/>
  <c r="W129" i="5" s="1"/>
  <c r="P128" i="5"/>
  <c r="U128" i="5" s="1"/>
  <c r="W128" i="5" s="1"/>
  <c r="U127" i="5"/>
  <c r="W127" i="5" s="1"/>
  <c r="P127" i="5"/>
  <c r="P126" i="5"/>
  <c r="U126" i="5" s="1"/>
  <c r="W126" i="5" s="1"/>
  <c r="P125" i="5"/>
  <c r="U125" i="5" s="1"/>
  <c r="W125" i="5" s="1"/>
  <c r="P124" i="5"/>
  <c r="U124" i="5" s="1"/>
  <c r="W124" i="5" s="1"/>
  <c r="U123" i="5"/>
  <c r="W123" i="5" s="1"/>
  <c r="P122" i="5"/>
  <c r="U122" i="5" s="1"/>
  <c r="W122" i="5" s="1"/>
  <c r="U121" i="5"/>
  <c r="W121" i="5" s="1"/>
  <c r="U119" i="5"/>
  <c r="W119" i="5" s="1"/>
  <c r="U118" i="5"/>
  <c r="W118" i="5" s="1"/>
  <c r="U117" i="5"/>
  <c r="W117" i="5" s="1"/>
  <c r="U116" i="5"/>
  <c r="U115" i="5"/>
  <c r="W115" i="5" s="1"/>
  <c r="U114" i="5"/>
  <c r="W114" i="5" s="1"/>
  <c r="U113" i="5"/>
  <c r="W113" i="5" s="1"/>
  <c r="U112" i="5"/>
  <c r="W112" i="5" s="1"/>
  <c r="U111" i="5"/>
  <c r="W111" i="5" s="1"/>
  <c r="U110" i="5"/>
  <c r="W110" i="5" s="1"/>
  <c r="U109" i="5"/>
  <c r="W109" i="5" s="1"/>
  <c r="U108" i="5"/>
  <c r="U107" i="5"/>
  <c r="W107" i="5" s="1"/>
  <c r="U106" i="5"/>
  <c r="W106" i="5" s="1"/>
  <c r="U105" i="5"/>
  <c r="W105" i="5" s="1"/>
  <c r="U104" i="5"/>
  <c r="U103" i="5"/>
  <c r="W103" i="5" s="1"/>
  <c r="U102" i="5"/>
  <c r="W102" i="5" s="1"/>
  <c r="O100" i="5"/>
  <c r="U100" i="5" s="1"/>
  <c r="W100" i="5" s="1"/>
  <c r="O99" i="5"/>
  <c r="U99" i="5" s="1"/>
  <c r="W99" i="5" s="1"/>
  <c r="U98" i="5"/>
  <c r="W98" i="5" s="1"/>
  <c r="U97" i="5"/>
  <c r="W97" i="5" s="1"/>
  <c r="U96" i="5"/>
  <c r="W96" i="5" s="1"/>
  <c r="U95" i="5"/>
  <c r="W95" i="5" s="1"/>
  <c r="U94" i="5"/>
  <c r="W94" i="5" s="1"/>
  <c r="U93" i="5"/>
  <c r="W93" i="5" s="1"/>
  <c r="U92" i="5"/>
  <c r="W92" i="5" s="1"/>
  <c r="U91" i="5"/>
  <c r="W91" i="5" s="1"/>
  <c r="U90" i="5"/>
  <c r="W90" i="5" s="1"/>
  <c r="U89" i="5"/>
  <c r="W89" i="5" s="1"/>
  <c r="U88" i="5"/>
  <c r="O87" i="5"/>
  <c r="U87" i="5" s="1"/>
  <c r="W87" i="5" s="1"/>
  <c r="U86" i="5"/>
  <c r="W86" i="5" s="1"/>
  <c r="O86" i="5"/>
  <c r="H86" i="5"/>
  <c r="D86" i="5"/>
  <c r="U85" i="5"/>
  <c r="W85" i="5" s="1"/>
  <c r="W84" i="5"/>
  <c r="U84" i="5"/>
  <c r="U83" i="5"/>
  <c r="W83" i="5" s="1"/>
  <c r="U82" i="5"/>
  <c r="W82" i="5" s="1"/>
  <c r="U81" i="5"/>
  <c r="U80" i="5"/>
  <c r="W80" i="5" s="1"/>
  <c r="W79" i="5"/>
  <c r="U79" i="5"/>
  <c r="U78" i="5"/>
  <c r="W78" i="5" s="1"/>
  <c r="H77" i="5"/>
  <c r="U77" i="5" s="1"/>
  <c r="W77" i="5" s="1"/>
  <c r="U76" i="5"/>
  <c r="W76" i="5" s="1"/>
  <c r="U75" i="5"/>
  <c r="W75" i="5" s="1"/>
  <c r="P74" i="5"/>
  <c r="U74" i="5" s="1"/>
  <c r="W74" i="5" s="1"/>
  <c r="P73" i="5"/>
  <c r="O73" i="5"/>
  <c r="H73" i="5"/>
  <c r="U73" i="5" s="1"/>
  <c r="W73" i="5" s="1"/>
  <c r="U72" i="5"/>
  <c r="W72" i="5" s="1"/>
  <c r="P71" i="5"/>
  <c r="O71" i="5"/>
  <c r="H71" i="5"/>
  <c r="P70" i="5"/>
  <c r="O70" i="5"/>
  <c r="H70" i="5"/>
  <c r="D70" i="5"/>
  <c r="U69" i="5"/>
  <c r="P68" i="5"/>
  <c r="O68" i="5"/>
  <c r="H68" i="5"/>
  <c r="D68" i="5"/>
  <c r="P67" i="5"/>
  <c r="U67" i="5" s="1"/>
  <c r="W67" i="5" s="1"/>
  <c r="U66" i="5"/>
  <c r="W66" i="5" s="1"/>
  <c r="P66" i="5"/>
  <c r="O66" i="5"/>
  <c r="H66" i="5"/>
  <c r="U65" i="5"/>
  <c r="P64" i="5"/>
  <c r="O64" i="5"/>
  <c r="H64" i="5"/>
  <c r="O63" i="5"/>
  <c r="U63" i="5" s="1"/>
  <c r="W63" i="5" s="1"/>
  <c r="U62" i="5"/>
  <c r="W62" i="5" s="1"/>
  <c r="O62" i="5"/>
  <c r="O61" i="5"/>
  <c r="U61" i="5" s="1"/>
  <c r="W61" i="5" s="1"/>
  <c r="O60" i="5"/>
  <c r="U60" i="5" s="1"/>
  <c r="W60" i="5" s="1"/>
  <c r="U58" i="5"/>
  <c r="W58" i="5" s="1"/>
  <c r="U57" i="5"/>
  <c r="W57" i="5" s="1"/>
  <c r="U56" i="5"/>
  <c r="W56" i="5" s="1"/>
  <c r="U55" i="5"/>
  <c r="W55" i="5" s="1"/>
  <c r="U53" i="5"/>
  <c r="W53" i="5" s="1"/>
  <c r="U52" i="5"/>
  <c r="U51" i="5"/>
  <c r="W51" i="5" s="1"/>
  <c r="U50" i="5"/>
  <c r="W50" i="5" s="1"/>
  <c r="U49" i="5"/>
  <c r="W49" i="5" s="1"/>
  <c r="W48" i="5"/>
  <c r="U48" i="5"/>
  <c r="W47" i="5"/>
  <c r="U47" i="5"/>
  <c r="U46" i="5"/>
  <c r="W46" i="5" s="1"/>
  <c r="U44" i="5"/>
  <c r="W44" i="5" s="1"/>
  <c r="U43" i="5"/>
  <c r="U42" i="5"/>
  <c r="W42" i="5" s="1"/>
  <c r="U41" i="5"/>
  <c r="W41" i="5" s="1"/>
  <c r="U40" i="5"/>
  <c r="W40" i="5" s="1"/>
  <c r="W39" i="5"/>
  <c r="U39" i="5"/>
  <c r="W38" i="5"/>
  <c r="U38" i="5"/>
  <c r="U37" i="5"/>
  <c r="W37" i="5" s="1"/>
  <c r="U36" i="5"/>
  <c r="W36" i="5" s="1"/>
  <c r="U35" i="5"/>
  <c r="U34" i="5"/>
  <c r="W34" i="5" s="1"/>
  <c r="U32" i="5"/>
  <c r="W32" i="5" s="1"/>
  <c r="U31" i="5"/>
  <c r="W31" i="5" s="1"/>
  <c r="U30" i="5"/>
  <c r="W30" i="5" s="1"/>
  <c r="W29" i="5"/>
  <c r="U28" i="5"/>
  <c r="W28" i="5" s="1"/>
  <c r="U27" i="5"/>
  <c r="W27" i="5" s="1"/>
  <c r="U26" i="5"/>
  <c r="W26" i="5" s="1"/>
  <c r="U25" i="5"/>
  <c r="W25" i="5" s="1"/>
  <c r="U24" i="5"/>
  <c r="W24" i="5" s="1"/>
  <c r="U23" i="5"/>
  <c r="U22" i="5"/>
  <c r="W22" i="5" s="1"/>
  <c r="U21" i="5"/>
  <c r="W21" i="5" s="1"/>
  <c r="U20" i="5"/>
  <c r="W20" i="5" s="1"/>
  <c r="U19" i="5"/>
  <c r="W19" i="5" s="1"/>
  <c r="W18" i="5"/>
  <c r="U18" i="5"/>
  <c r="U17" i="5"/>
  <c r="W17" i="5" s="1"/>
  <c r="U16" i="5"/>
  <c r="W16" i="5" s="1"/>
  <c r="U15" i="5"/>
  <c r="W15" i="5" s="1"/>
  <c r="U14" i="5"/>
  <c r="W14" i="5" s="1"/>
  <c r="U13" i="5"/>
  <c r="W13" i="5" s="1"/>
  <c r="W12" i="5"/>
  <c r="U12" i="5"/>
  <c r="U11" i="5"/>
  <c r="W11" i="5" s="1"/>
  <c r="U10" i="5"/>
  <c r="W10" i="5" s="1"/>
  <c r="U9" i="5"/>
  <c r="W9" i="5" s="1"/>
  <c r="U8" i="5"/>
  <c r="W8" i="5" s="1"/>
  <c r="U6" i="5"/>
  <c r="W6" i="5" s="1"/>
  <c r="U5" i="5"/>
  <c r="W5" i="5" s="1"/>
  <c r="AA331" i="3"/>
  <c r="Y110" i="3"/>
  <c r="X390" i="5" l="1"/>
  <c r="W164" i="5"/>
  <c r="Y144" i="5"/>
  <c r="Y168" i="5"/>
  <c r="U64" i="5"/>
  <c r="W64" i="5" s="1"/>
  <c r="U70" i="5"/>
  <c r="W70" i="5" s="1"/>
  <c r="Y195" i="5"/>
  <c r="Y190" i="5"/>
  <c r="Y153" i="5"/>
  <c r="Y173" i="5"/>
  <c r="Y156" i="5"/>
  <c r="Y165" i="5"/>
  <c r="Y180" i="5"/>
  <c r="Y191" i="5"/>
  <c r="U71" i="5"/>
  <c r="W71" i="5" s="1"/>
  <c r="W146" i="5"/>
  <c r="Y151" i="5"/>
  <c r="Y157" i="5"/>
  <c r="Y171" i="5"/>
  <c r="Y192" i="5"/>
  <c r="U68" i="5"/>
  <c r="W68" i="5" s="1"/>
  <c r="X100" i="5" s="1"/>
  <c r="Y167" i="5"/>
  <c r="Y188" i="5"/>
  <c r="X391" i="5"/>
  <c r="Y392" i="5" s="1"/>
  <c r="X367" i="5"/>
  <c r="Y121" i="5"/>
  <c r="X420" i="5"/>
  <c r="X350" i="5"/>
  <c r="X272" i="5"/>
  <c r="X102" i="5"/>
  <c r="W189" i="5"/>
  <c r="AE478" i="5"/>
  <c r="Y166" i="5"/>
  <c r="W166" i="5"/>
  <c r="X255" i="5"/>
  <c r="X256" i="5" s="1"/>
  <c r="W144" i="5"/>
  <c r="W155" i="5"/>
  <c r="W177" i="5"/>
  <c r="W181" i="5"/>
  <c r="Y163" i="5"/>
  <c r="W163" i="5"/>
  <c r="W138" i="5"/>
  <c r="Y159" i="5"/>
  <c r="Y142" i="5"/>
  <c r="W142" i="5"/>
  <c r="W149" i="5"/>
  <c r="Y152" i="5"/>
  <c r="W156" i="5"/>
  <c r="Y160" i="5"/>
  <c r="W160" i="5"/>
  <c r="W171" i="5"/>
  <c r="W186" i="5"/>
  <c r="Y193" i="5"/>
  <c r="Y175" i="5"/>
  <c r="Y194" i="5"/>
  <c r="W194" i="5"/>
  <c r="X410" i="5"/>
  <c r="Y411" i="5" s="1"/>
  <c r="Y412" i="5" s="1"/>
  <c r="X366" i="5"/>
  <c r="W175" i="5"/>
  <c r="W184" i="5"/>
  <c r="W141" i="5"/>
  <c r="Y162" i="5"/>
  <c r="Y187" i="5"/>
  <c r="Y169" i="5"/>
  <c r="W169" i="5"/>
  <c r="W196" i="5"/>
  <c r="Y145" i="5"/>
  <c r="W145" i="5"/>
  <c r="X198" i="5"/>
  <c r="W172" i="5"/>
  <c r="W187" i="5"/>
  <c r="X445" i="5"/>
  <c r="W139" i="5"/>
  <c r="W148" i="5"/>
  <c r="W151" i="5"/>
  <c r="W154" i="5"/>
  <c r="W157" i="5"/>
  <c r="W179" i="5"/>
  <c r="W182" i="5"/>
  <c r="W185" i="5"/>
  <c r="W188" i="5"/>
  <c r="W191" i="5"/>
  <c r="X319" i="3"/>
  <c r="Z121" i="5" l="1"/>
  <c r="AC121" i="5"/>
  <c r="X137" i="5"/>
  <c r="Z138" i="5"/>
  <c r="AB99" i="5"/>
  <c r="Z100" i="5"/>
  <c r="W474" i="5"/>
  <c r="W478" i="5" s="1"/>
  <c r="W480" i="5" s="1"/>
  <c r="AA123" i="5" l="1"/>
  <c r="AB100" i="5"/>
  <c r="AE325" i="3" l="1"/>
  <c r="AE324" i="3"/>
  <c r="AE323" i="3"/>
  <c r="AE322" i="3"/>
  <c r="AE321" i="3"/>
  <c r="AE320" i="3"/>
  <c r="AE319" i="3"/>
  <c r="AE318" i="3"/>
  <c r="AE317" i="3"/>
  <c r="AE316" i="3"/>
  <c r="AE326" i="3" l="1"/>
  <c r="W255" i="3"/>
  <c r="W303" i="3"/>
  <c r="W302" i="3"/>
  <c r="X112" i="3" l="1"/>
  <c r="X36" i="3"/>
  <c r="X38" i="3"/>
  <c r="X113" i="3"/>
  <c r="X114" i="3"/>
  <c r="X115" i="3"/>
  <c r="X116" i="3"/>
  <c r="X117" i="3"/>
  <c r="X118" i="3"/>
  <c r="X68" i="3"/>
  <c r="X119" i="3"/>
  <c r="X120" i="3"/>
  <c r="X121" i="3"/>
  <c r="X122" i="3"/>
  <c r="X123" i="3"/>
  <c r="X124" i="3"/>
  <c r="X125" i="3"/>
  <c r="X33" i="3"/>
  <c r="X126" i="3"/>
  <c r="X127" i="3"/>
  <c r="X128" i="3"/>
  <c r="X74" i="3"/>
  <c r="X129" i="3"/>
  <c r="X130" i="3"/>
  <c r="X131" i="3"/>
  <c r="X42" i="3"/>
  <c r="X132" i="3"/>
  <c r="X133" i="3"/>
  <c r="X134" i="3"/>
  <c r="X135" i="3"/>
  <c r="X136" i="3"/>
  <c r="X137" i="3"/>
  <c r="X138" i="3"/>
  <c r="X139" i="3"/>
  <c r="X140" i="3"/>
  <c r="X141" i="3"/>
  <c r="X142" i="3"/>
  <c r="X143" i="3"/>
  <c r="X144" i="3"/>
  <c r="X145" i="3"/>
  <c r="X146" i="3"/>
  <c r="X147" i="3"/>
  <c r="X213" i="3"/>
  <c r="X148" i="3"/>
  <c r="X149" i="3"/>
  <c r="X150" i="3"/>
  <c r="X151" i="3"/>
  <c r="X152" i="3"/>
  <c r="X153" i="3"/>
  <c r="X154" i="3"/>
  <c r="X46" i="3"/>
  <c r="X51" i="3"/>
  <c r="X52" i="3"/>
  <c r="X111" i="3"/>
  <c r="X326" i="3"/>
  <c r="X328" i="3" s="1"/>
  <c r="X331" i="3" s="1"/>
  <c r="P73" i="3" l="1"/>
  <c r="P71" i="3"/>
  <c r="P70" i="3"/>
  <c r="P35" i="3"/>
  <c r="O92" i="3"/>
  <c r="W92" i="3" s="1"/>
  <c r="O91" i="3"/>
  <c r="W91" i="3" s="1"/>
  <c r="O66" i="3"/>
  <c r="O65" i="3"/>
  <c r="O64" i="3"/>
  <c r="O85" i="3"/>
  <c r="O73" i="3"/>
  <c r="O71" i="3"/>
  <c r="O70" i="3"/>
  <c r="H85" i="3" l="1"/>
  <c r="H77" i="3"/>
  <c r="H73" i="3"/>
  <c r="H71" i="3"/>
  <c r="H70" i="3"/>
  <c r="D85" i="3"/>
  <c r="D70" i="3"/>
  <c r="W4" i="3"/>
  <c r="W298" i="3"/>
  <c r="Y52" i="3"/>
  <c r="Y51" i="3"/>
  <c r="Y46" i="3"/>
  <c r="Y47" i="3"/>
  <c r="Y154" i="3"/>
  <c r="Y153" i="3"/>
  <c r="Y152" i="3"/>
  <c r="Y151" i="3"/>
  <c r="Y150" i="3"/>
  <c r="Y149" i="3"/>
  <c r="Y148" i="3"/>
  <c r="Y213" i="3"/>
  <c r="Y147" i="3"/>
  <c r="Y146" i="3"/>
  <c r="Y145" i="3"/>
  <c r="Y144" i="3"/>
  <c r="Y143" i="3"/>
  <c r="Y142" i="3"/>
  <c r="Y141" i="3"/>
  <c r="Y140" i="3"/>
  <c r="Y139" i="3"/>
  <c r="Y138" i="3"/>
  <c r="Y137" i="3"/>
  <c r="Y136" i="3"/>
  <c r="Y135" i="3"/>
  <c r="Y134" i="3"/>
  <c r="Y133" i="3"/>
  <c r="Y132" i="3"/>
  <c r="Y131" i="3"/>
  <c r="Y130" i="3"/>
  <c r="Y129" i="3"/>
  <c r="Y128" i="3"/>
  <c r="Y127" i="3"/>
  <c r="Y126" i="3"/>
  <c r="Y122" i="3"/>
  <c r="Y121" i="3"/>
  <c r="Y119" i="3"/>
  <c r="Y118" i="3"/>
  <c r="Y117" i="3"/>
  <c r="Y116" i="3"/>
  <c r="Y115" i="3"/>
  <c r="Y112" i="3"/>
  <c r="Y111" i="3"/>
  <c r="W110" i="3"/>
  <c r="W109" i="3"/>
  <c r="W100" i="3"/>
  <c r="W99" i="3"/>
  <c r="W86" i="3" l="1"/>
  <c r="W258" i="3" l="1"/>
  <c r="W257" i="3"/>
  <c r="W256" i="3"/>
  <c r="W254" i="3"/>
  <c r="W5" i="3"/>
  <c r="W7" i="3"/>
  <c r="W8" i="3"/>
  <c r="W9" i="3"/>
  <c r="W10" i="3"/>
  <c r="W11" i="3"/>
  <c r="W12" i="3"/>
  <c r="W13" i="3"/>
  <c r="W14" i="3"/>
  <c r="W15" i="3"/>
  <c r="W16" i="3"/>
  <c r="W17" i="3"/>
  <c r="W18" i="3"/>
  <c r="W19" i="3"/>
  <c r="W20" i="3"/>
  <c r="W21" i="3"/>
  <c r="W23" i="3"/>
  <c r="W24" i="3"/>
  <c r="W25" i="3"/>
  <c r="W26" i="3"/>
  <c r="W27" i="3"/>
  <c r="W28" i="3"/>
  <c r="W29" i="3"/>
  <c r="W30" i="3"/>
  <c r="W31" i="3"/>
  <c r="W32" i="3"/>
  <c r="W34" i="3"/>
  <c r="W36" i="3"/>
  <c r="W37" i="3"/>
  <c r="W40" i="3"/>
  <c r="W41" i="3"/>
  <c r="W42" i="3"/>
  <c r="W43" i="3"/>
  <c r="W45" i="3"/>
  <c r="W54" i="3"/>
  <c r="W55" i="3"/>
  <c r="W56" i="3"/>
  <c r="W57" i="3"/>
  <c r="W58" i="3"/>
  <c r="W59" i="3"/>
  <c r="W60" i="3"/>
  <c r="W61" i="3"/>
  <c r="W62" i="3"/>
  <c r="W63" i="3"/>
  <c r="W64" i="3"/>
  <c r="W65" i="3"/>
  <c r="W66" i="3"/>
  <c r="W72" i="3"/>
  <c r="W73" i="3"/>
  <c r="W76" i="3"/>
  <c r="W78" i="3"/>
  <c r="W79" i="3"/>
  <c r="W80" i="3"/>
  <c r="W82" i="3"/>
  <c r="W83" i="3"/>
  <c r="W84" i="3"/>
  <c r="W48" i="3"/>
  <c r="W49" i="3"/>
  <c r="W50" i="3"/>
  <c r="W90" i="3"/>
  <c r="W94" i="3"/>
  <c r="W95" i="3"/>
  <c r="W89" i="3"/>
  <c r="W87" i="3"/>
  <c r="W88" i="3"/>
  <c r="W111" i="3"/>
  <c r="W112" i="3"/>
  <c r="W38" i="3"/>
  <c r="W113" i="3"/>
  <c r="W114" i="3"/>
  <c r="W115" i="3"/>
  <c r="V116" i="3"/>
  <c r="W116" i="3" s="1"/>
  <c r="W117" i="3"/>
  <c r="W118" i="3"/>
  <c r="W68" i="3"/>
  <c r="W119" i="3"/>
  <c r="W120" i="3"/>
  <c r="W121" i="3"/>
  <c r="W122" i="3"/>
  <c r="W123" i="3"/>
  <c r="W124" i="3"/>
  <c r="W125" i="3"/>
  <c r="W126" i="3"/>
  <c r="W127" i="3"/>
  <c r="W128" i="3"/>
  <c r="W74" i="3"/>
  <c r="W129" i="3"/>
  <c r="W130" i="3"/>
  <c r="W131" i="3"/>
  <c r="W132" i="3"/>
  <c r="W133" i="3"/>
  <c r="W135" i="3"/>
  <c r="W136" i="3"/>
  <c r="W137" i="3"/>
  <c r="W139" i="3"/>
  <c r="W140" i="3"/>
  <c r="W141" i="3"/>
  <c r="W143" i="3"/>
  <c r="W144" i="3"/>
  <c r="W145" i="3"/>
  <c r="W146" i="3"/>
  <c r="W147" i="3"/>
  <c r="W213" i="3"/>
  <c r="W148" i="3"/>
  <c r="W149" i="3"/>
  <c r="W150" i="3"/>
  <c r="W151" i="3"/>
  <c r="W152" i="3"/>
  <c r="W153" i="3"/>
  <c r="W154" i="3"/>
  <c r="W47" i="3"/>
  <c r="W46" i="3"/>
  <c r="W51" i="3"/>
  <c r="W52" i="3"/>
  <c r="W67" i="3"/>
  <c r="W93" i="3"/>
  <c r="W155" i="3"/>
  <c r="W156" i="3"/>
  <c r="W157" i="3"/>
  <c r="W158" i="3"/>
  <c r="W159" i="3"/>
  <c r="W160" i="3"/>
  <c r="W161" i="3"/>
  <c r="W162" i="3"/>
  <c r="W163" i="3"/>
  <c r="W164" i="3"/>
  <c r="W165" i="3"/>
  <c r="W166" i="3"/>
  <c r="W167" i="3"/>
  <c r="W168" i="3"/>
  <c r="W169" i="3"/>
  <c r="W170" i="3"/>
  <c r="W171" i="3"/>
  <c r="W172" i="3"/>
  <c r="W173" i="3"/>
  <c r="W175" i="3"/>
  <c r="W176" i="3"/>
  <c r="W178" i="3"/>
  <c r="W179" i="3"/>
  <c r="W180" i="3"/>
  <c r="W181" i="3"/>
  <c r="W182" i="3"/>
  <c r="W184" i="3"/>
  <c r="W53" i="3"/>
  <c r="W185" i="3"/>
  <c r="W186" i="3"/>
  <c r="W187" i="3"/>
  <c r="W188" i="3"/>
  <c r="W189" i="3"/>
  <c r="W190" i="3"/>
  <c r="W191" i="3"/>
  <c r="W192" i="3"/>
  <c r="W193" i="3"/>
  <c r="W194" i="3"/>
  <c r="W196" i="3"/>
  <c r="W197" i="3"/>
  <c r="W198" i="3"/>
  <c r="W199" i="3"/>
  <c r="W200" i="3"/>
  <c r="W201" i="3"/>
  <c r="W202" i="3"/>
  <c r="W204" i="3"/>
  <c r="W205" i="3"/>
  <c r="W206" i="3"/>
  <c r="W207" i="3"/>
  <c r="W209" i="3"/>
  <c r="W210" i="3"/>
  <c r="W211" i="3"/>
  <c r="W212"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9" i="3"/>
  <c r="W260" i="3"/>
  <c r="W261" i="3"/>
  <c r="W262" i="3"/>
  <c r="W263" i="3"/>
  <c r="W264" i="3"/>
  <c r="W265" i="3"/>
  <c r="W266" i="3"/>
  <c r="W267" i="3"/>
  <c r="W268" i="3"/>
  <c r="W269" i="3"/>
  <c r="W3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9" i="3"/>
  <c r="W300" i="3"/>
  <c r="W301" i="3"/>
  <c r="X110" i="3" l="1"/>
  <c r="X182" i="3"/>
  <c r="Z182" i="3" s="1"/>
  <c r="X237" i="3"/>
  <c r="X185" i="3"/>
  <c r="X236" i="3"/>
  <c r="Z111" i="3"/>
  <c r="X294" i="3"/>
  <c r="X259" i="3"/>
  <c r="Y260" i="3" s="1"/>
  <c r="Z51" i="3"/>
  <c r="X272" i="3"/>
  <c r="Y268" i="3"/>
  <c r="Y269" i="3" s="1"/>
  <c r="W98" i="3"/>
  <c r="W102" i="3"/>
  <c r="W104" i="3"/>
  <c r="W101" i="3"/>
  <c r="W103" i="3"/>
  <c r="W105" i="3"/>
  <c r="W106" i="3"/>
  <c r="W107" i="3"/>
  <c r="W77" i="3"/>
  <c r="W85" i="3"/>
  <c r="W71" i="3"/>
  <c r="W35" i="3"/>
  <c r="W70" i="3"/>
  <c r="Y96" i="3" l="1"/>
  <c r="Y4" i="3" s="1"/>
  <c r="W75" i="3"/>
  <c r="X92" i="3" s="1"/>
  <c r="W322" i="3" l="1"/>
  <c r="W326" i="3" s="1"/>
  <c r="W328" i="3" s="1"/>
  <c r="X67" i="3"/>
  <c r="Z96" i="3"/>
  <c r="AC96" i="3"/>
  <c r="Z92" i="3"/>
  <c r="AB91" i="3"/>
  <c r="AA97" i="3" l="1"/>
  <c r="AB9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Arman</author>
  </authors>
  <commentList>
    <comment ref="O6" authorId="0" shapeId="0" xr:uid="{2DBD3F00-F635-4D74-8093-34954240C52F}">
      <text>
        <r>
          <rPr>
            <b/>
            <sz val="9"/>
            <color indexed="81"/>
            <rFont val="Tahoma"/>
            <family val="2"/>
          </rPr>
          <t xml:space="preserve">CONSTRUCTION OF CANAL CUM CANAL AQUADUCT CUM BRIDGE
</t>
        </r>
      </text>
    </comment>
    <comment ref="Q6" authorId="0" shapeId="0" xr:uid="{E35560A3-318A-4997-9099-1D07D670E77D}">
      <text>
        <r>
          <rPr>
            <b/>
            <sz val="9"/>
            <color indexed="81"/>
            <rFont val="Tahoma"/>
            <family val="2"/>
          </rPr>
          <t>CONSTRUCTION OF BRIDGE CUM OUTLET</t>
        </r>
      </text>
    </comment>
    <comment ref="D7" authorId="0" shapeId="0" xr:uid="{806E277D-6818-430D-97F3-D0ECCB04B907}">
      <text>
        <r>
          <rPr>
            <b/>
            <sz val="9"/>
            <color indexed="81"/>
            <rFont val="Tahoma"/>
            <family val="2"/>
          </rPr>
          <t xml:space="preserve">Stone Pitching </t>
        </r>
      </text>
    </comment>
    <comment ref="E7" authorId="0" shapeId="0" xr:uid="{07DDE2C7-D975-4142-AAE3-CB7F933B659D}">
      <text>
        <r>
          <rPr>
            <b/>
            <sz val="9"/>
            <color indexed="81"/>
            <rFont val="Tahoma"/>
            <family val="2"/>
          </rPr>
          <t xml:space="preserve">Stone Pitching </t>
        </r>
      </text>
    </comment>
    <comment ref="F7" authorId="0" shapeId="0" xr:uid="{31239C98-4EE6-4B60-9E2E-4C9ACBDEF300}">
      <text>
        <r>
          <rPr>
            <b/>
            <sz val="9"/>
            <color indexed="81"/>
            <rFont val="Tahoma"/>
            <family val="2"/>
          </rPr>
          <t xml:space="preserve">Stone Pitching </t>
        </r>
      </text>
    </comment>
    <comment ref="G7" authorId="0" shapeId="0" xr:uid="{45B8E138-DC97-42FE-9CDE-4333AC73BD1F}">
      <text>
        <r>
          <rPr>
            <b/>
            <sz val="9"/>
            <color indexed="81"/>
            <rFont val="Tahoma"/>
            <family val="2"/>
          </rPr>
          <t xml:space="preserve">Stone Pitching </t>
        </r>
      </text>
    </comment>
    <comment ref="H7" authorId="0" shapeId="0" xr:uid="{F3463762-E53A-4683-B11C-2D31500819DA}">
      <text>
        <r>
          <rPr>
            <b/>
            <sz val="9"/>
            <color indexed="81"/>
            <rFont val="Tahoma"/>
            <family val="2"/>
          </rPr>
          <t xml:space="preserve">Stone Pitching </t>
        </r>
      </text>
    </comment>
    <comment ref="J7" authorId="0" shapeId="0" xr:uid="{3E13D4E6-011B-4F12-8832-FF734402A997}">
      <text>
        <r>
          <rPr>
            <b/>
            <sz val="9"/>
            <color indexed="81"/>
            <rFont val="Tahoma"/>
            <family val="2"/>
          </rPr>
          <t xml:space="preserve">Stone Pitching </t>
        </r>
      </text>
    </comment>
    <comment ref="K7" authorId="0" shapeId="0" xr:uid="{89C14EB8-F996-4C58-9DB9-286CC661EB1A}">
      <text>
        <r>
          <rPr>
            <b/>
            <sz val="9"/>
            <color indexed="81"/>
            <rFont val="Tahoma"/>
            <family val="2"/>
          </rPr>
          <t xml:space="preserve">Stone Pitching </t>
        </r>
      </text>
    </comment>
    <comment ref="L7" authorId="0" shapeId="0" xr:uid="{6E86826F-2ABD-4BBE-93B9-A30C52679C48}">
      <text>
        <r>
          <rPr>
            <b/>
            <sz val="9"/>
            <color indexed="81"/>
            <rFont val="Tahoma"/>
            <family val="2"/>
          </rPr>
          <t xml:space="preserve">Stone Pitching </t>
        </r>
      </text>
    </comment>
    <comment ref="M7" authorId="0" shapeId="0" xr:uid="{2B164D59-9F73-48CF-A564-A465A396875A}">
      <text>
        <r>
          <rPr>
            <b/>
            <sz val="9"/>
            <color indexed="81"/>
            <rFont val="Tahoma"/>
            <family val="2"/>
          </rPr>
          <t xml:space="preserve">Stone Pitching </t>
        </r>
      </text>
    </comment>
    <comment ref="N7" authorId="0" shapeId="0" xr:uid="{83044442-E922-4558-A10B-7F93252703FE}">
      <text>
        <r>
          <rPr>
            <b/>
            <sz val="9"/>
            <color indexed="81"/>
            <rFont val="Tahoma"/>
            <family val="2"/>
          </rPr>
          <t xml:space="preserve">Stone Pitching </t>
        </r>
      </text>
    </comment>
    <comment ref="O7" authorId="0" shapeId="0" xr:uid="{28206A80-E211-464F-9397-363E57C56B97}">
      <text>
        <r>
          <rPr>
            <b/>
            <sz val="9"/>
            <color indexed="81"/>
            <rFont val="Tahoma"/>
            <family val="2"/>
          </rPr>
          <t xml:space="preserve">Stone Pitching </t>
        </r>
      </text>
    </comment>
    <comment ref="Q7" authorId="0" shapeId="0" xr:uid="{4320B39A-B416-441E-84D8-0659642B5DE0}">
      <text>
        <r>
          <rPr>
            <b/>
            <sz val="9"/>
            <color indexed="81"/>
            <rFont val="Tahoma"/>
            <family val="2"/>
          </rPr>
          <t xml:space="preserve">Stone Pitching </t>
        </r>
      </text>
    </comment>
    <comment ref="R7" authorId="0" shapeId="0" xr:uid="{012A01D2-48F0-4182-AE0E-FBFA301438DE}">
      <text>
        <r>
          <rPr>
            <b/>
            <sz val="9"/>
            <color indexed="81"/>
            <rFont val="Tahoma"/>
            <family val="2"/>
          </rPr>
          <t xml:space="preserve">Stone Pitching </t>
        </r>
      </text>
    </comment>
    <comment ref="S7" authorId="0" shapeId="0" xr:uid="{CFA85F7A-F768-439C-A5FA-643E1E277DCC}">
      <text>
        <r>
          <rPr>
            <b/>
            <sz val="9"/>
            <color indexed="81"/>
            <rFont val="Tahoma"/>
            <family val="2"/>
          </rPr>
          <t xml:space="preserve">Stone Pitching </t>
        </r>
      </text>
    </comment>
    <comment ref="T7" authorId="0" shapeId="0" xr:uid="{6A92F071-307C-4072-BC1F-088ACD292203}">
      <text>
        <r>
          <rPr>
            <b/>
            <sz val="9"/>
            <color indexed="81"/>
            <rFont val="Tahoma"/>
            <family val="2"/>
          </rPr>
          <t>Stone Pitching</t>
        </r>
      </text>
    </comment>
    <comment ref="D31" authorId="0" shapeId="0" xr:uid="{DD64972F-60C3-43DD-8280-755D6D05DE64}">
      <text>
        <r>
          <rPr>
            <b/>
            <sz val="9"/>
            <color indexed="81"/>
            <rFont val="Tahoma"/>
            <family val="2"/>
          </rPr>
          <t>BOX CULVETRS</t>
        </r>
      </text>
    </comment>
    <comment ref="D32" authorId="0" shapeId="0" xr:uid="{920E36F5-81DC-4A54-9231-B8D5D6B639E2}">
      <text>
        <r>
          <rPr>
            <b/>
            <sz val="9"/>
            <color indexed="81"/>
            <rFont val="Tahoma"/>
            <family val="2"/>
          </rPr>
          <t>WATER COURSE</t>
        </r>
      </text>
    </comment>
    <comment ref="D55" authorId="0" shapeId="0" xr:uid="{8882F1A3-4324-4D4C-9FE0-3D1B79A551CD}">
      <text>
        <r>
          <rPr>
            <b/>
            <sz val="9"/>
            <color indexed="81"/>
            <rFont val="Tahoma"/>
            <family val="2"/>
          </rPr>
          <t>Data Board</t>
        </r>
      </text>
    </comment>
    <comment ref="D56" authorId="0" shapeId="0" xr:uid="{DBD90CE5-1B8C-4FD7-B8F7-29B0F924E352}">
      <text>
        <r>
          <rPr>
            <b/>
            <sz val="9"/>
            <color indexed="81"/>
            <rFont val="Tahoma"/>
            <family val="2"/>
          </rPr>
          <t xml:space="preserve">Tubewell Room
</t>
        </r>
      </text>
    </comment>
    <comment ref="H66" authorId="0" shapeId="0" xr:uid="{8871F95A-5629-4702-BDE4-B1A38F20BB92}">
      <text>
        <r>
          <rPr>
            <b/>
            <sz val="9"/>
            <color indexed="81"/>
            <rFont val="Tahoma"/>
            <family val="2"/>
          </rPr>
          <t>Tubewell Room</t>
        </r>
      </text>
    </comment>
    <comment ref="H67" authorId="0" shapeId="0" xr:uid="{965D07F3-8DF8-44E5-A733-4E6C74FFB57E}">
      <text>
        <r>
          <rPr>
            <b/>
            <sz val="9"/>
            <color indexed="81"/>
            <rFont val="Tahoma"/>
            <family val="2"/>
          </rPr>
          <t>Pumping Station</t>
        </r>
      </text>
    </comment>
    <comment ref="T241" authorId="0" shapeId="0" xr:uid="{5DC98B53-68FE-400B-A386-F6086974F095}">
      <text>
        <r>
          <rPr>
            <b/>
            <sz val="9"/>
            <color indexed="81"/>
            <rFont val="Tahoma"/>
            <family val="2"/>
          </rPr>
          <t>Tubewell Oprator room</t>
        </r>
      </text>
    </comment>
  </commentList>
</comments>
</file>

<file path=xl/sharedStrings.xml><?xml version="1.0" encoding="utf-8"?>
<sst xmlns="http://schemas.openxmlformats.org/spreadsheetml/2006/main" count="5456" uniqueCount="505">
  <si>
    <t xml:space="preserve">MITIGATION OF WATERLOGGING IN DISTRICT RAHIMYAR KHAN
</t>
  </si>
  <si>
    <t>BOQ</t>
  </si>
  <si>
    <t>Sr. 
No</t>
  </si>
  <si>
    <t>Item</t>
  </si>
  <si>
    <t>Unit</t>
  </si>
  <si>
    <t>Quantity</t>
  </si>
  <si>
    <t xml:space="preserve">Rate </t>
  </si>
  <si>
    <t>Amount
(PKR)</t>
  </si>
  <si>
    <t>Earth Work in excavation of drains, irrigation channels through excavator/ drag lines in all kind of soil and conditions (dry, wet slush, daldal and under water ) including its disposal and preperation of working pad for operation of machinary. (rates includes 100ft lead)</t>
  </si>
  <si>
    <t>Dressing and levelling of earthwork to designed section etc complete in ii) ordinary or hard soil soil</t>
  </si>
  <si>
    <t>Transportation of earth all types when the total distance, including the lead covered in the item of work , is more than 1000 ft.</t>
  </si>
  <si>
    <t>a) 500 ft</t>
  </si>
  <si>
    <t>b) 1000 ft</t>
  </si>
  <si>
    <t>c) 1250 ft</t>
  </si>
  <si>
    <t>d) 1500 ft</t>
  </si>
  <si>
    <t>e) 2000 ft</t>
  </si>
  <si>
    <t>f) 4250 ft</t>
  </si>
  <si>
    <t>Making boundary or service roads, including dag-belling, leveling and dressing:ii) in ploughed land:
a) from 10.0 ft. to 20.0 ft. (3 to 6 m) wide</t>
  </si>
  <si>
    <t>Jungle clearance and removing within 100 ft. light</t>
  </si>
  <si>
    <t>Excavation in foundation of building bridges and other structures including dagbelling, dressing, refilling around structure with excavated earth, watering and ramming lead upto one chain and lift upto 5 ft. in ordinary soil</t>
  </si>
  <si>
    <t>Cement concrete plain including, placing, compacting, finishing and curing complete (including screening and washing of stones aggregate)</t>
  </si>
  <si>
    <t>a) Nominal mix ratio 1:4:8</t>
  </si>
  <si>
    <t xml:space="preserve">Pacca brick work in foundation and plinth in cement sand mortar ratio 1:6. </t>
  </si>
  <si>
    <t>Providing and laying damp proof course of cement 1:2:4 (using cement, sand and shingle), including bitumen coating with with 2 coats of bitumen: 1½" thick (40 mm).</t>
  </si>
  <si>
    <t>Pacca brick work other than building upto 10 ft. height in cement sand mortor ratio 1:3</t>
  </si>
  <si>
    <t>Cement plaster 1:4 upto 20 ft. height, 3/8" thick</t>
  </si>
  <si>
    <t>Providing and applying weather shield paint of approved quality on external surface of building including preparation of surface, application of primer complete in all respect white.</t>
  </si>
  <si>
    <t xml:space="preserve">Writing letter or figures per letter per inch height </t>
  </si>
  <si>
    <t>Carriage of  100 Cf t. (2.83 cu.m) of  all  materials like stone aggregate, spawl, kankar lime (unslaked), surkhi , etc. or 150 Cf t. (4.25 cu.m) timber, by truck or by any othermeans owned by the contractor from Sakhi Sarwar Quarry to site 275 Km including first 11KM hilly area.</t>
  </si>
  <si>
    <t>DPC</t>
  </si>
  <si>
    <t>Precast reinfoced cement concrete type "C" 1:2:4.</t>
  </si>
  <si>
    <t>Fabrication of mild steel reinforcement for cement concrete including cutting bending laying in position etc. complete in all respect. (deformed bars) Grade 40</t>
  </si>
  <si>
    <t>Carriage of consignment job upto 5 KMs Average</t>
  </si>
  <si>
    <t>Placing boundary pillars in position, including digging pits.</t>
  </si>
  <si>
    <t>Preparing surface and painting with emulation paint 3 coat.</t>
  </si>
  <si>
    <t>Writing letter or firgures per letter per inch height (three figure each side).</t>
  </si>
  <si>
    <r>
      <t xml:space="preserve">Carriage of  100 Cf t. (2.83 cu.m) of  all  materials like stone aggregate, spawl, kankar lime (unslaked), surkhi , etc. or 150 Cf t. (4.25 cu.m) timber, by truck or by any othermeans owned by the contractor from Sakhi Sarwar Quarry to site </t>
    </r>
    <r>
      <rPr>
        <b/>
        <sz val="12"/>
        <rFont val="Arial"/>
        <family val="2"/>
      </rPr>
      <t>275 Km</t>
    </r>
    <r>
      <rPr>
        <sz val="12"/>
        <rFont val="Arial"/>
        <family val="2"/>
      </rPr>
      <t xml:space="preserve"> including first 11KM hilly area.</t>
    </r>
  </si>
  <si>
    <t>ii</t>
  </si>
  <si>
    <t>PCC 1:2:4</t>
  </si>
  <si>
    <t>Excavation in foundation of building, bridges and other structures, including dagbelling, dressing, refilling around structure with excavated earth, watering and ramming lead up to one chain and lift upto 5 ft.
In ordinary soil (above 5 ft depth)</t>
  </si>
  <si>
    <t>Providing and fabrication of mild steel reinforcement for cement concrete, including cutting , bending, laying in position, making joints and fastening, including cost of binding wire and labour charges for binding of steel reinforcement(also includes removal of rust from bars).
Deformed Bars (Grade 60)</t>
  </si>
  <si>
    <r>
      <t xml:space="preserve">Providing and laying reinforced cement concrete (including prestressed concrete), using </t>
    </r>
    <r>
      <rPr>
        <b/>
        <sz val="12"/>
        <rFont val="Arial"/>
        <family val="2"/>
      </rPr>
      <t>Sulphate resisting cement</t>
    </r>
    <r>
      <rPr>
        <sz val="12"/>
        <rFont val="Arial"/>
        <family val="2"/>
      </rPr>
      <t>;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t>
    </r>
  </si>
  <si>
    <t>a)</t>
  </si>
  <si>
    <t>Reinforced cement concrete in roof slab, beams, columns lintels, girders and other structural members laid in situ or precast laid in position, or prestressed members cast in situ, complete in all respects.
Type B (nominal mix 1:1.5:3)</t>
  </si>
  <si>
    <t>b)</t>
  </si>
  <si>
    <t xml:space="preserve">Reinforcement cement concrete in slab of rafts/strip foundation, base slab of column and retaining walls, etc and other structural members not requiring form work(i.e horizontal shuttering) complete in all respect:
Type B (Nominal Mix 1:1.5:3 ) </t>
  </si>
  <si>
    <t>Bitumen coating to plastered or cement concrete surface.
14 lbs per 100 Sft (6.35 Kg. per Sq.m)</t>
  </si>
  <si>
    <t>Supply and erection PVC pipe for recessed wiring (main and sub-main) purpose, including bends, specials, etc. in floor, wall or trenches:- 80mm dia (3 inch)</t>
  </si>
  <si>
    <t>Providing and laying sub-base course of stone productof approved quality and grade, including placing, mixing, spreading and compaction of sub-base material torequired depth, camber, grade to achieve 100%
maximum modified AASHO dry density, including
carriage of all material to site of work except gravel and.
aggregate. Crushed stone aggregate.</t>
  </si>
  <si>
    <t xml:space="preserve">Providing and laying base course of crushed stone aggregate of approved quality and grade, and supply and spreading of stone screening, including placing, mixing,spreading and compaction of base course material to required depth, camber and grade to achieve 100% maximum modified AASHO dry density, including carriage of all materials to site of work except gravel and. aggregate. </t>
  </si>
  <si>
    <t>Providing and laying road edging of 3" (75 mm) wide and  9" (225 mm) deep brick on end, complete in all respects</t>
  </si>
  <si>
    <t>a</t>
  </si>
  <si>
    <t>1st coat 35 lbs. bitumen, and 4 Cft. bajri of nominal size 1" (25 mm) per 100 sq. feet or 1.72 Kg bitumen and 0.017 cu.metre bajri per square metre..</t>
  </si>
  <si>
    <t>b</t>
  </si>
  <si>
    <t>2nd coat 18 lbs. bitumen, and 2 Cft. bajri of nominal size ½" (13 mm) per %sft or 1.23 Kg bitumen and 0.008 cu. metre bajri per sq.metre.</t>
  </si>
  <si>
    <t>c</t>
  </si>
  <si>
    <t>3rd coat 14 lbs. bitumen, and 1.5 Cft. bajri of nominal size ¼" (6 mm) per %sft or 0.69 Kg bitumen and 0.005 cubic metre bajjri per sq.metre.</t>
  </si>
  <si>
    <t>Dismantling and removing road pavement, etc.,including screening and stacking of byproducts upto one chain lead
(30 metre).</t>
  </si>
  <si>
    <t>Barrow pit excavation undressed lead up to 100 ft in ordinary soil.</t>
  </si>
  <si>
    <t>Rehandling of earthwork:Upto a lead of 50 ft. (15 m).</t>
  </si>
  <si>
    <t>i</t>
  </si>
  <si>
    <t>PCC 1:4:8</t>
  </si>
  <si>
    <t>RCC 1:1.5:3</t>
  </si>
  <si>
    <t>iii</t>
  </si>
  <si>
    <t>Base</t>
  </si>
  <si>
    <t>T.S.T</t>
  </si>
  <si>
    <t>Extra for slush or Daldal including dewatering.</t>
  </si>
  <si>
    <t>Nominal mix ratio 1:4:8</t>
  </si>
  <si>
    <t>Nominal mix ratio 1:2:4</t>
  </si>
  <si>
    <r>
      <t xml:space="preserve">Providing and laying reinforced cement concrete (including prestressed concrete), using </t>
    </r>
    <r>
      <rPr>
        <b/>
        <sz val="12"/>
        <rFont val="Arial"/>
        <family val="2"/>
      </rPr>
      <t>Sulphate resisting cement;</t>
    </r>
    <r>
      <rPr>
        <sz val="12"/>
        <rFont val="Arial"/>
        <family val="2"/>
      </rPr>
      <t xml:space="preserve">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t>
    </r>
  </si>
  <si>
    <t>Pacca brick work other than buildings upto 10 feet height.
Cement sand mortar ratio 1:4</t>
  </si>
  <si>
    <t>Providing and embedding 10"(250mm) wide PVC water stopper in expansion joints of RCC structures (Retaining walls, water tanks, Slabs) complete in all respect. 10mm thick</t>
  </si>
  <si>
    <t>Providing and placing poly sulphide joint sealent 1" wide and 1" deep.</t>
  </si>
  <si>
    <t>RCC 1.1.5.3</t>
  </si>
  <si>
    <t xml:space="preserve">Earthwork in excavation of drains in irrigation channels through excavater / draglines in all kind of soil and conditions </t>
  </si>
  <si>
    <t>Providing and laying stone pitching/filling, dry hand packed, as filling behind retaining walls or in pitching and aprons.</t>
  </si>
  <si>
    <t>Formation dressing and preparing subgrade, on slope</t>
  </si>
  <si>
    <t>Formation dressing and preparing subgrade, in bed.</t>
  </si>
  <si>
    <t>Providing and laying graded bajri 1/8" to 1/2" size on slope.</t>
  </si>
  <si>
    <t>Providing and laying graded bajri 1/2" to 2" size on slope.</t>
  </si>
  <si>
    <t>Providing and laying graded bajri 1/8" to 1/2" size on level.</t>
  </si>
  <si>
    <t>Providing and laying graded bajri 1/2" to 2" size on level.</t>
  </si>
  <si>
    <t>Providing and laying stone for top layer only, on slope.</t>
  </si>
  <si>
    <t>Providing and laying stone for top layer only, on Level</t>
  </si>
  <si>
    <t>Carriage of 100 Cft of all material like stone aggregate, spawl, kankar, lime (unsoaked) surkhi etc or 150 Cft of timber by truck or by any other means owned by the contractor, lead 275 Km.</t>
  </si>
  <si>
    <t>Providing and laying reinforced cement concrete (including prestressed concrete), using Sulphate resisting cement;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t>
  </si>
  <si>
    <t>a) Reinforced cement concrete in roof slab, beams, columns lintels, girders and other structural members laid in situ or precast laid in position, or prestressed members cast in situ, complete in all respects.
Type B (nominal mix 1:1.5:3)</t>
  </si>
  <si>
    <t>Providing and fixing 4" dia P.V.C pipe.</t>
  </si>
  <si>
    <t>Cement plaster 1:3 upto 20' (6.00 m) height 1/2" (13 mm) thick.</t>
  </si>
  <si>
    <t>Credit old material</t>
  </si>
  <si>
    <t xml:space="preserve">Excavation in foundation of building, bridges, and other structures, including dag belling, dressing refilling around structure with excavated earth, watering and ramming lead upto one chain (30m)and lift upto 5' (1.5 m) (b) in ordinary soil.1)By Manual  </t>
  </si>
  <si>
    <t>Spraying termite proofing by using liquid FMC / Biflex/ Terminex Exin/Ms Hextaror equivalent@specified suspension concenterate (SC), MixingAbility-HEXTAR with Ratio (1:250)= 540 Sft or equivalent approved liquid applying with shower and certificate will be provided by the contractor for10-years complete in all respect.as approved by the Engineer Incharge.</t>
  </si>
  <si>
    <t>Providing and laying damp proof course of cement 1:2:4 (using cement, sand and shingle), including bitumen coating with one coat of bitumen and one coat polythenesheet 500 gauge 1½" thick (40 mm).</t>
  </si>
  <si>
    <t>Providing and laying vertical damp proof course with cement
sand plaster and bitumen coating with one coat of bitumen and one coat of polythene sheet 500 gauge-Ratio 1:3 a) ½ " thick (13 mm)</t>
  </si>
  <si>
    <t>Filling watering ramming earth under floors with surplus earth from foundation etc.</t>
  </si>
  <si>
    <t>Pacca brick work in ground floor.
Cement sand mortar Ratio 1:4.</t>
  </si>
  <si>
    <t>Reinforced cement concrete in roof slab, beams, columns lintels, girders and other structural members laid in situ or precast laid in position, or prestressed members cast in situ, complete in all respects.
Type B (nominal mix 1:2:4)</t>
  </si>
  <si>
    <t xml:space="preserve">Reinforcement cement concrete in slab of rafts/strip foundation, base slab of column and retaining walls, etc and other structural members not requiring form work(i.e horizontal shuttering) complete in all respect:
Type B (Nominal Mix 1:2:4) </t>
  </si>
  <si>
    <t xml:space="preserve">Providing and Fabrication of mild steel reinforcement for cement concrete, including cutting, bending, laying in position, 13 making joints and fastenings, including cost of binding wire and labour charges for binding of steel reinforcement (also includes removal of rust from bars):- Deformed bars (Grade-60). </t>
  </si>
  <si>
    <t>Providing and fixing windows consisting of M.S box section frame 2" x 1½" ( 50 x 40mm) Leaves frame 1½" x 1" (40 x 25 mm) box section frame for glazing 3/8" x 3/8" (10 x 10 mm) using 16 SWG sheet 'U' shaped rubber supported with 1" x 1/8" (25 x 3 mm) M.S. flat for fixing 3/16" (5 mm) thick glass panes M.S. box section 1/2" x 1/2" (13 x 13 mm) of 16 SWG for fixing 24 SWG wire gauge on outer side by means of 3/4" x 1/8" (20 x 3 mm) M.S. flat and screws including grill of M.S. flat 1/2" x 1/8" (13 x 3 mm) or 1/4" x 1/4" (6 x 6 mm) square bar with independent frame of 1/2" x 1/2" (13 x 13 mm) box section of 16 SWG i/c all C.P fitting and painting 3 coats complete in all respect.</t>
  </si>
  <si>
    <t>Providing and fixing mild steel chowkat of doors windows C. windows etc. including holdfast making and threading 18 holes for hinges etc. complete 1½" x 1½" x 1/4" (40 x 40 x 6 mm) welded with M.S. flat 2" x 1/4" (50 m M.S. angle iron).</t>
  </si>
  <si>
    <t>Making and fixing steel grated door with 1/16" thick sheeting, including angle iron frame 2" x 2" x 3/8"and 3/4" square bars 4" centre to centre. with locking arrangement (Two No.).</t>
  </si>
  <si>
    <t>Providing and laying single layer of tile 9" x 4½" x 1½" laid over 4" earth and 1" thick mud plaster without bhoosa, grouted with cement mud (1:3) on top of R.C.C. roof, slab, provided with 34 lbs. per % Sft. Or 1.72 Kg./Sq.m. bitumen coating sand blinded.</t>
  </si>
  <si>
    <t xml:space="preserve">Providing and laying polythene sheet under floor or roof complete 500 gauge. </t>
  </si>
  <si>
    <t>Supplying and filling sand under floor or plugging in wells.</t>
  </si>
  <si>
    <t>Providing and laying watering and ramming brick ballast 1½" to 2" (40 mm to 50 mm) mixed with 25% sand for floor foundation complete in all respect.</t>
  </si>
  <si>
    <t>Cement concrete plain including, placing, compacting, finishing and curing complete
(including screening and washing of stones aggregate)</t>
  </si>
  <si>
    <t>b) Nominal mix ratio 1:2:4</t>
  </si>
  <si>
    <t>Cement plaster 1:4 upto 20' (6.00 m) height 1/2" (13 mm) thick.</t>
  </si>
  <si>
    <t>Cement plaster 3/8" (10 mm thick under soffit of R.C.C. roof slabs only, upto 20' height
(Ratio 1:3).</t>
  </si>
  <si>
    <t>Cement pointing struck joints on wall upto 20' (6m) height
(a) Ratio 1:2 including extra cost of labour and material for red oxide pigment in cement pointing to match with the colour of bricks.</t>
  </si>
  <si>
    <t>Providing, laying, cutting, jointing, testing and disinfecting PVC/ uPVC pipe line with `B' Class working pressure complete in all respects:- 4" i/d (100 mm)</t>
  </si>
  <si>
    <t>Providing and installing P.V.C. bends, of B.S.S.b) 4" i/d (100 mm)</t>
  </si>
  <si>
    <t>Making top khurra on roof 2' x 2' x 6".</t>
  </si>
  <si>
    <t>Distempering:- 3 coat</t>
  </si>
  <si>
    <t>Providing and applying weather shield paint of approved quality on external surface of building including preparation of surface, application of primer complete in all respect:</t>
  </si>
  <si>
    <t>Preparing surface and painting of doors and windows any type (including edges):-</t>
  </si>
  <si>
    <t>Fabrication of heavy steel work, with angle, tees, flat iron round iron and sheet iron for making trusses, girders, tanks, etc., including cutting, drilling, revitting, handling, assembling and fixing, but excluding erection in position.</t>
  </si>
  <si>
    <t>Supply and erection of PVC pipe for wiring recessed in walls, including inspection boxes, pull boxes, hooks, cutting jharries and repairing surface, etc. complete with all specials.</t>
  </si>
  <si>
    <t>20mm (3/4") i/d.</t>
  </si>
  <si>
    <t>25 mm (1") i/d</t>
  </si>
  <si>
    <t>c)</t>
  </si>
  <si>
    <t>50 mm (2") i/d</t>
  </si>
  <si>
    <t>Supply and erection of single core PVC insulated copper conductor cables, in prepaid P.V.C. pile/M.S. conduit/G.I. pipe/wooden strip batten/wooden casing and caping/G.I. wire/trenches (rate for cables only)
(a) 250/440 volts, P.V.C. insulated.</t>
  </si>
  <si>
    <t>3/0.74mm (3/0.029").</t>
  </si>
  <si>
    <t>7/0.74mm (7/0.029").</t>
  </si>
  <si>
    <t>Supply and erection of copper conductor cable for service connection in prepaid pipe/G.I. wire/trenches, etc. (rate for cable only)
(a) PVC insulated, PVC sheathed, twin core, 250/440 volts 7/0.44" (7/1.12mm).</t>
  </si>
  <si>
    <t>Supply and connection of M.S. sheet box of 16 SWG, 10 cm (4") deep with 4.75 mm thick (3/16") bakelite sheet top, for recessed wiring, including making holes for regulators switches, plugs etc.</t>
  </si>
  <si>
    <t>10 x 10 cm (4" x 4").</t>
  </si>
  <si>
    <t>17.5 x 10 cm (7" x 4").</t>
  </si>
  <si>
    <t>22.5 x 10 cm (9" x 4").</t>
  </si>
  <si>
    <t>Supply and erection of switches 5 amp.
Piano Type.</t>
  </si>
  <si>
    <t>Supply and erection of ceiling rose, bakelite.</t>
  </si>
  <si>
    <t>Supply and erection  of wall socket with 3 pin 5 amp shoe.</t>
  </si>
  <si>
    <t>Supply and erection of 3 pin switch and plug combined recessed type 
(ii) 10/15 amp.</t>
  </si>
  <si>
    <t>P/F wall mounted DB (Distribution Board) made with 16SWG Sheet (Recessded/Surface mounted Type), Powder coated Paint, i/c the cost of Lock, Indication lights,Thimble, Copper Comb, Wiring, Netural &amp; Earth Bar, Door Earthing, Digital Voltmeter,Digital Ammeter,Volt Selector Switch,Ammeter selector switch,Current Transformers and Controles Complete in all respect as approved and directed by the Engineer Incharge (Breakers will be Paid Separately)(a) 6" deep
(i) 20~60A</t>
  </si>
  <si>
    <t>Suppling,Installation and comissioning of MCB (Miniature Circuit Breaker) of specified rating made of LEGRAND FRANCE/ GE U.S.A / SCHNEIDER GERMANY /SIEMEN GERMAN/TERASAKI JAPAN/ ABB SWITZERLAND in prelaid DBs and Panels i/c the cost of screwes,necessary wire complet Single Pole(iii) 6-63 Amp (10 KA)</t>
  </si>
  <si>
    <t>Supplying, Installation and commissioning of MCCB (Moulded  Case Circuit Breaker)of specified rating made of LEGRAND FRANCE /GEU.S.A/ SCHNEIDER GERMANY/ TERASAKI JAPAN/ SIEMEN/ ABBSWITZERLAND or approved equivalent manufacturer (withfixedThermal-MagneticTrip)in prelaid DB sand Panels i/c the cost of screws, necessary wire complete in all respect as approved and directed by the EngineerIncharge. a) Triple Pole
(ii) 15-100 Amp (10 KA,15KA)</t>
  </si>
  <si>
    <t>Supplying, Installation and commissioning of MCCB (Moulded  Case Circuit Breaker)of specified rating made of LEGRAND FRANCE /GEU.S.A/ SCHNEIDER GERMANY/ TERASAKI JAPAN/ SIEMEN/ ABBS WITZERLAND or approved equivalent manufacturer (withfixedThermal-MagneticTrip)in prelaid DB sand Panels i/c the cost of screws, necessary wire complete in all respect as approved and directed by the EngineerIncharge.  a) Triple Pole With Adjustable Thermal-Magnetic Trip /Electronic Trip (60-100%) (i) 25-100 Amp</t>
  </si>
  <si>
    <t>Supply and erection of tube light, including rod, choke, starter with frame, flexible wire, including connection from ceiling rose, etc., complete ii)single rod (40 watts) with one choke and one starter.</t>
  </si>
  <si>
    <t>Supply and erection of bakelite button holder shade, large size</t>
  </si>
  <si>
    <t>RCC 1.2.4</t>
  </si>
  <si>
    <t>iv</t>
  </si>
  <si>
    <t>DPC 1.2.4</t>
  </si>
  <si>
    <t>b) 750 ft</t>
  </si>
  <si>
    <t>d) 3000 ft</t>
  </si>
  <si>
    <t>e) 4500 ft</t>
  </si>
  <si>
    <t>f) 6750 ft</t>
  </si>
  <si>
    <t>a) 20mm (3/4") i/d.</t>
  </si>
  <si>
    <t>b) 25 mm (1") i/d</t>
  </si>
  <si>
    <t>a) 3/0.74mm (3/0.029").</t>
  </si>
  <si>
    <t>b) 7/0.74mm (7/0.029").</t>
  </si>
  <si>
    <t>a) 10 x 10 cm (4" x 4").</t>
  </si>
  <si>
    <t>b) 17.5 x 10 cm (7" x 4").</t>
  </si>
  <si>
    <t>c) 22.5 x 10 cm (9" x 4").</t>
  </si>
  <si>
    <t>Supply and erection of 3 pin switch and plug combined recessed type (ii) 10/15 amp.</t>
  </si>
  <si>
    <t>d) 5500 ft</t>
  </si>
  <si>
    <t>Borrowpit excavation undressed lead upto 100 ft (30 metre) in a) ordinary soil with</t>
  </si>
  <si>
    <t>Dismantling stone or spawl pitching and apron in silted condition.</t>
  </si>
  <si>
    <t>Supply and dumping at site, without boat, including handling of materials within three chains (90 m)</t>
  </si>
  <si>
    <t xml:space="preserve">b) Reinforcement cement concrete in slab of rafts/strip foundation, base slab of column and retaining walls, etc and other structural members not requiring form work(i.e horizontal shuttering) complete in all respect:
Type B (Nominal Mix 1:1.5:3 ) </t>
  </si>
  <si>
    <t>a) Reinforced cement concrete in roof slab, beams, columns lintels, girders and other structural members laid in situ or precast laid in position, or prestressed members cast in situ, complete in all respects. Type B (nominal mix 1:1.5:3)</t>
  </si>
  <si>
    <t>Cement plaster 3/8" (10 mm thick under soffit of R.C.C. roof slabs only, upto 20' height (Ratio 1:3).</t>
  </si>
  <si>
    <t>P/F wall mounted DB (Distribution Board) made with 16SWG Sheet (Recessded/Surface mounted Type), Powder coated Paint, i/c the cost of Lock, Indication lights,Thimble, Copper Comb, Wiring, Netural &amp; Earth Bar, Door Earthing, Digital Voltmeter,Digital Ammeter,Volt Selector Switch,Ammeter selector switch,Current Transformers and Controles Complete in all respect as approved and directed by the Engineer Incharge (Breakers will be Paid Separately)(a) 6" deep (i) 20~60A</t>
  </si>
  <si>
    <t>Providing and laying R.C.C. pipe sewers, moulded with cement concrete 4000 psi conforming to Specification C-76-20, Class II. Wall B, including carriage of pipe from factory to site of work, lowering in trenches to
correct alignment and grade, jointing with rubber ring,cutting pipes where necessary, testing, etc., complete. 24 inch internal dia</t>
  </si>
  <si>
    <t>Providing and fixing Neoprene  bearing pad with laminated steel plate top and bottom.
Size (14" x 9" x 1.75")</t>
  </si>
  <si>
    <t>Cu. Inch</t>
  </si>
  <si>
    <t>Providing and laying sub base course.</t>
  </si>
  <si>
    <t>Providing and laying  base course.</t>
  </si>
  <si>
    <t>Providing surface treatment to roads, including supply of bitumen and bujri /crushed stone aggregate of approved quality, including cleaning of road surface, heating and spraying bitumen, spreading bajri and rolling with road roller (including its operation cost, fuel and hire charges, etc.) etc. complete including carriage of all materials to site of work except bajjri/crushed stone aggregate.</t>
  </si>
  <si>
    <t>Providing and fabrication of mild steel reinforcement for cement concrete, including cutting , bending, laying in position, making joints and fastening, including cost of binding wire and labour charges for binding of steel reinforcement (also includes removal of rust from bars).Deformed Bars (Grade 60)</t>
  </si>
  <si>
    <t>Single layer of tiles 9"x4½"x1½" (225x113x40 mm) laid over 4"(100 mm) earth and 1" (25 mm) mud plaster without Bhoosa, grouted with cement sand 1:3 on top of RCC roof slab, provided with 34 lbs. per %Sft. or 1.72 Kg/Sq.m bitumen coating sand blinded.</t>
  </si>
  <si>
    <t>Providing and fixing windows consisting of M.S. box section frame 2"x1½", (50x40mm) leaves frame 1½"x1" (40x25mm) box section frame for glazing 3/8"x3/8" (10x10mm) using 16 SWG sheet 'U' shaped rubber supported with 1"x1/8" (25x3mm) M.S. flat for fixing 3/16" (5 mm) thick glass panes M.S. box section ½"x½" (13x13mm) of 16 SWG for fixing 24 SWG wire gauze on outer side by means of ¾"x1/8" (20x3mm) M.S. flat and screws including grill of M.S. flat ½"x1/8" (13x3mm) or ¼"x¼" (6x6mm) square bar with independent frame of ½"x½" (13x13mm) box section of 16 SWG i/c all C.P. fitting and painting 3 coats complete in all respect.</t>
  </si>
  <si>
    <t>Making and fixing steel grated door with 1/16" thick 1.5mm) sheeting, including angle iron frame 2"x2"x3/8" (50x50x10 mm) and ¾" (20 mm) square bars 4" (100 mm)</t>
  </si>
  <si>
    <t>Distempering:- 2 coats</t>
  </si>
  <si>
    <t>Providing and fixing 1¼x1¼"x3/16" (31x31x5 mm) angle" iron step, in manhole chambers, including carriage and setting the same in work to correct lines and levels.</t>
  </si>
  <si>
    <t>Providing and fixing trash rack as per drawing</t>
  </si>
  <si>
    <t>Providing and layingTuff Pavers, having 7000PSI ,crushing strength of approved manufa cturer, over2"to3" sand cushion i/c grouting withsand in joints i/c finishing to require slope . complete in all respect. (50% Grey / 50% Coloured) 60-mm thick</t>
  </si>
  <si>
    <t>Providing &amp; laying graded bajri  ½" to 2" gauge on level (including carriage).</t>
  </si>
  <si>
    <t>1½"(40 mm) thick mosaic flooring, consisting of ½ " mosaic topping of one part of cement and marble powder in the ratio of 3:1 and two parts of marble chips, laid over 1"(25 mm) thick floor of 1:2:4 cement concrete, including rubbing and polishing complete with finishing :-using grey cement</t>
  </si>
  <si>
    <t>Mosaic dado or skirting with one part of cement and marble powder in the ratio of 3:1 and two parts of marble chips, laid over ½"(13 mm) thick cement plaster 1:3, including rubbing and polishing, complete with finishing:(a) using grey cement:
i) 1/2"(13 mm) thick</t>
  </si>
  <si>
    <t>Providing and fixing marble strip of any shade for dividing
the mosaic flooring into panels(a) Size 1½" x 3/8" (40 x 10 mm)</t>
  </si>
  <si>
    <t>Supply and erection of switches 5 amp. Piano Type.</t>
  </si>
  <si>
    <t>Supply and erection of backlite button holder shade, large size.</t>
  </si>
  <si>
    <r>
      <t>Suppling,Installation and comissioning of MCB (Miniature Circuit Breaker) of specified rating made of LEGRAND FRANCE/ GE U.S.A / SCHNEIDER GERMANY /SIEMEN GERMAN/TERASAKI JAPAN/ ABB SWITZERLAND in prelaid DBs and Panels i/c the cost of screwes,necessary wire completb)</t>
    </r>
    <r>
      <rPr>
        <b/>
        <sz val="12"/>
        <rFont val="Arial"/>
        <family val="2"/>
      </rPr>
      <t xml:space="preserve"> Double Pole(iii) 6-63 Amp (10 KA)</t>
    </r>
  </si>
  <si>
    <r>
      <t>Suppling,Installation and comissioning of MCB (Miniature Circuit Breaker) of specified rating made of LEGRAND FRANCE/ GE U.S.A / SCHNEIDER GERMANY /SIEMEN GERMAN/TERASAKI JAPAN/ ABB SWITZERLAND in prelaid DBs and Panels i/c the cost of screwes,necessary wire complet</t>
    </r>
    <r>
      <rPr>
        <b/>
        <sz val="12"/>
        <rFont val="Arial"/>
        <family val="2"/>
      </rPr>
      <t xml:space="preserve"> Single Pole(iii) 6-63 Amp (10 KA)</t>
    </r>
  </si>
  <si>
    <t>Providing and fixing Pakistan Energy Label NEECA approved Copper winded wall bracket Fan i/c the cost of necessary cable and hardware for connection as approved and directed by Engineer Incharge.ii) 24" Sweep dia</t>
  </si>
  <si>
    <t>f) 2500 ft</t>
  </si>
  <si>
    <t>g) 3750 ft</t>
  </si>
  <si>
    <t>Providing and erection at site of  work:- iii) R.C.C. boundary pillar. (Complete in all respect including transportation, Cement concrete foundation, fixing, painting and lettering etc)</t>
  </si>
  <si>
    <t>Providing/fixing stair railing consisting of M.S. Box section size 1-1/2"x3" of 16 SWG welded with M.S. flat 1"x1/8" continuously and welded over M.S. square bars 5/8"x5/8"punched in M.S. flat 2 ¾' high @ 5½" c/c fixed in steps of stair I/C painting 3 coats complete.</t>
  </si>
  <si>
    <t>1½"(40 mm) thick mosaic flooring, consisting of ½ " mosaic topping of one part of cement and marble
powder in the ratio of 3:1 and two parts of marble chips,
laid over 1"(25 mm) thick floor of 1:2:4 cement concrete,
including rubbing and polishing complete with finishing :-using grey cement</t>
  </si>
  <si>
    <t>Providing and fixing marble strip of any shade for dividing
the mosaic flooring into panels(a)
Size 1½" x 3/8" (40 x 10 mm)</t>
  </si>
  <si>
    <t>Lining Portion</t>
  </si>
  <si>
    <t xml:space="preserve">Compaction of earth work with power Road Roller, i.c ploughing mixing, moistening earth to optimum moisture content in layer etc; complete 90 % maximum modified AASHO dry denisty </t>
  </si>
  <si>
    <t xml:space="preserve">Earthwork excavation in irrigation channels, drains, etc. to designed section, grades and profiles, excavated material disposed off undressed within 50 ft.  (15 m) lead:- ordinary Soil </t>
  </si>
  <si>
    <t>Cement plaster 1.5" (40 mm) thick ratio 1:6:-</t>
  </si>
  <si>
    <t>a) In bed</t>
  </si>
  <si>
    <t>b) On slope</t>
  </si>
  <si>
    <t xml:space="preserve">Cement  concrete  lining, using  washed  screened  and  graded stone  aggregate:-                                      </t>
  </si>
  <si>
    <t>a) In bed, ratio 1:2:4</t>
  </si>
  <si>
    <t>b) On slope, ratio 1:2:4</t>
  </si>
  <si>
    <t>Providing and placing cement, sand and bituminous joint sealant in ratio 1:2:3, 1/2" wide, 1" deep.</t>
  </si>
  <si>
    <t>Bitumen coating to plastered or cement concrete surface:- 10 lbs. per 100 Sft.</t>
  </si>
  <si>
    <r>
      <t>Excavation in foundation of building, bridges, and other structures, including dag belling, dressing refilling around structure with excavated earth, watering and ramming lead upto one chain (30m)and lift upto 5' (1.5 m) (b) in ordinary soil.</t>
    </r>
    <r>
      <rPr>
        <b/>
        <sz val="12"/>
        <rFont val="Arial"/>
        <family val="2"/>
      </rPr>
      <t>By Manual</t>
    </r>
  </si>
  <si>
    <t xml:space="preserve">Providing and Fabrication of mild steel reinforcement for cement concrete, including cutting, bending, laying in position, making joints and fastenings, including cost of binding wire and labour charges for binding of steel reinforcement (also includes removal of rust from bars):- Deformed bars (Grade-60). </t>
  </si>
  <si>
    <t xml:space="preserve">Providing and laying  dry, hand packed stone apron as per drawing </t>
  </si>
  <si>
    <t>Dry Hand Pack Stone</t>
  </si>
  <si>
    <t>a) 1 mile</t>
  </si>
  <si>
    <t>a) 1000 ft</t>
  </si>
  <si>
    <t>HT Spun Pole 45'</t>
  </si>
  <si>
    <t>HT S/STRUCTURE Pole 36'</t>
  </si>
  <si>
    <t>Earthing</t>
  </si>
  <si>
    <t>Steel -X-ARMS</t>
  </si>
  <si>
    <t>11-KV Disc: Insulator</t>
  </si>
  <si>
    <t>Eye Nut/Ahchore Shakle/D.End Clump</t>
  </si>
  <si>
    <t>11KV Pin Insulator with Pins</t>
  </si>
  <si>
    <t>D-Shakel + Spool Insulator</t>
  </si>
  <si>
    <t>DA Bolts</t>
  </si>
  <si>
    <t>Nuts &amp; Bolts 14"</t>
  </si>
  <si>
    <t>Nuts &amp; Bolts 12"</t>
  </si>
  <si>
    <t>Nuts &amp; Bolts 02"</t>
  </si>
  <si>
    <t>Stay Rod + stay strips Complete</t>
  </si>
  <si>
    <t>Stay Wire</t>
  </si>
  <si>
    <t>ACSR Rabbit Conductor</t>
  </si>
  <si>
    <t>Transformer 400-KVA</t>
  </si>
  <si>
    <t>Transformer 100-KVA</t>
  </si>
  <si>
    <t>Transformer 50-KVA</t>
  </si>
  <si>
    <t>Transformer 25-KVA</t>
  </si>
  <si>
    <t>Plate form D/Edge</t>
  </si>
  <si>
    <t xml:space="preserve">Nuts &amp; Bolts </t>
  </si>
  <si>
    <t>D-Fues Fitting Set</t>
  </si>
  <si>
    <t>Steel Crass arm for D fuse Mounting</t>
  </si>
  <si>
    <t>LT Capacitor</t>
  </si>
  <si>
    <t>LT Spun Pole 31'</t>
  </si>
  <si>
    <t>street light pole bracket 30 mm (1¼") G.I. pipe 2 metre long, complete with 2 No. pole clamp. (Ch-24) [Pump station + Tubewell Rooms)</t>
  </si>
  <si>
    <t>Supply and erection of pole mounted street light, holders,
shade and glass, etc., for fitting 125/250 watts mercury vapour lamp (excluding cost of lamps): ii) Philips design (Ch 24)  [Pump station + Tubewell Rooms)</t>
  </si>
  <si>
    <t>Supply and fitting of mercury vapour lamp, complete with choke set ii) 250 watt lamp (Ch 24)  [Pump station + Tubewell Rooms)</t>
  </si>
  <si>
    <t>PVC 4/C Cable 19.083 (70mm Armoured</t>
  </si>
  <si>
    <t>AMR METER HT/LT Type (bi-directional)</t>
  </si>
  <si>
    <t>ATB A-Type 100/5</t>
  </si>
  <si>
    <t xml:space="preserve">Earthing </t>
  </si>
  <si>
    <t>CTs 100/5 Amp</t>
  </si>
  <si>
    <t>(A) Cost of 11 KV Line material</t>
  </si>
  <si>
    <t>(B) Cost of  Sub Station material</t>
  </si>
  <si>
    <t>(c.) Cost of service and Metering material</t>
  </si>
  <si>
    <t>Earthing Pit &amp; Material will be provided by consumer</t>
  </si>
  <si>
    <t>Contractor Charges/ Foundation Charges 60000 x 700</t>
  </si>
  <si>
    <t>Feeder Rehablitation Charges / Security</t>
  </si>
  <si>
    <t>25 KVATRANSFORMER</t>
  </si>
  <si>
    <t>S/STRUCTURE PLATEFORM</t>
  </si>
  <si>
    <t>HT PCC POLE</t>
  </si>
  <si>
    <t>D-Fuse Fitting</t>
  </si>
  <si>
    <t>ACSR RABBIT</t>
  </si>
  <si>
    <t>AMR METER</t>
  </si>
  <si>
    <t>Pin Insulator with Pins</t>
  </si>
  <si>
    <t>11 KV Disc</t>
  </si>
  <si>
    <t>Stay Rods</t>
  </si>
  <si>
    <t>Earth Rods</t>
  </si>
  <si>
    <t>PVC 4/C 19/.052</t>
  </si>
  <si>
    <t>Nuts &amp; Bolts</t>
  </si>
  <si>
    <t>L/S</t>
  </si>
  <si>
    <t>Civil Work Charges (Contactor Charges)</t>
  </si>
  <si>
    <t>200 KVA TRANSFORMER</t>
  </si>
  <si>
    <t>D/STRUCTURE PLATEFORM</t>
  </si>
  <si>
    <t>LT PCC POLE</t>
  </si>
  <si>
    <t>ATB  A TYPE</t>
  </si>
  <si>
    <t xml:space="preserve">CTS 100/5 </t>
  </si>
  <si>
    <t>PVC 4/C 19/.083</t>
  </si>
  <si>
    <t>630 KVA TRANSFORMER</t>
  </si>
  <si>
    <t>Excavation in foundation of building, bridges, and other structures, including dag belling, dressing refilling around structure with excavated earth, watering and ramming lead upto one chain (30m)and lift upto 5' (1.5 m) (b) in ordinary soil.</t>
  </si>
  <si>
    <t>Cement concrete plain including, placing, compacting, finishing and curing complete (including screening and washing of stones aggregate) a) Nominal mix ratio 1:4:8</t>
  </si>
  <si>
    <t>Providing and laying damp proof course of cement 1:2:4 (using cement, sand and shingle), including bitumen coating with 2 coats of bitumen: 1½" thick (40 mm).</t>
  </si>
  <si>
    <t>Pacca brick work other than building upto 10ft. (3 m) Ratio 1:4</t>
  </si>
  <si>
    <t xml:space="preserve">Cement plaster 1:4 upto 20' (6.00 m) height 1/2" (13 mm) thick. </t>
  </si>
  <si>
    <t xml:space="preserve"> Providing and fixing collapsible gate made of 2"x2"x"¼" (50x50x6 mm) tee iron at top and bottom, channel iron  verticals ¾"x¼"x¼"x1/8" (20x6x6x3 mm) at 3" (75 mm) to  5" (125 mm) centre to centre (approximate) and flat iron  crosses 3"x3/16" (75x5 mm), and best quality rollers at  bottom of 3" (75 mm) diameter including holdfasts,  handles 12" (300 mm) long of ¾"x¼"x¼"x1/8" (20x6x6x3  mm) channel iron, locking arrangement inside and  outside, painting 3 coats of black Japan enameled,  complete in working order.</t>
  </si>
  <si>
    <t>Supply and erection PVC pipe for recessed wiring (main and
sub-main) purpose, including bends, specials, etc. in floor,
wall or trenches:- 50mm i/d</t>
  </si>
  <si>
    <t>Supply and erection of single core PVC insulated copper  conductor cables, in prelaid PVC pipe/M.S. conduit/G.I  pipe/wooden strip batten/wooden casing an capping/G.I.  wire/trenches (rate for cables only):7/0.74 mm (7/0.029")</t>
  </si>
  <si>
    <t xml:space="preserve">Rft </t>
  </si>
  <si>
    <t>Collection of lithological samples with sieve analysis at every 5 ft. interval or change of lithology whichever is earlier.</t>
  </si>
  <si>
    <t>Furnishing sample of water from bore hole.</t>
  </si>
  <si>
    <t>Per Set of 2 bottles</t>
  </si>
  <si>
    <t>Providing, installations testing and commissioning of 16” dia fiberglass blind  pump housing casing with 6mm wall thickness having quick lock mechanical key joints  complete in all respect as per specification and approved by the Engineer.</t>
  </si>
  <si>
    <t>Providing and installation of Fibre Glass reducer 16”x10” with wall thickness 5.5 mm. complete in all respect as per specification and approved by the Engineer.</t>
  </si>
  <si>
    <t>Providing and installing Fiberglass Reinforced Polypropelene (FRP) strainer of specifid wall thickness having slot size of 0.9 mm to 1.10 mm in Tubewell borehole i/c the cost of male/female coupling with Nylone Strip,studs complete in all respect as approved and directed by the Engineer Incharge vi) 10" inch dia (6.35 mm thickness</t>
  </si>
  <si>
    <t xml:space="preserve">Proving and installation of fiberglass Blank blind casing pipe dia 10” with 5.5” wall thickness. complete in all respect as per specification and approved by the Engineer.
</t>
  </si>
  <si>
    <t>Providing and installing Fiber glass Reinforced Polypropelene (FRP) bail plug of specified wall thickness having slot size of 0.9 mm to 1.10 mm in Tubewell bore hole i/c the cost of male / female coupling with Nylone Strip, studs complete in all respect as approved and directed by the Engineer Incharge.vi) 10"dia (6.35mm thickness)</t>
  </si>
  <si>
    <t>Providing and installation of centralizer complete in all respect as per specification and approved by the Engineer.</t>
  </si>
  <si>
    <t xml:space="preserve">Shrouding with graded pea  gravel 3/8" to 1/8" arround tubewell casing in the bore hole. </t>
  </si>
  <si>
    <t>Cft</t>
  </si>
  <si>
    <t>Hours</t>
  </si>
  <si>
    <t>Supply and erection of copper conducter cables for service connection (rate for cable only), PVC insulated, PVC sheathed 4 core , 600/1100 volt non armoured cable. (7/0.064")</t>
  </si>
  <si>
    <t>Excavation of trenches in all kinds of soil except cutting rock, for watersupply pipelines upto 5 ft. (1.5 m) depth from ground level, including trimming, dressing sides leveling the beds of trenches to correct grade and cutting pits for joints, etc. complete in all respects.</t>
  </si>
  <si>
    <t>Rehandling of earthwork lead upto a lead of 50 ft.</t>
  </si>
  <si>
    <t xml:space="preserve">Providing,laying,testing and commissioning μPVC (Unplasticized Poly vinyl Chloride Pressure pipe of nominal diameter, conforming to PS-3051/BS-3505, Dadex/ Popular/ Beta or approved equivalent manufacturer,i/c the cost of solvent and specials complete as approved and directed by the Engineer Incharge. a)Class-D  12 inch </t>
  </si>
  <si>
    <t>Lft</t>
  </si>
  <si>
    <t xml:space="preserve">Providing,laying,testing and commissioning μPVC (Unplasticized Poly vinyl Chloride Pressure pipe of nominal diameter, conforming to PS-3051/BS-3505, Dadex/ Popular/ Beta or approved equivalent manufacturer,i/c the cost of solvent and specials complete as approved and directed by the Engineer Incharge. a)Class-D  3 inch </t>
  </si>
  <si>
    <t xml:space="preserve">Providing, installation, testing and comissioning of  10 Ton and more capacity Gantry Craine, with girder bridge type arrangement, fitted with electric motor for its operation and mobility, electric wiring and fixing in position, complete in all rspect. </t>
  </si>
  <si>
    <r>
      <t>Providing installation, testing and commissioning of horizontal centrifugal pump having discharge capacity of</t>
    </r>
    <r>
      <rPr>
        <b/>
        <sz val="10"/>
        <color theme="1"/>
        <rFont val="Arial"/>
        <family val="2"/>
      </rPr>
      <t xml:space="preserve"> 20 cusec against 30 ft - 35 ft head</t>
    </r>
    <r>
      <rPr>
        <sz val="10"/>
        <color theme="1"/>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(40 -- 50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Pump shall have min. 83%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t>
    </r>
    <r>
      <rPr>
        <b/>
        <sz val="10"/>
        <color theme="1"/>
        <rFont val="Arial"/>
        <family val="2"/>
      </rPr>
      <t>75 KW (100HP, 950 rpm)</t>
    </r>
    <r>
      <rPr>
        <sz val="10"/>
        <color theme="1"/>
        <rFont val="Arial"/>
        <family val="2"/>
      </rPr>
      <t>/8 pole, 3 phase, 50 Hz, 380/400 Volts. Manufacturer shall have its own testing facility to verify pumps hydraulic performance testing. Manufacturer shall have its own material testing lab to verify metallurgical testing. [including transportation and all overhead charges]</t>
    </r>
  </si>
  <si>
    <t xml:space="preserve">Providing, installation, testing and comissioning of  5 Ton and more capacity Gantry Craine, with girder bridge type arrangement, fitted with electric motor for its operation and mobility, electric wiring and fixing in position, complete in all rspect. </t>
  </si>
  <si>
    <t>Providing installation, testing, and commissioning of a 22.5 kW Solar PV system capable of running a horizontal centrifugal pump with discharge 2 cusec against 70 ft head, pump minimum 81% efficiency, including Tier-1 Bloomberg-certified mono /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with XLPE/PVC insulated tin-coated copper wires, combiner boxes, AC &amp; DC breakers, SPDs (A+ grade), all distribution/protection boxes (12"×18"×18" SWG or equivalent), PVC pipes, flexible pipes (1–1.5"), thimbles (O-type, U-type with shrouds), Rawl bolts, nuts and bolts, complete earthing system, lightning arrestor, all civil works, foundations, and supports, all electrical connections for net metering with meter, transportation of all materials from warehouse to site, testing, commissioning, and manufacturer-provided maintenance/after-sales service for up to 2 years, complete in all respects as directed by the Engineer-in-Charge.</t>
  </si>
  <si>
    <r>
      <t xml:space="preserve">Excavation in foundation of building, bridges, and other structures, including dag belling, dressing refilling around structure with excavated earth, watering and ramming lead upto one chain (30m)and lift upto 5' (1.5 m) (b) in ordinary soil. </t>
    </r>
    <r>
      <rPr>
        <b/>
        <sz val="12"/>
        <rFont val="Arial"/>
        <family val="2"/>
      </rPr>
      <t>By Manual</t>
    </r>
  </si>
  <si>
    <t>Spraying antitermite liquid mixed with water ratio 1:40</t>
  </si>
  <si>
    <t>Pacca brick work in ground floor.
Cement sand mortar Ratio 1:4</t>
  </si>
  <si>
    <r>
      <t xml:space="preserve">Providing and laying reinforced cement concrete (including prestressed concrete), using </t>
    </r>
    <r>
      <rPr>
        <b/>
        <sz val="12"/>
        <rFont val="Arial"/>
        <family val="2"/>
      </rPr>
      <t>Sulphate resisting cement</t>
    </r>
    <r>
      <rPr>
        <sz val="12"/>
        <rFont val="Arial"/>
        <family val="2"/>
      </rPr>
      <t>;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 - a) Reinforced cement concrete in roof slab, beams, columns lintels, girders and other structural members laid in situ or precast laid in position, or prestressed members cast in situ, complete in all respects.
Type C (nominal mix 1:2:4)</t>
    </r>
  </si>
  <si>
    <t>Providing and fixing 1½" (40 mm) thick solid flush door shutter sterling or equivalent with commercial ply (5mm thick) on both sides double pressed and deodar wood lapping 1½" x 3/8" (40 mm x 10 mm) around shutter  including chromium plated fitting, iron hinges with aluminum kick plate 22 SWG on both sides and finger  plate complete in all respect.</t>
  </si>
  <si>
    <t>Providing and fixing sliding; bolt to doors iron sliding bolt, 10" (250 mm) long.</t>
  </si>
  <si>
    <t xml:space="preserve">Painting new surface (c) preparing surface and painting of doors and windows any type (including edges) priming coat and 2 subsequent coats of paint. </t>
  </si>
  <si>
    <t>Providing and fitting glazed earthen ware water closet, squatter type (Orisa pattern) combined with foot rest white.</t>
  </si>
  <si>
    <t>Providing and fitting "P" trap
10 cm (4") glazed.</t>
  </si>
  <si>
    <t>Providing and Fixing chromium plated bib cock (ii)1.5 cm (1/2").</t>
  </si>
  <si>
    <t>Providing &amp; fitting plastic made low down flushing cistern 13.63 litre (3 gallons) capacity, including bracket set, copper connection, etc. complete (i) white.</t>
  </si>
  <si>
    <t>Providing and installing P.V.C. tees, of B.S.S.Class `B' working pressure:-b) 4" i/d (100 mm)</t>
  </si>
  <si>
    <t>Providing,laying,testing and commissioning of POLYPROPYLENE RANDOM COPOLYMER (PPRC water supply pipe ( Dadex/ Popular/ Beta or approved equivalent manufacturer, withs pecified pressure rating PN (PRESSURE NOMINAL) and conforming to DIN8077-8078 codei/ccost of solvent,specials,making jharries complete in all respect as approved and directed by Engineer Incharge.(Internal/ExternalDiametersmentioned).   a)
PN-16 pipe</t>
  </si>
  <si>
    <t xml:space="preserve">a) 20mm   </t>
  </si>
  <si>
    <t xml:space="preserve">b) 25mm   </t>
  </si>
  <si>
    <t>Providing and fixing looking glass (mirror) 22" x 16"  (55 x 40) cm, and 5 mm thick glass first quality.</t>
  </si>
  <si>
    <t>Providing and fixing stainless steel sink with drain board, size 120 x 60 cm (48 x 24") including bracket set, waste pipe and waste coupling.</t>
  </si>
  <si>
    <t>Providing and fitting.</t>
  </si>
  <si>
    <t>a) Plastic soap dish.</t>
  </si>
  <si>
    <t>b) Plastic towel rail.</t>
  </si>
  <si>
    <t>c) plastic shelf 60x13cm (24" x 5") with bracket and railing.</t>
  </si>
  <si>
    <t>Providing and fixing chromium plated tee stop cock 15 mm (1/2").</t>
  </si>
  <si>
    <t>Supply and erection of 3/8" (10mm) dia M.S. bar fan hook, placed at the time of casting of slab.</t>
  </si>
  <si>
    <t>Providing and fixing Pakistan Energy Label NEECA approved Copper winded Ceiling Fan i/c the cost of necessary cable and hardware for connection as approved and directed by Engineer Incharge. 56" Sweep</t>
  </si>
  <si>
    <t>Erecting of ceiling fan along with regulator (all sizes) including carriage local railway station/ store to site of work, electric wire/cable for suspension rod and board connection and cutting, threading on the rod where necessary.</t>
  </si>
  <si>
    <t>Provided and installed 1 HP electric water pump with 70 ft bore, and successfully installed 
a 200-gallon water tank including all accessories and plumbing connections.</t>
  </si>
  <si>
    <t>Providing and fixing Enamelled steel plate gauge 4" wide 1/4" thick (including painting and lettering) 10 ft length</t>
  </si>
  <si>
    <t xml:space="preserve"> Earthwork excavation undressed lead upto a single throw
 of Kassi, phaorah or shovel: In ordinary soil.</t>
  </si>
  <si>
    <t>Cement concrete plain including placing, compacting, finishing and  curing complete (including screening and washing of stone aggregate) Ratio 1: 2: 4</t>
  </si>
  <si>
    <t xml:space="preserve"> Providing, laying, cutting, jointing, testing and disinfecting G.I. pipeline in trenches, with socket joints, using G.I. pipes of B.S.S. 1387-1967 complete in all respects, with specials and valves. 
i) 4" i/d (100 mm) 3.65mm thick</t>
  </si>
  <si>
    <t xml:space="preserve"> Carriage of 100 Cft of all material like stone aggregate, spawl, kankar, lime (unsoaked) surkhi etc by truck or by any other means owned by the contractor, lead 300Km.(From Sakhi Sarwar)</t>
  </si>
  <si>
    <t>Rehandling of earthwork lead upto 50ft         (35% of excess cutting)</t>
  </si>
  <si>
    <t>Dismantling brick work in lime or cement mortar</t>
  </si>
  <si>
    <t>Credit to old material</t>
  </si>
  <si>
    <t>Brick batts</t>
  </si>
  <si>
    <t>Dismantling cement concrete reinforced, separating reinforcement from concrete,
cleaning and straightening the same.</t>
  </si>
  <si>
    <t>Steel</t>
  </si>
  <si>
    <t>Providing installation, testing and commissioning of horizontal centrifugal pump having discharge capacity of 10 cusec against 40 ft - 45 ft head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Pump shall have min. 82%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45 KW (60HP, 950 rpm)/6 pole, 3 phase, 50 Hz, 380/400 Volts. Manufacturer shall have its own testing facility to verify pumps hydraulic performance testing. Manufacturer shall have its own material testing lab to verify metallurgical testing. [including transportation and all overhead charges]</t>
  </si>
  <si>
    <t xml:space="preserve">GNSS (Topographical) Surveying instrument with Base, Rover, Controller complete in all respect </t>
  </si>
  <si>
    <t>Providing and supplying a complete aerial topographic survey package consisting of a professional RTK-enabled survey drone, high-resolution photogrammetry camera, licensed processing software, additional 8 batteries with charging hub, Ground Control Point (GCP) sets/markers, High graded RTK base station kit with tripod and pole, and 5 TB rugged NVMe SSD storage, complete in all respects (Equivalent: DJI Matrice 350 RTK Drone, Zenmuse P1c etc)</t>
  </si>
  <si>
    <t>Providing and supplying a Total Station with angle accuracy ≤5″, EDM reflectorless range ≥500 m, prism range ≥1500 m, distance accuracy ±(2 mm + 2 ppm), 30× telescope, dual-axis compensator, rechargeable batteries with charger, prism set with pole, tripod, data storage/USB/Bluetooth interface, carrying case, calibration certificate, and all accessories complete.</t>
  </si>
  <si>
    <t>Providing and supplying an automatic self-leveling Auto-Level with minimum 32× magnification, ±2 mm/km accuracy, dual-axis compensator, tripod, 2.5 m leveling staff, carrying case, calibration certificate, and all accessories complete.</t>
  </si>
  <si>
    <t>Providing and supplying a high-performance workstation laptop with Intel Core i9-14900HX / AMD Ryzen 9 7940HX or higher, 64GB DDR5 RAM, 2TB NVMe Gen-5 M.2 SSD, dedicated NVIDIA RTX 4080 (12GB) or higher GPU, Windows 11 Pro, full-size keyboard with numeric pad, complete with premium laptop bag, wireless headphones (Sennheiser/Beats/Sony/Anker or equivalent), USB 3.2 Gen-2 (10Gbps) flash drive, and Logitech MX Master 3S wireless mouse or equivalent, complete in all respects.</t>
  </si>
  <si>
    <r>
      <t>Providing installation, testing, and commissioning of a 64 kW Solar PV system capable of operating a horizontal centrifugal pump with</t>
    </r>
    <r>
      <rPr>
        <b/>
        <sz val="11"/>
        <color theme="1"/>
        <rFont val="Arial"/>
        <family val="2"/>
      </rPr>
      <t xml:space="preserve"> discharge 10 cusec against 40 - 45 ft head,</t>
    </r>
    <r>
      <rPr>
        <sz val="11"/>
        <color theme="1"/>
        <rFont val="Arial"/>
        <family val="2"/>
      </rPr>
      <t xml:space="preserve"> pump minimum 82% efficiency verified as per ISO 9906-1B standard, including Tier-1 Bloomberg-certified mono/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using XLPE/PVC insulated tin-coated copper wires, combiner boxes, AC &amp; DC breakers, SPDs (A+ grade), all distribution/protection boxes (12"×18"×18" SWG or equivalent), PVC pipes, flexible pipes (1–1.5"), thimbles (O-type, U-type with shrouds), Rawl bolts, nuts and bolts, complete earthing system, lightning arrestor, all civil works, foundations, and supports, electrical connections for net metering with meter, transportation of all materials from warehouse to site, testing, commissioning, and manufacturer-provided maintenance/after-sales service for 2 years, complete in all respects as directed by the Engineer-in-Charge.</t>
    </r>
  </si>
  <si>
    <t>For Construction Phase</t>
  </si>
  <si>
    <t>Surface water Monitoring</t>
  </si>
  <si>
    <t>Lump Sump</t>
  </si>
  <si>
    <t>Groundwater Monitoring</t>
  </si>
  <si>
    <t>Ambient Air Quality Monitoring</t>
  </si>
  <si>
    <t>For Operational Phase</t>
  </si>
  <si>
    <t>Drinking Water &amp; Groundwater Monitoring near  disposal Pit</t>
  </si>
  <si>
    <t>Drinking Water Monitoring</t>
  </si>
  <si>
    <t>Training</t>
  </si>
  <si>
    <t>Training Session</t>
  </si>
  <si>
    <t>Emergency Plan</t>
  </si>
  <si>
    <t>Environmental Audit Cost</t>
  </si>
  <si>
    <t>Site Visits by Regulatory Authorities</t>
  </si>
  <si>
    <t>Traffic Management Cost</t>
  </si>
  <si>
    <t>Sign Board</t>
  </si>
  <si>
    <t>Barricading Fence along Access Roads</t>
  </si>
  <si>
    <t>Temporary Speed Breakers</t>
  </si>
  <si>
    <t>d</t>
  </si>
  <si>
    <t>Controlling Dust Pollution</t>
  </si>
  <si>
    <t>e</t>
  </si>
  <si>
    <t>Relocation of amenities and localized widening of road and barrier</t>
  </si>
  <si>
    <t>2-L Manthar Drain</t>
  </si>
  <si>
    <t>3-L Manthar Drain</t>
  </si>
  <si>
    <t>4-L Manthar Drain</t>
  </si>
  <si>
    <t>Pattan Minara Drain</t>
  </si>
  <si>
    <t>Manthar Drain</t>
  </si>
  <si>
    <t>Khanpur Drain</t>
  </si>
  <si>
    <t>D-1 Drain</t>
  </si>
  <si>
    <t>D-1 Sub Drain</t>
  </si>
  <si>
    <t>D-2 Drain</t>
  </si>
  <si>
    <t>D-3 Drain</t>
  </si>
  <si>
    <t>1-L of D-1 Drain</t>
  </si>
  <si>
    <t>Jarewala Drain</t>
  </si>
  <si>
    <t>Road Barier.</t>
  </si>
  <si>
    <t>New 1-L / Jarewala</t>
  </si>
  <si>
    <t>b) 1750 ft</t>
  </si>
  <si>
    <t>c) 2750 ft</t>
  </si>
  <si>
    <t>Existing 1-L / Jarewala Drain</t>
  </si>
  <si>
    <t>Link Channels of Jarewala</t>
  </si>
  <si>
    <t>250 ft</t>
  </si>
  <si>
    <t>Plain wood work for regulation karries or needles, etc. including sawing, planning, wroughting wood and providing and fixing steel parts of karries i.e. end strip and rods, etc. b) Shisham wood</t>
  </si>
  <si>
    <r>
      <t xml:space="preserve">Providing installation, testing, and commissioning of a vertical deep well turbine tubewell pump with discharge </t>
    </r>
    <r>
      <rPr>
        <b/>
        <sz val="10"/>
        <color indexed="8"/>
        <rFont val="Arial"/>
        <family val="2"/>
      </rPr>
      <t>2 cusec against 70 ft head</t>
    </r>
    <r>
      <rPr>
        <sz val="10"/>
        <color indexed="8"/>
        <rFont val="Arial"/>
        <family val="2"/>
      </rPr>
      <t>, including bowl assembly, vertical column pipe with shaft, motor, pre-lubrication tank, foundation fixing and alignment, MCCB/control panel with all electrical connections, cables and accessories from transformer to tubewell including earthing and protection devices, complete suction and delivery piping up to 25 ft outlet basin of approved material (MS/CI) with bends, flanges, valves, gaskets, supports and accessories, carrying out all works for energizing, testing, and full-load commissioning; pump casing in Gray Cast Iron EN-GJL-250, impeller in Stainless Steel grade 1.4408, column pipe coated internally and externally with epoxy paint, materials verified per EN 10204-3.1, minimum 80% efficiency per ISO 9906-1B; motor of reputed manufacturer, vertical solid shaft, IE3 efficiency class, 15 kW (20 HP, 1450 rpm), 4-pole, 3-phase, 50 Hz, 380/400 V, manufacturer to have in-house hydraulic and metallurgical testing facility, complete in all respects suitable for tubewell application. [including transportation and all overhead charges]</t>
    </r>
  </si>
  <si>
    <t>Testing and Development of tubewell of size 6"(150 mm ) and above continusly. ii) Above 1.5 cs Discharge</t>
  </si>
  <si>
    <r>
      <t>Providing installation, testing and commissioning of vertical tubular casing pump with ever cleaning blades having discharge capacity of</t>
    </r>
    <r>
      <rPr>
        <b/>
        <sz val="10"/>
        <rFont val="Arial"/>
        <family val="2"/>
      </rPr>
      <t xml:space="preserve"> 40 cusec against 16-25 ft head</t>
    </r>
    <r>
      <rPr>
        <sz val="10"/>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 Pump shall have min. 84% efficiency which should be verified according to ISO 9906-1B standard. Material of pump casing shall be Gray cast iron JL-1040 having propeller (ever cleaning blades) in Stainless Steel grade 1.4408. Pump and column pipe shall be coated internally and externally with epoxy paint. Material of pump shall be verified according to material test certificate EN 10204-3.1. Motor shall be of reputed manufacturer having min. IE3 efficiency class. Vertical solid shaft. Rating of motor to be 110 KW (150HP, 450 rpm)/8 pole, 3 phase, 50 Hz, 380/400 Volts. . Manufacturer shall have its own testing facility to verify pumps hydraulic performance testing. Manufacturer shall have its own material testing lab to verify metallurgical testing. [including transportation and all overhead charges]</t>
    </r>
  </si>
  <si>
    <r>
      <t xml:space="preserve">Providing installation, testing and commissioning of horizontal centrifugal pump having discharge capacity of </t>
    </r>
    <r>
      <rPr>
        <b/>
        <sz val="10"/>
        <color theme="1"/>
        <rFont val="Calibri"/>
        <family val="2"/>
        <scheme val="minor"/>
      </rPr>
      <t>10 cusec against 30 ft - 35 ft head</t>
    </r>
    <r>
      <rPr>
        <sz val="10"/>
        <color theme="1"/>
        <rFont val="Calibri"/>
        <family val="2"/>
        <scheme val="minor"/>
      </rPr>
      <t xml:space="preserve"> including pump, motor, bowl assembly, column set, pre-lubrication tank, foundation fixing and alignment, MCCB/control panel with all electrical cables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gaskets, supports and accessories, and carrying out all works necessary for energizing, testing and full-load commissioning of the complete pump set in all respects.. Pump shall have min. 81%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37 KW (50HP, 950 rpm)/6 pole, 3 phase, 50 Hz, 380/400 Volts. Manufacturer shall have its own testing facility to verify pumps hydraulic performance testing. Manufacturer shall have its own material testing lab to verify metallurgical testing.  [including transportation and all overhead charges]</t>
    </r>
  </si>
  <si>
    <t xml:space="preserve">Direct Rotary / Reverse Rotary drilling of bore for tubewell in all type of soil  except shingle gravel and rock.                                                                     i). 15 " To 18" ( 500 to 650 mm) </t>
  </si>
  <si>
    <t>Total QTY</t>
  </si>
  <si>
    <t>Providing surface treatment of roads,including supply of bitumen and bajri/crushed stone aggregate of approved quality,including cleaning of road urface,heating,spraying bitumen,spreading bajri and rollingetc.complete including carriageof all material stosite of work excep tbajjri/crushed stone aggregate for which  supply with in miles (5.0km) is included in the rate.</t>
  </si>
  <si>
    <t>Data Board</t>
  </si>
  <si>
    <t>Earthwork</t>
  </si>
  <si>
    <t>RD Marks</t>
  </si>
  <si>
    <t>Culverts / Bridges</t>
  </si>
  <si>
    <t>Water Course</t>
  </si>
  <si>
    <t>Stone Pitching</t>
  </si>
  <si>
    <t xml:space="preserve"> Tube Well room</t>
  </si>
  <si>
    <t>Add QTY</t>
  </si>
  <si>
    <t xml:space="preserve"> Pump House</t>
  </si>
  <si>
    <t>b) Reinforced cement concrete in roof slab, beams, columns lintels, girders and other structural members laid in situ or precast laid in position, or prestressed members cast in situ, complete in all respects. Type B (nominal mix 1:1.5:3)</t>
  </si>
  <si>
    <t xml:space="preserve"> Inlets </t>
  </si>
  <si>
    <t>Construction of New Quarter for Tube well Operator</t>
  </si>
  <si>
    <t>Electrical Work</t>
  </si>
  <si>
    <t xml:space="preserve"> Providing and fixing barbed wire fencing, with 4 horizontal  and two cross wires, with R.C.C. 1:2:4 posts, 5.5'x6"x9"  (1.68mx150mmx225 mm) at 8 ft. (2.45 m) center to  center, reinforced with 4 No. 3/8" (10 mm) dia vertical bars  and 1/8" (3 mm) dia stirrups 12" (300 mm) center to  center, complete in all respects.  in cement concrete 1:4:8 base of size 12"x12"x21"</t>
  </si>
  <si>
    <t>13.    Installation of Tubewells</t>
  </si>
  <si>
    <t xml:space="preserve"> Installation of Tubewells</t>
  </si>
  <si>
    <t>Solarization of Tubewells</t>
  </si>
  <si>
    <t>Bill of Quantities</t>
  </si>
  <si>
    <t>Description</t>
  </si>
  <si>
    <t>Amount
Rupees</t>
  </si>
  <si>
    <t>Rupees in figure</t>
  </si>
  <si>
    <t>Rupees in words</t>
  </si>
  <si>
    <t>Total</t>
  </si>
  <si>
    <t>Required</t>
  </si>
  <si>
    <t>Diffrance</t>
  </si>
  <si>
    <t>Rehandling of earthwork lead upto 50ft  (35% of excess cutting)</t>
  </si>
  <si>
    <t>Borrow pit excavation undressed lead up to 100 ft in ordinary soil.</t>
  </si>
  <si>
    <t>.</t>
  </si>
  <si>
    <t xml:space="preserve"> </t>
  </si>
  <si>
    <t>Providing and laying sub-base course of stone productof approved quality and grade, including placing, mixing, spreading and compaction of sub-base material torequired depth, camber, grade to achieve 100%
maximum modified AASHTO dry density, including
carriage of all material to site of work except gravel and.
aggregate. Crushed stone aggregate.</t>
  </si>
  <si>
    <t xml:space="preserve">Providing and laying base course of crushed stone aggregate of approved quality and grade, and supply and spreading of stone screening, including placing, mixing,spreading and compaction of base course material to required depth, camber and grade to achieve 100% maximum modified AASHTO dry density, including carriage of all materials to site of work except gravel and. aggregate. </t>
  </si>
  <si>
    <t>Credit old material - steel</t>
  </si>
  <si>
    <t>Credit old material - brick batts</t>
  </si>
  <si>
    <t>Providing installation, testing, and commissioning of a 53.5 kW Solar PV system capable of running a horizontal centrifugal pump with discharge 10 cusec against 30–35 ft head, pump minimum 81% efficiency, including Tier-1 Bloomberg-certified mono /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with XLPE/PVC insulated tin-coated copper wires (DC 1-core 6 mm, AC 4-core 6 mm, 25 mm PVC/XLPE), combiner boxes, AC &amp; DC breakers, SPDs (A+ grade), all distribution/protection boxes (12"×18"×18" SWG or equivalent), PVC pipes, flexible pipes (1–1.5"), thimbles (O-type, U-type with shrouds), Rawl bolts, nuts and bolts, complete earthing system, lightning arrestor, all civil works, foundations, supports, electrical connections for net metering with meter, transportation of all materials from warehouse to site, testing, commissioning, and manufacturer-provided maintenance/after-sales service for 2 years, complete in all respects as directed by the Engineer-in-Charge.</t>
  </si>
  <si>
    <t>Providing installation, testing, and commissioning of a 107 kW Solar PV system for a horizontal centrifugal pump with discharge 20 cusec against 30 - 35 ft head, pump minimum 83% efficiency, including Tier-1 Bloomberg-certified mono/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with XLPE/PVC insulated tin-coated copper wires (DC 1-core 6 mm, AC 4-core 6 mm, 25 mm PVC/XLPE), combiner boxes, AC &amp; DC breakers, SPDs (A+ grade), all distribution/protection boxes (12"×18"×18" SWG or equivalent), PVC pipes, flexible pipes (1–1.5"), thimbles (O-type, U-type with shrouds), Rawl bolts, nuts and bolts, complete earthing system, lightning arrestor, all civil works, foundations, and supports, all electrical connections for net metering with meter, transportation of all materials from warehouse to site, testing, commissioning, and manufacturer-provided maintenance/after-sales service for up to 2 years, complete in all respects as directed by the Engineer-in-Charge.</t>
  </si>
  <si>
    <t>Groundwater Monitoring for Construction Phase</t>
  </si>
  <si>
    <t>Surface water Monitoring for Construction Phase</t>
  </si>
  <si>
    <t>Surface water MonitoringFor Operational Phase</t>
  </si>
  <si>
    <t>Groundwater Monitoring For Operational Phase</t>
  </si>
  <si>
    <t>Ambient Air Quality Monitoring for Construction Phase</t>
  </si>
  <si>
    <t>Drinking Water Monitoring for Drinking Water &amp; Groundwater Monitoring near  disposal Pit</t>
  </si>
  <si>
    <t>Groundwater Monitoring for Drinking Water &amp; Groundwater Monitoring near  disposal Pit</t>
  </si>
  <si>
    <t>Sign Board for traffic management cost</t>
  </si>
  <si>
    <t>Barricading Fence along Access Roads for traffic management cost</t>
  </si>
  <si>
    <t>Temporary Speed Breakers for traffic management cost</t>
  </si>
  <si>
    <t>Controlling Dust Pollution for traffic management cost</t>
  </si>
  <si>
    <t>Relocation of amenities and localized widening of road and barrier  for traffic management cost</t>
  </si>
  <si>
    <t xml:space="preserve">  </t>
  </si>
  <si>
    <t xml:space="preserve"> a) Nominal mix ratio 1:4:8</t>
  </si>
  <si>
    <r>
      <t xml:space="preserve">Carriage of  100 Cf t. (2.83 cu.m) of  all  materials like stone aggregate, spawl, kankar lime (unslaked), surkhi , etc. or 150 Cf t. (4.25 cu.m) timber, by truck or by any othermeans owned by the contractor from Sakhi Sarwar Quarry to site </t>
    </r>
    <r>
      <rPr>
        <b/>
        <sz val="11"/>
        <rFont val="Arial"/>
        <family val="2"/>
      </rPr>
      <t>275 Km</t>
    </r>
    <r>
      <rPr>
        <sz val="11"/>
        <rFont val="Arial"/>
        <family val="2"/>
      </rPr>
      <t xml:space="preserve"> including first 11KM hilly area.</t>
    </r>
  </si>
  <si>
    <r>
      <t xml:space="preserve">Providing and laying reinforced cement concrete (including prestressed concrete), using </t>
    </r>
    <r>
      <rPr>
        <b/>
        <sz val="11"/>
        <rFont val="Arial"/>
        <family val="2"/>
      </rPr>
      <t>Sulphate resisting cement</t>
    </r>
    <r>
      <rPr>
        <sz val="11"/>
        <rFont val="Arial"/>
        <family val="2"/>
      </rPr>
      <t>;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t>
    </r>
  </si>
  <si>
    <r>
      <t xml:space="preserve">Providing and laying reinforced cement concrete (including prestressed concrete), using </t>
    </r>
    <r>
      <rPr>
        <b/>
        <sz val="11"/>
        <rFont val="Arial"/>
        <family val="2"/>
      </rPr>
      <t>Sulphate resisting cement;</t>
    </r>
    <r>
      <rPr>
        <sz val="11"/>
        <rFont val="Arial"/>
        <family val="2"/>
      </rPr>
      <t xml:space="preserve">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t>
    </r>
  </si>
  <si>
    <r>
      <t>Suppling,Installation and comissioning of MCB (Miniature Circuit Breaker) of specified rating made of LEGRAND FRANCE/ GE U.S.A / SCHNEIDER GERMANY /SIEMEN GERMAN/TERASAKI JAPAN/ ABB SWITZERLAND in prelaid DBs and Panels i/c the cost of screwes,necessary wire completb)</t>
    </r>
    <r>
      <rPr>
        <b/>
        <sz val="11"/>
        <rFont val="Arial"/>
        <family val="2"/>
      </rPr>
      <t xml:space="preserve"> Double Pole(iii) 6-63 Amp (10 KA)</t>
    </r>
  </si>
  <si>
    <r>
      <t>Suppling,Installation and comissioning of MCB (Miniature Circuit Breaker) of specified rating made of LEGRAND FRANCE/ GE U.S.A / SCHNEIDER GERMANY /SIEMEN GERMAN/TERASAKI JAPAN/ ABB SWITZERLAND in prelaid DBs and Panels i/c the cost of screwes,necessary wire complet</t>
    </r>
    <r>
      <rPr>
        <b/>
        <sz val="11"/>
        <rFont val="Arial"/>
        <family val="2"/>
      </rPr>
      <t xml:space="preserve"> Single Pole(iii) 6-63 Amp (10 KA)</t>
    </r>
  </si>
  <si>
    <r>
      <t>Excavation in foundation of building, bridges, and other structures, including dag belling, dressing refilling around structure with excavated earth, watering and ramming lead upto one chain (30m)and lift upto 5' (1.5 m) (b) in ordinary soil.</t>
    </r>
    <r>
      <rPr>
        <b/>
        <sz val="11"/>
        <rFont val="Arial"/>
        <family val="2"/>
      </rPr>
      <t>By Manual</t>
    </r>
  </si>
  <si>
    <r>
      <t xml:space="preserve">Excavation in foundation of building, bridges, and other structures, including dag belling, dressing refilling around structure with excavated earth, watering and ramming lead upto one chain (30m)and lift upto 5' (1.5 m) (b) in ordinary soil. </t>
    </r>
    <r>
      <rPr>
        <b/>
        <sz val="11"/>
        <rFont val="Arial"/>
        <family val="2"/>
      </rPr>
      <t>By Manual</t>
    </r>
  </si>
  <si>
    <r>
      <t xml:space="preserve">Providing and laying reinforced cement concrete (including prestressed concrete), using </t>
    </r>
    <r>
      <rPr>
        <b/>
        <sz val="11"/>
        <rFont val="Arial"/>
        <family val="2"/>
      </rPr>
      <t>Sulphate resisting cement</t>
    </r>
    <r>
      <rPr>
        <sz val="11"/>
        <rFont val="Arial"/>
        <family val="2"/>
      </rPr>
      <t>;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 - a) Reinforced cement concrete in roof slab, beams, columns lintels, girders and other structural members laid in situ or precast laid in position, or prestressed members cast in situ, complete in all respects.
Type C (nominal mix 1:2:4)</t>
    </r>
  </si>
  <si>
    <r>
      <t xml:space="preserve">Providing installation, testing, and commissioning of a vertical deep well turbine tubewell pump with discharge </t>
    </r>
    <r>
      <rPr>
        <b/>
        <sz val="11"/>
        <color indexed="8"/>
        <rFont val="Arial"/>
        <family val="2"/>
      </rPr>
      <t>2 cusec against 70 ft head</t>
    </r>
    <r>
      <rPr>
        <sz val="11"/>
        <color indexed="8"/>
        <rFont val="Arial"/>
        <family val="2"/>
      </rPr>
      <t>, including bowl assembly, vertical column pipe with shaft, motor, pre-lubrication tank, foundation fixing and alignment, MCCB/control panel with all electrical connections, cables and accessories from transformer to tubewell including earthing and protection devices, complete suction and delivery piping up to 25 ft outlet basin of approved material (MS/CI) with bends, flanges, valves, gaskets, supports and accessories, carrying out all works for energizing, testing, and full-load commissioning; pump casing in Gray Cast Iron EN-GJL-250, impeller in Stainless Steel grade 1.4408, column pipe coated internally and externally with epoxy paint, materials verified per EN 10204-3.1, minimum 80% efficiency per ISO 9906-1B; motor of reputed manufacturer, vertical solid shaft, IE3 efficiency class, 15 kW (20 HP, 1450 rpm), 4-pole, 3-phase, 50 Hz, 380/400 V, manufacturer to have in-house hydraulic and metallurgical testing facility, complete in all respects suitable for tubewell application. [including transportation and all overhead charges]</t>
    </r>
  </si>
  <si>
    <r>
      <t xml:space="preserve">Providing installation, testing and commissioning of horizontal centrifugal pump having discharge capacity of </t>
    </r>
    <r>
      <rPr>
        <b/>
        <sz val="11"/>
        <color theme="1"/>
        <rFont val="Calibri"/>
        <family val="2"/>
        <scheme val="minor"/>
      </rPr>
      <t>10 cusec against 30 ft - 35 ft head</t>
    </r>
    <r>
      <rPr>
        <sz val="11"/>
        <color theme="1"/>
        <rFont val="Calibri"/>
        <family val="2"/>
        <scheme val="minor"/>
      </rPr>
      <t xml:space="preserve"> including pump, motor, bowl assembly, column set, pre-lubrication tank, foundation fixing and alignment, MCCB/control panel with all electrical cables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gaskets, supports and accessories, and carrying out all works necessary for energizing, testing and full-load commissioning of the complete pump set in all respects.. Pump shall have min. 81%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37 KW (50HP, 950 rpm)/6 pole, 3 phase, 50 Hz, 380/400 Volts. Manufacturer shall have its own testing facility to verify pumps hydraulic performance testing. Manufacturer shall have its own material testing lab to verify metallurgical testing.  [including transportation and all overhead charges]</t>
    </r>
  </si>
  <si>
    <r>
      <t>Providing installation, testing and commissioning of horizontal centrifugal pump having discharge capacity of</t>
    </r>
    <r>
      <rPr>
        <b/>
        <sz val="11"/>
        <color theme="1"/>
        <rFont val="Arial"/>
        <family val="2"/>
      </rPr>
      <t xml:space="preserve"> 20 cusec against 30 ft - 35 ft head</t>
    </r>
    <r>
      <rPr>
        <sz val="11"/>
        <color theme="1"/>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(40 -- 50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Pump shall have min. 83%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t>
    </r>
    <r>
      <rPr>
        <b/>
        <sz val="11"/>
        <color theme="1"/>
        <rFont val="Arial"/>
        <family val="2"/>
      </rPr>
      <t>75 KW (100HP, 950 rpm)</t>
    </r>
    <r>
      <rPr>
        <sz val="11"/>
        <color theme="1"/>
        <rFont val="Arial"/>
        <family val="2"/>
      </rPr>
      <t>/8 pole, 3 phase, 50 Hz, 380/400 Volts. Manufacturer shall have its own testing facility to verify pumps hydraulic performance testing. Manufacturer shall have its own material testing lab to verify metallurgical testing. [including transportation and all overhead charges]</t>
    </r>
  </si>
  <si>
    <r>
      <t>Providing installation, testing and commissioning of vertical tubular casing pump with ever cleaning blades having discharge capacity of</t>
    </r>
    <r>
      <rPr>
        <b/>
        <sz val="11"/>
        <rFont val="Arial"/>
        <family val="2"/>
      </rPr>
      <t xml:space="preserve"> 40 cusec against 16-25 ft head</t>
    </r>
    <r>
      <rPr>
        <sz val="11"/>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 Pump shall have min. 84% efficiency which should be verified according to ISO 9906-1B standard. Material of pump casing shall be Gray cast iron JL-1040 having propeller (ever cleaning blades) in Stainless Steel grade 1.4408. Pump and column pipe shall be coated internally and externally with epoxy paint. Material of pump shall be verified according to material test certificate EN 10204-3.1. Motor shall be of reputed manufacturer having min. IE3 efficiency class. Vertical solid shaft. Rating of motor to be 110 KW (150HP, 450 rpm)/8 pole, 3 phase, 50 Hz, 380/400 Volts. . Manufacturer shall have its own testing facility to verify pumps hydraulic performance testing. Manufacturer shall have its own material testing lab to verify metallurgical testing. [including transportation and all overhead charges]</t>
    </r>
  </si>
  <si>
    <t xml:space="preserve">Earth work in excavation of drains in irrigation channels through excavater / draglines in all kind of soil and conditions </t>
  </si>
  <si>
    <t>c) 1000 ft</t>
  </si>
  <si>
    <t>d) 1250 ft</t>
  </si>
  <si>
    <t>e) 1500 ft</t>
  </si>
  <si>
    <t>f) 1750 ft</t>
  </si>
  <si>
    <t>g) 2000 ft</t>
  </si>
  <si>
    <t>h) 2500 ft</t>
  </si>
  <si>
    <t>i) 2750 ft</t>
  </si>
  <si>
    <t>j) 3000 ft</t>
  </si>
  <si>
    <t>k) 3750 ft</t>
  </si>
  <si>
    <t>l) 4250 ft</t>
  </si>
  <si>
    <t>m) 4500 ft</t>
  </si>
  <si>
    <t>n) 5500 ft</t>
  </si>
  <si>
    <t>o) 6750 ft</t>
  </si>
  <si>
    <t>a)  250 ft</t>
  </si>
  <si>
    <t>b) 500 ft</t>
  </si>
  <si>
    <t>d) 1 mile</t>
  </si>
  <si>
    <t>c) 50 mm (2") i/d</t>
  </si>
  <si>
    <t>Providing and fixing barbed wire fencing, with 4 horizontal  and two cross wires, with R.C.C. 1:2:4 posts, 5.5'x6"x9"  (1.68mx150mmx225 mm) at 8 ft. (2.45 m) center to  center, reinforced with 4 No. 3/8" (10 mm) dia vertical bars  and 1/8" (3 mm) dia stirrups 12" (300 mm) center to  center, complete in all respects.  in cement concrete 1:4:8 base of size 12"x12"x21"</t>
  </si>
  <si>
    <r>
      <t xml:space="preserve">Providing installation, testing, and commissioning of a vertical deep well turbine tubewell pump with discharge </t>
    </r>
    <r>
      <rPr>
        <b/>
        <sz val="12"/>
        <color indexed="8"/>
        <rFont val="Arial"/>
        <family val="2"/>
      </rPr>
      <t>2 cusec against 70 ft head</t>
    </r>
    <r>
      <rPr>
        <sz val="12"/>
        <color indexed="8"/>
        <rFont val="Arial"/>
        <family val="2"/>
      </rPr>
      <t>, including bowl assembly, vertical column pipe with shaft, motor, pre-lubrication tank, foundation fixing and alignment, MCCB/control panel with all electrical connections, cables and accessories from transformer to tubewell including earthing and protection devices, complete suction and delivery piping up to 25 ft outlet basin of approved material (MS/CI) with bends, flanges, valves, gaskets, supports and accessories, carrying out all works for energizing, testing, and full-load commissioning; pump casing in Gray Cast Iron EN-GJL-250, impeller in Stainless Steel grade 1.4408, column pipe coated internally and externally with epoxy paint, materials verified per EN 10204-3.1, minimum 80% efficiency per ISO 9906-1B; motor of reputed manufacturer, vertical solid shaft, IE3 efficiency class, 15 kW (20 HP, 1450 rpm), 4-pole, 3-phase, 50 Hz, 380/400 V, manufacturer to have in-house hydraulic and metallurgical testing facility, complete in all respects suitable for tubewell application. [including transportation and all overhead charges]</t>
    </r>
  </si>
  <si>
    <r>
      <t xml:space="preserve">Providing installation, testing and commissioning of horizontal centrifugal pump having discharge capacity of </t>
    </r>
    <r>
      <rPr>
        <b/>
        <sz val="12"/>
        <color theme="1"/>
        <rFont val="Arial"/>
        <family val="2"/>
      </rPr>
      <t>10 cusec against 30 ft - 35 ft head</t>
    </r>
    <r>
      <rPr>
        <sz val="12"/>
        <color theme="1"/>
        <rFont val="Arial"/>
        <family val="2"/>
      </rPr>
      <t xml:space="preserve"> including pump, motor, bowl assembly, column set, pre-lubrication tank, foundation fixing and alignment, MCCB/control panel with all electrical cables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gaskets, supports and accessories, and carrying out all works necessary for energizing, testing and full-load commissioning of the complete pump set in all respects.. Pump shall have min. 81%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37 KW (50HP, 950 rpm)/6 pole, 3 phase, 50 Hz, 380/400 Volts. Manufacturer shall have its own testing facility to verify pumps hydraulic performance testing. Manufacturer shall have its own material testing lab to verify metallurgical testing.  [including transportation and all overhead charges]</t>
    </r>
  </si>
  <si>
    <r>
      <t>Providing installation, testing and commissioning of horizontal centrifugal pump having discharge capacity of</t>
    </r>
    <r>
      <rPr>
        <b/>
        <sz val="12"/>
        <color theme="1"/>
        <rFont val="Arial"/>
        <family val="2"/>
      </rPr>
      <t xml:space="preserve"> 20 cusec against 30 ft - 35 ft head</t>
    </r>
    <r>
      <rPr>
        <sz val="12"/>
        <color theme="1"/>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(40 -- 50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Pump shall have min. 83%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t>
    </r>
    <r>
      <rPr>
        <b/>
        <sz val="12"/>
        <color theme="1"/>
        <rFont val="Arial"/>
        <family val="2"/>
      </rPr>
      <t>75 KW (100HP, 950 rpm)</t>
    </r>
    <r>
      <rPr>
        <sz val="12"/>
        <color theme="1"/>
        <rFont val="Arial"/>
        <family val="2"/>
      </rPr>
      <t>/8 pole, 3 phase, 50 Hz, 380/400 Volts. Manufacturer shall have its own testing facility to verify pumps hydraulic performance testing. Manufacturer shall have its own material testing lab to verify metallurgical testing. [including transportation and all overhead charges]</t>
    </r>
  </si>
  <si>
    <r>
      <t>Providing installation, testing and commissioning of vertical tubular casing pump with ever cleaning blades having discharge capacity of</t>
    </r>
    <r>
      <rPr>
        <b/>
        <sz val="12"/>
        <rFont val="Arial"/>
        <family val="2"/>
      </rPr>
      <t xml:space="preserve"> 40 cusec against 16-25 ft head</t>
    </r>
    <r>
      <rPr>
        <sz val="12"/>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 Pump shall have min. 84% efficiency which should be verified according to ISO 9906-1B standard. Material of pump casing shall be Gray cast iron JL-1040 having propeller (ever cleaning blades) in Stainless Steel grade 1.4408. Pump and column pipe shall be coated internally and externally with epoxy paint. Material of pump shall be verified according to material test certificate EN 10204-3.1. Motor shall be of reputed manufacturer having min. IE3 efficiency class. Vertical solid shaft. Rating of motor to be 110 KW (150HP, 450 rpm)/8 pole, 3 phase, 50 Hz, 380/400 Volts. . Manufacturer shall have its own testing facility to verify pumps hydraulic performance testing. Manufacturer shall have its own material testing lab to verify metallurgical testing. [including transportation and all overhead charges]</t>
    </r>
  </si>
  <si>
    <r>
      <t>Providing installation, testing, and commissioning of a 64 kW Solar PV system capable of operating a horizontal centrifugal pump with</t>
    </r>
    <r>
      <rPr>
        <b/>
        <sz val="12"/>
        <color theme="1"/>
        <rFont val="Arial"/>
        <family val="2"/>
      </rPr>
      <t xml:space="preserve"> discharge 10 cusec against 40 - 45 ft head,</t>
    </r>
    <r>
      <rPr>
        <sz val="12"/>
        <color theme="1"/>
        <rFont val="Arial"/>
        <family val="2"/>
      </rPr>
      <t xml:space="preserve"> pump minimum 82% efficiency verified as per ISO 9906-1B standard, including Tier-1 Bloomberg-certified mono/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using XLPE/PVC insulated tin-coated copper wires, combiner boxes, AC &amp; DC breakers, SPDs (A+ grade), all distribution/protection boxes (12"×18"×18" SWG or equivalent), PVC pipes, flexible pipes (1–1.5"), thimbles (O-type, U-type with shrouds), Rawl bolts, nuts and bolts, complete earthing system, lightning arrestor, all civil works, foundations, and supports, electrical connections for net metering with meter, transportation of all materials from warehouse to site, testing, commissioning, and manufacturer-provided maintenance/after-sales service for 2 years, complete in all respects as directed by the Engineer-in-Charge.</t>
    </r>
  </si>
  <si>
    <t xml:space="preserve">Earthing Pit &amp; Material Complete in all respect </t>
  </si>
  <si>
    <t xml:space="preserve">Foundation Charges complete in all respect </t>
  </si>
  <si>
    <t>(c.)Installation Charges of service and Metering material complete in all respect</t>
  </si>
  <si>
    <t>(B)Installation Charges of  Sub Station material Complete in all respect</t>
  </si>
  <si>
    <t>(A)Installation Charges of 11 KV Line material Complete in all respect</t>
  </si>
  <si>
    <t>Eye Nut/Anchore Shakle/D.End Clump</t>
  </si>
  <si>
    <t>LT Spun / PCC Pole 31'</t>
  </si>
  <si>
    <t>Rupees in Figure</t>
  </si>
  <si>
    <t>Rupees in Words</t>
  </si>
  <si>
    <t>Amount Rupees (PKR)</t>
  </si>
  <si>
    <t xml:space="preserve">MITIGATION OF WATER LOGGING IN DISTRICT RAHIMYARKHAN
</t>
  </si>
  <si>
    <t>Rate</t>
  </si>
  <si>
    <t>Rehandling of earthwork lead upto 50ft</t>
  </si>
  <si>
    <t>Providing and fixing marble strip of any shade for dividing the mosaic flooring into panels(a)
Size 1½" x 3/8" (40 x 10 mm)</t>
  </si>
  <si>
    <t>Providing and fitting "P" trap 10 cm (4") glazed.</t>
  </si>
  <si>
    <t>Providing,laying,testing and commissioning of POLYPROPYLENE RANDOM COPOLYMER (PPRC water supply pipe ( Dadex/ Popular/ Beta or approved equivalent manufacturer, withs pecified pressure rating PN (PRESSURE NOMINAL) and conforming to DIN8077-8078 codei/ccost of solvent,specials,making jharries complete in all respect as approved and directed by Engineer Incharge.(Internal/ExternalDiametersmentioned).   a) PN-16 pipe</t>
  </si>
  <si>
    <r>
      <t>Providing installation, testing and commissioning of horizontal centrifugal pump having discharge capacity of</t>
    </r>
    <r>
      <rPr>
        <b/>
        <sz val="12"/>
        <color theme="1"/>
        <rFont val="Arial"/>
        <family val="2"/>
      </rPr>
      <t xml:space="preserve"> 10 cusec against 40 ft - 45 ft head</t>
    </r>
    <r>
      <rPr>
        <sz val="12"/>
        <color theme="1"/>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Pump shall have min. 82%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45 KW (60HP, 950 rpm)/6 pole, 3 phase, 50 Hz, 380/400 Volts. Manufacturer shall have its own testing facility to verify pumps hydraulic performance testing. Manufacturer shall have its own material testing lab to verify metallurgical testing. [including transportation and all overhead charges]</t>
    </r>
  </si>
  <si>
    <r>
      <t>Providing installation, testing, and commissioning of a 53.5 kW Solar PV system capable of running a horizontal centrifugal pump with discharge</t>
    </r>
    <r>
      <rPr>
        <b/>
        <sz val="12"/>
        <color theme="1"/>
        <rFont val="Arial"/>
        <family val="2"/>
      </rPr>
      <t xml:space="preserve"> 10 cusec against 30–35 ft head</t>
    </r>
    <r>
      <rPr>
        <sz val="12"/>
        <color theme="1"/>
        <rFont val="Arial"/>
        <family val="2"/>
      </rPr>
      <t>, pump minimum 81% efficiency, including Tier-1 Bloomberg-certified mono /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with XLPE/PVC insulated tin-coated copper wires (DC 1-core 6 mm, AC 4-core 6 mm, 25 mm PVC/XLPE), combiner boxes, AC &amp; DC breakers, SPDs (A+ grade), all distribution/protection boxes (12"×18"×18" SWG or equivalent), PVC pipes, flexible pipes (1–1.5"), thimbles (O-type, U-type with shrouds), Rawl bolts, nuts and bolts, complete earthing system, lightning arrestor, all civil works, foundations, supports, electrical connections for net metering with meter, transportation of all materials from warehouse to site, testing, commissioning, and manufacturer-provided maintenance/after-sales service for 2 years, complete in all respects as directed by the Engineer-in-Charge.</t>
    </r>
  </si>
  <si>
    <r>
      <t xml:space="preserve">Providing installation, testing, and commissioning of a 107 kW Solar PV system for a horizontal centrifugal pump with discharge </t>
    </r>
    <r>
      <rPr>
        <b/>
        <sz val="12"/>
        <color theme="1"/>
        <rFont val="Arial"/>
        <family val="2"/>
      </rPr>
      <t>20 cusec against 30 - 35 ft head</t>
    </r>
    <r>
      <rPr>
        <sz val="12"/>
        <color theme="1"/>
        <rFont val="Arial"/>
        <family val="2"/>
      </rPr>
      <t>, pump minimum 83% efficiency, including Tier-1 Bloomberg-certified mono/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with XLPE/PVC insulated tin-coated copper wires (DC 1-core 6 mm, AC 4-core 6 mm, 25 mm PVC/XLPE), combiner boxes, AC &amp; DC breakers, SPDs (A+ grade), all distribution/protection boxes (12"×18"×18" SWG or equivalent), PVC pipes, flexible pipes (1–1.5"), thimbles (O-type, U-type with shrouds), Rawl bolts, nuts and bolts, complete earthing system, lightning arrestor, all civil works, foundations, and supports, all electrical connections for net metering with meter, transportation of all materials from warehouse to site, testing, commissioning, and manufacturer-provided maintenance/after-sales service for up to 2 years, complete in all respects as directed by the Engineer-in-Charge.</t>
    </r>
  </si>
  <si>
    <r>
      <t xml:space="preserve">Providing installation, testing, and commissioning of a 22.5 kW Solar PV system capable of running a horizontal centrifugal pump with discharge </t>
    </r>
    <r>
      <rPr>
        <b/>
        <sz val="12"/>
        <color theme="1"/>
        <rFont val="Arial"/>
        <family val="2"/>
      </rPr>
      <t>2 cusec against 70 ft head</t>
    </r>
    <r>
      <rPr>
        <sz val="12"/>
        <color theme="1"/>
        <rFont val="Arial"/>
        <family val="2"/>
      </rPr>
      <t>, pump minimum 81% efficiency, including Tier-1 Bloomberg-certified mono /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with XLPE/PVC insulated tin-coated copper wires, combiner boxes, AC &amp; DC breakers, SPDs (A+ grade), all distribution/protection boxes (12"×18"×18" SWG or equivalent), PVC pipes, flexible pipes (1–1.5"), thimbles (O-type, U-type with shrouds), Rawl bolts, nuts and bolts, complete earthing system, lightning arrestor, all civil works, foundations, and supports, all electrical connections for net metering with meter, transportation of all materials from warehouse to site, testing, commissioning, and manufacturer-provided maintenance/after-sales service for up to 2 years, complete in all respects as directed by the Engineer-in-Charge.</t>
    </r>
  </si>
  <si>
    <t>Total Cost (PKR)</t>
  </si>
  <si>
    <t>MITIGATION OF WATER LOGGING IN DISTRICT RAHIMYARKHAN</t>
  </si>
  <si>
    <t>Mosaic dado or skirting with one part of cement and marble powder in the ratio of 3:1 and two parts of marble chips, laid over ½"(13 mm) thick cement plaster 1:3, including rubbing and polishing, complete with finishing:(a) using grey cement: i) 1/2"(13 mm) thick</t>
  </si>
  <si>
    <t>Providing and fixing marble strip of any shade for dividing the mosaic flooring into panels (a)
Size 1½" x 3/8" (40 x 10 mm)</t>
  </si>
  <si>
    <t>Rs. In Figures</t>
  </si>
  <si>
    <t>Rs. In Words</t>
  </si>
  <si>
    <t>Supply and erection PVC pipe for recessed wiring (main and sub-main) purpose, including bends, specials, etc. in floor,wall or trenches:- 50mm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</si>
</sst>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_(* #,##0.00_);_(* \(#,##0.00\);_(* &quot;-&quot;??_);_(@_)"/>
    <numFmt numFmtId="165" formatCode="_(* #,##0_);_(* \(#,##0\);_(* &quot;-&quot;??_);_(@_)"/>
    <numFmt numFmtId="166" formatCode="General\ &quot;Cft&quot;"/>
    <numFmt numFmtId="167" formatCode="General\ &quot;-Chain&quot;"/>
    <numFmt numFmtId="168" formatCode="General\ &quot;Sft&quot;"/>
    <numFmt numFmtId="169" formatCode="General&quot; No&quot;"/>
    <numFmt numFmtId="170" formatCode="General\ &quot;Kg&quot;"/>
    <numFmt numFmtId="171" formatCode="General\ &quot;Each&quot;"/>
    <numFmt numFmtId="172" formatCode="General\ &quot;Rft&quot;"/>
    <numFmt numFmtId="173" formatCode="_-* #,##0.00\ _T_L_-;\-* #,##0.00\ _T_L_-;_-* &quot;-&quot;??\ _T_L_-;_-@_-"/>
    <numFmt numFmtId="174" formatCode="General\ &quot; Lft&quot;"/>
    <numFmt numFmtId="175" formatCode="0&quot; Cft&quot;"/>
    <numFmt numFmtId="176" formatCode="0.0"/>
    <numFmt numFmtId="177" formatCode="#,##0.0"/>
    <numFmt numFmtId="178" formatCode="General\ &quot;M&quot;"/>
    <numFmt numFmtId="179" formatCode="General\ &quot;Ea&quot;"/>
    <numFmt numFmtId="180" formatCode="General\ &quot;L/s&quot;"/>
    <numFmt numFmtId="181" formatCode="General\ &quot;Job&quot;"/>
    <numFmt numFmtId="182" formatCode="General\ &quot;hour&quot;"/>
    <numFmt numFmtId="183" formatCode="General&quot; Lumpsum&quot;"/>
  </numFmts>
  <fonts count="48" x14ac:knownFonts="1">
    <font>
      <sz val="11"/>
      <color theme="1"/>
      <name val="Calibri"/>
      <family val="2"/>
      <scheme val="minor"/>
    </font>
    <font>
      <sz val="11"/>
      <color theme="1"/>
      <name val="Calibri"/>
      <family val="2"/>
      <scheme val="minor"/>
    </font>
    <font>
      <sz val="10"/>
      <name val="Arial"/>
      <family val="2"/>
    </font>
    <font>
      <b/>
      <sz val="20"/>
      <name val="Arial"/>
      <family val="2"/>
    </font>
    <font>
      <sz val="12"/>
      <color rgb="FFFF0000"/>
      <name val="Calibri"/>
      <family val="2"/>
      <scheme val="minor"/>
    </font>
    <font>
      <sz val="12"/>
      <name val="Calibri"/>
      <family val="2"/>
      <scheme val="minor"/>
    </font>
    <font>
      <b/>
      <sz val="16"/>
      <name val="Calibri"/>
      <family val="2"/>
      <scheme val="minor"/>
    </font>
    <font>
      <b/>
      <sz val="14"/>
      <name val="Arial"/>
      <family val="2"/>
    </font>
    <font>
      <sz val="14"/>
      <name val="Calibri"/>
      <family val="2"/>
      <scheme val="minor"/>
    </font>
    <font>
      <b/>
      <sz val="12"/>
      <color theme="0"/>
      <name val="Calibri"/>
      <family val="2"/>
      <scheme val="minor"/>
    </font>
    <font>
      <sz val="12"/>
      <name val="Arial"/>
      <family val="2"/>
    </font>
    <font>
      <b/>
      <sz val="12"/>
      <name val="Calibri"/>
      <family val="2"/>
      <scheme val="minor"/>
    </font>
    <font>
      <sz val="12"/>
      <color rgb="FFFF0000"/>
      <name val="Arial"/>
      <family val="2"/>
    </font>
    <font>
      <b/>
      <sz val="12"/>
      <name val="Arial"/>
      <family val="2"/>
    </font>
    <font>
      <b/>
      <u/>
      <sz val="12"/>
      <name val="Arial"/>
      <family val="2"/>
    </font>
    <font>
      <b/>
      <sz val="12"/>
      <color theme="3"/>
      <name val="Calibri"/>
      <family val="2"/>
      <scheme val="minor"/>
    </font>
    <font>
      <sz val="12"/>
      <color theme="1"/>
      <name val="Calibri"/>
      <family val="2"/>
      <scheme val="minor"/>
    </font>
    <font>
      <b/>
      <sz val="12"/>
      <color theme="1"/>
      <name val="Calibri"/>
      <family val="2"/>
      <scheme val="minor"/>
    </font>
    <font>
      <b/>
      <sz val="12"/>
      <color rgb="FFFF0000"/>
      <name val="Calibri"/>
      <family val="2"/>
      <scheme val="minor"/>
    </font>
    <font>
      <sz val="12"/>
      <color theme="1"/>
      <name val="Arial"/>
      <family val="2"/>
    </font>
    <font>
      <sz val="10"/>
      <color indexed="8"/>
      <name val="Arial"/>
      <family val="2"/>
    </font>
    <font>
      <sz val="12"/>
      <color indexed="8"/>
      <name val="Arial"/>
      <family val="2"/>
    </font>
    <font>
      <sz val="10"/>
      <color theme="1"/>
      <name val="Calibri"/>
      <family val="2"/>
      <scheme val="minor"/>
    </font>
    <font>
      <sz val="10"/>
      <color theme="1"/>
      <name val="Arial"/>
      <family val="2"/>
    </font>
    <font>
      <b/>
      <sz val="10"/>
      <color theme="1"/>
      <name val="Arial"/>
      <family val="2"/>
    </font>
    <font>
      <sz val="11"/>
      <color theme="1"/>
      <name val="Arial"/>
      <family val="2"/>
    </font>
    <font>
      <b/>
      <sz val="11"/>
      <color theme="1"/>
      <name val="Arial"/>
      <family val="2"/>
    </font>
    <font>
      <b/>
      <sz val="10"/>
      <color indexed="8"/>
      <name val="Arial"/>
      <family val="2"/>
    </font>
    <font>
      <b/>
      <sz val="10"/>
      <name val="Arial"/>
      <family val="2"/>
    </font>
    <font>
      <b/>
      <sz val="10"/>
      <color theme="1"/>
      <name val="Calibri"/>
      <family val="2"/>
      <scheme val="minor"/>
    </font>
    <font>
      <b/>
      <sz val="14"/>
      <name val="Arial Black"/>
      <family val="2"/>
    </font>
    <font>
      <sz val="14"/>
      <name val="Arial Black"/>
      <family val="2"/>
    </font>
    <font>
      <b/>
      <sz val="11"/>
      <color theme="1"/>
      <name val="Calibri"/>
      <family val="2"/>
      <scheme val="minor"/>
    </font>
    <font>
      <b/>
      <sz val="11"/>
      <name val="Arial"/>
      <family val="2"/>
    </font>
    <font>
      <b/>
      <sz val="11"/>
      <name val="Calibri"/>
      <family val="2"/>
      <scheme val="minor"/>
    </font>
    <font>
      <b/>
      <sz val="11"/>
      <name val="Arial Black"/>
      <family val="2"/>
    </font>
    <font>
      <sz val="11"/>
      <name val="Arial"/>
      <family val="2"/>
    </font>
    <font>
      <sz val="11"/>
      <name val="Calibri"/>
      <family val="2"/>
      <scheme val="minor"/>
    </font>
    <font>
      <b/>
      <u/>
      <sz val="11"/>
      <name val="Arial"/>
      <family val="2"/>
    </font>
    <font>
      <sz val="11"/>
      <color indexed="8"/>
      <name val="Arial"/>
      <family val="2"/>
    </font>
    <font>
      <b/>
      <sz val="11"/>
      <color indexed="8"/>
      <name val="Arial"/>
      <family val="2"/>
    </font>
    <font>
      <b/>
      <sz val="16"/>
      <name val="Arial"/>
      <family val="2"/>
    </font>
    <font>
      <b/>
      <sz val="12"/>
      <color theme="1"/>
      <name val="Arial"/>
      <family val="2"/>
    </font>
    <font>
      <b/>
      <sz val="12"/>
      <color rgb="FFFF0000"/>
      <name val="Arial"/>
      <family val="2"/>
    </font>
    <font>
      <b/>
      <sz val="12"/>
      <color indexed="8"/>
      <name val="Arial"/>
      <family val="2"/>
    </font>
    <font>
      <b/>
      <sz val="16"/>
      <color theme="1"/>
      <name val="Arial"/>
      <family val="2"/>
    </font>
    <font>
      <b/>
      <sz val="14"/>
      <color rgb="FFFF0000"/>
      <name val="Calibri"/>
      <family val="2"/>
      <scheme val="minor"/>
    </font>
    <font>
      <b/>
      <sz val="9"/>
      <color indexed="81"/>
      <name val="Tahoma"/>
      <family val="2"/>
    </font>
  </fonts>
  <fills count="42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0000"/>
        <bgColor indexed="64"/>
      </patternFill>
    </fill>
    <fill>
      <patternFill patternType="solid">
        <fgColor indexed="10"/>
        <bgColor indexed="64"/>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4"/>
        <bgColor indexed="64"/>
      </patternFill>
    </fill>
    <fill>
      <patternFill patternType="solid">
        <fgColor indexed="15"/>
        <bgColor indexed="64"/>
      </patternFill>
    </fill>
    <fill>
      <patternFill patternType="solid">
        <fgColor indexed="16"/>
        <bgColor indexed="64"/>
      </patternFill>
    </fill>
    <fill>
      <patternFill patternType="solid">
        <fgColor indexed="17"/>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
      <patternFill patternType="solid">
        <fgColor indexed="21"/>
        <bgColor indexed="64"/>
      </patternFill>
    </fill>
    <fill>
      <patternFill patternType="solid">
        <fgColor indexed="22"/>
        <bgColor indexed="64"/>
      </patternFill>
    </fill>
    <fill>
      <patternFill patternType="solid">
        <fgColor indexed="23"/>
        <bgColor indexed="64"/>
      </patternFill>
    </fill>
    <fill>
      <patternFill patternType="solid">
        <fgColor indexed="24"/>
        <bgColor indexed="64"/>
      </patternFill>
    </fill>
    <fill>
      <patternFill patternType="solid">
        <fgColor indexed="25"/>
        <bgColor indexed="64"/>
      </patternFill>
    </fill>
    <fill>
      <patternFill patternType="solid">
        <fgColor indexed="26"/>
        <bgColor indexed="64"/>
      </patternFill>
    </fill>
    <fill>
      <patternFill patternType="solid">
        <fgColor indexed="27"/>
        <bgColor indexed="64"/>
      </patternFill>
    </fill>
    <fill>
      <patternFill patternType="solid">
        <fgColor indexed="28"/>
        <bgColor indexed="64"/>
      </patternFill>
    </fill>
    <fill>
      <patternFill patternType="solid">
        <fgColor indexed="29"/>
        <bgColor indexed="64"/>
      </patternFill>
    </fill>
    <fill>
      <patternFill patternType="solid">
        <fgColor indexed="30"/>
        <bgColor indexed="64"/>
      </patternFill>
    </fill>
    <fill>
      <patternFill patternType="solid">
        <fgColor indexed="31"/>
        <bgColor indexed="64"/>
      </patternFill>
    </fill>
    <fill>
      <patternFill patternType="solid">
        <fgColor indexed="32"/>
        <bgColor indexed="64"/>
      </patternFill>
    </fill>
    <fill>
      <patternFill patternType="solid">
        <fgColor indexed="33"/>
        <bgColor indexed="64"/>
      </patternFill>
    </fill>
    <fill>
      <patternFill patternType="solid">
        <fgColor indexed="34"/>
        <bgColor indexed="64"/>
      </patternFill>
    </fill>
    <fill>
      <patternFill patternType="solid">
        <fgColor indexed="35"/>
        <bgColor indexed="64"/>
      </patternFill>
    </fill>
    <fill>
      <patternFill patternType="solid">
        <fgColor indexed="36"/>
        <bgColor indexed="64"/>
      </patternFill>
    </fill>
    <fill>
      <patternFill patternType="solid">
        <fgColor indexed="37"/>
        <bgColor indexed="64"/>
      </patternFill>
    </fill>
    <fill>
      <patternFill patternType="solid">
        <fgColor indexed="38"/>
        <bgColor indexed="64"/>
      </patternFill>
    </fill>
    <fill>
      <patternFill patternType="solid">
        <fgColor indexed="39"/>
        <bgColor indexed="64"/>
      </patternFill>
    </fill>
    <fill>
      <patternFill patternType="solid">
        <fgColor indexed="40"/>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indexed="44"/>
        <bgColor indexed="64"/>
      </patternFill>
    </fill>
    <fill>
      <patternFill patternType="solid">
        <fgColor indexed="45"/>
        <bgColor indexed="64"/>
      </patternFill>
    </fill>
    <fill>
      <patternFill patternType="solid">
        <fgColor indexed="46"/>
        <bgColor indexed="64"/>
      </patternFill>
    </fill>
    <fill>
      <patternFill patternType="solid">
        <fgColor indexed="47"/>
        <bgColor indexed="64"/>
      </patternFill>
    </fill>
    <fill>
      <patternFill patternType="solid">
        <fgColor indexed="48"/>
        <bgColor indexed="64"/>
      </patternFill>
    </fill>
    <fill>
      <patternFill patternType="solid">
        <fgColor indexed="49"/>
        <bgColor indexed="64"/>
      </patternFill>
    </fill>
    <fill>
      <patternFill patternType="solid">
        <fgColor indexed="5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4"/>
        <bgColor indexed="64"/>
      </patternFill>
    </fill>
    <fill>
      <patternFill patternType="solid">
        <fgColor indexed="55"/>
        <bgColor indexed="64"/>
      </patternFill>
    </fill>
    <fill>
      <patternFill patternType="solid">
        <fgColor indexed="56"/>
        <bgColor indexed="64"/>
      </patternFill>
    </fill>
    <fill>
      <patternFill patternType="solid">
        <fgColor indexed="57"/>
        <bgColor indexed="64"/>
      </patternFill>
    </fill>
    <fill>
      <patternFill patternType="solid">
        <fgColor indexed="58"/>
        <bgColor indexed="64"/>
      </patternFill>
    </fill>
    <fill>
      <patternFill patternType="solid">
        <fgColor indexed="59"/>
        <bgColor indexed="64"/>
      </patternFill>
    </fill>
    <fill>
      <patternFill patternType="solid">
        <fgColor indexed="60"/>
        <bgColor indexed="64"/>
      </patternFill>
    </fill>
    <fill>
      <patternFill patternType="solid">
        <fgColor indexed="61"/>
        <bgColor indexed="64"/>
      </patternFill>
    </fill>
    <fill>
      <patternFill patternType="solid">
        <fgColor indexed="62"/>
        <bgColor indexed="64"/>
      </patternFill>
    </fill>
    <fill>
      <patternFill patternType="solid">
        <fgColor indexed="63"/>
        <bgColor indexed="64"/>
      </patternFill>
    </fill>
    <fill>
      <patternFill patternType="solid">
        <fgColor rgb="FF8787BF"/>
        <bgColor indexed="64"/>
      </patternFill>
    </fill>
    <fill>
      <patternFill patternType="solid">
        <fgColor rgb="FF2F7C3A"/>
        <bgColor indexed="64"/>
      </patternFill>
    </fill>
    <fill>
      <patternFill patternType="solid">
        <fgColor rgb="FF1C987E"/>
        <bgColor indexed="64"/>
      </patternFill>
    </fill>
    <fill>
      <patternFill patternType="solid">
        <fgColor rgb="FF005172"/>
        <bgColor indexed="64"/>
      </patternFill>
    </fill>
    <fill>
      <patternFill patternType="solid">
        <fgColor rgb="FF034C51"/>
        <bgColor indexed="64"/>
      </patternFill>
    </fill>
    <fill>
      <patternFill patternType="solid">
        <fgColor rgb="FFC1031E"/>
        <bgColor indexed="64"/>
      </patternFill>
    </fill>
    <fill>
      <patternFill patternType="solid">
        <fgColor rgb="FF864226"/>
        <bgColor indexed="64"/>
      </patternFill>
    </fill>
    <fill>
      <patternFill patternType="solid">
        <fgColor rgb="FF040B39"/>
        <bgColor indexed="64"/>
      </patternFill>
    </fill>
    <fill>
      <patternFill patternType="solid">
        <fgColor rgb="FF290093"/>
        <bgColor indexed="64"/>
      </patternFill>
    </fill>
    <fill>
      <patternFill patternType="solid">
        <fgColor rgb="FF01666E"/>
        <bgColor indexed="64"/>
      </patternFill>
    </fill>
    <fill>
      <patternFill patternType="solid">
        <fgColor rgb="FF67013B"/>
        <bgColor indexed="64"/>
      </patternFill>
    </fill>
    <fill>
      <patternFill patternType="solid">
        <fgColor rgb="FF114F4B"/>
        <bgColor indexed="64"/>
      </patternFill>
    </fill>
    <fill>
      <patternFill patternType="solid">
        <fgColor rgb="FF8E917A"/>
        <bgColor indexed="64"/>
      </patternFill>
    </fill>
    <fill>
      <patternFill patternType="solid">
        <fgColor rgb="FF491564"/>
        <bgColor indexed="64"/>
      </patternFill>
    </fill>
    <fill>
      <patternFill patternType="solid">
        <fgColor rgb="FF534A9A"/>
        <bgColor indexed="64"/>
      </patternFill>
    </fill>
    <fill>
      <patternFill patternType="solid">
        <fgColor rgb="FF5EA801"/>
        <bgColor indexed="64"/>
      </patternFill>
    </fill>
    <fill>
      <patternFill patternType="solid">
        <fgColor rgb="FF351CAB"/>
        <bgColor indexed="64"/>
      </patternFill>
    </fill>
    <fill>
      <patternFill patternType="solid">
        <fgColor rgb="FF08A0C6"/>
        <bgColor indexed="64"/>
      </patternFill>
    </fill>
    <fill>
      <patternFill patternType="solid">
        <fgColor rgb="FF7EA89D"/>
        <bgColor indexed="64"/>
      </patternFill>
    </fill>
    <fill>
      <patternFill patternType="solid">
        <fgColor rgb="FF234C24"/>
        <bgColor indexed="64"/>
      </patternFill>
    </fill>
    <fill>
      <patternFill patternType="solid">
        <fgColor rgb="FF1B8481"/>
        <bgColor indexed="64"/>
      </patternFill>
    </fill>
    <fill>
      <patternFill patternType="solid">
        <fgColor rgb="FF9926AA"/>
        <bgColor indexed="64"/>
      </patternFill>
    </fill>
    <fill>
      <patternFill patternType="solid">
        <fgColor rgb="FF205246"/>
        <bgColor indexed="64"/>
      </patternFill>
    </fill>
    <fill>
      <patternFill patternType="solid">
        <fgColor rgb="FF2606B4"/>
        <bgColor indexed="64"/>
      </patternFill>
    </fill>
    <fill>
      <patternFill patternType="solid">
        <fgColor rgb="FF0CAFA1"/>
        <bgColor indexed="64"/>
      </patternFill>
    </fill>
    <fill>
      <patternFill patternType="solid">
        <fgColor rgb="FFA28932"/>
        <bgColor indexed="64"/>
      </patternFill>
    </fill>
    <fill>
      <patternFill patternType="solid">
        <fgColor rgb="FF948738"/>
        <bgColor indexed="64"/>
      </patternFill>
    </fill>
    <fill>
      <patternFill patternType="solid">
        <fgColor rgb="FF344AC6"/>
        <bgColor indexed="64"/>
      </patternFill>
    </fill>
    <fill>
      <patternFill patternType="solid">
        <fgColor rgb="FF717788"/>
        <bgColor indexed="64"/>
      </patternFill>
    </fill>
    <fill>
      <patternFill patternType="solid">
        <fgColor rgb="FF223828"/>
        <bgColor indexed="64"/>
      </patternFill>
    </fill>
    <fill>
      <patternFill patternType="solid">
        <fgColor rgb="FFB459B9"/>
        <bgColor indexed="64"/>
      </patternFill>
    </fill>
    <fill>
      <patternFill patternType="solid">
        <fgColor rgb="FF81A27C"/>
        <bgColor indexed="64"/>
      </patternFill>
    </fill>
    <fill>
      <patternFill patternType="solid">
        <fgColor rgb="FF1803BA"/>
        <bgColor indexed="64"/>
      </patternFill>
    </fill>
    <fill>
      <patternFill patternType="solid">
        <fgColor rgb="FF747267"/>
        <bgColor indexed="64"/>
      </patternFill>
    </fill>
    <fill>
      <patternFill patternType="solid">
        <fgColor rgb="FF17B7BD"/>
        <bgColor indexed="64"/>
      </patternFill>
    </fill>
    <fill>
      <patternFill patternType="solid">
        <fgColor rgb="FF45479F"/>
        <bgColor indexed="64"/>
      </patternFill>
    </fill>
    <fill>
      <patternFill patternType="solid">
        <fgColor rgb="FFC66B8F"/>
        <bgColor indexed="64"/>
      </patternFill>
    </fill>
    <fill>
      <patternFill patternType="solid">
        <fgColor rgb="FF724A6E"/>
        <bgColor indexed="64"/>
      </patternFill>
    </fill>
    <fill>
      <patternFill patternType="solid">
        <fgColor rgb="FF816165"/>
        <bgColor indexed="64"/>
      </patternFill>
    </fill>
    <fill>
      <patternFill patternType="solid">
        <fgColor rgb="FF480167"/>
        <bgColor indexed="64"/>
      </patternFill>
    </fill>
    <fill>
      <patternFill patternType="solid">
        <fgColor rgb="FF241F0A"/>
        <bgColor indexed="64"/>
      </patternFill>
    </fill>
    <fill>
      <patternFill patternType="solid">
        <fgColor rgb="FF7BADBE"/>
        <bgColor indexed="64"/>
      </patternFill>
    </fill>
    <fill>
      <patternFill patternType="solid">
        <fgColor rgb="FF2D9657"/>
        <bgColor indexed="64"/>
      </patternFill>
    </fill>
    <fill>
      <patternFill patternType="solid">
        <fgColor rgb="FF564579"/>
        <bgColor indexed="64"/>
      </patternFill>
    </fill>
    <fill>
      <patternFill patternType="solid">
        <fgColor rgb="FF545E97"/>
        <bgColor indexed="64"/>
      </patternFill>
    </fill>
    <fill>
      <patternFill patternType="solid">
        <fgColor rgb="FF8D0B91"/>
        <bgColor indexed="64"/>
      </patternFill>
    </fill>
    <fill>
      <patternFill patternType="solid">
        <fgColor rgb="FF1917B6"/>
        <bgColor indexed="64"/>
      </patternFill>
    </fill>
    <fill>
      <patternFill patternType="solid">
        <fgColor rgb="FFA39D2F"/>
        <bgColor indexed="64"/>
      </patternFill>
    </fill>
    <fill>
      <patternFill patternType="solid">
        <fgColor rgb="FFC3B200"/>
        <bgColor indexed="64"/>
      </patternFill>
    </fill>
    <fill>
      <patternFill patternType="solid">
        <fgColor rgb="FF4C962B"/>
        <bgColor indexed="64"/>
      </patternFill>
    </fill>
    <fill>
      <patternFill patternType="solid">
        <fgColor rgb="FF78C614"/>
        <bgColor indexed="64"/>
      </patternFill>
    </fill>
    <fill>
      <patternFill patternType="solid">
        <fgColor rgb="FF674252"/>
        <bgColor indexed="64"/>
      </patternFill>
    </fill>
    <fill>
      <patternFill patternType="solid">
        <fgColor rgb="FFA9519E"/>
        <bgColor indexed="64"/>
      </patternFill>
    </fill>
    <fill>
      <patternFill patternType="solid">
        <fgColor rgb="FF161C0F"/>
        <bgColor indexed="64"/>
      </patternFill>
    </fill>
    <fill>
      <patternFill patternType="solid">
        <fgColor rgb="FFAD1F62"/>
        <bgColor indexed="64"/>
      </patternFill>
    </fill>
    <fill>
      <patternFill patternType="solid">
        <fgColor rgb="FF6AC31A"/>
        <bgColor indexed="64"/>
      </patternFill>
    </fill>
    <fill>
      <patternFill patternType="solid">
        <fgColor rgb="FF070618"/>
        <bgColor indexed="64"/>
      </patternFill>
    </fill>
    <fill>
      <patternFill patternType="solid">
        <fgColor rgb="FF1E7F60"/>
        <bgColor indexed="64"/>
      </patternFill>
    </fill>
    <fill>
      <patternFill patternType="solid">
        <fgColor rgb="FF8FA577"/>
        <bgColor indexed="64"/>
      </patternFill>
    </fill>
    <fill>
      <patternFill patternType="solid">
        <fgColor rgb="FF78402C"/>
        <bgColor indexed="64"/>
      </patternFill>
    </fill>
    <fill>
      <patternFill patternType="solid">
        <fgColor rgb="FF6C96C7"/>
        <bgColor indexed="64"/>
      </patternFill>
    </fill>
    <fill>
      <patternFill patternType="solid">
        <fgColor rgb="FF662E55"/>
        <bgColor indexed="64"/>
      </patternFill>
    </fill>
    <fill>
      <patternFill patternType="solid">
        <fgColor rgb="FF7A260E"/>
        <bgColor indexed="64"/>
      </patternFill>
    </fill>
    <fill>
      <patternFill patternType="solid">
        <fgColor rgb="FFC598AA"/>
        <bgColor indexed="64"/>
      </patternFill>
    </fill>
    <fill>
      <patternFill patternType="solid">
        <fgColor rgb="FF132130"/>
        <bgColor indexed="64"/>
      </patternFill>
    </fill>
    <fill>
      <patternFill patternType="solid">
        <fgColor rgb="FFB86895"/>
        <bgColor indexed="64"/>
      </patternFill>
    </fill>
    <fill>
      <patternFill patternType="solid">
        <fgColor rgb="FFA58411"/>
        <bgColor indexed="64"/>
      </patternFill>
    </fill>
    <fill>
      <patternFill patternType="solid">
        <fgColor rgb="FF893D05"/>
        <bgColor indexed="64"/>
      </patternFill>
    </fill>
    <fill>
      <patternFill patternType="solid">
        <fgColor rgb="FFC18906"/>
        <bgColor indexed="64"/>
      </patternFill>
    </fill>
    <fill>
      <patternFill patternType="solid">
        <fgColor rgb="FFB6409B"/>
        <bgColor indexed="64"/>
      </patternFill>
    </fill>
    <fill>
      <patternFill patternType="solid">
        <fgColor rgb="FF472E81"/>
        <bgColor indexed="64"/>
      </patternFill>
    </fill>
    <fill>
      <patternFill patternType="solid">
        <fgColor rgb="FF8DBE95"/>
        <bgColor indexed="64"/>
      </patternFill>
    </fill>
    <fill>
      <patternFill patternType="solid">
        <fgColor rgb="FFB2B426"/>
        <bgColor indexed="64"/>
      </patternFill>
    </fill>
    <fill>
      <patternFill patternType="solid">
        <fgColor rgb="FFBFA324"/>
        <bgColor indexed="64"/>
      </patternFill>
    </fill>
    <fill>
      <patternFill patternType="solid">
        <fgColor rgb="FF28B496"/>
        <bgColor indexed="64"/>
      </patternFill>
    </fill>
    <fill>
      <patternFill patternType="solid">
        <fgColor rgb="FF9A3BA6"/>
        <bgColor indexed="64"/>
      </patternFill>
    </fill>
    <fill>
      <patternFill patternType="solid">
        <fgColor rgb="FF4F7D0D"/>
        <bgColor indexed="64"/>
      </patternFill>
    </fill>
    <fill>
      <patternFill patternType="solid">
        <fgColor rgb="FF0A00BF"/>
        <bgColor indexed="64"/>
      </patternFill>
    </fill>
    <fill>
      <patternFill patternType="solid">
        <fgColor rgb="FF14362D"/>
        <bgColor indexed="64"/>
      </patternFill>
    </fill>
    <fill>
      <patternFill patternType="solid">
        <fgColor rgb="FF541C7F"/>
        <bgColor indexed="64"/>
      </patternFill>
    </fill>
    <fill>
      <patternFill patternType="solid">
        <fgColor rgb="FFBE083F"/>
        <bgColor indexed="64"/>
      </patternFill>
    </fill>
    <fill>
      <patternFill patternType="solid">
        <fgColor rgb="FF918C59"/>
        <bgColor indexed="64"/>
      </patternFill>
    </fill>
    <fill>
      <patternFill patternType="solid">
        <fgColor rgb="FF3E9331"/>
        <bgColor indexed="64"/>
      </patternFill>
    </fill>
    <fill>
      <patternFill patternType="solid">
        <fgColor rgb="FFAB3880"/>
        <bgColor indexed="64"/>
      </patternFill>
    </fill>
    <fill>
      <patternFill patternType="solid">
        <fgColor rgb="FFA47015"/>
        <bgColor indexed="64"/>
      </patternFill>
    </fill>
    <fill>
      <patternFill patternType="solid">
        <fgColor rgb="FF5A123D"/>
        <bgColor indexed="64"/>
      </patternFill>
    </fill>
    <fill>
      <patternFill patternType="solid">
        <fgColor rgb="FFA83DA1"/>
        <bgColor indexed="64"/>
      </patternFill>
    </fill>
    <fill>
      <patternFill patternType="solid">
        <fgColor rgb="FFAFB947"/>
        <bgColor indexed="64"/>
      </patternFill>
    </fill>
    <fill>
      <patternFill patternType="solid">
        <fgColor rgb="FF022457"/>
        <bgColor indexed="64"/>
      </patternFill>
    </fill>
    <fill>
      <patternFill patternType="solid">
        <fgColor rgb="FF63758E"/>
        <bgColor indexed="64"/>
      </patternFill>
    </fill>
    <fill>
      <patternFill patternType="solid">
        <fgColor rgb="FF8AC4B6"/>
        <bgColor indexed="64"/>
      </patternFill>
    </fill>
    <fill>
      <patternFill patternType="solid">
        <fgColor rgb="FFBC3659"/>
        <bgColor indexed="64"/>
      </patternFill>
    </fill>
    <fill>
      <patternFill patternType="solid">
        <fgColor rgb="FF31631C"/>
        <bgColor indexed="64"/>
      </patternFill>
    </fill>
    <fill>
      <patternFill patternType="solid">
        <fgColor rgb="FFAA2483"/>
        <bgColor indexed="64"/>
      </patternFill>
    </fill>
    <fill>
      <patternFill patternType="solid">
        <fgColor rgb="FF75454D"/>
        <bgColor indexed="64"/>
      </patternFill>
    </fill>
    <fill>
      <patternFill patternType="solid">
        <fgColor rgb="FF761732"/>
        <bgColor indexed="64"/>
      </patternFill>
    </fill>
    <fill>
      <patternFill patternType="solid">
        <fgColor rgb="FFA1B74D"/>
        <bgColor indexed="64"/>
      </patternFill>
    </fill>
    <fill>
      <patternFill patternType="solid">
        <fgColor rgb="FF6AAF1D"/>
        <bgColor indexed="64"/>
      </patternFill>
    </fill>
    <fill>
      <patternFill patternType="solid">
        <fgColor rgb="FFA0A350"/>
        <bgColor indexed="64"/>
      </patternFill>
    </fill>
    <fill>
      <patternFill patternType="solid">
        <fgColor rgb="FF053333"/>
        <bgColor indexed="64"/>
      </patternFill>
    </fill>
    <fill>
      <patternFill patternType="solid">
        <fgColor rgb="FF875623"/>
        <bgColor indexed="64"/>
      </patternFill>
    </fill>
    <fill>
      <patternFill patternType="solid">
        <fgColor rgb="FF333601"/>
        <bgColor indexed="64"/>
      </patternFill>
    </fill>
    <fill>
      <patternFill patternType="solid">
        <fgColor rgb="FF424CC0"/>
        <bgColor indexed="64"/>
      </patternFill>
    </fill>
    <fill>
      <patternFill patternType="solid">
        <fgColor rgb="FF09B4C2"/>
        <bgColor indexed="64"/>
      </patternFill>
    </fill>
    <fill>
      <patternFill patternType="solid">
        <fgColor rgb="FFAD0B65"/>
        <bgColor indexed="64"/>
      </patternFill>
    </fill>
    <fill>
      <patternFill patternType="solid">
        <fgColor rgb="FF3B9852"/>
        <bgColor indexed="64"/>
      </patternFill>
    </fill>
    <fill>
      <patternFill patternType="solid">
        <fgColor rgb="FFB681B3"/>
        <bgColor indexed="64"/>
      </patternFill>
    </fill>
    <fill>
      <patternFill patternType="solid">
        <fgColor rgb="FF17300C"/>
        <bgColor indexed="64"/>
      </patternFill>
    </fill>
    <fill>
      <patternFill patternType="solid">
        <fgColor rgb="FF144A2A"/>
        <bgColor indexed="64"/>
      </patternFill>
    </fill>
    <fill>
      <patternFill patternType="solid">
        <fgColor rgb="FF834747"/>
        <bgColor indexed="64"/>
      </patternFill>
    </fill>
    <fill>
      <patternFill patternType="solid">
        <fgColor rgb="FF0E546C"/>
        <bgColor indexed="64"/>
      </patternFill>
    </fill>
    <fill>
      <patternFill patternType="solid">
        <fgColor rgb="FF9912AD"/>
        <bgColor indexed="64"/>
      </patternFill>
    </fill>
    <fill>
      <patternFill patternType="solid">
        <fgColor rgb="FFB9277E"/>
        <bgColor indexed="64"/>
      </patternFill>
    </fill>
    <fill>
      <patternFill patternType="solid">
        <fgColor rgb="FF0D8287"/>
        <bgColor indexed="64"/>
      </patternFill>
    </fill>
    <fill>
      <patternFill patternType="solid">
        <fgColor rgb="FF39B270"/>
        <bgColor indexed="64"/>
      </patternFill>
    </fill>
    <fill>
      <patternFill patternType="solid">
        <fgColor rgb="FF5D7F08"/>
        <bgColor indexed="64"/>
      </patternFill>
    </fill>
    <fill>
      <patternFill patternType="solid">
        <fgColor rgb="FF9F8E53"/>
        <bgColor indexed="64"/>
      </patternFill>
    </fill>
    <fill>
      <patternFill patternType="solid">
        <fgColor rgb="FF9E086B"/>
        <bgColor indexed="64"/>
      </patternFill>
    </fill>
    <fill>
      <patternFill patternType="solid">
        <fgColor rgb="FFA35C18"/>
        <bgColor indexed="64"/>
      </patternFill>
    </fill>
    <fill>
      <patternFill patternType="solid">
        <fgColor rgb="FF2BAF75"/>
        <bgColor indexed="64"/>
      </patternFill>
    </fill>
    <fill>
      <patternFill patternType="solid">
        <fgColor rgb="FF8FB974"/>
        <bgColor indexed="64"/>
      </patternFill>
    </fill>
    <fill>
      <patternFill patternType="solid">
        <fgColor rgb="FFA76BBC"/>
        <bgColor indexed="64"/>
      </patternFill>
    </fill>
    <fill>
      <patternFill patternType="solid">
        <fgColor rgb="FF4F910A"/>
        <bgColor indexed="64"/>
      </patternFill>
    </fill>
    <fill>
      <patternFill patternType="solid">
        <fgColor rgb="FF6E7DA9"/>
        <bgColor indexed="64"/>
      </patternFill>
    </fill>
    <fill>
      <patternFill patternType="solid">
        <fgColor rgb="FF2C825B"/>
        <bgColor indexed="64"/>
      </patternFill>
    </fill>
    <fill>
      <patternFill patternType="solid">
        <fgColor rgb="FF271AB1"/>
        <bgColor indexed="64"/>
      </patternFill>
    </fill>
    <fill>
      <patternFill patternType="solid">
        <fgColor rgb="FF70638C"/>
        <bgColor indexed="64"/>
      </patternFill>
    </fill>
    <fill>
      <patternFill patternType="solid">
        <fgColor rgb="FFBB0D60"/>
        <bgColor indexed="64"/>
      </patternFill>
    </fill>
    <fill>
      <patternFill patternType="solid">
        <fgColor rgb="FF9B0D8C"/>
        <bgColor indexed="64"/>
      </patternFill>
    </fill>
    <fill>
      <patternFill patternType="solid">
        <fgColor rgb="FFAEA54B"/>
        <bgColor indexed="64"/>
      </patternFill>
    </fill>
    <fill>
      <patternFill patternType="solid">
        <fgColor rgb="FF9BC18F"/>
        <bgColor indexed="64"/>
      </patternFill>
    </fill>
    <fill>
      <patternFill patternType="solid">
        <fgColor rgb="FF7F7A83"/>
        <bgColor indexed="64"/>
      </patternFill>
    </fill>
    <fill>
      <patternFill patternType="solid">
        <fgColor rgb="FF827562"/>
        <bgColor indexed="64"/>
      </patternFill>
    </fill>
    <fill>
      <patternFill patternType="solid">
        <fgColor rgb="FF772C2F"/>
        <bgColor indexed="64"/>
      </patternFill>
    </fill>
    <fill>
      <patternFill patternType="solid">
        <fgColor rgb="FF081A15"/>
        <bgColor indexed="64"/>
      </patternFill>
    </fill>
    <fill>
      <patternFill patternType="solid">
        <fgColor rgb="FF4DAA28"/>
        <bgColor indexed="64"/>
      </patternFill>
    </fill>
    <fill>
      <patternFill patternType="solid">
        <fgColor rgb="FFA729A4"/>
        <bgColor indexed="64"/>
      </patternFill>
    </fill>
    <fill>
      <patternFill patternType="solid">
        <fgColor rgb="FF808E80"/>
        <bgColor indexed="64"/>
      </patternFill>
    </fill>
    <fill>
      <patternFill patternType="solid">
        <fgColor rgb="FFB1A02A"/>
        <bgColor indexed="64"/>
      </patternFill>
    </fill>
    <fill>
      <patternFill patternType="solid">
        <fgColor rgb="FF90785C"/>
        <bgColor indexed="64"/>
      </patternFill>
    </fill>
    <fill>
      <patternFill patternType="solid">
        <fgColor rgb="FF0F6869"/>
        <bgColor indexed="64"/>
      </patternFill>
    </fill>
    <fill>
      <patternFill patternType="solid">
        <fgColor rgb="FF003D75"/>
        <bgColor indexed="64"/>
      </patternFill>
    </fill>
    <fill>
      <patternFill patternType="solid">
        <fgColor rgb="FF9C2189"/>
        <bgColor indexed="64"/>
      </patternFill>
    </fill>
    <fill>
      <patternFill patternType="solid">
        <fgColor rgb="FF150813"/>
        <bgColor indexed="64"/>
      </patternFill>
    </fill>
    <fill>
      <patternFill patternType="solid">
        <fgColor rgb="FF7EBC9A"/>
        <bgColor indexed="64"/>
      </patternFill>
    </fill>
    <fill>
      <patternFill patternType="solid">
        <fgColor rgb="FF5277B4"/>
        <bgColor indexed="64"/>
      </patternFill>
    </fill>
    <fill>
      <patternFill patternType="solid">
        <fgColor rgb="FFC77F8C"/>
        <bgColor indexed="64"/>
      </patternFill>
    </fill>
    <fill>
      <patternFill patternType="solid">
        <fgColor rgb="FFA17536"/>
        <bgColor indexed="64"/>
      </patternFill>
    </fill>
    <fill>
      <patternFill patternType="solid">
        <fgColor rgb="FF655C70"/>
        <bgColor indexed="64"/>
      </patternFill>
    </fill>
    <fill>
      <patternFill patternType="solid">
        <fgColor rgb="FF1BC699"/>
        <bgColor indexed="64"/>
      </patternFill>
    </fill>
    <fill>
      <patternFill patternType="solid">
        <fgColor rgb="FF692934"/>
        <bgColor indexed="64"/>
      </patternFill>
    </fill>
    <fill>
      <patternFill patternType="solid">
        <fgColor rgb="FF6FA5A3"/>
        <bgColor indexed="64"/>
      </patternFill>
    </fill>
    <fill>
      <patternFill patternType="solid">
        <fgColor rgb="FF8A10B2"/>
        <bgColor indexed="64"/>
      </patternFill>
    </fill>
    <fill>
      <patternFill patternType="solid">
        <fgColor rgb="FF58B244"/>
        <bgColor indexed="64"/>
      </patternFill>
    </fill>
    <fill>
      <patternFill patternType="solid">
        <fgColor rgb="FF4AAF49"/>
        <bgColor indexed="64"/>
      </patternFill>
    </fill>
    <fill>
      <patternFill patternType="solid">
        <fgColor rgb="FFB2720F"/>
        <bgColor indexed="64"/>
      </patternFill>
    </fill>
    <fill>
      <patternFill patternType="solid">
        <fgColor rgb="FFBA4F77"/>
        <bgColor indexed="64"/>
      </patternFill>
    </fill>
    <fill>
      <patternFill patternType="solid">
        <fgColor rgb="FF6B1017"/>
        <bgColor indexed="64"/>
      </patternFill>
    </fill>
    <fill>
      <patternFill patternType="solid">
        <fgColor rgb="FF3631A8"/>
        <bgColor indexed="64"/>
      </patternFill>
    </fill>
    <fill>
      <patternFill patternType="solid">
        <fgColor rgb="FF37038D"/>
        <bgColor indexed="64"/>
      </patternFill>
    </fill>
    <fill>
      <patternFill patternType="solid">
        <fgColor rgb="FF962C03"/>
        <bgColor indexed="64"/>
      </patternFill>
    </fill>
    <fill>
      <patternFill patternType="solid">
        <fgColor rgb="FF2A9B78"/>
        <bgColor indexed="64"/>
      </patternFill>
    </fill>
    <fill>
      <patternFill patternType="solid">
        <fgColor rgb="FF608EAC"/>
        <bgColor indexed="64"/>
      </patternFill>
    </fill>
    <fill>
      <patternFill patternType="solid">
        <fgColor rgb="FFC370B0"/>
        <bgColor indexed="64"/>
      </patternFill>
    </fill>
    <fill>
      <patternFill patternType="solid">
        <fgColor rgb="FF7D93A1"/>
        <bgColor indexed="64"/>
      </patternFill>
    </fill>
    <fill>
      <patternFill patternType="solid">
        <fgColor rgb="FFBC215D"/>
        <bgColor indexed="64"/>
      </patternFill>
    </fill>
    <fill>
      <patternFill patternType="solid">
        <fgColor rgb="FF023854"/>
        <bgColor indexed="64"/>
      </patternFill>
    </fill>
    <fill>
      <patternFill patternType="solid">
        <fgColor rgb="FF92A056"/>
        <bgColor indexed="64"/>
      </patternFill>
    </fill>
    <fill>
      <patternFill patternType="solid">
        <fgColor rgb="FF6DBEC1"/>
        <bgColor indexed="64"/>
      </patternFill>
    </fill>
    <fill>
      <patternFill patternType="solid">
        <fgColor rgb="FFC484AD"/>
        <bgColor indexed="64"/>
      </patternFill>
    </fill>
    <fill>
      <patternFill patternType="solid">
        <fgColor rgb="FFACBE69"/>
        <bgColor indexed="64"/>
      </patternFill>
    </fill>
    <fill>
      <patternFill patternType="solid">
        <fgColor rgb="FF0C6D8A"/>
        <bgColor indexed="64"/>
      </patternFill>
    </fill>
    <fill>
      <patternFill patternType="solid">
        <fgColor rgb="FF0A87A8"/>
        <bgColor indexed="64"/>
      </patternFill>
    </fill>
    <fill>
      <patternFill patternType="solid">
        <fgColor rgb="FF4433A3"/>
        <bgColor indexed="64"/>
      </patternFill>
    </fill>
    <fill>
      <patternFill patternType="solid">
        <fgColor rgb="FF9740C7"/>
        <bgColor indexed="64"/>
      </patternFill>
    </fill>
    <fill>
      <patternFill patternType="solid">
        <fgColor rgb="FF59C640"/>
        <bgColor indexed="64"/>
      </patternFill>
    </fill>
    <fill>
      <patternFill patternType="solid">
        <fgColor rgb="FF791211"/>
        <bgColor indexed="64"/>
      </patternFill>
    </fill>
    <fill>
      <patternFill patternType="solid">
        <fgColor rgb="FF966D1A"/>
        <bgColor indexed="64"/>
      </patternFill>
    </fill>
    <fill>
      <patternFill patternType="solid">
        <fgColor rgb="FFC29D03"/>
        <bgColor indexed="64"/>
      </patternFill>
    </fill>
    <fill>
      <patternFill patternType="solid">
        <fgColor rgb="FF1D6B63"/>
        <bgColor indexed="64"/>
      </patternFill>
    </fill>
    <fill>
      <patternFill patternType="solid">
        <fgColor rgb="FF607AAF"/>
        <bgColor indexed="64"/>
      </patternFill>
    </fill>
    <fill>
      <patternFill patternType="solid">
        <fgColor rgb="FF944521"/>
        <bgColor indexed="64"/>
      </patternFill>
    </fill>
    <fill>
      <patternFill patternType="solid">
        <fgColor rgb="FF644773"/>
        <bgColor indexed="64"/>
      </patternFill>
    </fill>
    <fill>
      <patternFill patternType="solid">
        <fgColor rgb="FFB49B09"/>
        <bgColor indexed="64"/>
      </patternFill>
    </fill>
    <fill>
      <patternFill patternType="solid">
        <fgColor rgb="FF852E29"/>
        <bgColor indexed="64"/>
      </patternFill>
    </fill>
    <fill>
      <patternFill patternType="solid">
        <fgColor rgb="FF9DA871"/>
        <bgColor indexed="64"/>
      </patternFill>
    </fill>
    <fill>
      <patternFill patternType="solid">
        <fgColor rgb="FF107C66"/>
        <bgColor indexed="64"/>
      </patternFill>
    </fill>
    <fill>
      <patternFill patternType="solid">
        <fgColor rgb="FF2F683D"/>
        <bgColor indexed="64"/>
      </patternFill>
    </fill>
    <fill>
      <patternFill patternType="solid">
        <fgColor rgb="FFB56DB6"/>
        <bgColor indexed="64"/>
      </patternFill>
    </fill>
    <fill>
      <patternFill patternType="solid">
        <fgColor rgb="FFB00544"/>
        <bgColor indexed="64"/>
      </patternFill>
    </fill>
    <fill>
      <patternFill patternType="solid">
        <fgColor rgb="FF314F1F"/>
        <bgColor indexed="64"/>
      </patternFill>
    </fill>
    <fill>
      <patternFill patternType="solid">
        <fgColor rgb="FF7BC1BB"/>
        <bgColor indexed="64"/>
      </patternFill>
    </fill>
    <fill>
      <patternFill patternType="solid">
        <fgColor rgb="FF5CC11F"/>
        <bgColor indexed="64"/>
      </patternFill>
    </fill>
    <fill>
      <patternFill patternType="solid">
        <fgColor rgb="FF6F91A6"/>
        <bgColor indexed="64"/>
      </patternFill>
    </fill>
    <fill>
      <patternFill patternType="solid">
        <fgColor rgb="FF5BAD22"/>
        <bgColor indexed="64"/>
      </patternFill>
    </fill>
    <fill>
      <patternFill patternType="solid">
        <fgColor rgb="FF406616"/>
        <bgColor indexed="64"/>
      </patternFill>
    </fill>
    <fill>
      <patternFill patternType="solid">
        <fgColor rgb="FF4361BD"/>
        <bgColor indexed="64"/>
      </patternFill>
    </fill>
    <fill>
      <patternFill patternType="solid">
        <fgColor rgb="FF38178A"/>
        <bgColor indexed="64"/>
      </patternFill>
    </fill>
    <fill>
      <patternFill patternType="solid">
        <fgColor rgb="FFC55793"/>
        <bgColor indexed="64"/>
      </patternFill>
    </fill>
    <fill>
      <patternFill patternType="solid">
        <fgColor rgb="FF0E9683"/>
        <bgColor indexed="64"/>
      </patternFill>
    </fill>
    <fill>
      <patternFill patternType="solid">
        <fgColor rgb="FF681538"/>
        <bgColor indexed="64"/>
      </patternFill>
    </fill>
    <fill>
      <patternFill patternType="solid">
        <fgColor rgb="FF407A13"/>
        <bgColor indexed="64"/>
      </patternFill>
    </fill>
    <fill>
      <patternFill patternType="solid">
        <fgColor rgb="FF728C85"/>
        <bgColor indexed="64"/>
      </patternFill>
    </fill>
    <fill>
      <patternFill patternType="solid">
        <fgColor rgb="FF5163B8"/>
        <bgColor indexed="64"/>
      </patternFill>
    </fill>
    <fill>
      <patternFill patternType="solid">
        <fgColor rgb="FF9854C4"/>
        <bgColor indexed="64"/>
      </patternFill>
    </fill>
    <fill>
      <patternFill patternType="solid">
        <fgColor rgb="FF882908"/>
        <bgColor indexed="64"/>
      </patternFill>
    </fill>
    <fill>
      <patternFill patternType="solid">
        <fgColor rgb="FF925E3E"/>
        <bgColor indexed="64"/>
      </patternFill>
    </fill>
    <fill>
      <patternFill patternType="solid">
        <fgColor rgb="FF9EBC6E"/>
        <bgColor indexed="64"/>
      </patternFill>
    </fill>
    <fill>
      <patternFill patternType="solid">
        <fgColor rgb="FF743150"/>
        <bgColor indexed="64"/>
      </patternFill>
    </fill>
    <fill>
      <patternFill patternType="solid">
        <fgColor rgb="FF126348"/>
        <bgColor indexed="64"/>
      </patternFill>
    </fill>
    <fill>
      <patternFill patternType="solid">
        <fgColor rgb="FFBDBC42"/>
        <bgColor indexed="64"/>
      </patternFill>
    </fill>
    <fill>
      <patternFill patternType="solid">
        <fgColor rgb="FF626191"/>
        <bgColor indexed="64"/>
      </patternFill>
    </fill>
    <fill>
      <patternFill patternType="solid">
        <fgColor rgb="FF5B9926"/>
        <bgColor indexed="64"/>
      </patternFill>
    </fill>
    <fill>
      <patternFill patternType="solid">
        <fgColor rgb="FF113B4E"/>
        <bgColor indexed="64"/>
      </patternFill>
    </fill>
    <fill>
      <patternFill patternType="solid">
        <fgColor rgb="FF5F66B2"/>
        <bgColor indexed="64"/>
      </patternFill>
    </fill>
    <fill>
      <patternFill patternType="solid">
        <fgColor rgb="FF651A59"/>
        <bgColor indexed="64"/>
      </patternFill>
    </fill>
    <fill>
      <patternFill patternType="solid">
        <fgColor rgb="FF4BC346"/>
        <bgColor indexed="64"/>
      </patternFill>
    </fill>
    <fill>
      <patternFill patternType="solid">
        <fgColor rgb="FF199E9F"/>
        <bgColor indexed="64"/>
      </patternFill>
    </fill>
    <fill>
      <patternFill patternType="solid">
        <fgColor rgb="FF0B9BA4"/>
        <bgColor indexed="64"/>
      </patternFill>
    </fill>
    <fill>
      <patternFill patternType="solid">
        <fgColor rgb="FF66A9A9"/>
        <bgColor indexed="64"/>
      </patternFill>
    </fill>
    <fill>
      <patternFill patternType="solid">
        <fgColor rgb="FFA40F6C"/>
        <bgColor indexed="64"/>
      </patternFill>
    </fill>
    <fill>
      <patternFill patternType="solid">
        <fgColor rgb="FF55970B"/>
        <bgColor indexed="64"/>
      </patternFill>
    </fill>
    <fill>
      <patternFill patternType="solid">
        <fgColor rgb="FFB2677A"/>
        <bgColor indexed="64"/>
      </patternFill>
    </fill>
    <fill>
      <patternFill patternType="solid">
        <fgColor rgb="FFB33A60"/>
        <bgColor indexed="64"/>
      </patternFill>
    </fill>
    <fill>
      <patternFill patternType="solid">
        <fgColor rgb="FF4B629D"/>
        <bgColor indexed="64"/>
      </patternFill>
    </fill>
    <fill>
      <patternFill patternType="solid">
        <fgColor rgb="FFA70A4B"/>
        <bgColor indexed="64"/>
      </patternFill>
    </fill>
    <fill>
      <patternFill patternType="solid">
        <fgColor rgb="FF4A4EA0"/>
        <bgColor indexed="64"/>
      </patternFill>
    </fill>
    <fill>
      <patternFill patternType="solid">
        <fgColor rgb="FF78A783"/>
        <bgColor indexed="64"/>
      </patternFill>
    </fill>
    <fill>
      <patternFill patternType="solid">
        <fgColor rgb="FF310273"/>
        <bgColor indexed="64"/>
      </patternFill>
    </fill>
    <fill>
      <patternFill patternType="solid">
        <fgColor rgb="FF70582F"/>
        <bgColor indexed="64"/>
      </patternFill>
    </fill>
    <fill>
      <patternFill patternType="solid">
        <fgColor rgb="FF7F6F26"/>
        <bgColor indexed="64"/>
      </patternFill>
    </fill>
    <fill>
      <patternFill patternType="solid">
        <fgColor rgb="FF7B604A"/>
        <bgColor indexed="64"/>
      </patternFill>
    </fill>
    <fill>
      <patternFill patternType="solid">
        <fgColor rgb="FF577EB5"/>
        <bgColor indexed="64"/>
      </patternFill>
    </fill>
    <fill>
      <patternFill patternType="solid">
        <fgColor rgb="FF78BB80"/>
        <bgColor indexed="64"/>
      </patternFill>
    </fill>
    <fill>
      <patternFill patternType="solid">
        <fgColor rgb="FF602D3B"/>
        <bgColor indexed="64"/>
      </patternFill>
    </fill>
    <fill>
      <patternFill patternType="solid">
        <fgColor rgb="FF89A45C"/>
        <bgColor indexed="64"/>
      </patternFill>
    </fill>
    <fill>
      <patternFill patternType="solid">
        <fgColor rgb="FF86BD7A"/>
        <bgColor indexed="64"/>
      </patternFill>
    </fill>
    <fill>
      <patternFill patternType="solid">
        <fgColor rgb="FFC06A75"/>
        <bgColor indexed="64"/>
      </patternFill>
    </fill>
    <fill>
      <patternFill patternType="solid">
        <fgColor rgb="FF4B769A"/>
        <bgColor indexed="64"/>
      </patternFill>
    </fill>
    <fill>
      <patternFill patternType="solid">
        <fgColor rgb="FF0E3513"/>
        <bgColor indexed="64"/>
      </patternFill>
    </fill>
    <fill>
      <patternFill patternType="solid">
        <fgColor rgb="FF2E49AB"/>
        <bgColor indexed="64"/>
      </patternFill>
    </fill>
    <fill>
      <patternFill patternType="solid">
        <fgColor rgb="FF7F2D0F"/>
        <bgColor indexed="64"/>
      </patternFill>
    </fill>
    <fill>
      <patternFill patternType="solid">
        <fgColor rgb="FF760C9D"/>
        <bgColor indexed="64"/>
      </patternFill>
    </fill>
    <fill>
      <patternFill patternType="solid">
        <fgColor rgb="FF9AA136"/>
        <bgColor indexed="64"/>
      </patternFill>
    </fill>
    <fill>
      <patternFill patternType="solid">
        <fgColor rgb="FF14B181"/>
        <bgColor indexed="64"/>
      </patternFill>
    </fill>
    <fill>
      <patternFill patternType="solid">
        <fgColor rgb="FF497CBB"/>
        <bgColor indexed="64"/>
      </patternFill>
    </fill>
    <fill>
      <patternFill patternType="solid">
        <fgColor rgb="FF187E45"/>
        <bgColor indexed="64"/>
      </patternFill>
    </fill>
    <fill>
      <patternFill patternType="solid">
        <fgColor rgb="FF9D5BC5"/>
        <bgColor indexed="64"/>
      </patternFill>
    </fill>
    <fill>
      <patternFill patternType="solid">
        <fgColor rgb="FF3A65C4"/>
        <bgColor indexed="64"/>
      </patternFill>
    </fill>
    <fill>
      <patternFill patternType="solid">
        <fgColor rgb="FF511644"/>
        <bgColor indexed="64"/>
      </patternFill>
    </fill>
    <fill>
      <patternFill patternType="solid">
        <fgColor rgb="FFC13C5A"/>
        <bgColor indexed="64"/>
      </patternFill>
    </fill>
    <fill>
      <patternFill patternType="solid">
        <fgColor rgb="FFAB9F0F"/>
        <bgColor indexed="64"/>
      </patternFill>
    </fill>
    <fill>
      <patternFill patternType="solid">
        <fgColor rgb="FF69A488"/>
        <bgColor indexed="64"/>
      </patternFill>
    </fill>
    <fill>
      <patternFill patternType="solid">
        <fgColor rgb="FF998D39"/>
        <bgColor indexed="64"/>
      </patternFill>
    </fill>
    <fill>
      <patternFill patternType="solid">
        <fgColor rgb="FFAD86B9"/>
        <bgColor indexed="64"/>
      </patternFill>
    </fill>
    <fill>
      <patternFill patternType="solid">
        <fgColor rgb="FF302F8D"/>
        <bgColor indexed="64"/>
      </patternFill>
    </fill>
    <fill>
      <patternFill patternType="solid">
        <fgColor rgb="FF102FBA"/>
        <bgColor indexed="64"/>
      </patternFill>
    </fill>
    <fill>
      <patternFill patternType="solid">
        <fgColor rgb="FF23C778"/>
        <bgColor indexed="64"/>
      </patternFill>
    </fill>
    <fill>
      <patternFill patternType="solid">
        <fgColor rgb="FF101BBD"/>
        <bgColor indexed="64"/>
      </patternFill>
    </fill>
    <fill>
      <patternFill patternType="solid">
        <fgColor rgb="FFBC9CB0"/>
        <bgColor indexed="64"/>
      </patternFill>
    </fill>
    <fill>
      <patternFill patternType="solid">
        <fgColor rgb="FFBF978F"/>
        <bgColor indexed="64"/>
      </patternFill>
    </fill>
    <fill>
      <patternFill patternType="solid">
        <fgColor rgb="FFB44E5D"/>
        <bgColor indexed="64"/>
      </patternFill>
    </fill>
    <fill>
      <patternFill patternType="solid">
        <fgColor rgb="FF7A8D65"/>
        <bgColor indexed="64"/>
      </patternFill>
    </fill>
    <fill>
      <patternFill patternType="solid">
        <fgColor rgb="FFBF5678"/>
        <bgColor indexed="64"/>
      </patternFill>
    </fill>
    <fill>
      <patternFill patternType="solid">
        <fgColor rgb="FF1C4B0A"/>
        <bgColor indexed="64"/>
      </patternFill>
    </fill>
    <fill>
      <patternFill patternType="solid">
        <fgColor rgb="FFBDB1AD"/>
        <bgColor indexed="64"/>
      </patternFill>
    </fill>
    <fill>
      <patternFill patternType="solid">
        <fgColor rgb="FF5B4B7A"/>
        <bgColor indexed="64"/>
      </patternFill>
    </fill>
    <fill>
      <patternFill patternType="solid">
        <fgColor rgb="FF059A8A"/>
        <bgColor indexed="64"/>
      </patternFill>
    </fill>
    <fill>
      <patternFill patternType="solid">
        <fgColor rgb="FF8114B9"/>
        <bgColor indexed="64"/>
      </patternFill>
    </fill>
    <fill>
      <patternFill patternType="solid">
        <fgColor rgb="FF3D60A3"/>
        <bgColor indexed="64"/>
      </patternFill>
    </fill>
    <fill>
      <patternFill patternType="solid">
        <fgColor rgb="FF469511"/>
        <bgColor indexed="64"/>
      </patternFill>
    </fill>
    <fill>
      <patternFill patternType="solid">
        <fgColor rgb="FF522A40"/>
        <bgColor indexed="64"/>
      </patternFill>
    </fill>
    <fill>
      <patternFill patternType="solid">
        <fgColor rgb="FF286722"/>
        <bgColor indexed="64"/>
      </patternFill>
    </fill>
    <fill>
      <patternFill patternType="solid">
        <fgColor rgb="FFC4233C"/>
        <bgColor indexed="64"/>
      </patternFill>
    </fill>
    <fill>
      <patternFill patternType="solid">
        <fgColor rgb="FF712A14"/>
        <bgColor indexed="64"/>
      </patternFill>
    </fill>
    <fill>
      <patternFill patternType="solid">
        <fgColor rgb="FF169763"/>
        <bgColor indexed="64"/>
      </patternFill>
    </fill>
    <fill>
      <patternFill patternType="solid">
        <fgColor rgb="FFA27E9E"/>
        <bgColor indexed="64"/>
      </patternFill>
    </fill>
    <fill>
      <patternFill patternType="solid">
        <fgColor rgb="FF5820C6"/>
        <bgColor indexed="64"/>
      </patternFill>
    </fill>
    <fill>
      <patternFill patternType="solid">
        <fgColor rgb="FFA64B62"/>
        <bgColor indexed="64"/>
      </patternFill>
    </fill>
    <fill>
      <patternFill patternType="solid">
        <fgColor rgb="FFACC709"/>
        <bgColor indexed="64"/>
      </patternFill>
    </fill>
    <fill>
      <patternFill patternType="solid">
        <fgColor rgb="FF92A9BE"/>
        <bgColor indexed="64"/>
      </patternFill>
    </fill>
    <fill>
      <patternFill patternType="solid">
        <fgColor rgb="FF60834F"/>
        <bgColor indexed="64"/>
      </patternFill>
    </fill>
    <fill>
      <patternFill patternType="solid">
        <fgColor rgb="FF528054"/>
        <bgColor indexed="64"/>
      </patternFill>
    </fill>
    <fill>
      <patternFill patternType="solid">
        <fgColor rgb="FFBA431A"/>
        <bgColor indexed="64"/>
      </patternFill>
    </fill>
    <fill>
      <patternFill patternType="solid">
        <fgColor rgb="FF2F71A5"/>
        <bgColor indexed="64"/>
      </patternFill>
    </fill>
    <fill>
      <patternFill patternType="solid">
        <fgColor rgb="FFA83244"/>
        <bgColor indexed="64"/>
      </patternFill>
    </fill>
    <fill>
      <patternFill patternType="solid">
        <fgColor rgb="FF73530E"/>
        <bgColor indexed="64"/>
      </patternFill>
    </fill>
    <fill>
      <patternFill patternType="solid">
        <fgColor rgb="FF3F9C99"/>
        <bgColor indexed="64"/>
      </patternFill>
    </fill>
    <fill>
      <patternFill patternType="solid">
        <fgColor rgb="FF9EC50E"/>
        <bgColor indexed="64"/>
      </patternFill>
    </fill>
    <fill>
      <patternFill patternType="solid">
        <fgColor rgb="FF326C84"/>
        <bgColor indexed="64"/>
      </patternFill>
    </fill>
    <fill>
      <patternFill patternType="solid">
        <fgColor rgb="FF9DB011"/>
        <bgColor indexed="64"/>
      </patternFill>
    </fill>
    <fill>
      <patternFill patternType="solid">
        <fgColor rgb="FF0341BC"/>
        <bgColor indexed="64"/>
      </patternFill>
    </fill>
    <fill>
      <patternFill patternType="solid">
        <fgColor rgb="FF8564AC"/>
        <bgColor indexed="64"/>
      </patternFill>
    </fill>
    <fill>
      <patternFill patternType="solid">
        <fgColor rgb="FF31448A"/>
        <bgColor indexed="64"/>
      </patternFill>
    </fill>
    <fill>
      <patternFill patternType="solid">
        <fgColor rgb="FF3F5A81"/>
        <bgColor indexed="64"/>
      </patternFill>
    </fill>
    <fill>
      <patternFill patternType="solid">
        <fgColor rgb="FF07C283"/>
        <bgColor indexed="64"/>
      </patternFill>
    </fill>
    <fill>
      <patternFill patternType="solid">
        <fgColor rgb="FFAA1926"/>
        <bgColor indexed="64"/>
      </patternFill>
    </fill>
    <fill>
      <patternFill patternType="solid">
        <fgColor rgb="FF39A613"/>
        <bgColor indexed="64"/>
      </patternFill>
    </fill>
    <fill>
      <patternFill patternType="solid">
        <fgColor rgb="FFB48F74"/>
        <bgColor indexed="64"/>
      </patternFill>
    </fill>
    <fill>
      <patternFill patternType="solid">
        <fgColor rgb="FF143E95"/>
        <bgColor indexed="64"/>
      </patternFill>
    </fill>
    <fill>
      <patternFill patternType="solid">
        <fgColor rgb="FF1258B3"/>
        <bgColor indexed="64"/>
      </patternFill>
    </fill>
    <fill>
      <patternFill patternType="solid">
        <fgColor rgb="FF4C04AE"/>
        <bgColor indexed="64"/>
      </patternFill>
    </fill>
    <fill>
      <patternFill patternType="solid">
        <fgColor rgb="FF9F110B"/>
        <bgColor indexed="64"/>
      </patternFill>
    </fill>
    <fill>
      <patternFill patternType="solid">
        <fgColor rgb="FF61974C"/>
        <bgColor indexed="64"/>
      </patternFill>
    </fill>
    <fill>
      <patternFill patternType="solid">
        <fgColor rgb="FF81AB1C"/>
        <bgColor indexed="64"/>
      </patternFill>
    </fill>
    <fill>
      <patternFill patternType="solid">
        <fgColor rgb="FF0B8F48"/>
        <bgColor indexed="64"/>
      </patternFill>
    </fill>
    <fill>
      <patternFill patternType="solid">
        <fgColor rgb="FF37C031"/>
        <bgColor indexed="64"/>
      </patternFill>
    </fill>
    <fill>
      <patternFill patternType="solid">
        <fgColor rgb="FF253C6F"/>
        <bgColor indexed="64"/>
      </patternFill>
    </fill>
    <fill>
      <patternFill patternType="solid">
        <fgColor rgb="FF684BBA"/>
        <bgColor indexed="64"/>
      </patternFill>
    </fill>
    <fill>
      <patternFill patternType="solid">
        <fgColor rgb="FF9C162C"/>
        <bgColor indexed="64"/>
      </patternFill>
    </fill>
    <fill>
      <patternFill patternType="solid">
        <fgColor rgb="FF6C187F"/>
        <bgColor indexed="64"/>
      </patternFill>
    </fill>
    <fill>
      <patternFill patternType="solid">
        <fgColor rgb="FF29BD36"/>
        <bgColor indexed="64"/>
      </patternFill>
    </fill>
    <fill>
      <patternFill patternType="solid">
        <fgColor rgb="FF8DC735"/>
        <bgColor indexed="64"/>
      </patternFill>
    </fill>
    <fill>
      <patternFill patternType="solid">
        <fgColor rgb="FFA5797D"/>
        <bgColor indexed="64"/>
      </patternFill>
    </fill>
    <fill>
      <patternFill patternType="solid">
        <fgColor rgb="FF4D9F93"/>
        <bgColor indexed="64"/>
      </patternFill>
    </fill>
    <fill>
      <patternFill patternType="solid">
        <fgColor rgb="FF363948"/>
        <bgColor indexed="64"/>
      </patternFill>
    </fill>
    <fill>
      <patternFill patternType="solid">
        <fgColor rgb="FF2A901C"/>
        <bgColor indexed="64"/>
      </patternFill>
    </fill>
    <fill>
      <patternFill patternType="solid">
        <fgColor rgb="FF242872"/>
        <bgColor indexed="64"/>
      </patternFill>
    </fill>
    <fill>
      <patternFill patternType="solid">
        <fgColor rgb="FF39202A"/>
        <bgColor indexed="64"/>
      </patternFill>
    </fill>
    <fill>
      <patternFill patternType="solid">
        <fgColor rgb="FF8392C7"/>
        <bgColor indexed="64"/>
      </patternFill>
    </fill>
    <fill>
      <patternFill patternType="solid">
        <fgColor rgb="FF991B4D"/>
        <bgColor indexed="64"/>
      </patternFill>
    </fill>
    <fill>
      <patternFill patternType="solid">
        <fgColor rgb="FF7662B1"/>
        <bgColor indexed="64"/>
      </patternFill>
    </fill>
    <fill>
      <patternFill patternType="solid">
        <fgColor rgb="FF637E2E"/>
        <bgColor indexed="64"/>
      </patternFill>
    </fill>
    <fill>
      <patternFill patternType="solid">
        <fgColor rgb="FF473722"/>
        <bgColor indexed="64"/>
      </patternFill>
    </fill>
    <fill>
      <patternFill patternType="solid">
        <fgColor rgb="FF808323"/>
        <bgColor indexed="64"/>
      </patternFill>
    </fill>
    <fill>
      <patternFill patternType="solid">
        <fgColor rgb="FF7539B8"/>
        <bgColor indexed="64"/>
      </patternFill>
    </fill>
    <fill>
      <patternFill patternType="solid">
        <fgColor rgb="FF05289E"/>
        <bgColor indexed="64"/>
      </patternFill>
    </fill>
    <fill>
      <patternFill patternType="solid">
        <fgColor rgb="FF4BB8B1"/>
        <bgColor indexed="64"/>
      </patternFill>
    </fill>
    <fill>
      <patternFill patternType="solid">
        <fgColor rgb="FF70AE43"/>
        <bgColor indexed="64"/>
      </patternFill>
    </fill>
    <fill>
      <patternFill patternType="solid">
        <fgColor rgb="FF7D9C41"/>
        <bgColor indexed="64"/>
      </patternFill>
    </fill>
    <fill>
      <patternFill patternType="solid">
        <fgColor rgb="FFAFAEB3"/>
        <bgColor indexed="64"/>
      </patternFill>
    </fill>
    <fill>
      <patternFill patternType="solid">
        <fgColor rgb="FF5934C3"/>
        <bgColor indexed="64"/>
      </patternFill>
    </fill>
    <fill>
      <patternFill patternType="solid">
        <fgColor rgb="FF0D762A"/>
        <bgColor indexed="64"/>
      </patternFill>
    </fill>
    <fill>
      <patternFill patternType="solid">
        <fgColor rgb="FF90C214"/>
        <bgColor indexed="64"/>
      </patternFill>
    </fill>
    <fill>
      <patternFill patternType="solid">
        <fgColor rgb="FF9A2F4A"/>
        <bgColor indexed="64"/>
      </patternFill>
    </fill>
    <fill>
      <patternFill patternType="solid">
        <fgColor rgb="FF13169C"/>
        <bgColor indexed="64"/>
      </patternFill>
    </fill>
    <fill>
      <patternFill patternType="solid">
        <fgColor rgb="FF7C025B"/>
        <bgColor indexed="64"/>
      </patternFill>
    </fill>
    <fill>
      <patternFill patternType="solid">
        <fgColor rgb="FF4F8576"/>
        <bgColor indexed="64"/>
      </patternFill>
    </fill>
    <fill>
      <patternFill patternType="solid">
        <fgColor rgb="FFC58D4D"/>
        <bgColor indexed="64"/>
      </patternFill>
    </fill>
    <fill>
      <patternFill patternType="solid">
        <fgColor rgb="FF6A329C"/>
        <bgColor indexed="64"/>
      </patternFill>
    </fill>
    <fill>
      <patternFill patternType="solid">
        <fgColor rgb="FF626931"/>
        <bgColor indexed="64"/>
      </patternFill>
    </fill>
    <fill>
      <patternFill patternType="solid">
        <fgColor rgb="FF180C5A"/>
        <bgColor indexed="64"/>
      </patternFill>
    </fill>
    <fill>
      <patternFill patternType="solid">
        <fgColor rgb="FF6737BD"/>
        <bgColor indexed="64"/>
      </patternFill>
    </fill>
    <fill>
      <patternFill patternType="solid">
        <fgColor rgb="FF6DB364"/>
        <bgColor indexed="64"/>
      </patternFill>
    </fill>
    <fill>
      <patternFill patternType="solid">
        <fgColor rgb="FF881E74"/>
        <bgColor indexed="64"/>
      </patternFill>
    </fill>
    <fill>
      <patternFill patternType="solid">
        <fgColor rgb="FF216EAA"/>
        <bgColor indexed="64"/>
      </patternFill>
    </fill>
    <fill>
      <patternFill patternType="solid">
        <fgColor rgb="FF48BD0A"/>
        <bgColor indexed="64"/>
      </patternFill>
    </fill>
    <fill>
      <patternFill patternType="solid">
        <fgColor rgb="FF7B2F76"/>
        <bgColor indexed="64"/>
      </patternFill>
    </fill>
    <fill>
      <patternFill patternType="solid">
        <fgColor rgb="FFB85D38"/>
        <bgColor indexed="64"/>
      </patternFill>
    </fill>
    <fill>
      <patternFill patternType="solid">
        <fgColor rgb="FF691EA0"/>
        <bgColor indexed="64"/>
      </patternFill>
    </fill>
    <fill>
      <patternFill patternType="solid">
        <fgColor rgb="FF333E69"/>
        <bgColor indexed="64"/>
      </patternFill>
    </fill>
    <fill>
      <patternFill patternType="solid">
        <fgColor rgb="FF35114F"/>
        <bgColor indexed="64"/>
      </patternFill>
    </fill>
    <fill>
      <patternFill patternType="solid">
        <fgColor rgb="FF5FB06A"/>
        <bgColor indexed="64"/>
      </patternFill>
    </fill>
    <fill>
      <patternFill patternType="solid">
        <fgColor rgb="FF28A93A"/>
        <bgColor indexed="64"/>
      </patternFill>
    </fill>
    <fill>
      <patternFill patternType="solid">
        <fgColor rgb="FF5E9C6D"/>
        <bgColor indexed="64"/>
      </patternFill>
    </fill>
    <fill>
      <patternFill patternType="solid">
        <fgColor rgb="FF8C2D4F"/>
        <bgColor indexed="64"/>
      </patternFill>
    </fill>
    <fill>
      <patternFill patternType="solid">
        <fgColor rgb="FF45503F"/>
        <bgColor indexed="64"/>
      </patternFill>
    </fill>
    <fill>
      <patternFill patternType="solid">
        <fgColor rgb="FFB92F1E"/>
        <bgColor indexed="64"/>
      </patternFill>
    </fill>
    <fill>
      <patternFill patternType="solid">
        <fgColor rgb="FF004615"/>
        <bgColor indexed="64"/>
      </patternFill>
    </fill>
    <fill>
      <patternFill patternType="solid">
        <fgColor rgb="FF8FAE17"/>
        <bgColor indexed="64"/>
      </patternFill>
    </fill>
    <fill>
      <patternFill patternType="solid">
        <fgColor rgb="FF6B0482"/>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4" tint="0.59999389629810485"/>
        <bgColor indexed="64"/>
      </patternFill>
    </fill>
  </fills>
  <borders count="17">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bottom/>
      <diagonal/>
    </border>
  </borders>
  <cellStyleXfs count="13">
    <xf numFmtId="0" fontId="0" fillId="0" borderId="0"/>
    <xf numFmtId="164" fontId="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73" fontId="2" fillId="0" borderId="0" applyFont="0" applyFill="0" applyBorder="0" applyAlignment="0" applyProtection="0"/>
    <xf numFmtId="0" fontId="2" fillId="0" borderId="0"/>
    <xf numFmtId="175" fontId="2" fillId="0" borderId="0" applyFont="0" applyFill="0" applyBorder="0" applyAlignment="0" applyProtection="0"/>
    <xf numFmtId="43" fontId="1" fillId="0" borderId="0" applyFont="0" applyFill="0" applyBorder="0" applyAlignment="0" applyProtection="0"/>
    <xf numFmtId="164" fontId="2" fillId="0" borderId="0" applyFont="0" applyFill="0" applyBorder="0" applyAlignment="0" applyProtection="0"/>
    <xf numFmtId="0" fontId="2" fillId="0" borderId="0"/>
  </cellStyleXfs>
  <cellXfs count="1051">
    <xf numFmtId="0" fontId="0" fillId="0" borderId="0" xfId="0"/>
    <xf numFmtId="0" fontId="5" fillId="0" borderId="0" xfId="0" applyFont="1"/>
    <xf numFmtId="0" fontId="8" fillId="0" borderId="0" xfId="0" applyFont="1"/>
    <xf numFmtId="165" fontId="16" fillId="0" borderId="2" xfId="1" applyNumberFormat="1" applyFont="1" applyFill="1" applyBorder="1" applyAlignment="1">
      <alignment vertical="center"/>
    </xf>
    <xf numFmtId="0" fontId="16" fillId="0" borderId="2" xfId="0" applyFont="1" applyBorder="1" applyAlignment="1">
      <alignment horizontal="center" vertical="center"/>
    </xf>
    <xf numFmtId="0" fontId="16" fillId="0" borderId="2" xfId="0" applyFont="1" applyBorder="1" applyAlignment="1">
      <alignment vertical="center"/>
    </xf>
    <xf numFmtId="0" fontId="5" fillId="0" borderId="0" xfId="0" applyFont="1" applyAlignment="1">
      <alignment vertical="top"/>
    </xf>
    <xf numFmtId="0" fontId="5" fillId="0" borderId="0" xfId="0" applyFont="1" applyAlignment="1">
      <alignment horizontal="center" vertical="center"/>
    </xf>
    <xf numFmtId="164" fontId="5" fillId="0" borderId="0" xfId="1" applyFont="1" applyFill="1"/>
    <xf numFmtId="0" fontId="11" fillId="0" borderId="2" xfId="0" applyFont="1" applyBorder="1" applyAlignment="1">
      <alignment vertical="center"/>
    </xf>
    <xf numFmtId="0" fontId="17" fillId="0" borderId="2" xfId="0" applyFont="1" applyBorder="1" applyAlignment="1">
      <alignment vertical="center"/>
    </xf>
    <xf numFmtId="0" fontId="10" fillId="0" borderId="2" xfId="2" applyFont="1" applyBorder="1" applyAlignment="1">
      <alignment horizontal="center" vertical="center" wrapText="1"/>
    </xf>
    <xf numFmtId="166" fontId="10" fillId="0" borderId="2" xfId="2" applyNumberFormat="1" applyFont="1" applyBorder="1" applyAlignment="1">
      <alignment horizontal="center" vertical="center" wrapText="1"/>
    </xf>
    <xf numFmtId="164" fontId="10" fillId="0" borderId="2" xfId="1" applyFont="1" applyFill="1" applyBorder="1" applyAlignment="1">
      <alignment horizontal="right" vertical="center" wrapText="1"/>
    </xf>
    <xf numFmtId="164" fontId="10" fillId="0" borderId="2" xfId="1" applyFont="1" applyFill="1" applyBorder="1" applyAlignment="1">
      <alignment horizontal="right" vertical="center"/>
    </xf>
    <xf numFmtId="164" fontId="10" fillId="0" borderId="2" xfId="1" applyFont="1" applyFill="1" applyBorder="1" applyAlignment="1">
      <alignment horizontal="left" vertical="center"/>
    </xf>
    <xf numFmtId="0" fontId="4" fillId="0" borderId="2" xfId="0" applyFont="1" applyBorder="1"/>
    <xf numFmtId="0" fontId="5" fillId="0" borderId="2" xfId="0" applyFont="1" applyBorder="1"/>
    <xf numFmtId="167" fontId="10" fillId="0" borderId="2" xfId="2" applyNumberFormat="1" applyFont="1" applyBorder="1" applyAlignment="1">
      <alignment horizontal="center" vertical="center" wrapText="1"/>
    </xf>
    <xf numFmtId="168" fontId="10" fillId="0" borderId="2" xfId="2" applyNumberFormat="1" applyFont="1" applyBorder="1" applyAlignment="1">
      <alignment horizontal="center" vertical="center" wrapText="1"/>
    </xf>
    <xf numFmtId="0" fontId="10" fillId="0" borderId="2" xfId="0" applyFont="1" applyBorder="1" applyAlignment="1">
      <alignment horizontal="center" vertical="center"/>
    </xf>
    <xf numFmtId="164" fontId="10" fillId="0" borderId="2" xfId="1" applyFont="1" applyFill="1" applyBorder="1" applyAlignment="1">
      <alignment horizontal="center" vertical="center" wrapText="1" readingOrder="1"/>
    </xf>
    <xf numFmtId="0" fontId="10" fillId="0" borderId="2" xfId="0" applyFont="1" applyBorder="1" applyAlignment="1">
      <alignment horizontal="center" vertical="center" wrapText="1"/>
    </xf>
    <xf numFmtId="0" fontId="12" fillId="0" borderId="2" xfId="5" applyFont="1" applyBorder="1"/>
    <xf numFmtId="169" fontId="10" fillId="0" borderId="2" xfId="2" applyNumberFormat="1" applyFont="1" applyBorder="1" applyAlignment="1">
      <alignment horizontal="center" vertical="center" wrapText="1"/>
    </xf>
    <xf numFmtId="164" fontId="10" fillId="0" borderId="2" xfId="1" applyFont="1" applyFill="1" applyBorder="1" applyAlignment="1">
      <alignment horizontal="center" vertical="center"/>
    </xf>
    <xf numFmtId="170" fontId="10" fillId="0" borderId="2" xfId="6" applyNumberFormat="1" applyFont="1" applyBorder="1" applyAlignment="1">
      <alignment horizontal="center" vertical="center" wrapText="1"/>
    </xf>
    <xf numFmtId="171" fontId="10" fillId="0" borderId="2" xfId="6" applyNumberFormat="1" applyFont="1" applyBorder="1" applyAlignment="1">
      <alignment horizontal="center" vertical="center" wrapText="1"/>
    </xf>
    <xf numFmtId="164" fontId="7" fillId="2" borderId="2" xfId="1" applyFont="1" applyFill="1" applyBorder="1" applyAlignment="1">
      <alignment horizontal="center" vertical="center" wrapText="1"/>
    </xf>
    <xf numFmtId="170" fontId="10" fillId="0" borderId="2" xfId="2" applyNumberFormat="1" applyFont="1" applyBorder="1" applyAlignment="1">
      <alignment horizontal="center" vertical="center" wrapText="1"/>
    </xf>
    <xf numFmtId="164" fontId="10" fillId="0" borderId="2" xfId="1" applyFont="1" applyFill="1" applyBorder="1" applyAlignment="1">
      <alignment vertical="center"/>
    </xf>
    <xf numFmtId="172" fontId="10" fillId="0" borderId="2" xfId="3" applyNumberFormat="1" applyFont="1" applyBorder="1" applyAlignment="1">
      <alignment horizontal="center" vertical="center"/>
    </xf>
    <xf numFmtId="170" fontId="10" fillId="0" borderId="2" xfId="0" applyNumberFormat="1" applyFont="1" applyBorder="1" applyAlignment="1">
      <alignment horizontal="center" vertical="center" wrapText="1"/>
    </xf>
    <xf numFmtId="164" fontId="10" fillId="0" borderId="2" xfId="1" applyFont="1" applyFill="1" applyBorder="1" applyAlignment="1">
      <alignment horizontal="center" vertical="center" wrapText="1"/>
    </xf>
    <xf numFmtId="174" fontId="10" fillId="0" borderId="2" xfId="0" applyNumberFormat="1" applyFont="1" applyBorder="1" applyAlignment="1">
      <alignment horizontal="center" vertical="center" wrapText="1"/>
    </xf>
    <xf numFmtId="0" fontId="10" fillId="0" borderId="2" xfId="8" applyFont="1" applyBorder="1" applyAlignment="1">
      <alignment horizontal="center" vertical="center" wrapText="1"/>
    </xf>
    <xf numFmtId="172" fontId="10" fillId="0" borderId="2" xfId="2" applyNumberFormat="1" applyFont="1" applyBorder="1" applyAlignment="1">
      <alignment horizontal="center" vertical="center" wrapText="1"/>
    </xf>
    <xf numFmtId="169" fontId="10" fillId="0" borderId="2" xfId="0" applyNumberFormat="1" applyFont="1" applyBorder="1" applyAlignment="1">
      <alignment horizontal="center" vertical="center"/>
    </xf>
    <xf numFmtId="171" fontId="10" fillId="0" borderId="2" xfId="0" applyNumberFormat="1" applyFont="1" applyBorder="1" applyAlignment="1">
      <alignment horizontal="center" vertical="center"/>
    </xf>
    <xf numFmtId="164" fontId="10" fillId="0" borderId="2" xfId="1" applyFont="1" applyFill="1" applyBorder="1" applyAlignment="1">
      <alignment horizontal="justify" vertical="center" wrapText="1"/>
    </xf>
    <xf numFmtId="164" fontId="10" fillId="0" borderId="2" xfId="1" applyFont="1" applyFill="1" applyBorder="1" applyAlignment="1">
      <alignment vertical="center" wrapText="1"/>
    </xf>
    <xf numFmtId="0" fontId="13" fillId="0" borderId="2" xfId="0" applyFont="1" applyBorder="1" applyAlignment="1">
      <alignment horizontal="center" vertical="center" wrapText="1"/>
    </xf>
    <xf numFmtId="0" fontId="13" fillId="0" borderId="2" xfId="3" applyFont="1" applyBorder="1" applyAlignment="1">
      <alignment horizontal="center" vertical="center" wrapText="1"/>
    </xf>
    <xf numFmtId="2" fontId="10" fillId="0" borderId="2" xfId="2" applyNumberFormat="1" applyFont="1" applyBorder="1" applyAlignment="1">
      <alignment horizontal="center" vertical="center" wrapText="1"/>
    </xf>
    <xf numFmtId="0" fontId="10" fillId="0" borderId="2" xfId="4" applyFont="1" applyBorder="1" applyAlignment="1">
      <alignment horizontal="center" vertical="top"/>
    </xf>
    <xf numFmtId="0" fontId="5" fillId="0" borderId="2" xfId="0" applyFont="1" applyBorder="1" applyAlignment="1">
      <alignment horizontal="center" vertical="center"/>
    </xf>
    <xf numFmtId="164" fontId="5" fillId="0" borderId="2" xfId="1" applyFont="1" applyFill="1" applyBorder="1" applyAlignment="1">
      <alignment vertical="center"/>
    </xf>
    <xf numFmtId="0" fontId="0" fillId="0" borderId="2" xfId="0" applyBorder="1" applyAlignment="1">
      <alignment horizontal="center" vertical="center"/>
    </xf>
    <xf numFmtId="0" fontId="16" fillId="0" borderId="2" xfId="0" applyFont="1" applyBorder="1"/>
    <xf numFmtId="0" fontId="19" fillId="0" borderId="2" xfId="0" applyFont="1" applyBorder="1" applyAlignment="1">
      <alignment horizontal="center" vertical="center"/>
    </xf>
    <xf numFmtId="172" fontId="17" fillId="0" borderId="2" xfId="0" applyNumberFormat="1" applyFont="1" applyBorder="1" applyAlignment="1">
      <alignment horizontal="center" vertical="center"/>
    </xf>
    <xf numFmtId="2" fontId="17" fillId="0" borderId="2" xfId="0" applyNumberFormat="1" applyFont="1" applyBorder="1" applyAlignment="1">
      <alignment horizontal="center" vertical="center"/>
    </xf>
    <xf numFmtId="166" fontId="17" fillId="0" borderId="2" xfId="0" applyNumberFormat="1" applyFont="1" applyBorder="1" applyAlignment="1">
      <alignment horizontal="center" vertical="center"/>
    </xf>
    <xf numFmtId="168" fontId="16" fillId="0" borderId="2" xfId="0" applyNumberFormat="1" applyFont="1" applyBorder="1" applyAlignment="1">
      <alignment horizontal="center" vertical="center"/>
    </xf>
    <xf numFmtId="168" fontId="17" fillId="0" borderId="2" xfId="0" applyNumberFormat="1" applyFont="1" applyBorder="1" applyAlignment="1">
      <alignment horizontal="center" vertical="center"/>
    </xf>
    <xf numFmtId="1" fontId="10" fillId="0" borderId="2" xfId="0" applyNumberFormat="1" applyFont="1" applyBorder="1" applyAlignment="1">
      <alignment horizontal="center" vertical="center"/>
    </xf>
    <xf numFmtId="165" fontId="21" fillId="0" borderId="2" xfId="1" applyNumberFormat="1" applyFont="1" applyFill="1" applyBorder="1" applyAlignment="1">
      <alignment horizontal="center" vertical="center"/>
    </xf>
    <xf numFmtId="0" fontId="0" fillId="0" borderId="2" xfId="0" applyBorder="1" applyAlignment="1">
      <alignment horizontal="center" vertical="center" wrapText="1"/>
    </xf>
    <xf numFmtId="166" fontId="0" fillId="0" borderId="2" xfId="0" applyNumberFormat="1" applyBorder="1" applyAlignment="1">
      <alignment horizontal="center" vertical="center"/>
    </xf>
    <xf numFmtId="177" fontId="10" fillId="0" borderId="2" xfId="2" applyNumberFormat="1" applyFont="1" applyBorder="1" applyAlignment="1">
      <alignment horizontal="right" vertical="center"/>
    </xf>
    <xf numFmtId="0" fontId="0" fillId="0" borderId="2" xfId="0" applyBorder="1" applyAlignment="1">
      <alignment vertical="center"/>
    </xf>
    <xf numFmtId="1" fontId="21" fillId="0" borderId="2" xfId="0" applyNumberFormat="1" applyFont="1" applyBorder="1" applyAlignment="1">
      <alignment horizontal="center" vertical="center" wrapText="1"/>
    </xf>
    <xf numFmtId="166" fontId="5" fillId="0" borderId="2" xfId="0" applyNumberFormat="1" applyFont="1" applyBorder="1" applyAlignment="1">
      <alignment horizontal="center" vertical="center"/>
    </xf>
    <xf numFmtId="172" fontId="5" fillId="0" borderId="2" xfId="0" applyNumberFormat="1" applyFont="1" applyBorder="1" applyAlignment="1">
      <alignment horizontal="center" vertical="center"/>
    </xf>
    <xf numFmtId="164" fontId="16" fillId="0" borderId="2" xfId="1" applyFont="1" applyFill="1" applyBorder="1" applyAlignment="1">
      <alignment vertical="center"/>
    </xf>
    <xf numFmtId="164" fontId="19" fillId="0" borderId="2" xfId="1" applyFont="1" applyFill="1" applyBorder="1" applyAlignment="1">
      <alignment horizontal="center" vertical="center"/>
    </xf>
    <xf numFmtId="3" fontId="10" fillId="0" borderId="2" xfId="2" applyNumberFormat="1" applyFont="1" applyBorder="1" applyAlignment="1">
      <alignment horizontal="right" vertical="center"/>
    </xf>
    <xf numFmtId="164" fontId="5" fillId="0" borderId="2" xfId="1" applyFont="1" applyFill="1" applyBorder="1"/>
    <xf numFmtId="165" fontId="5" fillId="0" borderId="2" xfId="1" applyNumberFormat="1" applyFont="1" applyFill="1" applyBorder="1"/>
    <xf numFmtId="0" fontId="11" fillId="3" borderId="2" xfId="0" applyFont="1" applyFill="1" applyBorder="1" applyAlignment="1">
      <alignment vertical="center"/>
    </xf>
    <xf numFmtId="0" fontId="11" fillId="4" borderId="2" xfId="0" applyFont="1" applyFill="1" applyBorder="1" applyAlignment="1">
      <alignment vertical="center"/>
    </xf>
    <xf numFmtId="164" fontId="10" fillId="4" borderId="2" xfId="1" applyFont="1" applyFill="1" applyBorder="1" applyAlignment="1">
      <alignment horizontal="right" vertical="center" wrapText="1"/>
    </xf>
    <xf numFmtId="164" fontId="10" fillId="4" borderId="2" xfId="1" applyFont="1" applyFill="1" applyBorder="1" applyAlignment="1">
      <alignment horizontal="right" vertical="center"/>
    </xf>
    <xf numFmtId="164" fontId="10" fillId="4" borderId="2" xfId="1" applyFont="1" applyFill="1" applyBorder="1" applyAlignment="1">
      <alignment horizontal="center" vertical="center"/>
    </xf>
    <xf numFmtId="164" fontId="10" fillId="4" borderId="2" xfId="1" applyFont="1" applyFill="1" applyBorder="1" applyAlignment="1">
      <alignment horizontal="center" vertical="center" wrapText="1"/>
    </xf>
    <xf numFmtId="0" fontId="17" fillId="4" borderId="2" xfId="0" applyFont="1" applyFill="1" applyBorder="1" applyAlignment="1">
      <alignment vertical="center"/>
    </xf>
    <xf numFmtId="0" fontId="16" fillId="4" borderId="2" xfId="0" applyFont="1" applyFill="1" applyBorder="1" applyAlignment="1">
      <alignment vertical="center"/>
    </xf>
    <xf numFmtId="172" fontId="17" fillId="4" borderId="2" xfId="0" applyNumberFormat="1" applyFont="1" applyFill="1" applyBorder="1" applyAlignment="1">
      <alignment horizontal="center" vertical="center"/>
    </xf>
    <xf numFmtId="166" fontId="17" fillId="4" borderId="2" xfId="0" applyNumberFormat="1" applyFont="1" applyFill="1" applyBorder="1" applyAlignment="1">
      <alignment horizontal="center" vertical="center"/>
    </xf>
    <xf numFmtId="168" fontId="16" fillId="4" borderId="2" xfId="0" applyNumberFormat="1" applyFont="1" applyFill="1" applyBorder="1" applyAlignment="1">
      <alignment horizontal="center" vertical="center"/>
    </xf>
    <xf numFmtId="168" fontId="17" fillId="4" borderId="2" xfId="0" applyNumberFormat="1" applyFont="1" applyFill="1" applyBorder="1" applyAlignment="1">
      <alignment horizontal="center" vertical="center"/>
    </xf>
    <xf numFmtId="1" fontId="10" fillId="4" borderId="2" xfId="0" applyNumberFormat="1" applyFont="1" applyFill="1" applyBorder="1" applyAlignment="1">
      <alignment horizontal="center" vertical="center"/>
    </xf>
    <xf numFmtId="0" fontId="0" fillId="4" borderId="2" xfId="0" applyFill="1" applyBorder="1" applyAlignment="1">
      <alignment horizontal="center" vertical="center"/>
    </xf>
    <xf numFmtId="0" fontId="0" fillId="4" borderId="2" xfId="0" applyFill="1" applyBorder="1" applyAlignment="1">
      <alignment vertical="center"/>
    </xf>
    <xf numFmtId="0" fontId="19" fillId="4" borderId="2" xfId="0" applyFont="1" applyFill="1" applyBorder="1" applyAlignment="1">
      <alignment horizontal="center" vertical="center"/>
    </xf>
    <xf numFmtId="1" fontId="21" fillId="4" borderId="2" xfId="0" applyNumberFormat="1" applyFont="1" applyFill="1" applyBorder="1" applyAlignment="1">
      <alignment horizontal="center" vertical="center" wrapText="1"/>
    </xf>
    <xf numFmtId="164" fontId="10" fillId="4" borderId="2" xfId="1" applyFont="1" applyFill="1" applyBorder="1" applyAlignment="1">
      <alignment vertical="center" wrapText="1"/>
    </xf>
    <xf numFmtId="164" fontId="10" fillId="4" borderId="2" xfId="1" applyFont="1" applyFill="1" applyBorder="1" applyAlignment="1">
      <alignment vertical="center"/>
    </xf>
    <xf numFmtId="0" fontId="4" fillId="3" borderId="2" xfId="0" applyFont="1" applyFill="1" applyBorder="1"/>
    <xf numFmtId="172" fontId="16" fillId="0" borderId="2" xfId="0" applyNumberFormat="1" applyFont="1" applyBorder="1" applyAlignment="1">
      <alignment horizontal="center" vertical="center"/>
    </xf>
    <xf numFmtId="176" fontId="19" fillId="0" borderId="2" xfId="0" applyNumberFormat="1" applyFont="1" applyBorder="1" applyAlignment="1">
      <alignment horizontal="center" vertical="center" wrapText="1"/>
    </xf>
    <xf numFmtId="166" fontId="16" fillId="0" borderId="2" xfId="0" applyNumberFormat="1" applyFont="1" applyBorder="1" applyAlignment="1">
      <alignment horizontal="center" vertical="center"/>
    </xf>
    <xf numFmtId="0" fontId="10" fillId="0" borderId="2" xfId="2" applyFont="1" applyBorder="1" applyAlignment="1">
      <alignment horizontal="left" vertical="top" wrapText="1"/>
    </xf>
    <xf numFmtId="0" fontId="10" fillId="0" borderId="2" xfId="8" applyFont="1" applyBorder="1" applyAlignment="1">
      <alignment horizontal="left" vertical="top" wrapText="1"/>
    </xf>
    <xf numFmtId="0" fontId="10" fillId="0" borderId="2" xfId="0" applyFont="1" applyBorder="1" applyAlignment="1">
      <alignment horizontal="left" vertical="top" wrapText="1"/>
    </xf>
    <xf numFmtId="0" fontId="10" fillId="0" borderId="2" xfId="0" applyFont="1" applyBorder="1" applyAlignment="1">
      <alignment horizontal="left" vertical="top"/>
    </xf>
    <xf numFmtId="2" fontId="10" fillId="0" borderId="2" xfId="2" applyNumberFormat="1" applyFont="1" applyBorder="1" applyAlignment="1">
      <alignment horizontal="left" vertical="top" wrapText="1"/>
    </xf>
    <xf numFmtId="0" fontId="0" fillId="0" borderId="2" xfId="0" applyBorder="1" applyAlignment="1">
      <alignment horizontal="left" vertical="top" wrapText="1"/>
    </xf>
    <xf numFmtId="0" fontId="13" fillId="0" borderId="2" xfId="0" applyFont="1" applyBorder="1" applyAlignment="1">
      <alignment horizontal="left" vertical="top" wrapText="1"/>
    </xf>
    <xf numFmtId="0" fontId="11" fillId="3" borderId="2" xfId="0" applyFont="1" applyFill="1" applyBorder="1" applyAlignment="1">
      <alignment horizontal="center" vertical="center"/>
    </xf>
    <xf numFmtId="164" fontId="5" fillId="0" borderId="2" xfId="1" applyFont="1" applyFill="1" applyBorder="1" applyAlignment="1">
      <alignment horizontal="center" vertical="center"/>
    </xf>
    <xf numFmtId="0" fontId="11" fillId="0" borderId="2" xfId="0" applyFont="1" applyBorder="1" applyAlignment="1">
      <alignment horizontal="center" vertical="center"/>
    </xf>
    <xf numFmtId="0" fontId="4" fillId="0" borderId="2" xfId="0" applyFont="1" applyBorder="1" applyAlignment="1">
      <alignment horizontal="center" vertical="center"/>
    </xf>
    <xf numFmtId="0" fontId="17" fillId="0" borderId="2" xfId="0" applyFont="1" applyBorder="1" applyAlignment="1">
      <alignment horizontal="center" vertical="center"/>
    </xf>
    <xf numFmtId="164" fontId="10" fillId="0" borderId="2" xfId="1" applyFont="1" applyBorder="1" applyAlignment="1">
      <alignment horizontal="center" vertical="center" wrapText="1"/>
    </xf>
    <xf numFmtId="0" fontId="10" fillId="0" borderId="2" xfId="1" applyNumberFormat="1" applyFont="1" applyFill="1" applyBorder="1" applyAlignment="1">
      <alignment horizontal="left" vertical="center"/>
    </xf>
    <xf numFmtId="169" fontId="16" fillId="0" borderId="2" xfId="0" applyNumberFormat="1" applyFont="1" applyBorder="1" applyAlignment="1">
      <alignment horizontal="center" vertical="center"/>
    </xf>
    <xf numFmtId="178" fontId="16" fillId="0" borderId="2" xfId="0" applyNumberFormat="1" applyFont="1" applyBorder="1" applyAlignment="1">
      <alignment horizontal="center" vertical="center"/>
    </xf>
    <xf numFmtId="179" fontId="16" fillId="0" borderId="2" xfId="0" applyNumberFormat="1" applyFont="1" applyBorder="1" applyAlignment="1">
      <alignment horizontal="center" vertical="center"/>
    </xf>
    <xf numFmtId="170" fontId="16" fillId="0" borderId="2" xfId="0" applyNumberFormat="1" applyFont="1" applyBorder="1" applyAlignment="1">
      <alignment horizontal="center" vertical="center"/>
    </xf>
    <xf numFmtId="180" fontId="16" fillId="0" borderId="2" xfId="0" applyNumberFormat="1" applyFont="1" applyBorder="1" applyAlignment="1">
      <alignment horizontal="center" vertical="center"/>
    </xf>
    <xf numFmtId="181" fontId="10" fillId="0" borderId="2" xfId="0" applyNumberFormat="1" applyFont="1" applyBorder="1" applyAlignment="1">
      <alignment horizontal="center" vertical="center"/>
    </xf>
    <xf numFmtId="0" fontId="7" fillId="5" borderId="2" xfId="2" applyFont="1" applyFill="1" applyBorder="1" applyAlignment="1">
      <alignment horizontal="center" vertical="center"/>
    </xf>
    <xf numFmtId="164" fontId="7" fillId="5" borderId="2" xfId="1" applyFont="1" applyFill="1" applyBorder="1" applyAlignment="1">
      <alignment horizontal="center" vertical="center" wrapText="1"/>
    </xf>
    <xf numFmtId="164" fontId="7" fillId="5" borderId="2" xfId="1" applyFont="1" applyFill="1" applyBorder="1" applyAlignment="1">
      <alignment horizontal="center" vertical="center"/>
    </xf>
    <xf numFmtId="0" fontId="10" fillId="0" borderId="2" xfId="2" applyFont="1" applyBorder="1" applyAlignment="1">
      <alignment horizontal="left" vertical="top"/>
    </xf>
    <xf numFmtId="0" fontId="10" fillId="0" borderId="2" xfId="2" applyFont="1" applyBorder="1" applyAlignment="1">
      <alignment horizontal="center" vertical="top" wrapText="1"/>
    </xf>
    <xf numFmtId="0" fontId="10" fillId="0" borderId="2" xfId="0" applyFont="1" applyBorder="1" applyAlignment="1">
      <alignment horizontal="center" vertical="top"/>
    </xf>
    <xf numFmtId="0" fontId="10" fillId="0" borderId="2" xfId="4" applyFont="1" applyBorder="1" applyAlignment="1">
      <alignment horizontal="center" vertical="top" wrapText="1"/>
    </xf>
    <xf numFmtId="0" fontId="11" fillId="0" borderId="2" xfId="0" applyFont="1" applyBorder="1" applyAlignment="1">
      <alignment horizontal="center" vertical="top"/>
    </xf>
    <xf numFmtId="0" fontId="10" fillId="0" borderId="2" xfId="2" applyFont="1" applyBorder="1" applyAlignment="1">
      <alignment horizontal="center" vertical="top"/>
    </xf>
    <xf numFmtId="0" fontId="10" fillId="0" borderId="2" xfId="8" quotePrefix="1" applyFont="1" applyBorder="1" applyAlignment="1">
      <alignment horizontal="center" vertical="top" wrapText="1"/>
    </xf>
    <xf numFmtId="1" fontId="10" fillId="0" borderId="2" xfId="4" applyNumberFormat="1" applyFont="1" applyBorder="1" applyAlignment="1">
      <alignment horizontal="center" vertical="top"/>
    </xf>
    <xf numFmtId="0" fontId="16" fillId="0" borderId="2" xfId="0" applyFont="1" applyBorder="1" applyAlignment="1">
      <alignment horizontal="center" vertical="top"/>
    </xf>
    <xf numFmtId="0" fontId="19" fillId="0" borderId="2" xfId="0" applyFont="1" applyBorder="1" applyAlignment="1">
      <alignment horizontal="center" vertical="top"/>
    </xf>
    <xf numFmtId="0" fontId="10" fillId="0" borderId="2" xfId="12" applyFont="1" applyBorder="1" applyAlignment="1">
      <alignment horizontal="center" vertical="top" wrapText="1"/>
    </xf>
    <xf numFmtId="0" fontId="0" fillId="0" borderId="2" xfId="0" applyBorder="1" applyAlignment="1">
      <alignment horizontal="center" vertical="top"/>
    </xf>
    <xf numFmtId="0" fontId="13" fillId="0" borderId="2" xfId="0" applyFont="1" applyBorder="1" applyAlignment="1">
      <alignment horizontal="center" vertical="top"/>
    </xf>
    <xf numFmtId="0" fontId="2" fillId="0" borderId="2" xfId="2" applyBorder="1" applyAlignment="1">
      <alignment horizontal="left" vertical="top" wrapText="1"/>
    </xf>
    <xf numFmtId="0" fontId="22" fillId="0" borderId="2" xfId="0" applyFont="1" applyBorder="1" applyAlignment="1">
      <alignment horizontal="left" vertical="top" wrapText="1"/>
    </xf>
    <xf numFmtId="4" fontId="10" fillId="0" borderId="2" xfId="2" applyNumberFormat="1" applyFont="1" applyBorder="1" applyAlignment="1">
      <alignment horizontal="left" vertical="top" wrapText="1"/>
    </xf>
    <xf numFmtId="0" fontId="10" fillId="0" borderId="2" xfId="3" applyFont="1" applyBorder="1" applyAlignment="1">
      <alignment horizontal="left" vertical="top" wrapText="1"/>
    </xf>
    <xf numFmtId="0" fontId="10" fillId="0" borderId="2" xfId="6" applyFont="1" applyBorder="1" applyAlignment="1">
      <alignment horizontal="left" vertical="top" wrapText="1"/>
    </xf>
    <xf numFmtId="0" fontId="10" fillId="0" borderId="2" xfId="7" applyNumberFormat="1" applyFont="1" applyFill="1" applyBorder="1" applyAlignment="1">
      <alignment horizontal="left" vertical="top" wrapText="1"/>
    </xf>
    <xf numFmtId="173" fontId="10" fillId="0" borderId="2" xfId="7" applyFont="1" applyFill="1" applyBorder="1" applyAlignment="1">
      <alignment horizontal="left" vertical="top" wrapText="1"/>
    </xf>
    <xf numFmtId="2" fontId="10" fillId="0" borderId="2" xfId="4" applyNumberFormat="1" applyFont="1" applyBorder="1" applyAlignment="1">
      <alignment horizontal="left" vertical="top" wrapText="1"/>
    </xf>
    <xf numFmtId="1" fontId="10" fillId="0" borderId="2" xfId="2" applyNumberFormat="1" applyFont="1" applyBorder="1" applyAlignment="1">
      <alignment horizontal="left" vertical="top" wrapText="1"/>
    </xf>
    <xf numFmtId="1" fontId="14" fillId="0" borderId="2" xfId="4" applyNumberFormat="1" applyFont="1" applyBorder="1" applyAlignment="1">
      <alignment horizontal="left" vertical="top" wrapText="1"/>
    </xf>
    <xf numFmtId="0" fontId="16" fillId="0" borderId="2" xfId="0" applyFont="1" applyBorder="1" applyAlignment="1">
      <alignment horizontal="left" vertical="top" wrapText="1"/>
    </xf>
    <xf numFmtId="0" fontId="19" fillId="0" borderId="2" xfId="0" applyFont="1" applyBorder="1" applyAlignment="1">
      <alignment horizontal="left" vertical="top" wrapText="1"/>
    </xf>
    <xf numFmtId="2" fontId="20" fillId="0" borderId="2" xfId="0" applyNumberFormat="1" applyFont="1" applyBorder="1" applyAlignment="1">
      <alignment horizontal="left" vertical="top" wrapText="1"/>
    </xf>
    <xf numFmtId="0" fontId="23" fillId="0" borderId="2" xfId="0" applyFont="1" applyBorder="1" applyAlignment="1">
      <alignment horizontal="left" vertical="top" wrapText="1"/>
    </xf>
    <xf numFmtId="0" fontId="25" fillId="0" borderId="2" xfId="0" applyFont="1" applyBorder="1" applyAlignment="1">
      <alignment horizontal="left" vertical="top" wrapText="1"/>
    </xf>
    <xf numFmtId="0" fontId="30" fillId="3" borderId="2" xfId="0" applyFont="1" applyFill="1" applyBorder="1" applyAlignment="1">
      <alignment horizontal="center" vertical="top"/>
    </xf>
    <xf numFmtId="0" fontId="30" fillId="3" borderId="2" xfId="0" applyFont="1" applyFill="1" applyBorder="1" applyAlignment="1">
      <alignment horizontal="left" vertical="top"/>
    </xf>
    <xf numFmtId="0" fontId="30" fillId="3" borderId="2" xfId="0" applyFont="1" applyFill="1" applyBorder="1" applyAlignment="1">
      <alignment horizontal="center" vertical="center"/>
    </xf>
    <xf numFmtId="0" fontId="30" fillId="3" borderId="2" xfId="0" applyFont="1" applyFill="1" applyBorder="1" applyAlignment="1">
      <alignment vertical="center"/>
    </xf>
    <xf numFmtId="1" fontId="10" fillId="0" borderId="2" xfId="0" applyNumberFormat="1" applyFont="1" applyBorder="1" applyAlignment="1">
      <alignment horizontal="left" vertical="top" wrapText="1"/>
    </xf>
    <xf numFmtId="0" fontId="15" fillId="3" borderId="2" xfId="0" applyFont="1" applyFill="1" applyBorder="1" applyAlignment="1">
      <alignment horizontal="center" vertical="center" wrapText="1"/>
    </xf>
    <xf numFmtId="0" fontId="9" fillId="3" borderId="2" xfId="0" applyFont="1" applyFill="1" applyBorder="1" applyAlignment="1">
      <alignment horizontal="center" vertical="center"/>
    </xf>
    <xf numFmtId="164" fontId="10" fillId="0" borderId="0" xfId="1" applyFont="1" applyFill="1" applyBorder="1" applyAlignment="1">
      <alignment horizontal="right" vertical="center"/>
    </xf>
    <xf numFmtId="164" fontId="5" fillId="0" borderId="0" xfId="1" applyFont="1" applyFill="1" applyBorder="1" applyAlignment="1">
      <alignment horizontal="center" vertical="center"/>
    </xf>
    <xf numFmtId="0" fontId="10" fillId="0" borderId="0" xfId="5" applyFont="1"/>
    <xf numFmtId="164" fontId="5" fillId="0" borderId="0" xfId="1" applyFont="1" applyFill="1" applyBorder="1"/>
    <xf numFmtId="0" fontId="4" fillId="0" borderId="0" xfId="0" applyFont="1"/>
    <xf numFmtId="0" fontId="16" fillId="0" borderId="0" xfId="0" applyFont="1"/>
    <xf numFmtId="0" fontId="5" fillId="0" borderId="0" xfId="0" applyFont="1" applyAlignment="1">
      <alignment horizontal="center" vertical="top"/>
    </xf>
    <xf numFmtId="0" fontId="5" fillId="0" borderId="0" xfId="0" applyFont="1" applyAlignment="1">
      <alignment horizontal="left" vertical="top" wrapText="1"/>
    </xf>
    <xf numFmtId="164" fontId="5" fillId="4" borderId="0" xfId="1" applyFont="1" applyFill="1" applyBorder="1"/>
    <xf numFmtId="165" fontId="5" fillId="0" borderId="0" xfId="1" applyNumberFormat="1" applyFont="1" applyFill="1" applyBorder="1"/>
    <xf numFmtId="0" fontId="5" fillId="0" borderId="0" xfId="0" applyFont="1" applyAlignment="1">
      <alignment horizontal="left" vertical="top"/>
    </xf>
    <xf numFmtId="0" fontId="31" fillId="0" borderId="0" xfId="0" applyFont="1"/>
    <xf numFmtId="176" fontId="5" fillId="0" borderId="2" xfId="1" applyNumberFormat="1" applyFont="1" applyFill="1" applyBorder="1" applyAlignment="1">
      <alignment horizontal="center" vertical="center"/>
    </xf>
    <xf numFmtId="176" fontId="5" fillId="0" borderId="0" xfId="1" applyNumberFormat="1" applyFont="1" applyFill="1" applyAlignment="1">
      <alignment horizontal="center" vertical="center"/>
    </xf>
    <xf numFmtId="176" fontId="5" fillId="3" borderId="2" xfId="1" applyNumberFormat="1" applyFont="1" applyFill="1" applyBorder="1" applyAlignment="1">
      <alignment horizontal="center" vertical="center"/>
    </xf>
    <xf numFmtId="165" fontId="18" fillId="0" borderId="2" xfId="1" applyNumberFormat="1" applyFont="1" applyFill="1" applyBorder="1"/>
    <xf numFmtId="164" fontId="10" fillId="6" borderId="2" xfId="1" applyFont="1" applyFill="1" applyBorder="1" applyAlignment="1">
      <alignment horizontal="center" vertical="center" wrapText="1"/>
    </xf>
    <xf numFmtId="164" fontId="10" fillId="3" borderId="2" xfId="1" applyFont="1" applyFill="1" applyBorder="1" applyAlignment="1">
      <alignment horizontal="center" vertical="center"/>
    </xf>
    <xf numFmtId="166" fontId="10" fillId="3" borderId="2" xfId="2" applyNumberFormat="1" applyFont="1" applyFill="1" applyBorder="1" applyAlignment="1">
      <alignment horizontal="center" vertical="center" wrapText="1"/>
    </xf>
    <xf numFmtId="170" fontId="10" fillId="3" borderId="2" xfId="2" applyNumberFormat="1" applyFont="1" applyFill="1" applyBorder="1" applyAlignment="1">
      <alignment horizontal="center" vertical="center" wrapText="1"/>
    </xf>
    <xf numFmtId="168" fontId="10" fillId="3" borderId="2" xfId="2" applyNumberFormat="1" applyFont="1" applyFill="1" applyBorder="1" applyAlignment="1">
      <alignment horizontal="center" vertical="center" wrapText="1"/>
    </xf>
    <xf numFmtId="172" fontId="10" fillId="3" borderId="2" xfId="2" applyNumberFormat="1" applyFont="1" applyFill="1" applyBorder="1" applyAlignment="1">
      <alignment horizontal="center" vertical="center" wrapText="1"/>
    </xf>
    <xf numFmtId="172" fontId="10" fillId="3" borderId="2" xfId="3" applyNumberFormat="1" applyFont="1" applyFill="1" applyBorder="1" applyAlignment="1">
      <alignment horizontal="center" vertical="center"/>
    </xf>
    <xf numFmtId="164" fontId="10" fillId="3" borderId="2" xfId="1" applyFont="1" applyFill="1" applyBorder="1" applyAlignment="1">
      <alignment horizontal="right" vertical="center" wrapText="1"/>
    </xf>
    <xf numFmtId="164" fontId="10" fillId="3" borderId="2" xfId="1" applyFont="1" applyFill="1" applyBorder="1" applyAlignment="1">
      <alignment horizontal="right" vertical="center"/>
    </xf>
    <xf numFmtId="164" fontId="10" fillId="3" borderId="2" xfId="1" applyFont="1" applyFill="1" applyBorder="1" applyAlignment="1">
      <alignment horizontal="center" vertical="center" wrapText="1"/>
    </xf>
    <xf numFmtId="164" fontId="10" fillId="3" borderId="2" xfId="1" applyFont="1" applyFill="1" applyBorder="1" applyAlignment="1">
      <alignment horizontal="left" vertical="center"/>
    </xf>
    <xf numFmtId="166" fontId="5" fillId="3" borderId="2" xfId="0" applyNumberFormat="1" applyFont="1" applyFill="1" applyBorder="1" applyAlignment="1">
      <alignment horizontal="center" vertical="center"/>
    </xf>
    <xf numFmtId="170" fontId="10" fillId="3" borderId="2" xfId="2" quotePrefix="1" applyNumberFormat="1" applyFont="1" applyFill="1" applyBorder="1" applyAlignment="1">
      <alignment horizontal="center" vertical="center" wrapText="1"/>
    </xf>
    <xf numFmtId="166" fontId="10" fillId="0" borderId="3" xfId="2" applyNumberFormat="1" applyFont="1" applyBorder="1" applyAlignment="1">
      <alignment horizontal="center" vertical="center" wrapText="1"/>
    </xf>
    <xf numFmtId="166" fontId="5" fillId="0" borderId="3" xfId="0" applyNumberFormat="1" applyFont="1" applyBorder="1" applyAlignment="1">
      <alignment horizontal="center" vertical="center"/>
    </xf>
    <xf numFmtId="172" fontId="5" fillId="0" borderId="3" xfId="0" applyNumberFormat="1" applyFont="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4" xfId="0" applyFont="1" applyFill="1" applyBorder="1" applyAlignment="1">
      <alignment vertical="center"/>
    </xf>
    <xf numFmtId="0" fontId="11" fillId="3" borderId="5" xfId="0" applyFont="1" applyFill="1" applyBorder="1" applyAlignment="1">
      <alignment vertical="center"/>
    </xf>
    <xf numFmtId="164" fontId="5" fillId="0" borderId="0" xfId="0" applyNumberFormat="1" applyFont="1"/>
    <xf numFmtId="43" fontId="4" fillId="0" borderId="0" xfId="0" applyNumberFormat="1" applyFont="1"/>
    <xf numFmtId="164" fontId="16" fillId="0" borderId="0" xfId="0" applyNumberFormat="1" applyFont="1"/>
    <xf numFmtId="43" fontId="16" fillId="0" borderId="0" xfId="0" applyNumberFormat="1" applyFont="1"/>
    <xf numFmtId="164" fontId="0" fillId="0" borderId="0" xfId="0" applyNumberFormat="1"/>
    <xf numFmtId="164" fontId="4" fillId="0" borderId="0" xfId="0" applyNumberFormat="1" applyFont="1"/>
    <xf numFmtId="164" fontId="10" fillId="6" borderId="2" xfId="1" applyFont="1" applyFill="1" applyBorder="1" applyAlignment="1">
      <alignment horizontal="right" vertical="center" wrapText="1"/>
    </xf>
    <xf numFmtId="164" fontId="4" fillId="0" borderId="0" xfId="1" applyFont="1" applyBorder="1"/>
    <xf numFmtId="165" fontId="2" fillId="0" borderId="0" xfId="5" applyNumberFormat="1"/>
    <xf numFmtId="164" fontId="4" fillId="0" borderId="0" xfId="1" applyFont="1" applyFill="1" applyBorder="1"/>
    <xf numFmtId="0" fontId="7" fillId="0" borderId="2" xfId="2" applyFont="1" applyBorder="1" applyAlignment="1">
      <alignment horizontal="center" vertical="top" wrapText="1"/>
    </xf>
    <xf numFmtId="0" fontId="30" fillId="0" borderId="2" xfId="0" applyFont="1" applyBorder="1" applyAlignment="1">
      <alignment horizontal="center" vertical="top"/>
    </xf>
    <xf numFmtId="0" fontId="30" fillId="0" borderId="2" xfId="0" applyFont="1" applyBorder="1" applyAlignment="1">
      <alignment horizontal="left" vertical="top"/>
    </xf>
    <xf numFmtId="0" fontId="30" fillId="7" borderId="2" xfId="0" applyFont="1" applyFill="1" applyBorder="1" applyAlignment="1">
      <alignment horizontal="center" vertical="top"/>
    </xf>
    <xf numFmtId="0" fontId="10" fillId="7" borderId="2" xfId="2" applyFont="1" applyFill="1" applyBorder="1" applyAlignment="1">
      <alignment horizontal="center" vertical="top" wrapText="1"/>
    </xf>
    <xf numFmtId="0" fontId="10" fillId="8" borderId="2" xfId="2" applyFont="1" applyFill="1" applyBorder="1" applyAlignment="1">
      <alignment horizontal="center" vertical="top" wrapText="1"/>
    </xf>
    <xf numFmtId="0" fontId="10" fillId="9" borderId="2" xfId="2" applyFont="1" applyFill="1" applyBorder="1" applyAlignment="1">
      <alignment horizontal="center" vertical="top" wrapText="1"/>
    </xf>
    <xf numFmtId="0" fontId="10" fillId="10" borderId="2" xfId="2" applyFont="1" applyFill="1" applyBorder="1" applyAlignment="1">
      <alignment horizontal="center" vertical="top" wrapText="1"/>
    </xf>
    <xf numFmtId="0" fontId="10" fillId="11" borderId="2" xfId="2" applyFont="1" applyFill="1" applyBorder="1" applyAlignment="1">
      <alignment horizontal="center" vertical="top" wrapText="1"/>
    </xf>
    <xf numFmtId="0" fontId="10" fillId="12" borderId="2" xfId="2" applyFont="1" applyFill="1" applyBorder="1" applyAlignment="1">
      <alignment horizontal="center" vertical="top" wrapText="1"/>
    </xf>
    <xf numFmtId="0" fontId="10" fillId="13" borderId="2" xfId="2" applyFont="1" applyFill="1" applyBorder="1" applyAlignment="1">
      <alignment horizontal="center" vertical="top" wrapText="1"/>
    </xf>
    <xf numFmtId="0" fontId="10" fillId="14" borderId="2" xfId="2" applyFont="1" applyFill="1" applyBorder="1" applyAlignment="1">
      <alignment horizontal="center" vertical="top" wrapText="1"/>
    </xf>
    <xf numFmtId="0" fontId="10" fillId="15" borderId="2" xfId="2" applyFont="1" applyFill="1" applyBorder="1" applyAlignment="1">
      <alignment horizontal="center" vertical="top" wrapText="1"/>
    </xf>
    <xf numFmtId="0" fontId="30" fillId="8" borderId="2" xfId="0" applyFont="1" applyFill="1" applyBorder="1" applyAlignment="1">
      <alignment horizontal="left" vertical="top"/>
    </xf>
    <xf numFmtId="0" fontId="10" fillId="7" borderId="2" xfId="0" applyFont="1" applyFill="1" applyBorder="1" applyAlignment="1">
      <alignment horizontal="center" vertical="top"/>
    </xf>
    <xf numFmtId="0" fontId="10" fillId="8" borderId="2" xfId="4" applyFont="1" applyFill="1" applyBorder="1" applyAlignment="1">
      <alignment horizontal="center" vertical="top"/>
    </xf>
    <xf numFmtId="0" fontId="10" fillId="9" borderId="2" xfId="4" applyFont="1" applyFill="1" applyBorder="1" applyAlignment="1">
      <alignment horizontal="center" vertical="top"/>
    </xf>
    <xf numFmtId="0" fontId="10" fillId="10" borderId="2" xfId="4" applyFont="1" applyFill="1" applyBorder="1" applyAlignment="1">
      <alignment horizontal="center" vertical="top"/>
    </xf>
    <xf numFmtId="0" fontId="10" fillId="11" borderId="2" xfId="0" applyFont="1" applyFill="1" applyBorder="1" applyAlignment="1">
      <alignment horizontal="center" vertical="top"/>
    </xf>
    <xf numFmtId="0" fontId="10" fillId="12" borderId="2" xfId="0" applyFont="1" applyFill="1" applyBorder="1" applyAlignment="1">
      <alignment horizontal="center" vertical="top"/>
    </xf>
    <xf numFmtId="0" fontId="10" fillId="13" borderId="2" xfId="0" applyFont="1" applyFill="1" applyBorder="1" applyAlignment="1">
      <alignment horizontal="center" vertical="top"/>
    </xf>
    <xf numFmtId="0" fontId="10" fillId="14" borderId="2" xfId="0" applyFont="1" applyFill="1" applyBorder="1" applyAlignment="1">
      <alignment horizontal="center" vertical="top"/>
    </xf>
    <xf numFmtId="0" fontId="10" fillId="15" borderId="2" xfId="0" applyFont="1" applyFill="1" applyBorder="1" applyAlignment="1">
      <alignment horizontal="center" vertical="top"/>
    </xf>
    <xf numFmtId="0" fontId="30" fillId="9" borderId="2" xfId="0" applyFont="1" applyFill="1" applyBorder="1" applyAlignment="1">
      <alignment horizontal="left" vertical="top"/>
    </xf>
    <xf numFmtId="0" fontId="10" fillId="7" borderId="2" xfId="4" applyFont="1" applyFill="1" applyBorder="1" applyAlignment="1">
      <alignment horizontal="center" vertical="top" wrapText="1"/>
    </xf>
    <xf numFmtId="0" fontId="10" fillId="8" borderId="2" xfId="4" applyFont="1" applyFill="1" applyBorder="1" applyAlignment="1">
      <alignment horizontal="center" vertical="top" wrapText="1"/>
    </xf>
    <xf numFmtId="0" fontId="10" fillId="11" borderId="2" xfId="4" applyFont="1" applyFill="1" applyBorder="1" applyAlignment="1">
      <alignment horizontal="center" vertical="top"/>
    </xf>
    <xf numFmtId="0" fontId="10" fillId="12" borderId="2" xfId="4" applyFont="1" applyFill="1" applyBorder="1" applyAlignment="1">
      <alignment horizontal="center" vertical="top"/>
    </xf>
    <xf numFmtId="0" fontId="10" fillId="13" borderId="2" xfId="4" applyFont="1" applyFill="1" applyBorder="1" applyAlignment="1">
      <alignment horizontal="center" vertical="top"/>
    </xf>
    <xf numFmtId="0" fontId="10" fillId="16" borderId="2" xfId="4" applyFont="1" applyFill="1" applyBorder="1" applyAlignment="1">
      <alignment horizontal="center" vertical="top"/>
    </xf>
    <xf numFmtId="0" fontId="30" fillId="10" borderId="2" xfId="0" applyFont="1" applyFill="1" applyBorder="1" applyAlignment="1">
      <alignment horizontal="left" vertical="top"/>
    </xf>
    <xf numFmtId="0" fontId="30" fillId="11" borderId="2" xfId="0" applyFont="1" applyFill="1" applyBorder="1" applyAlignment="1">
      <alignment horizontal="left" vertical="top"/>
    </xf>
    <xf numFmtId="0" fontId="11" fillId="7" borderId="2" xfId="0" applyFont="1" applyFill="1" applyBorder="1" applyAlignment="1">
      <alignment horizontal="center" vertical="top"/>
    </xf>
    <xf numFmtId="0" fontId="11" fillId="8" borderId="2" xfId="0" applyFont="1" applyFill="1" applyBorder="1" applyAlignment="1">
      <alignment horizontal="center" vertical="top"/>
    </xf>
    <xf numFmtId="0" fontId="11" fillId="9" borderId="2" xfId="0" applyFont="1" applyFill="1" applyBorder="1" applyAlignment="1">
      <alignment horizontal="center" vertical="top"/>
    </xf>
    <xf numFmtId="0" fontId="11" fillId="10" borderId="2" xfId="0" applyFont="1" applyFill="1" applyBorder="1" applyAlignment="1">
      <alignment horizontal="center" vertical="top"/>
    </xf>
    <xf numFmtId="0" fontId="10" fillId="11" borderId="2" xfId="4" applyFont="1" applyFill="1" applyBorder="1" applyAlignment="1">
      <alignment horizontal="center" vertical="top" wrapText="1"/>
    </xf>
    <xf numFmtId="0" fontId="10" fillId="14" borderId="2" xfId="4" applyFont="1" applyFill="1" applyBorder="1" applyAlignment="1">
      <alignment horizontal="center" vertical="top"/>
    </xf>
    <xf numFmtId="0" fontId="10" fillId="17" borderId="2" xfId="4" applyFont="1" applyFill="1" applyBorder="1" applyAlignment="1">
      <alignment horizontal="center" vertical="top"/>
    </xf>
    <xf numFmtId="0" fontId="10" fillId="18" borderId="2" xfId="4" applyFont="1" applyFill="1" applyBorder="1" applyAlignment="1">
      <alignment horizontal="center" vertical="top"/>
    </xf>
    <xf numFmtId="0" fontId="10" fillId="15" borderId="2" xfId="4" applyFont="1" applyFill="1" applyBorder="1" applyAlignment="1">
      <alignment horizontal="center" vertical="top"/>
    </xf>
    <xf numFmtId="0" fontId="10" fillId="19" borderId="2" xfId="4" applyFont="1" applyFill="1" applyBorder="1" applyAlignment="1">
      <alignment horizontal="center" vertical="top"/>
    </xf>
    <xf numFmtId="0" fontId="10" fillId="20" borderId="2" xfId="4" applyFont="1" applyFill="1" applyBorder="1" applyAlignment="1">
      <alignment horizontal="center" vertical="top"/>
    </xf>
    <xf numFmtId="0" fontId="10" fillId="21" borderId="2" xfId="8" quotePrefix="1" applyFont="1" applyFill="1" applyBorder="1" applyAlignment="1">
      <alignment horizontal="center" vertical="top" wrapText="1"/>
    </xf>
    <xf numFmtId="0" fontId="10" fillId="22" borderId="2" xfId="4" applyFont="1" applyFill="1" applyBorder="1" applyAlignment="1">
      <alignment horizontal="center" vertical="top"/>
    </xf>
    <xf numFmtId="0" fontId="10" fillId="23" borderId="2" xfId="4" applyFont="1" applyFill="1" applyBorder="1" applyAlignment="1">
      <alignment horizontal="center" vertical="top"/>
    </xf>
    <xf numFmtId="0" fontId="10" fillId="24" borderId="2" xfId="4" applyFont="1" applyFill="1" applyBorder="1" applyAlignment="1">
      <alignment horizontal="center" vertical="top"/>
    </xf>
    <xf numFmtId="0" fontId="10" fillId="25" borderId="2" xfId="4" applyFont="1" applyFill="1" applyBorder="1" applyAlignment="1">
      <alignment horizontal="center" vertical="top"/>
    </xf>
    <xf numFmtId="0" fontId="10" fillId="26" borderId="2" xfId="4" applyFont="1" applyFill="1" applyBorder="1" applyAlignment="1">
      <alignment horizontal="center" vertical="top"/>
    </xf>
    <xf numFmtId="0" fontId="10" fillId="27" borderId="2" xfId="4" applyFont="1" applyFill="1" applyBorder="1" applyAlignment="1">
      <alignment horizontal="center" vertical="top"/>
    </xf>
    <xf numFmtId="0" fontId="10" fillId="28" borderId="2" xfId="4" applyFont="1" applyFill="1" applyBorder="1" applyAlignment="1">
      <alignment horizontal="center" vertical="top"/>
    </xf>
    <xf numFmtId="0" fontId="10" fillId="29" borderId="2" xfId="4" applyFont="1" applyFill="1" applyBorder="1" applyAlignment="1">
      <alignment horizontal="center" vertical="top"/>
    </xf>
    <xf numFmtId="0" fontId="10" fillId="30" borderId="2" xfId="4" applyFont="1" applyFill="1" applyBorder="1" applyAlignment="1">
      <alignment horizontal="center" vertical="top"/>
    </xf>
    <xf numFmtId="0" fontId="10" fillId="31" borderId="2" xfId="4" applyFont="1" applyFill="1" applyBorder="1" applyAlignment="1">
      <alignment horizontal="center" vertical="top"/>
    </xf>
    <xf numFmtId="0" fontId="10" fillId="32" borderId="2" xfId="2" applyFont="1" applyFill="1" applyBorder="1" applyAlignment="1">
      <alignment horizontal="center" vertical="top"/>
    </xf>
    <xf numFmtId="0" fontId="10" fillId="33" borderId="2" xfId="4" applyFont="1" applyFill="1" applyBorder="1" applyAlignment="1">
      <alignment horizontal="center" vertical="top"/>
    </xf>
    <xf numFmtId="0" fontId="10" fillId="34" borderId="2" xfId="4" applyFont="1" applyFill="1" applyBorder="1" applyAlignment="1">
      <alignment horizontal="center" vertical="top"/>
    </xf>
    <xf numFmtId="0" fontId="10" fillId="35" borderId="2" xfId="4" applyFont="1" applyFill="1" applyBorder="1" applyAlignment="1">
      <alignment horizontal="center" vertical="top"/>
    </xf>
    <xf numFmtId="0" fontId="10" fillId="36" borderId="2" xfId="4" applyFont="1" applyFill="1" applyBorder="1" applyAlignment="1">
      <alignment horizontal="center" vertical="top"/>
    </xf>
    <xf numFmtId="0" fontId="10" fillId="37" borderId="2" xfId="8" quotePrefix="1" applyFont="1" applyFill="1" applyBorder="1" applyAlignment="1">
      <alignment horizontal="center" vertical="top" wrapText="1"/>
    </xf>
    <xf numFmtId="0" fontId="10" fillId="38" borderId="2" xfId="8" quotePrefix="1" applyFont="1" applyFill="1" applyBorder="1" applyAlignment="1">
      <alignment horizontal="center" vertical="top" wrapText="1"/>
    </xf>
    <xf numFmtId="0" fontId="10" fillId="39" borderId="2" xfId="8" quotePrefix="1" applyFont="1" applyFill="1" applyBorder="1" applyAlignment="1">
      <alignment horizontal="center" vertical="top" wrapText="1"/>
    </xf>
    <xf numFmtId="0" fontId="10" fillId="40" borderId="2" xfId="8" quotePrefix="1" applyFont="1" applyFill="1" applyBorder="1" applyAlignment="1">
      <alignment horizontal="center" vertical="top" wrapText="1"/>
    </xf>
    <xf numFmtId="0" fontId="10" fillId="41" borderId="2" xfId="8" quotePrefix="1" applyFont="1" applyFill="1" applyBorder="1" applyAlignment="1">
      <alignment horizontal="center" vertical="top" wrapText="1"/>
    </xf>
    <xf numFmtId="0" fontId="10" fillId="42" borderId="2" xfId="4" applyFont="1" applyFill="1" applyBorder="1" applyAlignment="1">
      <alignment horizontal="center" vertical="top"/>
    </xf>
    <xf numFmtId="0" fontId="10" fillId="43" borderId="2" xfId="8" quotePrefix="1" applyFont="1" applyFill="1" applyBorder="1" applyAlignment="1">
      <alignment horizontal="center" vertical="top" wrapText="1"/>
    </xf>
    <xf numFmtId="0" fontId="10" fillId="44" borderId="2" xfId="8" quotePrefix="1" applyFont="1" applyFill="1" applyBorder="1" applyAlignment="1">
      <alignment horizontal="center" vertical="top" wrapText="1"/>
    </xf>
    <xf numFmtId="0" fontId="30" fillId="12" borderId="2" xfId="0" applyFont="1" applyFill="1" applyBorder="1" applyAlignment="1">
      <alignment horizontal="left" vertical="top"/>
    </xf>
    <xf numFmtId="0" fontId="30" fillId="13" borderId="2" xfId="0" applyFont="1" applyFill="1" applyBorder="1" applyAlignment="1">
      <alignment horizontal="left" vertical="top"/>
    </xf>
    <xf numFmtId="0" fontId="10" fillId="9" borderId="2" xfId="4" applyFont="1" applyFill="1" applyBorder="1" applyAlignment="1">
      <alignment horizontal="center" vertical="top" wrapText="1"/>
    </xf>
    <xf numFmtId="0" fontId="10" fillId="10" borderId="2" xfId="4" applyFont="1" applyFill="1" applyBorder="1" applyAlignment="1">
      <alignment horizontal="center" vertical="top" wrapText="1"/>
    </xf>
    <xf numFmtId="0" fontId="10" fillId="13" borderId="2" xfId="4" applyFont="1" applyFill="1" applyBorder="1" applyAlignment="1">
      <alignment horizontal="center" vertical="top" wrapText="1"/>
    </xf>
    <xf numFmtId="0" fontId="10" fillId="14" borderId="2" xfId="4" applyFont="1" applyFill="1" applyBorder="1" applyAlignment="1">
      <alignment horizontal="center" vertical="top" wrapText="1"/>
    </xf>
    <xf numFmtId="0" fontId="10" fillId="15" borderId="2" xfId="4" applyFont="1" applyFill="1" applyBorder="1" applyAlignment="1">
      <alignment horizontal="center" vertical="top" wrapText="1"/>
    </xf>
    <xf numFmtId="0" fontId="10" fillId="19" borderId="2" xfId="4" applyFont="1" applyFill="1" applyBorder="1" applyAlignment="1">
      <alignment horizontal="center" vertical="top" wrapText="1"/>
    </xf>
    <xf numFmtId="0" fontId="10" fillId="20" borderId="2" xfId="4" applyFont="1" applyFill="1" applyBorder="1" applyAlignment="1">
      <alignment horizontal="center" vertical="top" wrapText="1"/>
    </xf>
    <xf numFmtId="0" fontId="10" fillId="21" borderId="2" xfId="4" applyFont="1" applyFill="1" applyBorder="1" applyAlignment="1">
      <alignment horizontal="center" vertical="top" wrapText="1"/>
    </xf>
    <xf numFmtId="0" fontId="10" fillId="22" borderId="2" xfId="4" applyFont="1" applyFill="1" applyBorder="1" applyAlignment="1">
      <alignment horizontal="center" vertical="top" wrapText="1"/>
    </xf>
    <xf numFmtId="0" fontId="10" fillId="23" borderId="2" xfId="4" applyFont="1" applyFill="1" applyBorder="1" applyAlignment="1">
      <alignment horizontal="center" vertical="top" wrapText="1"/>
    </xf>
    <xf numFmtId="0" fontId="30" fillId="14" borderId="2" xfId="0" applyFont="1" applyFill="1" applyBorder="1" applyAlignment="1">
      <alignment horizontal="left" vertical="top"/>
    </xf>
    <xf numFmtId="1" fontId="10" fillId="19" borderId="2" xfId="4" applyNumberFormat="1" applyFont="1" applyFill="1" applyBorder="1" applyAlignment="1">
      <alignment horizontal="center" vertical="top"/>
    </xf>
    <xf numFmtId="0" fontId="10" fillId="21" borderId="2" xfId="4" applyFont="1" applyFill="1" applyBorder="1" applyAlignment="1">
      <alignment horizontal="center" vertical="top"/>
    </xf>
    <xf numFmtId="0" fontId="10" fillId="32" borderId="2" xfId="4" applyFont="1" applyFill="1" applyBorder="1" applyAlignment="1">
      <alignment horizontal="center" vertical="top"/>
    </xf>
    <xf numFmtId="0" fontId="10" fillId="37" borderId="2" xfId="4" applyFont="1" applyFill="1" applyBorder="1" applyAlignment="1">
      <alignment horizontal="center" vertical="top"/>
    </xf>
    <xf numFmtId="0" fontId="10" fillId="38" borderId="2" xfId="4" applyFont="1" applyFill="1" applyBorder="1" applyAlignment="1">
      <alignment horizontal="center" vertical="top"/>
    </xf>
    <xf numFmtId="0" fontId="10" fillId="39" borderId="2" xfId="4" applyFont="1" applyFill="1" applyBorder="1" applyAlignment="1">
      <alignment horizontal="center" vertical="top"/>
    </xf>
    <xf numFmtId="0" fontId="10" fillId="40" borderId="2" xfId="4" applyFont="1" applyFill="1" applyBorder="1" applyAlignment="1">
      <alignment horizontal="center" vertical="top"/>
    </xf>
    <xf numFmtId="0" fontId="10" fillId="41" borderId="2" xfId="4" applyFont="1" applyFill="1" applyBorder="1" applyAlignment="1">
      <alignment horizontal="center" vertical="top"/>
    </xf>
    <xf numFmtId="0" fontId="10" fillId="43" borderId="2" xfId="4" applyFont="1" applyFill="1" applyBorder="1" applyAlignment="1">
      <alignment horizontal="center" vertical="top"/>
    </xf>
    <xf numFmtId="0" fontId="10" fillId="45" borderId="2" xfId="4" applyFont="1" applyFill="1" applyBorder="1" applyAlignment="1">
      <alignment horizontal="center" vertical="top"/>
    </xf>
    <xf numFmtId="0" fontId="10" fillId="44" borderId="2" xfId="4" applyFont="1" applyFill="1" applyBorder="1" applyAlignment="1">
      <alignment horizontal="center" vertical="top"/>
    </xf>
    <xf numFmtId="0" fontId="10" fillId="46" borderId="2" xfId="4" applyFont="1" applyFill="1" applyBorder="1" applyAlignment="1">
      <alignment horizontal="center" vertical="top"/>
    </xf>
    <xf numFmtId="0" fontId="10" fillId="47" borderId="2" xfId="4" applyFont="1" applyFill="1" applyBorder="1" applyAlignment="1">
      <alignment horizontal="center" vertical="top"/>
    </xf>
    <xf numFmtId="0" fontId="10" fillId="48" borderId="2" xfId="4" applyFont="1" applyFill="1" applyBorder="1" applyAlignment="1">
      <alignment horizontal="center" vertical="top"/>
    </xf>
    <xf numFmtId="0" fontId="10" fillId="49" borderId="2" xfId="4" applyFont="1" applyFill="1" applyBorder="1" applyAlignment="1">
      <alignment horizontal="center" vertical="top"/>
    </xf>
    <xf numFmtId="0" fontId="10" fillId="50" borderId="2" xfId="4" applyFont="1" applyFill="1" applyBorder="1" applyAlignment="1">
      <alignment horizontal="center" vertical="top"/>
    </xf>
    <xf numFmtId="0" fontId="10" fillId="51" borderId="2" xfId="4" applyFont="1" applyFill="1" applyBorder="1" applyAlignment="1">
      <alignment horizontal="center" vertical="top"/>
    </xf>
    <xf numFmtId="0" fontId="10" fillId="52" borderId="2" xfId="4" applyFont="1" applyFill="1" applyBorder="1" applyAlignment="1">
      <alignment horizontal="center" vertical="top"/>
    </xf>
    <xf numFmtId="0" fontId="10" fillId="53" borderId="2" xfId="4" applyFont="1" applyFill="1" applyBorder="1" applyAlignment="1">
      <alignment horizontal="center" vertical="top"/>
    </xf>
    <xf numFmtId="0" fontId="10" fillId="54" borderId="2" xfId="4" applyFont="1" applyFill="1" applyBorder="1" applyAlignment="1">
      <alignment horizontal="center" vertical="top"/>
    </xf>
    <xf numFmtId="0" fontId="10" fillId="55" borderId="2" xfId="4" applyFont="1" applyFill="1" applyBorder="1" applyAlignment="1">
      <alignment horizontal="center" vertical="top"/>
    </xf>
    <xf numFmtId="0" fontId="10" fillId="56" borderId="2" xfId="4" applyFont="1" applyFill="1" applyBorder="1" applyAlignment="1">
      <alignment horizontal="center" vertical="top"/>
    </xf>
    <xf numFmtId="0" fontId="10" fillId="57" borderId="2" xfId="4" applyFont="1" applyFill="1" applyBorder="1" applyAlignment="1">
      <alignment horizontal="center" vertical="top"/>
    </xf>
    <xf numFmtId="0" fontId="10" fillId="58" borderId="2" xfId="4" applyFont="1" applyFill="1" applyBorder="1" applyAlignment="1">
      <alignment horizontal="center" vertical="top"/>
    </xf>
    <xf numFmtId="0" fontId="10" fillId="59" borderId="2" xfId="4" applyFont="1" applyFill="1" applyBorder="1" applyAlignment="1">
      <alignment horizontal="center" vertical="top"/>
    </xf>
    <xf numFmtId="0" fontId="30" fillId="15" borderId="2" xfId="0" applyFont="1" applyFill="1" applyBorder="1" applyAlignment="1">
      <alignment horizontal="left" vertical="top"/>
    </xf>
    <xf numFmtId="0" fontId="10" fillId="51" borderId="2" xfId="2" applyFont="1" applyFill="1" applyBorder="1" applyAlignment="1">
      <alignment horizontal="center" vertical="top"/>
    </xf>
    <xf numFmtId="0" fontId="10" fillId="52" borderId="2" xfId="2" applyFont="1" applyFill="1" applyBorder="1" applyAlignment="1">
      <alignment horizontal="center" vertical="top"/>
    </xf>
    <xf numFmtId="0" fontId="10" fillId="53" borderId="2" xfId="2" applyFont="1" applyFill="1" applyBorder="1" applyAlignment="1">
      <alignment horizontal="center" vertical="top"/>
    </xf>
    <xf numFmtId="0" fontId="10" fillId="54" borderId="2" xfId="2" applyFont="1" applyFill="1" applyBorder="1" applyAlignment="1">
      <alignment horizontal="center" vertical="top"/>
    </xf>
    <xf numFmtId="0" fontId="10" fillId="55" borderId="2" xfId="2" applyFont="1" applyFill="1" applyBorder="1" applyAlignment="1">
      <alignment horizontal="center" vertical="top"/>
    </xf>
    <xf numFmtId="0" fontId="10" fillId="56" borderId="2" xfId="2" applyFont="1" applyFill="1" applyBorder="1" applyAlignment="1">
      <alignment horizontal="center" vertical="top"/>
    </xf>
    <xf numFmtId="0" fontId="30" fillId="19" borderId="2" xfId="0" applyFont="1" applyFill="1" applyBorder="1" applyAlignment="1">
      <alignment horizontal="left" vertical="top"/>
    </xf>
    <xf numFmtId="1" fontId="10" fillId="11" borderId="2" xfId="4" applyNumberFormat="1" applyFont="1" applyFill="1" applyBorder="1" applyAlignment="1">
      <alignment horizontal="center" vertical="top"/>
    </xf>
    <xf numFmtId="0" fontId="30" fillId="20" borderId="2" xfId="0" applyFont="1" applyFill="1" applyBorder="1" applyAlignment="1">
      <alignment horizontal="left" vertical="top"/>
    </xf>
    <xf numFmtId="1" fontId="10" fillId="15" borderId="2" xfId="4" applyNumberFormat="1" applyFont="1" applyFill="1" applyBorder="1" applyAlignment="1">
      <alignment horizontal="center" vertical="top"/>
    </xf>
    <xf numFmtId="0" fontId="10" fillId="24" borderId="2" xfId="4" applyFont="1" applyFill="1" applyBorder="1" applyAlignment="1">
      <alignment horizontal="center" vertical="top" wrapText="1"/>
    </xf>
    <xf numFmtId="0" fontId="10" fillId="26" borderId="2" xfId="4" applyFont="1" applyFill="1" applyBorder="1" applyAlignment="1">
      <alignment horizontal="center" vertical="top" wrapText="1"/>
    </xf>
    <xf numFmtId="0" fontId="10" fillId="27" borderId="2" xfId="4" applyFont="1" applyFill="1" applyBorder="1" applyAlignment="1">
      <alignment horizontal="center" vertical="top" wrapText="1"/>
    </xf>
    <xf numFmtId="0" fontId="10" fillId="31" borderId="2" xfId="4" applyFont="1" applyFill="1" applyBorder="1" applyAlignment="1">
      <alignment horizontal="center" vertical="top" wrapText="1"/>
    </xf>
    <xf numFmtId="0" fontId="10" fillId="32" borderId="2" xfId="4" applyFont="1" applyFill="1" applyBorder="1" applyAlignment="1">
      <alignment horizontal="center" vertical="top" wrapText="1"/>
    </xf>
    <xf numFmtId="0" fontId="10" fillId="60" borderId="2" xfId="4" applyFont="1" applyFill="1" applyBorder="1" applyAlignment="1">
      <alignment horizontal="center" vertical="top"/>
    </xf>
    <xf numFmtId="0" fontId="10" fillId="7" borderId="2" xfId="4" applyFont="1" applyFill="1" applyBorder="1" applyAlignment="1">
      <alignment horizontal="center" vertical="top"/>
    </xf>
    <xf numFmtId="0" fontId="30" fillId="21" borderId="2" xfId="0" applyFont="1" applyFill="1" applyBorder="1" applyAlignment="1">
      <alignment horizontal="left" vertical="top"/>
    </xf>
    <xf numFmtId="0" fontId="16" fillId="7" borderId="2" xfId="0" applyFont="1" applyFill="1" applyBorder="1" applyAlignment="1">
      <alignment horizontal="center" vertical="top"/>
    </xf>
    <xf numFmtId="0" fontId="16" fillId="8" borderId="2" xfId="0" applyFont="1" applyFill="1" applyBorder="1" applyAlignment="1">
      <alignment horizontal="center" vertical="top"/>
    </xf>
    <xf numFmtId="0" fontId="16" fillId="9" borderId="2" xfId="0" applyFont="1" applyFill="1" applyBorder="1" applyAlignment="1">
      <alignment horizontal="center" vertical="top"/>
    </xf>
    <xf numFmtId="0" fontId="16" fillId="10" borderId="2" xfId="0" applyFont="1" applyFill="1" applyBorder="1" applyAlignment="1">
      <alignment horizontal="center" vertical="top"/>
    </xf>
    <xf numFmtId="0" fontId="16" fillId="11" borderId="2" xfId="0" applyFont="1" applyFill="1" applyBorder="1" applyAlignment="1">
      <alignment horizontal="center" vertical="top"/>
    </xf>
    <xf numFmtId="0" fontId="16" fillId="12" borderId="2" xfId="0" applyFont="1" applyFill="1" applyBorder="1" applyAlignment="1">
      <alignment horizontal="center" vertical="top"/>
    </xf>
    <xf numFmtId="0" fontId="16" fillId="13" borderId="2" xfId="0" applyFont="1" applyFill="1" applyBorder="1" applyAlignment="1">
      <alignment horizontal="center" vertical="top"/>
    </xf>
    <xf numFmtId="0" fontId="16" fillId="14" borderId="2" xfId="0" applyFont="1" applyFill="1" applyBorder="1" applyAlignment="1">
      <alignment horizontal="center" vertical="top"/>
    </xf>
    <xf numFmtId="0" fontId="16" fillId="15" borderId="2" xfId="0" applyFont="1" applyFill="1" applyBorder="1" applyAlignment="1">
      <alignment horizontal="center" vertical="top"/>
    </xf>
    <xf numFmtId="0" fontId="16" fillId="19" borderId="2" xfId="0" applyFont="1" applyFill="1" applyBorder="1" applyAlignment="1">
      <alignment horizontal="center" vertical="top"/>
    </xf>
    <xf numFmtId="0" fontId="16" fillId="20" borderId="2" xfId="0" applyFont="1" applyFill="1" applyBorder="1" applyAlignment="1">
      <alignment horizontal="center" vertical="top"/>
    </xf>
    <xf numFmtId="0" fontId="16" fillId="21" borderId="2" xfId="0" applyFont="1" applyFill="1" applyBorder="1" applyAlignment="1">
      <alignment horizontal="center" vertical="top"/>
    </xf>
    <xf numFmtId="0" fontId="16" fillId="22" borderId="2" xfId="0" applyFont="1" applyFill="1" applyBorder="1" applyAlignment="1">
      <alignment horizontal="center" vertical="top"/>
    </xf>
    <xf numFmtId="0" fontId="16" fillId="23" borderId="2" xfId="0" applyFont="1" applyFill="1" applyBorder="1" applyAlignment="1">
      <alignment horizontal="center" vertical="top"/>
    </xf>
    <xf numFmtId="0" fontId="16" fillId="24" borderId="2" xfId="0" applyFont="1" applyFill="1" applyBorder="1" applyAlignment="1">
      <alignment horizontal="center" vertical="top"/>
    </xf>
    <xf numFmtId="0" fontId="16" fillId="25" borderId="2" xfId="0" applyFont="1" applyFill="1" applyBorder="1" applyAlignment="1">
      <alignment horizontal="center" vertical="top"/>
    </xf>
    <xf numFmtId="0" fontId="16" fillId="26" borderId="2" xfId="0" applyFont="1" applyFill="1" applyBorder="1" applyAlignment="1">
      <alignment horizontal="center" vertical="top"/>
    </xf>
    <xf numFmtId="0" fontId="16" fillId="27" borderId="2" xfId="0" applyFont="1" applyFill="1" applyBorder="1" applyAlignment="1">
      <alignment horizontal="center" vertical="top"/>
    </xf>
    <xf numFmtId="0" fontId="16" fillId="31" borderId="2" xfId="0" applyFont="1" applyFill="1" applyBorder="1" applyAlignment="1">
      <alignment horizontal="center" vertical="top"/>
    </xf>
    <xf numFmtId="0" fontId="16" fillId="37" borderId="2" xfId="0" applyFont="1" applyFill="1" applyBorder="1" applyAlignment="1">
      <alignment horizontal="center" vertical="top"/>
    </xf>
    <xf numFmtId="0" fontId="16" fillId="39" borderId="2" xfId="0" applyFont="1" applyFill="1" applyBorder="1" applyAlignment="1">
      <alignment horizontal="center" vertical="top"/>
    </xf>
    <xf numFmtId="0" fontId="16" fillId="40" borderId="2" xfId="0" applyFont="1" applyFill="1" applyBorder="1" applyAlignment="1">
      <alignment horizontal="center" vertical="top"/>
    </xf>
    <xf numFmtId="0" fontId="16" fillId="41" borderId="2" xfId="0" applyFont="1" applyFill="1" applyBorder="1" applyAlignment="1">
      <alignment horizontal="center" vertical="top"/>
    </xf>
    <xf numFmtId="0" fontId="16" fillId="42" borderId="2" xfId="0" applyFont="1" applyFill="1" applyBorder="1" applyAlignment="1">
      <alignment horizontal="center" vertical="top"/>
    </xf>
    <xf numFmtId="0" fontId="16" fillId="43" borderId="2" xfId="0" applyFont="1" applyFill="1" applyBorder="1" applyAlignment="1">
      <alignment horizontal="center" vertical="top"/>
    </xf>
    <xf numFmtId="0" fontId="16" fillId="44" borderId="2" xfId="0" applyFont="1" applyFill="1" applyBorder="1" applyAlignment="1">
      <alignment horizontal="center" vertical="top"/>
    </xf>
    <xf numFmtId="0" fontId="16" fillId="46" borderId="2" xfId="0" applyFont="1" applyFill="1" applyBorder="1" applyAlignment="1">
      <alignment horizontal="center" vertical="top"/>
    </xf>
    <xf numFmtId="0" fontId="16" fillId="47" borderId="2" xfId="0" applyFont="1" applyFill="1" applyBorder="1" applyAlignment="1">
      <alignment horizontal="center" vertical="top"/>
    </xf>
    <xf numFmtId="0" fontId="16" fillId="48" borderId="2" xfId="0" applyFont="1" applyFill="1" applyBorder="1" applyAlignment="1">
      <alignment horizontal="center" vertical="top"/>
    </xf>
    <xf numFmtId="0" fontId="16" fillId="49" borderId="2" xfId="0" applyFont="1" applyFill="1" applyBorder="1" applyAlignment="1">
      <alignment horizontal="center" vertical="top"/>
    </xf>
    <xf numFmtId="0" fontId="16" fillId="50" borderId="2" xfId="0" applyFont="1" applyFill="1" applyBorder="1" applyAlignment="1">
      <alignment horizontal="center" vertical="top"/>
    </xf>
    <xf numFmtId="0" fontId="16" fillId="51" borderId="2" xfId="0" applyFont="1" applyFill="1" applyBorder="1" applyAlignment="1">
      <alignment horizontal="center" vertical="top"/>
    </xf>
    <xf numFmtId="0" fontId="16" fillId="52" borderId="2" xfId="0" applyFont="1" applyFill="1" applyBorder="1" applyAlignment="1">
      <alignment horizontal="center" vertical="top"/>
    </xf>
    <xf numFmtId="0" fontId="16" fillId="53" borderId="2" xfId="0" applyFont="1" applyFill="1" applyBorder="1" applyAlignment="1">
      <alignment horizontal="center" vertical="top"/>
    </xf>
    <xf numFmtId="0" fontId="16" fillId="54" borderId="2" xfId="0" applyFont="1" applyFill="1" applyBorder="1" applyAlignment="1">
      <alignment horizontal="center" vertical="top"/>
    </xf>
    <xf numFmtId="0" fontId="16" fillId="55" borderId="2" xfId="0" applyFont="1" applyFill="1" applyBorder="1" applyAlignment="1">
      <alignment horizontal="center" vertical="top"/>
    </xf>
    <xf numFmtId="0" fontId="16" fillId="56" borderId="2" xfId="0" applyFont="1" applyFill="1" applyBorder="1" applyAlignment="1">
      <alignment horizontal="center" vertical="top"/>
    </xf>
    <xf numFmtId="0" fontId="16" fillId="57" borderId="2" xfId="0" applyFont="1" applyFill="1" applyBorder="1" applyAlignment="1">
      <alignment horizontal="center" vertical="top"/>
    </xf>
    <xf numFmtId="0" fontId="16" fillId="58" borderId="2" xfId="0" applyFont="1" applyFill="1" applyBorder="1" applyAlignment="1">
      <alignment horizontal="center" vertical="top"/>
    </xf>
    <xf numFmtId="0" fontId="16" fillId="60" borderId="2" xfId="0" applyFont="1" applyFill="1" applyBorder="1" applyAlignment="1">
      <alignment horizontal="center" vertical="top"/>
    </xf>
    <xf numFmtId="0" fontId="16" fillId="16" borderId="2" xfId="0" applyFont="1" applyFill="1" applyBorder="1" applyAlignment="1">
      <alignment horizontal="center" vertical="top"/>
    </xf>
    <xf numFmtId="0" fontId="16" fillId="17" borderId="2" xfId="0" applyFont="1" applyFill="1" applyBorder="1" applyAlignment="1">
      <alignment horizontal="center" vertical="top"/>
    </xf>
    <xf numFmtId="0" fontId="16" fillId="18" borderId="2" xfId="0" applyFont="1" applyFill="1" applyBorder="1" applyAlignment="1">
      <alignment horizontal="center" vertical="top"/>
    </xf>
    <xf numFmtId="0" fontId="19" fillId="7" borderId="2" xfId="0" applyFont="1" applyFill="1" applyBorder="1" applyAlignment="1">
      <alignment horizontal="center" vertical="top"/>
    </xf>
    <xf numFmtId="0" fontId="19" fillId="8" borderId="2" xfId="0" applyFont="1" applyFill="1" applyBorder="1" applyAlignment="1">
      <alignment horizontal="center" vertical="top"/>
    </xf>
    <xf numFmtId="0" fontId="10" fillId="9" borderId="2" xfId="12" applyFont="1" applyFill="1" applyBorder="1" applyAlignment="1">
      <alignment horizontal="center" vertical="top" wrapText="1"/>
    </xf>
    <xf numFmtId="0" fontId="19" fillId="10" borderId="2" xfId="0" applyFont="1" applyFill="1" applyBorder="1" applyAlignment="1">
      <alignment horizontal="center" vertical="top"/>
    </xf>
    <xf numFmtId="0" fontId="19" fillId="11" borderId="2" xfId="0" applyFont="1" applyFill="1" applyBorder="1" applyAlignment="1">
      <alignment horizontal="center" vertical="top"/>
    </xf>
    <xf numFmtId="0" fontId="19" fillId="12" borderId="2" xfId="0" applyFont="1" applyFill="1" applyBorder="1" applyAlignment="1">
      <alignment horizontal="center" vertical="top"/>
    </xf>
    <xf numFmtId="0" fontId="19" fillId="13" borderId="2" xfId="0" applyFont="1" applyFill="1" applyBorder="1" applyAlignment="1">
      <alignment horizontal="center" vertical="top"/>
    </xf>
    <xf numFmtId="0" fontId="0" fillId="14" borderId="2" xfId="0" applyFill="1" applyBorder="1" applyAlignment="1">
      <alignment horizontal="center" vertical="top"/>
    </xf>
    <xf numFmtId="0" fontId="19" fillId="15" borderId="2" xfId="0" applyFont="1" applyFill="1" applyBorder="1" applyAlignment="1">
      <alignment horizontal="center" vertical="top"/>
    </xf>
    <xf numFmtId="0" fontId="0" fillId="19" borderId="2" xfId="0" applyFill="1" applyBorder="1" applyAlignment="1">
      <alignment horizontal="center" vertical="top"/>
    </xf>
    <xf numFmtId="0" fontId="19" fillId="20" borderId="2" xfId="0" applyFont="1" applyFill="1" applyBorder="1" applyAlignment="1">
      <alignment horizontal="center" vertical="top"/>
    </xf>
    <xf numFmtId="0" fontId="0" fillId="21" borderId="2" xfId="0" applyFill="1" applyBorder="1" applyAlignment="1">
      <alignment horizontal="center" vertical="top"/>
    </xf>
    <xf numFmtId="0" fontId="19" fillId="22" borderId="2" xfId="0" applyFont="1" applyFill="1" applyBorder="1" applyAlignment="1">
      <alignment horizontal="center" vertical="top"/>
    </xf>
    <xf numFmtId="0" fontId="0" fillId="23" borderId="2" xfId="0" applyFill="1" applyBorder="1" applyAlignment="1">
      <alignment horizontal="center" vertical="top"/>
    </xf>
    <xf numFmtId="0" fontId="19" fillId="24" borderId="2" xfId="0" applyFont="1" applyFill="1" applyBorder="1" applyAlignment="1">
      <alignment horizontal="center" vertical="top"/>
    </xf>
    <xf numFmtId="0" fontId="0" fillId="25" borderId="2" xfId="0" applyFill="1" applyBorder="1" applyAlignment="1">
      <alignment horizontal="center" vertical="top"/>
    </xf>
    <xf numFmtId="0" fontId="19" fillId="26" borderId="2" xfId="0" applyFont="1" applyFill="1" applyBorder="1" applyAlignment="1">
      <alignment horizontal="center" vertical="top"/>
    </xf>
    <xf numFmtId="0" fontId="0" fillId="27" borderId="2" xfId="0" applyFill="1" applyBorder="1" applyAlignment="1">
      <alignment horizontal="center" vertical="top"/>
    </xf>
    <xf numFmtId="0" fontId="19" fillId="31" borderId="2" xfId="0" applyFont="1" applyFill="1" applyBorder="1" applyAlignment="1">
      <alignment horizontal="center" vertical="top"/>
    </xf>
    <xf numFmtId="0" fontId="0" fillId="32" borderId="2" xfId="0" applyFill="1" applyBorder="1" applyAlignment="1">
      <alignment horizontal="center" vertical="top"/>
    </xf>
    <xf numFmtId="0" fontId="19" fillId="33" borderId="2" xfId="0" applyFont="1" applyFill="1" applyBorder="1" applyAlignment="1">
      <alignment horizontal="center" vertical="top"/>
    </xf>
    <xf numFmtId="0" fontId="0" fillId="34" borderId="2" xfId="0" applyFill="1" applyBorder="1" applyAlignment="1">
      <alignment horizontal="center" vertical="top"/>
    </xf>
    <xf numFmtId="0" fontId="19" fillId="37" borderId="2" xfId="0" applyFont="1" applyFill="1" applyBorder="1" applyAlignment="1">
      <alignment horizontal="center" vertical="top"/>
    </xf>
    <xf numFmtId="0" fontId="30" fillId="23" borderId="2" xfId="0" applyFont="1" applyFill="1" applyBorder="1" applyAlignment="1">
      <alignment horizontal="left" vertical="top"/>
    </xf>
    <xf numFmtId="0" fontId="0" fillId="7" borderId="2" xfId="0" applyFill="1" applyBorder="1" applyAlignment="1">
      <alignment horizontal="center" vertical="top"/>
    </xf>
    <xf numFmtId="0" fontId="19" fillId="9" borderId="2" xfId="0" applyFont="1" applyFill="1" applyBorder="1" applyAlignment="1">
      <alignment horizontal="center" vertical="top"/>
    </xf>
    <xf numFmtId="0" fontId="19" fillId="14" borderId="2" xfId="0" applyFont="1" applyFill="1" applyBorder="1" applyAlignment="1">
      <alignment horizontal="center" vertical="top"/>
    </xf>
    <xf numFmtId="0" fontId="10" fillId="28" borderId="2" xfId="0" applyFont="1" applyFill="1" applyBorder="1" applyAlignment="1">
      <alignment horizontal="center" vertical="top"/>
    </xf>
    <xf numFmtId="0" fontId="10" fillId="29" borderId="2" xfId="0" applyFont="1" applyFill="1" applyBorder="1" applyAlignment="1">
      <alignment horizontal="center" vertical="top"/>
    </xf>
    <xf numFmtId="0" fontId="10" fillId="30" borderId="2" xfId="0" applyFont="1" applyFill="1" applyBorder="1" applyAlignment="1">
      <alignment horizontal="center" vertical="top"/>
    </xf>
    <xf numFmtId="0" fontId="13" fillId="22" borderId="2" xfId="0" applyFont="1" applyFill="1" applyBorder="1" applyAlignment="1">
      <alignment horizontal="center" vertical="top"/>
    </xf>
    <xf numFmtId="0" fontId="13" fillId="23" borderId="2" xfId="0" applyFont="1" applyFill="1" applyBorder="1" applyAlignment="1">
      <alignment horizontal="center" vertical="top"/>
    </xf>
    <xf numFmtId="0" fontId="13" fillId="24" borderId="2" xfId="0" applyFont="1" applyFill="1" applyBorder="1" applyAlignment="1">
      <alignment horizontal="center" vertical="top"/>
    </xf>
    <xf numFmtId="0" fontId="7" fillId="0" borderId="2" xfId="2" applyFont="1" applyBorder="1" applyAlignment="1">
      <alignment horizontal="center" vertical="center"/>
    </xf>
    <xf numFmtId="164" fontId="7" fillId="0" borderId="2" xfId="1" applyFont="1" applyFill="1" applyBorder="1" applyAlignment="1">
      <alignment horizontal="center" vertical="center" wrapText="1"/>
    </xf>
    <xf numFmtId="164" fontId="7" fillId="0" borderId="2" xfId="1" applyFont="1" applyFill="1" applyBorder="1" applyAlignment="1">
      <alignment horizontal="center" vertical="center"/>
    </xf>
    <xf numFmtId="0" fontId="30" fillId="0" borderId="2" xfId="0" applyFont="1" applyBorder="1" applyAlignment="1">
      <alignment horizontal="center" vertical="center"/>
    </xf>
    <xf numFmtId="0" fontId="30" fillId="0" borderId="2" xfId="0" applyFont="1" applyBorder="1" applyAlignment="1">
      <alignment vertical="center"/>
    </xf>
    <xf numFmtId="0" fontId="11" fillId="0" borderId="4" xfId="0" applyFont="1" applyBorder="1" applyAlignment="1">
      <alignment horizontal="center" vertical="center"/>
    </xf>
    <xf numFmtId="0" fontId="11" fillId="0" borderId="4" xfId="0" applyFont="1" applyBorder="1" applyAlignment="1">
      <alignment vertical="center"/>
    </xf>
    <xf numFmtId="0" fontId="11" fillId="0" borderId="5" xfId="0" applyFont="1" applyBorder="1" applyAlignment="1">
      <alignment horizontal="center" vertical="center"/>
    </xf>
    <xf numFmtId="0" fontId="11" fillId="0" borderId="5" xfId="0" applyFont="1" applyBorder="1" applyAlignment="1">
      <alignment vertical="center"/>
    </xf>
    <xf numFmtId="170" fontId="10" fillId="0" borderId="2" xfId="2" quotePrefix="1" applyNumberFormat="1" applyFont="1" applyBorder="1" applyAlignment="1">
      <alignment horizontal="center" vertical="center" wrapText="1"/>
    </xf>
    <xf numFmtId="0" fontId="15" fillId="0" borderId="2" xfId="0" applyFont="1" applyBorder="1" applyAlignment="1">
      <alignment horizontal="center" vertical="center" wrapText="1"/>
    </xf>
    <xf numFmtId="0" fontId="9" fillId="0" borderId="2" xfId="0" applyFont="1" applyBorder="1" applyAlignment="1">
      <alignment horizontal="center" vertical="center"/>
    </xf>
    <xf numFmtId="164" fontId="12" fillId="0" borderId="2" xfId="1" applyFont="1" applyFill="1" applyBorder="1" applyAlignment="1">
      <alignment horizontal="right" vertical="center"/>
    </xf>
    <xf numFmtId="166" fontId="12" fillId="0" borderId="2" xfId="2" applyNumberFormat="1" applyFont="1" applyBorder="1" applyAlignment="1">
      <alignment horizontal="center" vertical="center" wrapText="1"/>
    </xf>
    <xf numFmtId="0" fontId="7" fillId="62" borderId="2" xfId="2" applyFont="1" applyFill="1" applyBorder="1" applyAlignment="1">
      <alignment horizontal="center" vertical="center"/>
    </xf>
    <xf numFmtId="0" fontId="30" fillId="63" borderId="2" xfId="0" applyFont="1" applyFill="1" applyBorder="1" applyAlignment="1">
      <alignment horizontal="left" vertical="top"/>
    </xf>
    <xf numFmtId="0" fontId="10" fillId="64" borderId="2" xfId="2" applyFont="1" applyFill="1" applyBorder="1" applyAlignment="1">
      <alignment horizontal="left" vertical="top" wrapText="1"/>
    </xf>
    <xf numFmtId="0" fontId="10" fillId="65" borderId="2" xfId="2" applyFont="1" applyFill="1" applyBorder="1" applyAlignment="1">
      <alignment horizontal="left" vertical="top" wrapText="1"/>
    </xf>
    <xf numFmtId="0" fontId="10" fillId="66" borderId="2" xfId="2" applyFont="1" applyFill="1" applyBorder="1" applyAlignment="1">
      <alignment horizontal="left" vertical="top" wrapText="1"/>
    </xf>
    <xf numFmtId="0" fontId="10" fillId="67" borderId="2" xfId="2" applyFont="1" applyFill="1" applyBorder="1" applyAlignment="1">
      <alignment horizontal="left" vertical="top" wrapText="1"/>
    </xf>
    <xf numFmtId="0" fontId="10" fillId="68" borderId="2" xfId="2" applyFont="1" applyFill="1" applyBorder="1" applyAlignment="1">
      <alignment horizontal="left" vertical="top" wrapText="1"/>
    </xf>
    <xf numFmtId="0" fontId="10" fillId="69" borderId="2" xfId="2" applyFont="1" applyFill="1" applyBorder="1" applyAlignment="1">
      <alignment horizontal="left" vertical="top" wrapText="1"/>
    </xf>
    <xf numFmtId="0" fontId="10" fillId="70" borderId="2" xfId="2" applyFont="1" applyFill="1" applyBorder="1" applyAlignment="1">
      <alignment horizontal="left" vertical="top" wrapText="1"/>
    </xf>
    <xf numFmtId="0" fontId="10" fillId="71" borderId="2" xfId="2" applyFont="1" applyFill="1" applyBorder="1" applyAlignment="1">
      <alignment horizontal="left" vertical="top" wrapText="1"/>
    </xf>
    <xf numFmtId="0" fontId="10" fillId="72" borderId="2" xfId="2" applyFont="1" applyFill="1" applyBorder="1" applyAlignment="1">
      <alignment horizontal="left" vertical="top" wrapText="1"/>
    </xf>
    <xf numFmtId="0" fontId="10" fillId="73" borderId="2" xfId="2" applyFont="1" applyFill="1" applyBorder="1" applyAlignment="1">
      <alignment horizontal="left" vertical="top" wrapText="1"/>
    </xf>
    <xf numFmtId="0" fontId="10" fillId="74" borderId="2" xfId="2" applyFont="1" applyFill="1" applyBorder="1" applyAlignment="1">
      <alignment horizontal="left" vertical="top" wrapText="1"/>
    </xf>
    <xf numFmtId="0" fontId="10" fillId="75" borderId="2" xfId="2" applyFont="1" applyFill="1" applyBorder="1" applyAlignment="1">
      <alignment horizontal="left" vertical="top" wrapText="1"/>
    </xf>
    <xf numFmtId="0" fontId="10" fillId="76" borderId="2" xfId="2" applyFont="1" applyFill="1" applyBorder="1" applyAlignment="1">
      <alignment horizontal="left" vertical="top" wrapText="1"/>
    </xf>
    <xf numFmtId="0" fontId="10" fillId="77" borderId="2" xfId="2" applyFont="1" applyFill="1" applyBorder="1" applyAlignment="1">
      <alignment horizontal="left" vertical="top" wrapText="1"/>
    </xf>
    <xf numFmtId="0" fontId="10" fillId="78" borderId="2" xfId="2" applyFont="1" applyFill="1" applyBorder="1" applyAlignment="1">
      <alignment horizontal="left" vertical="top" wrapText="1"/>
    </xf>
    <xf numFmtId="0" fontId="10" fillId="79" borderId="2" xfId="2" applyFont="1" applyFill="1" applyBorder="1" applyAlignment="1">
      <alignment horizontal="left" vertical="top" wrapText="1"/>
    </xf>
    <xf numFmtId="0" fontId="10" fillId="80" borderId="2" xfId="2" applyFont="1" applyFill="1" applyBorder="1" applyAlignment="1">
      <alignment horizontal="left" vertical="top"/>
    </xf>
    <xf numFmtId="0" fontId="10" fillId="81" borderId="2" xfId="2" applyFont="1" applyFill="1" applyBorder="1" applyAlignment="1">
      <alignment horizontal="left" vertical="top" wrapText="1"/>
    </xf>
    <xf numFmtId="0" fontId="10" fillId="82" borderId="2" xfId="2" applyFont="1" applyFill="1" applyBorder="1" applyAlignment="1">
      <alignment horizontal="left" vertical="top"/>
    </xf>
    <xf numFmtId="0" fontId="10" fillId="83" borderId="2" xfId="2" applyFont="1" applyFill="1" applyBorder="1" applyAlignment="1">
      <alignment horizontal="left" vertical="top" wrapText="1"/>
    </xf>
    <xf numFmtId="0" fontId="10" fillId="67" borderId="2" xfId="2" applyFont="1" applyFill="1" applyBorder="1" applyAlignment="1">
      <alignment horizontal="left" vertical="top"/>
    </xf>
    <xf numFmtId="0" fontId="10" fillId="84" borderId="2" xfId="2" applyFont="1" applyFill="1" applyBorder="1" applyAlignment="1">
      <alignment horizontal="left" vertical="top" wrapText="1"/>
    </xf>
    <xf numFmtId="0" fontId="10" fillId="85" borderId="2" xfId="2" applyFont="1" applyFill="1" applyBorder="1" applyAlignment="1">
      <alignment horizontal="left" vertical="top" wrapText="1"/>
    </xf>
    <xf numFmtId="4" fontId="10" fillId="86" borderId="2" xfId="2" applyNumberFormat="1" applyFont="1" applyFill="1" applyBorder="1" applyAlignment="1">
      <alignment horizontal="left" vertical="top" wrapText="1"/>
    </xf>
    <xf numFmtId="0" fontId="10" fillId="87" borderId="2" xfId="2" applyFont="1" applyFill="1" applyBorder="1" applyAlignment="1">
      <alignment horizontal="left" vertical="top" wrapText="1"/>
    </xf>
    <xf numFmtId="0" fontId="10" fillId="88" borderId="2" xfId="2" applyFont="1" applyFill="1" applyBorder="1" applyAlignment="1">
      <alignment horizontal="left" vertical="top" wrapText="1"/>
    </xf>
    <xf numFmtId="0" fontId="10" fillId="89" borderId="2" xfId="3" applyFont="1" applyFill="1" applyBorder="1" applyAlignment="1">
      <alignment horizontal="left" vertical="top" wrapText="1"/>
    </xf>
    <xf numFmtId="0" fontId="10" fillId="90" borderId="2" xfId="2" applyFont="1" applyFill="1" applyBorder="1" applyAlignment="1">
      <alignment horizontal="left" vertical="top" wrapText="1"/>
    </xf>
    <xf numFmtId="0" fontId="30" fillId="91" borderId="2" xfId="0" applyFont="1" applyFill="1" applyBorder="1" applyAlignment="1">
      <alignment horizontal="left" vertical="top"/>
    </xf>
    <xf numFmtId="0" fontId="10" fillId="92" borderId="2" xfId="0" applyFont="1" applyFill="1" applyBorder="1" applyAlignment="1">
      <alignment horizontal="left" vertical="top" wrapText="1"/>
    </xf>
    <xf numFmtId="0" fontId="10" fillId="93" borderId="2" xfId="0" applyFont="1" applyFill="1" applyBorder="1" applyAlignment="1">
      <alignment horizontal="left" vertical="top" wrapText="1"/>
    </xf>
    <xf numFmtId="0" fontId="10" fillId="94" borderId="2" xfId="0" applyFont="1" applyFill="1" applyBorder="1" applyAlignment="1">
      <alignment horizontal="left" vertical="top" wrapText="1"/>
    </xf>
    <xf numFmtId="0" fontId="10" fillId="95" borderId="2" xfId="0" applyFont="1" applyFill="1" applyBorder="1" applyAlignment="1">
      <alignment horizontal="left" vertical="top" wrapText="1"/>
    </xf>
    <xf numFmtId="0" fontId="10" fillId="96" borderId="2" xfId="0" applyFont="1" applyFill="1" applyBorder="1" applyAlignment="1">
      <alignment horizontal="left" vertical="top" wrapText="1"/>
    </xf>
    <xf numFmtId="0" fontId="10" fillId="97" borderId="2" xfId="0" applyFont="1" applyFill="1" applyBorder="1" applyAlignment="1">
      <alignment horizontal="left" vertical="top" wrapText="1"/>
    </xf>
    <xf numFmtId="0" fontId="10" fillId="98" borderId="2" xfId="0" applyFont="1" applyFill="1" applyBorder="1" applyAlignment="1">
      <alignment horizontal="left" vertical="top" wrapText="1"/>
    </xf>
    <xf numFmtId="0" fontId="10" fillId="99" borderId="2" xfId="0" applyFont="1" applyFill="1" applyBorder="1" applyAlignment="1">
      <alignment horizontal="left" vertical="top" wrapText="1"/>
    </xf>
    <xf numFmtId="0" fontId="10" fillId="100" borderId="2" xfId="0" applyFont="1" applyFill="1" applyBorder="1" applyAlignment="1">
      <alignment horizontal="left" vertical="top" wrapText="1"/>
    </xf>
    <xf numFmtId="0" fontId="10" fillId="101" borderId="2" xfId="0" applyFont="1" applyFill="1" applyBorder="1" applyAlignment="1">
      <alignment horizontal="left" vertical="top" wrapText="1"/>
    </xf>
    <xf numFmtId="0" fontId="10" fillId="102" borderId="2" xfId="0" applyFont="1" applyFill="1" applyBorder="1" applyAlignment="1">
      <alignment horizontal="left" vertical="top" wrapText="1"/>
    </xf>
    <xf numFmtId="0" fontId="30" fillId="103" borderId="2" xfId="0" applyFont="1" applyFill="1" applyBorder="1" applyAlignment="1">
      <alignment horizontal="left" vertical="top"/>
    </xf>
    <xf numFmtId="0" fontId="10" fillId="104" borderId="2" xfId="6" applyFont="1" applyFill="1" applyBorder="1" applyAlignment="1">
      <alignment horizontal="left" vertical="top" wrapText="1"/>
    </xf>
    <xf numFmtId="0" fontId="10" fillId="105" borderId="2" xfId="6" applyFont="1" applyFill="1" applyBorder="1" applyAlignment="1">
      <alignment horizontal="left" vertical="top" wrapText="1"/>
    </xf>
    <xf numFmtId="0" fontId="10" fillId="106" borderId="2" xfId="6" applyFont="1" applyFill="1" applyBorder="1" applyAlignment="1">
      <alignment horizontal="left" vertical="top" wrapText="1"/>
    </xf>
    <xf numFmtId="0" fontId="10" fillId="107" borderId="2" xfId="6" applyFont="1" applyFill="1" applyBorder="1" applyAlignment="1">
      <alignment horizontal="left" vertical="top" wrapText="1"/>
    </xf>
    <xf numFmtId="0" fontId="10" fillId="108" borderId="2" xfId="6" applyFont="1" applyFill="1" applyBorder="1" applyAlignment="1">
      <alignment horizontal="left" vertical="top" wrapText="1"/>
    </xf>
    <xf numFmtId="0" fontId="10" fillId="109" borderId="2" xfId="6" applyFont="1" applyFill="1" applyBorder="1" applyAlignment="1">
      <alignment horizontal="left" vertical="top" wrapText="1"/>
    </xf>
    <xf numFmtId="0" fontId="10" fillId="101" borderId="2" xfId="6" applyFont="1" applyFill="1" applyBorder="1" applyAlignment="1">
      <alignment horizontal="left" vertical="top" wrapText="1"/>
    </xf>
    <xf numFmtId="0" fontId="10" fillId="110" borderId="2" xfId="0" applyFont="1" applyFill="1" applyBorder="1" applyAlignment="1">
      <alignment horizontal="left" vertical="top" wrapText="1"/>
    </xf>
    <xf numFmtId="0" fontId="30" fillId="111" borderId="2" xfId="0" applyFont="1" applyFill="1" applyBorder="1" applyAlignment="1">
      <alignment horizontal="left" vertical="top"/>
    </xf>
    <xf numFmtId="0" fontId="10" fillId="112" borderId="2" xfId="0" applyFont="1" applyFill="1" applyBorder="1" applyAlignment="1">
      <alignment horizontal="left" vertical="top" wrapText="1"/>
    </xf>
    <xf numFmtId="0" fontId="10" fillId="113" borderId="2" xfId="0" applyFont="1" applyFill="1" applyBorder="1" applyAlignment="1">
      <alignment horizontal="left" vertical="top" wrapText="1"/>
    </xf>
    <xf numFmtId="0" fontId="10" fillId="114" borderId="2" xfId="0" applyFont="1" applyFill="1" applyBorder="1" applyAlignment="1">
      <alignment horizontal="left" vertical="top" wrapText="1"/>
    </xf>
    <xf numFmtId="0" fontId="10" fillId="115" borderId="2" xfId="0" applyFont="1" applyFill="1" applyBorder="1" applyAlignment="1">
      <alignment horizontal="left" vertical="top" wrapText="1"/>
    </xf>
    <xf numFmtId="0" fontId="30" fillId="116" borderId="2" xfId="0" applyFont="1" applyFill="1" applyBorder="1" applyAlignment="1">
      <alignment horizontal="left" vertical="top"/>
    </xf>
    <xf numFmtId="0" fontId="10" fillId="117" borderId="2" xfId="7" applyNumberFormat="1" applyFont="1" applyFill="1" applyBorder="1" applyAlignment="1">
      <alignment horizontal="left" vertical="top" wrapText="1"/>
    </xf>
    <xf numFmtId="0" fontId="10" fillId="118" borderId="2" xfId="7" applyNumberFormat="1" applyFont="1" applyFill="1" applyBorder="1" applyAlignment="1">
      <alignment horizontal="left" vertical="top" wrapText="1"/>
    </xf>
    <xf numFmtId="0" fontId="10" fillId="119" borderId="2" xfId="7" applyNumberFormat="1" applyFont="1" applyFill="1" applyBorder="1" applyAlignment="1">
      <alignment horizontal="left" vertical="top" wrapText="1"/>
    </xf>
    <xf numFmtId="0" fontId="10" fillId="120" borderId="2" xfId="0" applyFont="1" applyFill="1" applyBorder="1" applyAlignment="1">
      <alignment horizontal="left" vertical="top" wrapText="1"/>
    </xf>
    <xf numFmtId="0" fontId="10" fillId="121" borderId="2" xfId="0" applyFont="1" applyFill="1" applyBorder="1" applyAlignment="1">
      <alignment horizontal="left" vertical="top" wrapText="1"/>
    </xf>
    <xf numFmtId="0" fontId="10" fillId="122" borderId="2" xfId="0" applyFont="1" applyFill="1" applyBorder="1" applyAlignment="1">
      <alignment horizontal="left" vertical="top" wrapText="1"/>
    </xf>
    <xf numFmtId="0" fontId="10" fillId="123" borderId="2" xfId="0" applyFont="1" applyFill="1" applyBorder="1" applyAlignment="1">
      <alignment horizontal="left" vertical="top" wrapText="1"/>
    </xf>
    <xf numFmtId="0" fontId="10" fillId="124" borderId="2" xfId="0" applyFont="1" applyFill="1" applyBorder="1" applyAlignment="1">
      <alignment horizontal="left" vertical="top" wrapText="1"/>
    </xf>
    <xf numFmtId="0" fontId="10" fillId="125" borderId="2" xfId="0" applyFont="1" applyFill="1" applyBorder="1" applyAlignment="1">
      <alignment horizontal="left" vertical="top" wrapText="1"/>
    </xf>
    <xf numFmtId="0" fontId="10" fillId="126" borderId="2" xfId="0" applyFont="1" applyFill="1" applyBorder="1" applyAlignment="1">
      <alignment horizontal="left" vertical="top" wrapText="1"/>
    </xf>
    <xf numFmtId="173" fontId="10" fillId="127" borderId="2" xfId="7" applyFont="1" applyFill="1" applyBorder="1" applyAlignment="1">
      <alignment horizontal="left" vertical="top" wrapText="1"/>
    </xf>
    <xf numFmtId="0" fontId="10" fillId="128" borderId="2" xfId="0" applyFont="1" applyFill="1" applyBorder="1" applyAlignment="1">
      <alignment horizontal="left" vertical="top" wrapText="1"/>
    </xf>
    <xf numFmtId="0" fontId="10" fillId="129" borderId="2" xfId="0" applyFont="1" applyFill="1" applyBorder="1" applyAlignment="1">
      <alignment horizontal="left" vertical="top" wrapText="1"/>
    </xf>
    <xf numFmtId="0" fontId="10" fillId="130" borderId="2" xfId="8" applyFont="1" applyFill="1" applyBorder="1" applyAlignment="1">
      <alignment horizontal="left" vertical="top" wrapText="1"/>
    </xf>
    <xf numFmtId="0" fontId="10" fillId="131" borderId="2" xfId="0" applyFont="1" applyFill="1" applyBorder="1" applyAlignment="1">
      <alignment horizontal="left" vertical="top" wrapText="1"/>
    </xf>
    <xf numFmtId="0" fontId="10" fillId="132" borderId="2" xfId="0" applyFont="1" applyFill="1" applyBorder="1" applyAlignment="1">
      <alignment horizontal="left" vertical="top" wrapText="1"/>
    </xf>
    <xf numFmtId="0" fontId="10" fillId="133" borderId="2" xfId="7" applyNumberFormat="1" applyFont="1" applyFill="1" applyBorder="1" applyAlignment="1">
      <alignment horizontal="left" vertical="top" wrapText="1"/>
    </xf>
    <xf numFmtId="0" fontId="10" fillId="134" borderId="2" xfId="7" applyNumberFormat="1" applyFont="1" applyFill="1" applyBorder="1" applyAlignment="1">
      <alignment horizontal="left" vertical="top" wrapText="1"/>
    </xf>
    <xf numFmtId="0" fontId="10" fillId="135" borderId="2" xfId="7" applyNumberFormat="1" applyFont="1" applyFill="1" applyBorder="1" applyAlignment="1">
      <alignment horizontal="left" vertical="top" wrapText="1"/>
    </xf>
    <xf numFmtId="0" fontId="10" fillId="136" borderId="2" xfId="7" applyNumberFormat="1" applyFont="1" applyFill="1" applyBorder="1" applyAlignment="1">
      <alignment horizontal="left" vertical="top" wrapText="1"/>
    </xf>
    <xf numFmtId="0" fontId="10" fillId="137" borderId="2" xfId="7" applyNumberFormat="1" applyFont="1" applyFill="1" applyBorder="1" applyAlignment="1">
      <alignment horizontal="left" vertical="top" wrapText="1"/>
    </xf>
    <xf numFmtId="0" fontId="10" fillId="138" borderId="2" xfId="7" applyNumberFormat="1" applyFont="1" applyFill="1" applyBorder="1" applyAlignment="1">
      <alignment horizontal="left" vertical="top" wrapText="1"/>
    </xf>
    <xf numFmtId="0" fontId="10" fillId="139" borderId="2" xfId="7" applyNumberFormat="1" applyFont="1" applyFill="1" applyBorder="1" applyAlignment="1">
      <alignment horizontal="left" vertical="top" wrapText="1"/>
    </xf>
    <xf numFmtId="2" fontId="10" fillId="140" borderId="2" xfId="2" applyNumberFormat="1" applyFont="1" applyFill="1" applyBorder="1" applyAlignment="1">
      <alignment horizontal="left" vertical="top" wrapText="1"/>
    </xf>
    <xf numFmtId="0" fontId="10" fillId="141" borderId="2" xfId="0" applyFont="1" applyFill="1" applyBorder="1" applyAlignment="1">
      <alignment horizontal="left" vertical="top" wrapText="1"/>
    </xf>
    <xf numFmtId="0" fontId="10" fillId="142" borderId="2" xfId="0" applyFont="1" applyFill="1" applyBorder="1" applyAlignment="1">
      <alignment horizontal="left" vertical="top" wrapText="1"/>
    </xf>
    <xf numFmtId="0" fontId="10" fillId="143" borderId="2" xfId="0" applyFont="1" applyFill="1" applyBorder="1" applyAlignment="1">
      <alignment horizontal="left" vertical="top" wrapText="1"/>
    </xf>
    <xf numFmtId="0" fontId="10" fillId="144" borderId="2" xfId="0" applyFont="1" applyFill="1" applyBorder="1" applyAlignment="1">
      <alignment horizontal="left" vertical="top" wrapText="1"/>
    </xf>
    <xf numFmtId="0" fontId="10" fillId="145" borderId="2" xfId="0" applyFont="1" applyFill="1" applyBorder="1" applyAlignment="1">
      <alignment horizontal="left" vertical="top" wrapText="1"/>
    </xf>
    <xf numFmtId="0" fontId="10" fillId="146" borderId="2" xfId="0" applyFont="1" applyFill="1" applyBorder="1" applyAlignment="1">
      <alignment horizontal="left" vertical="top" wrapText="1"/>
    </xf>
    <xf numFmtId="0" fontId="10" fillId="147" borderId="2" xfId="8" applyFont="1" applyFill="1" applyBorder="1" applyAlignment="1">
      <alignment horizontal="left" vertical="top" wrapText="1"/>
    </xf>
    <xf numFmtId="0" fontId="10" fillId="148" borderId="2" xfId="8" applyFont="1" applyFill="1" applyBorder="1" applyAlignment="1">
      <alignment horizontal="left" vertical="top" wrapText="1"/>
    </xf>
    <xf numFmtId="0" fontId="10" fillId="149" borderId="2" xfId="8" applyFont="1" applyFill="1" applyBorder="1" applyAlignment="1">
      <alignment horizontal="left" vertical="top" wrapText="1"/>
    </xf>
    <xf numFmtId="0" fontId="10" fillId="150" borderId="2" xfId="8" applyFont="1" applyFill="1" applyBorder="1" applyAlignment="1">
      <alignment horizontal="left" vertical="top" wrapText="1"/>
    </xf>
    <xf numFmtId="0" fontId="10" fillId="151" borderId="2" xfId="0" applyFont="1" applyFill="1" applyBorder="1" applyAlignment="1">
      <alignment horizontal="left" vertical="top" wrapText="1"/>
    </xf>
    <xf numFmtId="1" fontId="10" fillId="152" borderId="2" xfId="2" applyNumberFormat="1" applyFont="1" applyFill="1" applyBorder="1" applyAlignment="1">
      <alignment horizontal="left" vertical="top" wrapText="1"/>
    </xf>
    <xf numFmtId="1" fontId="10" fillId="153" borderId="2" xfId="2" applyNumberFormat="1" applyFont="1" applyFill="1" applyBorder="1" applyAlignment="1">
      <alignment horizontal="left" vertical="top" wrapText="1"/>
    </xf>
    <xf numFmtId="0" fontId="30" fillId="154" borderId="2" xfId="0" applyFont="1" applyFill="1" applyBorder="1" applyAlignment="1">
      <alignment horizontal="left" vertical="top"/>
    </xf>
    <xf numFmtId="0" fontId="10" fillId="155" borderId="2" xfId="0" applyFont="1" applyFill="1" applyBorder="1" applyAlignment="1">
      <alignment horizontal="left" vertical="top" wrapText="1"/>
    </xf>
    <xf numFmtId="0" fontId="10" fillId="156" borderId="2" xfId="0" applyFont="1" applyFill="1" applyBorder="1" applyAlignment="1">
      <alignment horizontal="left" vertical="top" wrapText="1"/>
    </xf>
    <xf numFmtId="0" fontId="10" fillId="157" borderId="2" xfId="0" applyFont="1" applyFill="1" applyBorder="1" applyAlignment="1">
      <alignment horizontal="left" vertical="top" wrapText="1"/>
    </xf>
    <xf numFmtId="0" fontId="10" fillId="158" borderId="2" xfId="0" applyFont="1" applyFill="1" applyBorder="1" applyAlignment="1">
      <alignment horizontal="left" vertical="top" wrapText="1"/>
    </xf>
    <xf numFmtId="1" fontId="10" fillId="159" borderId="2" xfId="0" applyNumberFormat="1" applyFont="1" applyFill="1" applyBorder="1" applyAlignment="1">
      <alignment horizontal="left" vertical="top" wrapText="1"/>
    </xf>
    <xf numFmtId="0" fontId="10" fillId="141" borderId="2" xfId="0" applyFont="1" applyFill="1" applyBorder="1" applyAlignment="1">
      <alignment horizontal="left" vertical="top"/>
    </xf>
    <xf numFmtId="0" fontId="10" fillId="160" borderId="2" xfId="0" applyFont="1" applyFill="1" applyBorder="1" applyAlignment="1">
      <alignment horizontal="left" vertical="top" wrapText="1"/>
    </xf>
    <xf numFmtId="0" fontId="30" fillId="161" borderId="2" xfId="0" applyFont="1" applyFill="1" applyBorder="1" applyAlignment="1">
      <alignment horizontal="left" vertical="top"/>
    </xf>
    <xf numFmtId="0" fontId="10" fillId="162" borderId="2" xfId="0" applyFont="1" applyFill="1" applyBorder="1" applyAlignment="1">
      <alignment horizontal="left" vertical="top" wrapText="1"/>
    </xf>
    <xf numFmtId="0" fontId="10" fillId="163" borderId="2" xfId="0" applyFont="1" applyFill="1" applyBorder="1" applyAlignment="1">
      <alignment horizontal="left" vertical="top" wrapText="1"/>
    </xf>
    <xf numFmtId="0" fontId="10" fillId="164" borderId="2" xfId="0" applyFont="1" applyFill="1" applyBorder="1" applyAlignment="1">
      <alignment horizontal="left" vertical="top" wrapText="1"/>
    </xf>
    <xf numFmtId="0" fontId="10" fillId="165" borderId="2" xfId="3" applyFont="1" applyFill="1" applyBorder="1" applyAlignment="1">
      <alignment horizontal="left" vertical="top" wrapText="1"/>
    </xf>
    <xf numFmtId="0" fontId="10" fillId="166" borderId="2" xfId="3" applyFont="1" applyFill="1" applyBorder="1" applyAlignment="1">
      <alignment horizontal="left" vertical="top" wrapText="1"/>
    </xf>
    <xf numFmtId="0" fontId="10" fillId="167" borderId="2" xfId="0" applyFont="1" applyFill="1" applyBorder="1" applyAlignment="1">
      <alignment horizontal="left" vertical="top" wrapText="1"/>
    </xf>
    <xf numFmtId="0" fontId="10" fillId="168" borderId="2" xfId="0" applyFont="1" applyFill="1" applyBorder="1" applyAlignment="1">
      <alignment horizontal="left" vertical="top" wrapText="1"/>
    </xf>
    <xf numFmtId="0" fontId="10" fillId="169" borderId="2" xfId="0" applyFont="1" applyFill="1" applyBorder="1" applyAlignment="1">
      <alignment horizontal="left" vertical="top" wrapText="1"/>
    </xf>
    <xf numFmtId="0" fontId="10" fillId="170" borderId="2" xfId="0" applyFont="1" applyFill="1" applyBorder="1" applyAlignment="1">
      <alignment horizontal="left" vertical="top" wrapText="1"/>
    </xf>
    <xf numFmtId="0" fontId="10" fillId="171" borderId="2" xfId="0" applyFont="1" applyFill="1" applyBorder="1" applyAlignment="1">
      <alignment horizontal="left" vertical="top" wrapText="1"/>
    </xf>
    <xf numFmtId="0" fontId="10" fillId="172" borderId="2" xfId="0" applyFont="1" applyFill="1" applyBorder="1" applyAlignment="1">
      <alignment horizontal="left" vertical="top" wrapText="1"/>
    </xf>
    <xf numFmtId="2" fontId="10" fillId="173" borderId="2" xfId="4" applyNumberFormat="1" applyFont="1" applyFill="1" applyBorder="1" applyAlignment="1">
      <alignment horizontal="left" vertical="top" wrapText="1"/>
    </xf>
    <xf numFmtId="0" fontId="10" fillId="174" borderId="2" xfId="3" applyFont="1" applyFill="1" applyBorder="1" applyAlignment="1">
      <alignment horizontal="left" vertical="top" wrapText="1"/>
    </xf>
    <xf numFmtId="0" fontId="10" fillId="175" borderId="2" xfId="3" applyFont="1" applyFill="1" applyBorder="1" applyAlignment="1">
      <alignment horizontal="left" vertical="top" wrapText="1"/>
    </xf>
    <xf numFmtId="0" fontId="10" fillId="176" borderId="2" xfId="3" applyFont="1" applyFill="1" applyBorder="1" applyAlignment="1">
      <alignment horizontal="left" vertical="top" wrapText="1"/>
    </xf>
    <xf numFmtId="0" fontId="30" fillId="177" borderId="2" xfId="0" applyFont="1" applyFill="1" applyBorder="1" applyAlignment="1">
      <alignment horizontal="left" vertical="top"/>
    </xf>
    <xf numFmtId="0" fontId="10" fillId="178" borderId="2" xfId="0" applyFont="1" applyFill="1" applyBorder="1" applyAlignment="1">
      <alignment horizontal="left" vertical="top" wrapText="1"/>
    </xf>
    <xf numFmtId="2" fontId="10" fillId="179" borderId="2" xfId="4" applyNumberFormat="1" applyFont="1" applyFill="1" applyBorder="1" applyAlignment="1">
      <alignment horizontal="left" vertical="top" wrapText="1"/>
    </xf>
    <xf numFmtId="0" fontId="10" fillId="180" borderId="2" xfId="0" applyFont="1" applyFill="1" applyBorder="1" applyAlignment="1">
      <alignment horizontal="left" vertical="top" wrapText="1"/>
    </xf>
    <xf numFmtId="0" fontId="10" fillId="181" borderId="2" xfId="0" applyFont="1" applyFill="1" applyBorder="1" applyAlignment="1">
      <alignment horizontal="left" vertical="top" wrapText="1"/>
    </xf>
    <xf numFmtId="0" fontId="10" fillId="182" borderId="2" xfId="0" applyFont="1" applyFill="1" applyBorder="1" applyAlignment="1">
      <alignment horizontal="left" vertical="top" wrapText="1"/>
    </xf>
    <xf numFmtId="0" fontId="10" fillId="183" borderId="2" xfId="0" applyFont="1" applyFill="1" applyBorder="1" applyAlignment="1">
      <alignment horizontal="left" vertical="top" wrapText="1"/>
    </xf>
    <xf numFmtId="0" fontId="10" fillId="184" borderId="2" xfId="0" applyFont="1" applyFill="1" applyBorder="1" applyAlignment="1">
      <alignment horizontal="left" vertical="top" wrapText="1"/>
    </xf>
    <xf numFmtId="0" fontId="10" fillId="185" borderId="2" xfId="0" applyFont="1" applyFill="1" applyBorder="1" applyAlignment="1">
      <alignment horizontal="left" vertical="top" wrapText="1"/>
    </xf>
    <xf numFmtId="0" fontId="10" fillId="186" borderId="2" xfId="0" applyFont="1" applyFill="1" applyBorder="1" applyAlignment="1">
      <alignment horizontal="left" vertical="top" wrapText="1"/>
    </xf>
    <xf numFmtId="0" fontId="10" fillId="187" borderId="2" xfId="0" applyFont="1" applyFill="1" applyBorder="1" applyAlignment="1">
      <alignment horizontal="left" vertical="top" wrapText="1"/>
    </xf>
    <xf numFmtId="0" fontId="10" fillId="188" borderId="2" xfId="0" applyFont="1" applyFill="1" applyBorder="1" applyAlignment="1">
      <alignment horizontal="left" vertical="top" wrapText="1"/>
    </xf>
    <xf numFmtId="0" fontId="10" fillId="189" borderId="2" xfId="0" applyFont="1" applyFill="1" applyBorder="1" applyAlignment="1">
      <alignment horizontal="left" vertical="top" wrapText="1"/>
    </xf>
    <xf numFmtId="0" fontId="10" fillId="190" borderId="2" xfId="0" applyFont="1" applyFill="1" applyBorder="1" applyAlignment="1">
      <alignment horizontal="left" vertical="top" wrapText="1"/>
    </xf>
    <xf numFmtId="0" fontId="10" fillId="191" borderId="2" xfId="0" applyFont="1" applyFill="1" applyBorder="1" applyAlignment="1">
      <alignment horizontal="left" vertical="top" wrapText="1"/>
    </xf>
    <xf numFmtId="0" fontId="10" fillId="192" borderId="2" xfId="0" applyFont="1" applyFill="1" applyBorder="1" applyAlignment="1">
      <alignment horizontal="left" vertical="top" wrapText="1"/>
    </xf>
    <xf numFmtId="0" fontId="10" fillId="193" borderId="2" xfId="0" applyFont="1" applyFill="1" applyBorder="1" applyAlignment="1">
      <alignment horizontal="left" vertical="top" wrapText="1"/>
    </xf>
    <xf numFmtId="0" fontId="10" fillId="194" borderId="2" xfId="2" applyFont="1" applyFill="1" applyBorder="1" applyAlignment="1">
      <alignment horizontal="left" vertical="top" wrapText="1"/>
    </xf>
    <xf numFmtId="0" fontId="10" fillId="122" borderId="2" xfId="2" applyFont="1" applyFill="1" applyBorder="1" applyAlignment="1">
      <alignment horizontal="left" vertical="top" wrapText="1"/>
    </xf>
    <xf numFmtId="0" fontId="10" fillId="195" borderId="2" xfId="0" applyFont="1" applyFill="1" applyBorder="1" applyAlignment="1">
      <alignment horizontal="left" vertical="top" wrapText="1"/>
    </xf>
    <xf numFmtId="0" fontId="10" fillId="196" borderId="2" xfId="0" applyFont="1" applyFill="1" applyBorder="1" applyAlignment="1">
      <alignment horizontal="left" vertical="top" wrapText="1"/>
    </xf>
    <xf numFmtId="0" fontId="10" fillId="197" borderId="2" xfId="0" applyFont="1" applyFill="1" applyBorder="1" applyAlignment="1">
      <alignment horizontal="left" vertical="top" wrapText="1"/>
    </xf>
    <xf numFmtId="0" fontId="10" fillId="198" borderId="2" xfId="0" applyFont="1" applyFill="1" applyBorder="1" applyAlignment="1">
      <alignment horizontal="left" vertical="top" wrapText="1"/>
    </xf>
    <xf numFmtId="0" fontId="10" fillId="199" borderId="2" xfId="0" applyFont="1" applyFill="1" applyBorder="1" applyAlignment="1">
      <alignment horizontal="left" vertical="top" wrapText="1"/>
    </xf>
    <xf numFmtId="0" fontId="10" fillId="200" borderId="2" xfId="0" applyFont="1" applyFill="1" applyBorder="1" applyAlignment="1">
      <alignment horizontal="left" vertical="top" wrapText="1"/>
    </xf>
    <xf numFmtId="0" fontId="10" fillId="201" borderId="2" xfId="0" applyFont="1" applyFill="1" applyBorder="1" applyAlignment="1">
      <alignment horizontal="left" vertical="top" wrapText="1"/>
    </xf>
    <xf numFmtId="0" fontId="10" fillId="202" borderId="2" xfId="0" applyFont="1" applyFill="1" applyBorder="1" applyAlignment="1">
      <alignment horizontal="left" vertical="top" wrapText="1"/>
    </xf>
    <xf numFmtId="0" fontId="10" fillId="203" borderId="2" xfId="2" applyFont="1" applyFill="1" applyBorder="1" applyAlignment="1">
      <alignment horizontal="left" vertical="top" wrapText="1"/>
    </xf>
    <xf numFmtId="0" fontId="10" fillId="204" borderId="2" xfId="0" applyFont="1" applyFill="1" applyBorder="1" applyAlignment="1">
      <alignment horizontal="left" vertical="top" wrapText="1"/>
    </xf>
    <xf numFmtId="0" fontId="10" fillId="205" borderId="2" xfId="0" applyFont="1" applyFill="1" applyBorder="1" applyAlignment="1">
      <alignment horizontal="left" vertical="top" wrapText="1"/>
    </xf>
    <xf numFmtId="0" fontId="10" fillId="206" borderId="2" xfId="0" applyFont="1" applyFill="1" applyBorder="1" applyAlignment="1">
      <alignment horizontal="left" vertical="top" wrapText="1"/>
    </xf>
    <xf numFmtId="0" fontId="10" fillId="207" borderId="2" xfId="0" applyFont="1" applyFill="1" applyBorder="1" applyAlignment="1">
      <alignment horizontal="left" vertical="top" wrapText="1"/>
    </xf>
    <xf numFmtId="0" fontId="10" fillId="208" borderId="2" xfId="0" applyFont="1" applyFill="1" applyBorder="1" applyAlignment="1">
      <alignment horizontal="left" vertical="top" wrapText="1"/>
    </xf>
    <xf numFmtId="0" fontId="10" fillId="209" borderId="2" xfId="0" applyFont="1" applyFill="1" applyBorder="1" applyAlignment="1">
      <alignment horizontal="left" vertical="top" wrapText="1"/>
    </xf>
    <xf numFmtId="0" fontId="10" fillId="210" borderId="2" xfId="0" applyFont="1" applyFill="1" applyBorder="1" applyAlignment="1">
      <alignment horizontal="left" vertical="top" wrapText="1"/>
    </xf>
    <xf numFmtId="0" fontId="10" fillId="211" borderId="2" xfId="0" applyFont="1" applyFill="1" applyBorder="1" applyAlignment="1">
      <alignment horizontal="left" vertical="top" wrapText="1"/>
    </xf>
    <xf numFmtId="0" fontId="10" fillId="212" borderId="2" xfId="0" applyFont="1" applyFill="1" applyBorder="1" applyAlignment="1">
      <alignment horizontal="left" vertical="top" wrapText="1"/>
    </xf>
    <xf numFmtId="0" fontId="10" fillId="213" borderId="2" xfId="0" applyFont="1" applyFill="1" applyBorder="1" applyAlignment="1">
      <alignment horizontal="left" vertical="top" wrapText="1"/>
    </xf>
    <xf numFmtId="0" fontId="10" fillId="214" borderId="2" xfId="0" applyFont="1" applyFill="1" applyBorder="1" applyAlignment="1">
      <alignment horizontal="left" vertical="top" wrapText="1"/>
    </xf>
    <xf numFmtId="0" fontId="10" fillId="215" borderId="2" xfId="0" applyFont="1" applyFill="1" applyBorder="1" applyAlignment="1">
      <alignment horizontal="left" vertical="top" wrapText="1"/>
    </xf>
    <xf numFmtId="0" fontId="10" fillId="216" borderId="2" xfId="0" applyFont="1" applyFill="1" applyBorder="1" applyAlignment="1">
      <alignment horizontal="left" vertical="top" wrapText="1"/>
    </xf>
    <xf numFmtId="0" fontId="10" fillId="217" borderId="2" xfId="0" applyFont="1" applyFill="1" applyBorder="1" applyAlignment="1">
      <alignment horizontal="left" vertical="top" wrapText="1"/>
    </xf>
    <xf numFmtId="0" fontId="10" fillId="218" borderId="2" xfId="0" applyFont="1" applyFill="1" applyBorder="1" applyAlignment="1">
      <alignment horizontal="left" vertical="top" wrapText="1"/>
    </xf>
    <xf numFmtId="0" fontId="10" fillId="219" borderId="2" xfId="0" applyFont="1" applyFill="1" applyBorder="1" applyAlignment="1">
      <alignment horizontal="left" vertical="top" wrapText="1"/>
    </xf>
    <xf numFmtId="0" fontId="10" fillId="220" borderId="2" xfId="0" applyFont="1" applyFill="1" applyBorder="1" applyAlignment="1">
      <alignment horizontal="left" vertical="top" wrapText="1"/>
    </xf>
    <xf numFmtId="0" fontId="10" fillId="221" borderId="2" xfId="0" applyFont="1" applyFill="1" applyBorder="1" applyAlignment="1">
      <alignment horizontal="left" vertical="top" wrapText="1"/>
    </xf>
    <xf numFmtId="0" fontId="10" fillId="222" borderId="2" xfId="0" applyFont="1" applyFill="1" applyBorder="1" applyAlignment="1">
      <alignment horizontal="left" vertical="top" wrapText="1"/>
    </xf>
    <xf numFmtId="0" fontId="10" fillId="223" borderId="2" xfId="0" applyFont="1" applyFill="1" applyBorder="1" applyAlignment="1">
      <alignment horizontal="left" vertical="top" wrapText="1"/>
    </xf>
    <xf numFmtId="0" fontId="10" fillId="224" borderId="2" xfId="0" applyFont="1" applyFill="1" applyBorder="1" applyAlignment="1">
      <alignment horizontal="left" vertical="top" wrapText="1"/>
    </xf>
    <xf numFmtId="0" fontId="10" fillId="225" borderId="2" xfId="0" applyFont="1" applyFill="1" applyBorder="1" applyAlignment="1">
      <alignment horizontal="left" vertical="top" wrapText="1"/>
    </xf>
    <xf numFmtId="0" fontId="10" fillId="226" borderId="2" xfId="0" applyFont="1" applyFill="1" applyBorder="1" applyAlignment="1">
      <alignment horizontal="left" vertical="top" wrapText="1"/>
    </xf>
    <xf numFmtId="0" fontId="10" fillId="227" borderId="2" xfId="0" applyFont="1" applyFill="1" applyBorder="1" applyAlignment="1">
      <alignment horizontal="left" vertical="top" wrapText="1"/>
    </xf>
    <xf numFmtId="0" fontId="30" fillId="228" borderId="2" xfId="0" applyFont="1" applyFill="1" applyBorder="1" applyAlignment="1">
      <alignment horizontal="left" vertical="top"/>
    </xf>
    <xf numFmtId="0" fontId="10" fillId="229" borderId="2" xfId="0" applyFont="1" applyFill="1" applyBorder="1" applyAlignment="1">
      <alignment horizontal="left" vertical="top" wrapText="1"/>
    </xf>
    <xf numFmtId="0" fontId="10" fillId="230" borderId="2" xfId="0" applyFont="1" applyFill="1" applyBorder="1" applyAlignment="1">
      <alignment horizontal="left" vertical="top" wrapText="1"/>
    </xf>
    <xf numFmtId="0" fontId="10" fillId="231" borderId="2" xfId="0" applyFont="1" applyFill="1" applyBorder="1" applyAlignment="1">
      <alignment horizontal="left" vertical="top" wrapText="1"/>
    </xf>
    <xf numFmtId="0" fontId="10" fillId="232" borderId="2" xfId="0" applyFont="1" applyFill="1" applyBorder="1" applyAlignment="1">
      <alignment horizontal="left" vertical="top" wrapText="1"/>
    </xf>
    <xf numFmtId="0" fontId="10" fillId="233" borderId="2" xfId="0" applyFont="1" applyFill="1" applyBorder="1" applyAlignment="1">
      <alignment horizontal="left" vertical="top" wrapText="1"/>
    </xf>
    <xf numFmtId="0" fontId="10" fillId="234" borderId="2" xfId="0" applyFont="1" applyFill="1" applyBorder="1" applyAlignment="1">
      <alignment horizontal="left" vertical="top" wrapText="1"/>
    </xf>
    <xf numFmtId="0" fontId="10" fillId="235" borderId="2" xfId="0" applyFont="1" applyFill="1" applyBorder="1" applyAlignment="1">
      <alignment horizontal="left" vertical="top" wrapText="1"/>
    </xf>
    <xf numFmtId="0" fontId="10" fillId="236" borderId="2" xfId="0" applyFont="1" applyFill="1" applyBorder="1" applyAlignment="1">
      <alignment horizontal="left" vertical="top" wrapText="1"/>
    </xf>
    <xf numFmtId="0" fontId="10" fillId="237" borderId="2" xfId="0" applyFont="1" applyFill="1" applyBorder="1" applyAlignment="1">
      <alignment horizontal="left" vertical="top" wrapText="1"/>
    </xf>
    <xf numFmtId="0" fontId="10" fillId="238" borderId="2" xfId="0" applyFont="1" applyFill="1" applyBorder="1" applyAlignment="1">
      <alignment horizontal="left" vertical="top" wrapText="1"/>
    </xf>
    <xf numFmtId="0" fontId="10" fillId="239" borderId="2" xfId="0" applyFont="1" applyFill="1" applyBorder="1" applyAlignment="1">
      <alignment horizontal="left" vertical="top" wrapText="1"/>
    </xf>
    <xf numFmtId="0" fontId="10" fillId="240" borderId="2" xfId="0" applyFont="1" applyFill="1" applyBorder="1" applyAlignment="1">
      <alignment horizontal="left" vertical="top" wrapText="1"/>
    </xf>
    <xf numFmtId="0" fontId="10" fillId="241" borderId="2" xfId="0" applyFont="1" applyFill="1" applyBorder="1" applyAlignment="1">
      <alignment horizontal="left" vertical="top" wrapText="1"/>
    </xf>
    <xf numFmtId="0" fontId="10" fillId="242" borderId="2" xfId="0" applyFont="1" applyFill="1" applyBorder="1" applyAlignment="1">
      <alignment horizontal="left" vertical="top" wrapText="1"/>
    </xf>
    <xf numFmtId="0" fontId="10" fillId="243" borderId="2" xfId="0" applyFont="1" applyFill="1" applyBorder="1" applyAlignment="1">
      <alignment horizontal="left" vertical="top" wrapText="1"/>
    </xf>
    <xf numFmtId="0" fontId="10" fillId="244" borderId="2" xfId="0" applyFont="1" applyFill="1" applyBorder="1" applyAlignment="1">
      <alignment horizontal="left" vertical="top" wrapText="1"/>
    </xf>
    <xf numFmtId="0" fontId="10" fillId="245" borderId="2" xfId="0" applyFont="1" applyFill="1" applyBorder="1" applyAlignment="1">
      <alignment horizontal="left" vertical="top" wrapText="1"/>
    </xf>
    <xf numFmtId="0" fontId="10" fillId="246" borderId="2" xfId="0" applyFont="1" applyFill="1" applyBorder="1" applyAlignment="1">
      <alignment horizontal="left" vertical="top" wrapText="1"/>
    </xf>
    <xf numFmtId="0" fontId="10" fillId="247" borderId="2" xfId="0" applyFont="1" applyFill="1" applyBorder="1" applyAlignment="1">
      <alignment horizontal="left" vertical="top" wrapText="1"/>
    </xf>
    <xf numFmtId="0" fontId="10" fillId="248" borderId="2" xfId="0" applyFont="1" applyFill="1" applyBorder="1" applyAlignment="1">
      <alignment horizontal="left" vertical="top" wrapText="1"/>
    </xf>
    <xf numFmtId="0" fontId="10" fillId="249" borderId="2" xfId="0" applyFont="1" applyFill="1" applyBorder="1" applyAlignment="1">
      <alignment horizontal="left" vertical="top" wrapText="1"/>
    </xf>
    <xf numFmtId="0" fontId="10" fillId="250" borderId="2" xfId="0" applyFont="1" applyFill="1" applyBorder="1" applyAlignment="1">
      <alignment horizontal="left" vertical="top" wrapText="1"/>
    </xf>
    <xf numFmtId="0" fontId="10" fillId="251" borderId="2" xfId="0" applyFont="1" applyFill="1" applyBorder="1" applyAlignment="1">
      <alignment horizontal="left" vertical="top" wrapText="1"/>
    </xf>
    <xf numFmtId="0" fontId="10" fillId="252" borderId="2" xfId="0" applyFont="1" applyFill="1" applyBorder="1" applyAlignment="1">
      <alignment horizontal="left" vertical="top" wrapText="1"/>
    </xf>
    <xf numFmtId="1" fontId="14" fillId="253" borderId="2" xfId="4" applyNumberFormat="1" applyFont="1" applyFill="1" applyBorder="1" applyAlignment="1">
      <alignment horizontal="left" vertical="top" wrapText="1"/>
    </xf>
    <xf numFmtId="2" fontId="10" fillId="254" borderId="2" xfId="2" applyNumberFormat="1" applyFont="1" applyFill="1" applyBorder="1" applyAlignment="1">
      <alignment horizontal="left" vertical="top" wrapText="1"/>
    </xf>
    <xf numFmtId="2" fontId="10" fillId="255" borderId="2" xfId="2" applyNumberFormat="1" applyFont="1" applyFill="1" applyBorder="1" applyAlignment="1">
      <alignment horizontal="left" vertical="top" wrapText="1"/>
    </xf>
    <xf numFmtId="2" fontId="10" fillId="256" borderId="2" xfId="2" applyNumberFormat="1" applyFont="1" applyFill="1" applyBorder="1" applyAlignment="1">
      <alignment horizontal="left" vertical="top" wrapText="1"/>
    </xf>
    <xf numFmtId="2" fontId="10" fillId="257" borderId="2" xfId="2" applyNumberFormat="1" applyFont="1" applyFill="1" applyBorder="1" applyAlignment="1">
      <alignment horizontal="left" vertical="top" wrapText="1"/>
    </xf>
    <xf numFmtId="2" fontId="10" fillId="258" borderId="2" xfId="2" applyNumberFormat="1" applyFont="1" applyFill="1" applyBorder="1" applyAlignment="1">
      <alignment horizontal="left" vertical="top" wrapText="1"/>
    </xf>
    <xf numFmtId="2" fontId="10" fillId="259" borderId="2" xfId="2" applyNumberFormat="1" applyFont="1" applyFill="1" applyBorder="1" applyAlignment="1">
      <alignment horizontal="left" vertical="top" wrapText="1"/>
    </xf>
    <xf numFmtId="2" fontId="10" fillId="260" borderId="2" xfId="2" applyNumberFormat="1" applyFont="1" applyFill="1" applyBorder="1" applyAlignment="1">
      <alignment horizontal="left" vertical="top" wrapText="1"/>
    </xf>
    <xf numFmtId="2" fontId="10" fillId="261" borderId="2" xfId="2" applyNumberFormat="1" applyFont="1" applyFill="1" applyBorder="1" applyAlignment="1">
      <alignment horizontal="left" vertical="top" wrapText="1"/>
    </xf>
    <xf numFmtId="2" fontId="10" fillId="262" borderId="2" xfId="2" applyNumberFormat="1" applyFont="1" applyFill="1" applyBorder="1" applyAlignment="1">
      <alignment horizontal="left" vertical="top" wrapText="1"/>
    </xf>
    <xf numFmtId="2" fontId="10" fillId="263" borderId="2" xfId="2" applyNumberFormat="1" applyFont="1" applyFill="1" applyBorder="1" applyAlignment="1">
      <alignment horizontal="left" vertical="top" wrapText="1"/>
    </xf>
    <xf numFmtId="2" fontId="10" fillId="264" borderId="2" xfId="2" applyNumberFormat="1" applyFont="1" applyFill="1" applyBorder="1" applyAlignment="1">
      <alignment horizontal="left" vertical="top" wrapText="1"/>
    </xf>
    <xf numFmtId="0" fontId="30" fillId="265" borderId="2" xfId="0" applyFont="1" applyFill="1" applyBorder="1" applyAlignment="1">
      <alignment horizontal="left" vertical="top"/>
    </xf>
    <xf numFmtId="0" fontId="10" fillId="266" borderId="2" xfId="0" applyFont="1" applyFill="1" applyBorder="1" applyAlignment="1">
      <alignment horizontal="left" vertical="top" wrapText="1"/>
    </xf>
    <xf numFmtId="0" fontId="10" fillId="94" borderId="2" xfId="2" applyFont="1" applyFill="1" applyBorder="1" applyAlignment="1">
      <alignment horizontal="left" vertical="top" wrapText="1"/>
    </xf>
    <xf numFmtId="0" fontId="10" fillId="267" borderId="2" xfId="0" applyFont="1" applyFill="1" applyBorder="1" applyAlignment="1">
      <alignment horizontal="left" vertical="top" wrapText="1"/>
    </xf>
    <xf numFmtId="0" fontId="10" fillId="268" borderId="2" xfId="0" applyFont="1" applyFill="1" applyBorder="1" applyAlignment="1">
      <alignment horizontal="left" vertical="top" wrapText="1"/>
    </xf>
    <xf numFmtId="0" fontId="10" fillId="269" borderId="2" xfId="0" applyFont="1" applyFill="1" applyBorder="1" applyAlignment="1">
      <alignment horizontal="left" vertical="top" wrapText="1"/>
    </xf>
    <xf numFmtId="0" fontId="10" fillId="270" borderId="2" xfId="3" applyFont="1" applyFill="1" applyBorder="1" applyAlignment="1">
      <alignment horizontal="left" vertical="top" wrapText="1"/>
    </xf>
    <xf numFmtId="0" fontId="10" fillId="271" borderId="2" xfId="0" applyFont="1" applyFill="1" applyBorder="1" applyAlignment="1">
      <alignment horizontal="left" vertical="top" wrapText="1"/>
    </xf>
    <xf numFmtId="0" fontId="30" fillId="272" borderId="2" xfId="0" applyFont="1" applyFill="1" applyBorder="1" applyAlignment="1">
      <alignment horizontal="left" vertical="top"/>
    </xf>
    <xf numFmtId="0" fontId="10" fillId="273" borderId="2" xfId="0" applyFont="1" applyFill="1" applyBorder="1" applyAlignment="1">
      <alignment horizontal="left" vertical="top" wrapText="1"/>
    </xf>
    <xf numFmtId="0" fontId="10" fillId="274" borderId="2" xfId="0" applyFont="1" applyFill="1" applyBorder="1" applyAlignment="1">
      <alignment horizontal="left" vertical="top" wrapText="1"/>
    </xf>
    <xf numFmtId="0" fontId="10" fillId="275" borderId="2" xfId="0" applyFont="1" applyFill="1" applyBorder="1" applyAlignment="1">
      <alignment horizontal="left" vertical="top" wrapText="1"/>
    </xf>
    <xf numFmtId="0" fontId="10" fillId="276" borderId="2" xfId="0" applyFont="1" applyFill="1" applyBorder="1" applyAlignment="1">
      <alignment horizontal="left" vertical="top" wrapText="1"/>
    </xf>
    <xf numFmtId="0" fontId="10" fillId="277" borderId="2" xfId="0" applyFont="1" applyFill="1" applyBorder="1" applyAlignment="1">
      <alignment horizontal="left" vertical="top" wrapText="1"/>
    </xf>
    <xf numFmtId="0" fontId="10" fillId="278" borderId="2" xfId="0" applyFont="1" applyFill="1" applyBorder="1" applyAlignment="1">
      <alignment horizontal="left" vertical="top" wrapText="1"/>
    </xf>
    <xf numFmtId="0" fontId="10" fillId="279" borderId="2" xfId="0" applyFont="1" applyFill="1" applyBorder="1" applyAlignment="1">
      <alignment horizontal="left" vertical="top" wrapText="1"/>
    </xf>
    <xf numFmtId="0" fontId="10" fillId="280" borderId="2" xfId="0" applyFont="1" applyFill="1" applyBorder="1" applyAlignment="1">
      <alignment horizontal="left" vertical="top" wrapText="1"/>
    </xf>
    <xf numFmtId="0" fontId="10" fillId="281" borderId="2" xfId="0" applyFont="1" applyFill="1" applyBorder="1" applyAlignment="1">
      <alignment horizontal="left" vertical="top" wrapText="1"/>
    </xf>
    <xf numFmtId="0" fontId="10" fillId="282" borderId="2" xfId="0" applyFont="1" applyFill="1" applyBorder="1" applyAlignment="1">
      <alignment horizontal="left" vertical="top" wrapText="1"/>
    </xf>
    <xf numFmtId="0" fontId="10" fillId="283" borderId="2" xfId="0" applyFont="1" applyFill="1" applyBorder="1" applyAlignment="1">
      <alignment horizontal="left" vertical="top" wrapText="1"/>
    </xf>
    <xf numFmtId="0" fontId="10" fillId="284" borderId="2" xfId="0" applyFont="1" applyFill="1" applyBorder="1" applyAlignment="1">
      <alignment horizontal="left" vertical="top" wrapText="1"/>
    </xf>
    <xf numFmtId="0" fontId="10" fillId="285" borderId="2" xfId="0" applyFont="1" applyFill="1" applyBorder="1" applyAlignment="1">
      <alignment horizontal="left" vertical="top" wrapText="1"/>
    </xf>
    <xf numFmtId="0" fontId="10" fillId="286" borderId="2" xfId="0" applyFont="1" applyFill="1" applyBorder="1" applyAlignment="1">
      <alignment horizontal="left" vertical="top" wrapText="1"/>
    </xf>
    <xf numFmtId="0" fontId="10" fillId="287" borderId="2" xfId="0" applyFont="1" applyFill="1" applyBorder="1" applyAlignment="1">
      <alignment horizontal="left" vertical="top" wrapText="1"/>
    </xf>
    <xf numFmtId="0" fontId="10" fillId="288" borderId="2" xfId="0" applyFont="1" applyFill="1" applyBorder="1" applyAlignment="1">
      <alignment horizontal="left" vertical="top" wrapText="1"/>
    </xf>
    <xf numFmtId="0" fontId="10" fillId="289" borderId="2" xfId="0" applyFont="1" applyFill="1" applyBorder="1" applyAlignment="1">
      <alignment horizontal="left" vertical="top" wrapText="1"/>
    </xf>
    <xf numFmtId="0" fontId="10" fillId="290" borderId="2" xfId="0" applyFont="1" applyFill="1" applyBorder="1" applyAlignment="1">
      <alignment horizontal="left" vertical="top" wrapText="1"/>
    </xf>
    <xf numFmtId="0" fontId="10" fillId="291" borderId="2" xfId="0" applyFont="1" applyFill="1" applyBorder="1" applyAlignment="1">
      <alignment horizontal="left" vertical="top" wrapText="1"/>
    </xf>
    <xf numFmtId="0" fontId="10" fillId="292" borderId="2" xfId="0" applyFont="1" applyFill="1" applyBorder="1" applyAlignment="1">
      <alignment horizontal="left" vertical="top" wrapText="1"/>
    </xf>
    <xf numFmtId="0" fontId="10" fillId="293" borderId="2" xfId="0" applyFont="1" applyFill="1" applyBorder="1" applyAlignment="1">
      <alignment horizontal="left" vertical="top" wrapText="1"/>
    </xf>
    <xf numFmtId="0" fontId="10" fillId="294" borderId="2" xfId="0" applyFont="1" applyFill="1" applyBorder="1" applyAlignment="1">
      <alignment horizontal="left" vertical="top" wrapText="1"/>
    </xf>
    <xf numFmtId="0" fontId="10" fillId="295" borderId="2" xfId="0" applyFont="1" applyFill="1" applyBorder="1" applyAlignment="1">
      <alignment horizontal="left" vertical="top" wrapText="1"/>
    </xf>
    <xf numFmtId="0" fontId="10" fillId="296" borderId="2" xfId="0" applyFont="1" applyFill="1" applyBorder="1" applyAlignment="1">
      <alignment horizontal="left" vertical="top" wrapText="1"/>
    </xf>
    <xf numFmtId="0" fontId="10" fillId="297" borderId="2" xfId="0" applyFont="1" applyFill="1" applyBorder="1" applyAlignment="1">
      <alignment horizontal="left" vertical="top" wrapText="1"/>
    </xf>
    <xf numFmtId="0" fontId="10" fillId="298" borderId="2" xfId="0" applyFont="1" applyFill="1" applyBorder="1" applyAlignment="1">
      <alignment horizontal="left" vertical="top" wrapText="1"/>
    </xf>
    <xf numFmtId="0" fontId="10" fillId="299" borderId="2" xfId="0" applyFont="1" applyFill="1" applyBorder="1" applyAlignment="1">
      <alignment horizontal="left" vertical="top" wrapText="1"/>
    </xf>
    <xf numFmtId="0" fontId="10" fillId="300" borderId="2" xfId="0" applyFont="1" applyFill="1" applyBorder="1" applyAlignment="1">
      <alignment horizontal="left" vertical="top" wrapText="1"/>
    </xf>
    <xf numFmtId="0" fontId="10" fillId="301" borderId="2" xfId="0" applyFont="1" applyFill="1" applyBorder="1" applyAlignment="1">
      <alignment horizontal="left" vertical="top" wrapText="1"/>
    </xf>
    <xf numFmtId="0" fontId="10" fillId="302" borderId="2" xfId="0" applyFont="1" applyFill="1" applyBorder="1" applyAlignment="1">
      <alignment horizontal="left" vertical="top" wrapText="1"/>
    </xf>
    <xf numFmtId="0" fontId="10" fillId="303" borderId="2" xfId="0" applyFont="1" applyFill="1" applyBorder="1" applyAlignment="1">
      <alignment horizontal="left" vertical="top" wrapText="1"/>
    </xf>
    <xf numFmtId="0" fontId="10" fillId="304" borderId="2" xfId="0" applyFont="1" applyFill="1" applyBorder="1" applyAlignment="1">
      <alignment horizontal="left" vertical="top" wrapText="1"/>
    </xf>
    <xf numFmtId="0" fontId="10" fillId="305" borderId="2" xfId="0" applyFont="1" applyFill="1" applyBorder="1" applyAlignment="1">
      <alignment horizontal="left" vertical="top" wrapText="1"/>
    </xf>
    <xf numFmtId="0" fontId="30" fillId="306" borderId="2" xfId="0" applyFont="1" applyFill="1" applyBorder="1" applyAlignment="1">
      <alignment horizontal="left" vertical="top"/>
    </xf>
    <xf numFmtId="0" fontId="16" fillId="307" borderId="2" xfId="0" applyFont="1" applyFill="1" applyBorder="1" applyAlignment="1">
      <alignment horizontal="left" vertical="top" wrapText="1"/>
    </xf>
    <xf numFmtId="0" fontId="16" fillId="308" borderId="2" xfId="0" applyFont="1" applyFill="1" applyBorder="1" applyAlignment="1">
      <alignment horizontal="left" vertical="top" wrapText="1"/>
    </xf>
    <xf numFmtId="0" fontId="16" fillId="309" borderId="2" xfId="0" applyFont="1" applyFill="1" applyBorder="1" applyAlignment="1">
      <alignment horizontal="left" vertical="top" wrapText="1"/>
    </xf>
    <xf numFmtId="0" fontId="16" fillId="310" borderId="2" xfId="0" applyFont="1" applyFill="1" applyBorder="1" applyAlignment="1">
      <alignment horizontal="left" vertical="top" wrapText="1"/>
    </xf>
    <xf numFmtId="0" fontId="16" fillId="311" borderId="2" xfId="0" applyFont="1" applyFill="1" applyBorder="1" applyAlignment="1">
      <alignment horizontal="left" vertical="top" wrapText="1"/>
    </xf>
    <xf numFmtId="0" fontId="16" fillId="312" borderId="2" xfId="0" applyFont="1" applyFill="1" applyBorder="1" applyAlignment="1">
      <alignment horizontal="left" vertical="top" wrapText="1"/>
    </xf>
    <xf numFmtId="0" fontId="16" fillId="313" borderId="2" xfId="0" applyFont="1" applyFill="1" applyBorder="1" applyAlignment="1">
      <alignment horizontal="left" vertical="top" wrapText="1"/>
    </xf>
    <xf numFmtId="0" fontId="16" fillId="314" borderId="2" xfId="0" applyFont="1" applyFill="1" applyBorder="1" applyAlignment="1">
      <alignment horizontal="left" vertical="top" wrapText="1"/>
    </xf>
    <xf numFmtId="0" fontId="16" fillId="315" borderId="2" xfId="0" applyFont="1" applyFill="1" applyBorder="1" applyAlignment="1">
      <alignment horizontal="left" vertical="top" wrapText="1"/>
    </xf>
    <xf numFmtId="0" fontId="16" fillId="316" borderId="2" xfId="0" applyFont="1" applyFill="1" applyBorder="1" applyAlignment="1">
      <alignment horizontal="left" vertical="top" wrapText="1"/>
    </xf>
    <xf numFmtId="0" fontId="16" fillId="317" borderId="2" xfId="0" applyFont="1" applyFill="1" applyBorder="1" applyAlignment="1">
      <alignment horizontal="left" vertical="top" wrapText="1"/>
    </xf>
    <xf numFmtId="0" fontId="16" fillId="318" borderId="2" xfId="0" applyFont="1" applyFill="1" applyBorder="1" applyAlignment="1">
      <alignment horizontal="left" vertical="top" wrapText="1"/>
    </xf>
    <xf numFmtId="0" fontId="16" fillId="319" borderId="2" xfId="0" applyFont="1" applyFill="1" applyBorder="1" applyAlignment="1">
      <alignment horizontal="left" vertical="top" wrapText="1"/>
    </xf>
    <xf numFmtId="0" fontId="16" fillId="320" borderId="2" xfId="0" applyFont="1" applyFill="1" applyBorder="1" applyAlignment="1">
      <alignment horizontal="left" vertical="top" wrapText="1"/>
    </xf>
    <xf numFmtId="0" fontId="16" fillId="321" borderId="2" xfId="0" applyFont="1" applyFill="1" applyBorder="1" applyAlignment="1">
      <alignment horizontal="left" vertical="top" wrapText="1"/>
    </xf>
    <xf numFmtId="0" fontId="16" fillId="322" borderId="2" xfId="0" applyFont="1" applyFill="1" applyBorder="1" applyAlignment="1">
      <alignment horizontal="left" vertical="top" wrapText="1"/>
    </xf>
    <xf numFmtId="0" fontId="16" fillId="323" borderId="2" xfId="0" applyFont="1" applyFill="1" applyBorder="1" applyAlignment="1">
      <alignment horizontal="left" vertical="top" wrapText="1"/>
    </xf>
    <xf numFmtId="0" fontId="16" fillId="324" borderId="2" xfId="0" applyFont="1" applyFill="1" applyBorder="1" applyAlignment="1">
      <alignment horizontal="left" vertical="top" wrapText="1"/>
    </xf>
    <xf numFmtId="0" fontId="16" fillId="325" borderId="2" xfId="0" applyFont="1" applyFill="1" applyBorder="1" applyAlignment="1">
      <alignment horizontal="left" vertical="top" wrapText="1"/>
    </xf>
    <xf numFmtId="0" fontId="16" fillId="326" borderId="2" xfId="0" applyFont="1" applyFill="1" applyBorder="1" applyAlignment="1">
      <alignment horizontal="left" vertical="top" wrapText="1"/>
    </xf>
    <xf numFmtId="0" fontId="16" fillId="327" borderId="2" xfId="0" applyFont="1" applyFill="1" applyBorder="1" applyAlignment="1">
      <alignment horizontal="left" vertical="top" wrapText="1"/>
    </xf>
    <xf numFmtId="0" fontId="16" fillId="328" borderId="2" xfId="0" applyFont="1" applyFill="1" applyBorder="1" applyAlignment="1">
      <alignment horizontal="left" vertical="top" wrapText="1"/>
    </xf>
    <xf numFmtId="0" fontId="16" fillId="329" borderId="2" xfId="0" applyFont="1" applyFill="1" applyBorder="1" applyAlignment="1">
      <alignment horizontal="left" vertical="top" wrapText="1"/>
    </xf>
    <xf numFmtId="0" fontId="16" fillId="330" borderId="2" xfId="0" applyFont="1" applyFill="1" applyBorder="1" applyAlignment="1">
      <alignment horizontal="left" vertical="top" wrapText="1"/>
    </xf>
    <xf numFmtId="0" fontId="16" fillId="331" borderId="2" xfId="0" applyFont="1" applyFill="1" applyBorder="1" applyAlignment="1">
      <alignment horizontal="left" vertical="top" wrapText="1"/>
    </xf>
    <xf numFmtId="0" fontId="16" fillId="332" borderId="2" xfId="0" applyFont="1" applyFill="1" applyBorder="1" applyAlignment="1">
      <alignment horizontal="left" vertical="top" wrapText="1"/>
    </xf>
    <xf numFmtId="0" fontId="16" fillId="333" borderId="2" xfId="0" applyFont="1" applyFill="1" applyBorder="1" applyAlignment="1">
      <alignment horizontal="left" vertical="top" wrapText="1"/>
    </xf>
    <xf numFmtId="0" fontId="16" fillId="334" borderId="2" xfId="0" applyFont="1" applyFill="1" applyBorder="1" applyAlignment="1">
      <alignment horizontal="left" vertical="top" wrapText="1"/>
    </xf>
    <xf numFmtId="0" fontId="16" fillId="335" borderId="2" xfId="0" applyFont="1" applyFill="1" applyBorder="1" applyAlignment="1">
      <alignment horizontal="left" vertical="top" wrapText="1"/>
    </xf>
    <xf numFmtId="0" fontId="16" fillId="336" borderId="2" xfId="0" applyFont="1" applyFill="1" applyBorder="1" applyAlignment="1">
      <alignment horizontal="left" vertical="top" wrapText="1"/>
    </xf>
    <xf numFmtId="0" fontId="16" fillId="337" borderId="2" xfId="0" applyFont="1" applyFill="1" applyBorder="1" applyAlignment="1">
      <alignment horizontal="left" vertical="top" wrapText="1"/>
    </xf>
    <xf numFmtId="0" fontId="16" fillId="338" borderId="2" xfId="0" applyFont="1" applyFill="1" applyBorder="1" applyAlignment="1">
      <alignment horizontal="left" vertical="top" wrapText="1"/>
    </xf>
    <xf numFmtId="0" fontId="16" fillId="339" borderId="2" xfId="0" applyFont="1" applyFill="1" applyBorder="1" applyAlignment="1">
      <alignment horizontal="left" vertical="top" wrapText="1"/>
    </xf>
    <xf numFmtId="0" fontId="16" fillId="340" borderId="2" xfId="0" applyFont="1" applyFill="1" applyBorder="1" applyAlignment="1">
      <alignment horizontal="left" vertical="top" wrapText="1"/>
    </xf>
    <xf numFmtId="0" fontId="16" fillId="341" borderId="2" xfId="0" applyFont="1" applyFill="1" applyBorder="1" applyAlignment="1">
      <alignment horizontal="left" vertical="top" wrapText="1"/>
    </xf>
    <xf numFmtId="0" fontId="16" fillId="342" borderId="2" xfId="0" applyFont="1" applyFill="1" applyBorder="1" applyAlignment="1">
      <alignment horizontal="left" vertical="top" wrapText="1"/>
    </xf>
    <xf numFmtId="0" fontId="16" fillId="343" borderId="2" xfId="0" applyFont="1" applyFill="1" applyBorder="1" applyAlignment="1">
      <alignment horizontal="left" vertical="top" wrapText="1"/>
    </xf>
    <xf numFmtId="0" fontId="16" fillId="344" borderId="2" xfId="0" applyFont="1" applyFill="1" applyBorder="1" applyAlignment="1">
      <alignment horizontal="left" vertical="top" wrapText="1"/>
    </xf>
    <xf numFmtId="0" fontId="16" fillId="345" borderId="2" xfId="0" applyFont="1" applyFill="1" applyBorder="1" applyAlignment="1">
      <alignment horizontal="left" vertical="top" wrapText="1"/>
    </xf>
    <xf numFmtId="0" fontId="16" fillId="346" borderId="2" xfId="0" applyFont="1" applyFill="1" applyBorder="1" applyAlignment="1">
      <alignment horizontal="left" vertical="top" wrapText="1"/>
    </xf>
    <xf numFmtId="0" fontId="16" fillId="347" borderId="2" xfId="0" applyFont="1" applyFill="1" applyBorder="1" applyAlignment="1">
      <alignment horizontal="left" vertical="top" wrapText="1"/>
    </xf>
    <xf numFmtId="0" fontId="16" fillId="348" borderId="2" xfId="0" applyFont="1" applyFill="1" applyBorder="1" applyAlignment="1">
      <alignment horizontal="left" vertical="top" wrapText="1"/>
    </xf>
    <xf numFmtId="0" fontId="16" fillId="349" borderId="2" xfId="0" applyFont="1" applyFill="1" applyBorder="1" applyAlignment="1">
      <alignment horizontal="left" vertical="top" wrapText="1"/>
    </xf>
    <xf numFmtId="0" fontId="16" fillId="350" borderId="2" xfId="0" applyFont="1" applyFill="1" applyBorder="1" applyAlignment="1">
      <alignment horizontal="left" vertical="top" wrapText="1"/>
    </xf>
    <xf numFmtId="0" fontId="16" fillId="351" borderId="2" xfId="0" applyFont="1" applyFill="1" applyBorder="1" applyAlignment="1">
      <alignment horizontal="left" vertical="top" wrapText="1"/>
    </xf>
    <xf numFmtId="0" fontId="16" fillId="352" borderId="2" xfId="0" applyFont="1" applyFill="1" applyBorder="1" applyAlignment="1">
      <alignment horizontal="left" vertical="top" wrapText="1"/>
    </xf>
    <xf numFmtId="0" fontId="16" fillId="353" borderId="2" xfId="0" applyFont="1" applyFill="1" applyBorder="1" applyAlignment="1">
      <alignment horizontal="left" vertical="top" wrapText="1"/>
    </xf>
    <xf numFmtId="0" fontId="16" fillId="354" borderId="2" xfId="0" applyFont="1" applyFill="1" applyBorder="1" applyAlignment="1">
      <alignment horizontal="left" vertical="top" wrapText="1"/>
    </xf>
    <xf numFmtId="0" fontId="16" fillId="355" borderId="2" xfId="0" applyFont="1" applyFill="1" applyBorder="1" applyAlignment="1">
      <alignment horizontal="left" vertical="top" wrapText="1"/>
    </xf>
    <xf numFmtId="0" fontId="16" fillId="356" borderId="2" xfId="0" applyFont="1" applyFill="1" applyBorder="1" applyAlignment="1">
      <alignment horizontal="left" vertical="top" wrapText="1"/>
    </xf>
    <xf numFmtId="0" fontId="16" fillId="357" borderId="2" xfId="0" applyFont="1" applyFill="1" applyBorder="1" applyAlignment="1">
      <alignment horizontal="left" vertical="top" wrapText="1"/>
    </xf>
    <xf numFmtId="0" fontId="16" fillId="358" borderId="2" xfId="0" applyFont="1" applyFill="1" applyBorder="1" applyAlignment="1">
      <alignment horizontal="left" vertical="top" wrapText="1"/>
    </xf>
    <xf numFmtId="0" fontId="16" fillId="359" borderId="2" xfId="0" applyFont="1" applyFill="1" applyBorder="1" applyAlignment="1">
      <alignment horizontal="left" vertical="top" wrapText="1"/>
    </xf>
    <xf numFmtId="0" fontId="16" fillId="360" borderId="2" xfId="0" applyFont="1" applyFill="1" applyBorder="1" applyAlignment="1">
      <alignment horizontal="left" vertical="top" wrapText="1"/>
    </xf>
    <xf numFmtId="0" fontId="16" fillId="361" borderId="2" xfId="0" applyFont="1" applyFill="1" applyBorder="1" applyAlignment="1">
      <alignment horizontal="left" vertical="top" wrapText="1"/>
    </xf>
    <xf numFmtId="0" fontId="16" fillId="362" borderId="2" xfId="0" applyFont="1" applyFill="1" applyBorder="1" applyAlignment="1">
      <alignment horizontal="left" vertical="top" wrapText="1"/>
    </xf>
    <xf numFmtId="0" fontId="16" fillId="363" borderId="2" xfId="0" applyFont="1" applyFill="1" applyBorder="1" applyAlignment="1">
      <alignment horizontal="left" vertical="top" wrapText="1"/>
    </xf>
    <xf numFmtId="0" fontId="19" fillId="364" borderId="2" xfId="0" applyFont="1" applyFill="1" applyBorder="1" applyAlignment="1">
      <alignment horizontal="left" vertical="top" wrapText="1"/>
    </xf>
    <xf numFmtId="0" fontId="19" fillId="365" borderId="2" xfId="0" applyFont="1" applyFill="1" applyBorder="1" applyAlignment="1">
      <alignment horizontal="left" vertical="top" wrapText="1"/>
    </xf>
    <xf numFmtId="0" fontId="19" fillId="366" borderId="2" xfId="0" applyFont="1" applyFill="1" applyBorder="1" applyAlignment="1">
      <alignment horizontal="left" vertical="top" wrapText="1"/>
    </xf>
    <xf numFmtId="0" fontId="19" fillId="95" borderId="2" xfId="0" applyFont="1" applyFill="1" applyBorder="1" applyAlignment="1">
      <alignment horizontal="left" vertical="top" wrapText="1"/>
    </xf>
    <xf numFmtId="0" fontId="19" fillId="367" borderId="2" xfId="0" applyFont="1" applyFill="1" applyBorder="1" applyAlignment="1">
      <alignment horizontal="left" vertical="top" wrapText="1"/>
    </xf>
    <xf numFmtId="0" fontId="19" fillId="368" borderId="2" xfId="0" applyFont="1" applyFill="1" applyBorder="1" applyAlignment="1">
      <alignment horizontal="left" vertical="top" wrapText="1"/>
    </xf>
    <xf numFmtId="0" fontId="19" fillId="195" borderId="2" xfId="0" applyFont="1" applyFill="1" applyBorder="1" applyAlignment="1">
      <alignment horizontal="left" vertical="top" wrapText="1"/>
    </xf>
    <xf numFmtId="0" fontId="19" fillId="369" borderId="2" xfId="0" applyFont="1" applyFill="1" applyBorder="1" applyAlignment="1">
      <alignment horizontal="left" vertical="top" wrapText="1"/>
    </xf>
    <xf numFmtId="0" fontId="19" fillId="370" borderId="2" xfId="0" applyFont="1" applyFill="1" applyBorder="1" applyAlignment="1">
      <alignment horizontal="left" vertical="top" wrapText="1"/>
    </xf>
    <xf numFmtId="0" fontId="19" fillId="371" borderId="2" xfId="0" applyFont="1" applyFill="1" applyBorder="1" applyAlignment="1">
      <alignment horizontal="left" vertical="top" wrapText="1"/>
    </xf>
    <xf numFmtId="0" fontId="30" fillId="372" borderId="2" xfId="0" applyFont="1" applyFill="1" applyBorder="1" applyAlignment="1">
      <alignment horizontal="left" vertical="top"/>
    </xf>
    <xf numFmtId="2" fontId="20" fillId="373" borderId="2" xfId="0" applyNumberFormat="1" applyFont="1" applyFill="1" applyBorder="1" applyAlignment="1">
      <alignment horizontal="left" vertical="top" wrapText="1"/>
    </xf>
    <xf numFmtId="0" fontId="22" fillId="374" borderId="2" xfId="0" applyFont="1" applyFill="1" applyBorder="1" applyAlignment="1">
      <alignment horizontal="left" vertical="top" wrapText="1"/>
    </xf>
    <xf numFmtId="0" fontId="23" fillId="375" borderId="2" xfId="0" applyFont="1" applyFill="1" applyBorder="1" applyAlignment="1">
      <alignment horizontal="left" vertical="top" wrapText="1"/>
    </xf>
    <xf numFmtId="0" fontId="23" fillId="376" borderId="2" xfId="0" applyFont="1" applyFill="1" applyBorder="1" applyAlignment="1">
      <alignment horizontal="left" vertical="top" wrapText="1"/>
    </xf>
    <xf numFmtId="0" fontId="2" fillId="377" borderId="2" xfId="2" applyFill="1" applyBorder="1" applyAlignment="1">
      <alignment horizontal="left" vertical="top" wrapText="1"/>
    </xf>
    <xf numFmtId="0" fontId="23" fillId="378" borderId="2" xfId="0" applyFont="1" applyFill="1" applyBorder="1" applyAlignment="1">
      <alignment horizontal="left" vertical="top" wrapText="1"/>
    </xf>
    <xf numFmtId="0" fontId="0" fillId="379" borderId="2" xfId="0" applyFill="1" applyBorder="1" applyAlignment="1">
      <alignment horizontal="left" vertical="top" wrapText="1"/>
    </xf>
    <xf numFmtId="0" fontId="0" fillId="380" borderId="2" xfId="0" applyFill="1" applyBorder="1" applyAlignment="1">
      <alignment horizontal="left" vertical="top" wrapText="1"/>
    </xf>
    <xf numFmtId="0" fontId="0" fillId="381" borderId="2" xfId="0" applyFill="1" applyBorder="1" applyAlignment="1">
      <alignment horizontal="left" vertical="top" wrapText="1"/>
    </xf>
    <xf numFmtId="0" fontId="0" fillId="382" borderId="2" xfId="0" applyFill="1" applyBorder="1" applyAlignment="1">
      <alignment horizontal="left" vertical="top" wrapText="1"/>
    </xf>
    <xf numFmtId="0" fontId="0" fillId="383" borderId="2" xfId="0" applyFill="1" applyBorder="1" applyAlignment="1">
      <alignment horizontal="left" vertical="top" wrapText="1"/>
    </xf>
    <xf numFmtId="0" fontId="0" fillId="384" borderId="2" xfId="0" applyFill="1" applyBorder="1" applyAlignment="1">
      <alignment horizontal="left" vertical="top" wrapText="1"/>
    </xf>
    <xf numFmtId="0" fontId="0" fillId="385" borderId="2" xfId="0" applyFill="1" applyBorder="1" applyAlignment="1">
      <alignment horizontal="left" vertical="top" wrapText="1"/>
    </xf>
    <xf numFmtId="0" fontId="0" fillId="386" borderId="2" xfId="0" applyFill="1" applyBorder="1" applyAlignment="1">
      <alignment horizontal="left" vertical="top" wrapText="1"/>
    </xf>
    <xf numFmtId="0" fontId="0" fillId="387" borderId="2" xfId="0" applyFill="1" applyBorder="1" applyAlignment="1">
      <alignment horizontal="left" vertical="top" wrapText="1"/>
    </xf>
    <xf numFmtId="0" fontId="0" fillId="388" borderId="2" xfId="0" applyFill="1" applyBorder="1" applyAlignment="1">
      <alignment horizontal="left" vertical="top" wrapText="1"/>
    </xf>
    <xf numFmtId="0" fontId="0" fillId="389" borderId="2" xfId="0" applyFill="1" applyBorder="1" applyAlignment="1">
      <alignment horizontal="left" vertical="top" wrapText="1"/>
    </xf>
    <xf numFmtId="0" fontId="0" fillId="390" borderId="2" xfId="0" applyFill="1" applyBorder="1" applyAlignment="1">
      <alignment horizontal="left" vertical="top" wrapText="1"/>
    </xf>
    <xf numFmtId="0" fontId="0" fillId="391" borderId="2" xfId="0" applyFill="1" applyBorder="1" applyAlignment="1">
      <alignment horizontal="left" vertical="top" wrapText="1"/>
    </xf>
    <xf numFmtId="0" fontId="0" fillId="392" borderId="2" xfId="0" applyFill="1" applyBorder="1" applyAlignment="1">
      <alignment horizontal="left" vertical="top" wrapText="1"/>
    </xf>
    <xf numFmtId="0" fontId="0" fillId="393" borderId="2" xfId="0" applyFill="1" applyBorder="1" applyAlignment="1">
      <alignment horizontal="left" vertical="top" wrapText="1"/>
    </xf>
    <xf numFmtId="0" fontId="0" fillId="394" borderId="2" xfId="0" applyFill="1" applyBorder="1" applyAlignment="1">
      <alignment horizontal="left" vertical="top" wrapText="1"/>
    </xf>
    <xf numFmtId="0" fontId="0" fillId="395" borderId="2" xfId="0" applyFill="1" applyBorder="1" applyAlignment="1">
      <alignment horizontal="left" vertical="top" wrapText="1"/>
    </xf>
    <xf numFmtId="0" fontId="30" fillId="396" borderId="2" xfId="0" applyFont="1" applyFill="1" applyBorder="1" applyAlignment="1">
      <alignment horizontal="left" vertical="top"/>
    </xf>
    <xf numFmtId="0" fontId="23" fillId="397" borderId="2" xfId="0" applyFont="1" applyFill="1" applyBorder="1" applyAlignment="1">
      <alignment horizontal="left" vertical="top" wrapText="1"/>
    </xf>
    <xf numFmtId="0" fontId="2" fillId="398" borderId="2" xfId="2" applyFill="1" applyBorder="1" applyAlignment="1">
      <alignment horizontal="left" vertical="top" wrapText="1"/>
    </xf>
    <xf numFmtId="0" fontId="2" fillId="399" borderId="2" xfId="2" applyFill="1" applyBorder="1" applyAlignment="1">
      <alignment horizontal="left" vertical="top" wrapText="1"/>
    </xf>
    <xf numFmtId="0" fontId="2" fillId="400" borderId="2" xfId="2" applyFill="1" applyBorder="1" applyAlignment="1">
      <alignment horizontal="left" vertical="top" wrapText="1"/>
    </xf>
    <xf numFmtId="0" fontId="2" fillId="401" borderId="2" xfId="2" applyFill="1" applyBorder="1" applyAlignment="1">
      <alignment horizontal="left" vertical="top" wrapText="1"/>
    </xf>
    <xf numFmtId="0" fontId="2" fillId="402" borderId="2" xfId="2" applyFill="1" applyBorder="1" applyAlignment="1">
      <alignment horizontal="left" vertical="top" wrapText="1"/>
    </xf>
    <xf numFmtId="0" fontId="25" fillId="403" borderId="2" xfId="0" applyFont="1" applyFill="1" applyBorder="1" applyAlignment="1">
      <alignment horizontal="left" vertical="top" wrapText="1"/>
    </xf>
    <xf numFmtId="0" fontId="25" fillId="404" borderId="2" xfId="0" applyFont="1" applyFill="1" applyBorder="1" applyAlignment="1">
      <alignment horizontal="left" vertical="top" wrapText="1"/>
    </xf>
    <xf numFmtId="0" fontId="25" fillId="405" borderId="2" xfId="0" applyFont="1" applyFill="1" applyBorder="1" applyAlignment="1">
      <alignment horizontal="left" vertical="top" wrapText="1"/>
    </xf>
    <xf numFmtId="0" fontId="10" fillId="406" borderId="2" xfId="2" applyFont="1" applyFill="1" applyBorder="1" applyAlignment="1">
      <alignment horizontal="left" vertical="top" wrapText="1"/>
    </xf>
    <xf numFmtId="0" fontId="10" fillId="407" borderId="2" xfId="2" applyFont="1" applyFill="1" applyBorder="1" applyAlignment="1">
      <alignment horizontal="left" vertical="top" wrapText="1"/>
    </xf>
    <xf numFmtId="0" fontId="10" fillId="408" borderId="2" xfId="2" applyFont="1" applyFill="1" applyBorder="1" applyAlignment="1">
      <alignment horizontal="left" vertical="top" wrapText="1"/>
    </xf>
    <xf numFmtId="0" fontId="10" fillId="409" borderId="2" xfId="2" applyFont="1" applyFill="1" applyBorder="1" applyAlignment="1">
      <alignment horizontal="left" vertical="top" wrapText="1"/>
    </xf>
    <xf numFmtId="0" fontId="10" fillId="410" borderId="2" xfId="2" applyFont="1" applyFill="1" applyBorder="1" applyAlignment="1">
      <alignment horizontal="left" vertical="top" wrapText="1"/>
    </xf>
    <xf numFmtId="0" fontId="10" fillId="411" borderId="2" xfId="0" applyFont="1" applyFill="1" applyBorder="1" applyAlignment="1">
      <alignment horizontal="left" vertical="top" wrapText="1"/>
    </xf>
    <xf numFmtId="0" fontId="10" fillId="412" borderId="2" xfId="0" applyFont="1" applyFill="1" applyBorder="1" applyAlignment="1">
      <alignment horizontal="left" vertical="top" wrapText="1"/>
    </xf>
    <xf numFmtId="0" fontId="10" fillId="413" borderId="2" xfId="0" applyFont="1" applyFill="1" applyBorder="1" applyAlignment="1">
      <alignment horizontal="left" vertical="top" wrapText="1"/>
    </xf>
    <xf numFmtId="0" fontId="13" fillId="414" borderId="2" xfId="0" applyFont="1" applyFill="1" applyBorder="1" applyAlignment="1">
      <alignment horizontal="left" vertical="top" wrapText="1"/>
    </xf>
    <xf numFmtId="0" fontId="13" fillId="415" borderId="2" xfId="0" applyFont="1" applyFill="1" applyBorder="1" applyAlignment="1">
      <alignment horizontal="left" vertical="top" wrapText="1"/>
    </xf>
    <xf numFmtId="0" fontId="13" fillId="416" borderId="2" xfId="0" applyFont="1" applyFill="1" applyBorder="1" applyAlignment="1">
      <alignment horizontal="left" vertical="top" wrapText="1"/>
    </xf>
    <xf numFmtId="0" fontId="10" fillId="417" borderId="2" xfId="0" applyFont="1" applyFill="1" applyBorder="1" applyAlignment="1">
      <alignment horizontal="left" vertical="top" wrapText="1"/>
    </xf>
    <xf numFmtId="0" fontId="10" fillId="418" borderId="2" xfId="0" applyFont="1" applyFill="1" applyBorder="1" applyAlignment="1">
      <alignment horizontal="left" vertical="top" wrapText="1"/>
    </xf>
    <xf numFmtId="0" fontId="10" fillId="419" borderId="2" xfId="0" applyFont="1" applyFill="1" applyBorder="1" applyAlignment="1">
      <alignment horizontal="left" vertical="top" wrapText="1"/>
    </xf>
    <xf numFmtId="0" fontId="10" fillId="420" borderId="2" xfId="0" applyFont="1" applyFill="1" applyBorder="1" applyAlignment="1">
      <alignment horizontal="left" vertical="top" wrapText="1"/>
    </xf>
    <xf numFmtId="0" fontId="10" fillId="421" borderId="2" xfId="0" applyFont="1" applyFill="1" applyBorder="1" applyAlignment="1">
      <alignment horizontal="left" vertical="top" wrapText="1"/>
    </xf>
    <xf numFmtId="0" fontId="3" fillId="0" borderId="0" xfId="2" applyFont="1" applyAlignment="1">
      <alignment vertical="top" wrapText="1"/>
    </xf>
    <xf numFmtId="0" fontId="6" fillId="0" borderId="1" xfId="0" applyFont="1" applyBorder="1" applyAlignment="1">
      <alignment vertical="center"/>
    </xf>
    <xf numFmtId="0" fontId="10" fillId="422" borderId="2" xfId="4" applyFont="1" applyFill="1" applyBorder="1" applyAlignment="1">
      <alignment horizontal="center" vertical="top"/>
    </xf>
    <xf numFmtId="166" fontId="10" fillId="422" borderId="2" xfId="2" applyNumberFormat="1" applyFont="1" applyFill="1" applyBorder="1" applyAlignment="1">
      <alignment horizontal="center" vertical="center" wrapText="1"/>
    </xf>
    <xf numFmtId="164" fontId="10" fillId="422" borderId="2" xfId="1" applyFont="1" applyFill="1" applyBorder="1" applyAlignment="1">
      <alignment horizontal="center" vertical="center"/>
    </xf>
    <xf numFmtId="164" fontId="10" fillId="422" borderId="2" xfId="1" applyFont="1" applyFill="1" applyBorder="1" applyAlignment="1">
      <alignment horizontal="right" vertical="center"/>
    </xf>
    <xf numFmtId="164" fontId="10" fillId="422" borderId="2" xfId="1" applyFont="1" applyFill="1" applyBorder="1" applyAlignment="1">
      <alignment horizontal="right" vertical="center" wrapText="1"/>
    </xf>
    <xf numFmtId="164" fontId="10" fillId="422" borderId="2" xfId="1" applyFont="1" applyFill="1" applyBorder="1" applyAlignment="1">
      <alignment horizontal="left" vertical="center"/>
    </xf>
    <xf numFmtId="0" fontId="5" fillId="422" borderId="0" xfId="0" applyFont="1" applyFill="1"/>
    <xf numFmtId="0" fontId="10" fillId="422" borderId="2" xfId="2" applyFont="1" applyFill="1" applyBorder="1" applyAlignment="1">
      <alignment horizontal="center" vertical="top" wrapText="1"/>
    </xf>
    <xf numFmtId="0" fontId="5" fillId="422" borderId="2" xfId="0" applyFont="1" applyFill="1" applyBorder="1" applyAlignment="1">
      <alignment horizontal="center" vertical="center"/>
    </xf>
    <xf numFmtId="0" fontId="4" fillId="422" borderId="2" xfId="0" applyFont="1" applyFill="1" applyBorder="1"/>
    <xf numFmtId="0" fontId="4" fillId="422" borderId="0" xfId="0" applyFont="1" applyFill="1"/>
    <xf numFmtId="164" fontId="5" fillId="422" borderId="2" xfId="1" applyFont="1" applyFill="1" applyBorder="1" applyAlignment="1">
      <alignment vertical="center"/>
    </xf>
    <xf numFmtId="0" fontId="19" fillId="422" borderId="2" xfId="0" applyFont="1" applyFill="1" applyBorder="1" applyAlignment="1">
      <alignment horizontal="center" vertical="top"/>
    </xf>
    <xf numFmtId="166" fontId="0" fillId="422" borderId="2" xfId="0" applyNumberFormat="1" applyFill="1" applyBorder="1" applyAlignment="1">
      <alignment horizontal="center" vertical="center"/>
    </xf>
    <xf numFmtId="0" fontId="0" fillId="422" borderId="2" xfId="0" applyFill="1" applyBorder="1" applyAlignment="1">
      <alignment horizontal="center" vertical="center"/>
    </xf>
    <xf numFmtId="0" fontId="0" fillId="422" borderId="0" xfId="0" applyFill="1"/>
    <xf numFmtId="0" fontId="33" fillId="0" borderId="0" xfId="2" applyFont="1" applyAlignment="1">
      <alignment vertical="top" wrapText="1"/>
    </xf>
    <xf numFmtId="0" fontId="34" fillId="0" borderId="1" xfId="0" applyFont="1" applyBorder="1" applyAlignment="1">
      <alignment vertical="center"/>
    </xf>
    <xf numFmtId="0" fontId="33" fillId="0" borderId="2" xfId="2" applyFont="1" applyBorder="1" applyAlignment="1">
      <alignment horizontal="center" vertical="center"/>
    </xf>
    <xf numFmtId="0" fontId="35" fillId="0" borderId="2" xfId="0" applyFont="1" applyBorder="1" applyAlignment="1">
      <alignment horizontal="left" vertical="top"/>
    </xf>
    <xf numFmtId="0" fontId="36" fillId="0" borderId="2" xfId="2" applyFont="1" applyBorder="1" applyAlignment="1">
      <alignment horizontal="left" vertical="top" wrapText="1"/>
    </xf>
    <xf numFmtId="0" fontId="25" fillId="422" borderId="2" xfId="2" applyFont="1" applyFill="1" applyBorder="1" applyAlignment="1">
      <alignment horizontal="left" vertical="top" wrapText="1"/>
    </xf>
    <xf numFmtId="0" fontId="36" fillId="0" borderId="2" xfId="2" applyFont="1" applyBorder="1" applyAlignment="1">
      <alignment horizontal="left" vertical="top"/>
    </xf>
    <xf numFmtId="4" fontId="36" fillId="422" borderId="2" xfId="2" applyNumberFormat="1" applyFont="1" applyFill="1" applyBorder="1" applyAlignment="1">
      <alignment horizontal="left" vertical="top" wrapText="1"/>
    </xf>
    <xf numFmtId="0" fontId="36" fillId="422" borderId="2" xfId="0" applyFont="1" applyFill="1" applyBorder="1" applyAlignment="1">
      <alignment horizontal="left" vertical="top" wrapText="1"/>
    </xf>
    <xf numFmtId="0" fontId="36" fillId="422" borderId="2" xfId="0" applyFont="1" applyFill="1" applyBorder="1" applyAlignment="1">
      <alignment horizontal="left" vertical="top"/>
    </xf>
    <xf numFmtId="0" fontId="36" fillId="0" borderId="2" xfId="3" applyFont="1" applyBorder="1" applyAlignment="1">
      <alignment horizontal="left" vertical="top" wrapText="1"/>
    </xf>
    <xf numFmtId="0" fontId="36" fillId="0" borderId="2" xfId="0" applyFont="1" applyBorder="1" applyAlignment="1">
      <alignment horizontal="left" vertical="top" wrapText="1"/>
    </xf>
    <xf numFmtId="0" fontId="36" fillId="0" borderId="2" xfId="6" applyFont="1" applyBorder="1" applyAlignment="1">
      <alignment horizontal="left" vertical="top" wrapText="1"/>
    </xf>
    <xf numFmtId="0" fontId="36" fillId="0" borderId="2" xfId="7" applyNumberFormat="1" applyFont="1" applyFill="1" applyBorder="1" applyAlignment="1">
      <alignment horizontal="left" vertical="top" wrapText="1"/>
    </xf>
    <xf numFmtId="0" fontId="37" fillId="0" borderId="0" xfId="0" applyFont="1" applyAlignment="1">
      <alignment horizontal="left" vertical="top"/>
    </xf>
    <xf numFmtId="173" fontId="36" fillId="0" borderId="2" xfId="7" applyFont="1" applyFill="1" applyBorder="1" applyAlignment="1">
      <alignment horizontal="left" vertical="top" wrapText="1"/>
    </xf>
    <xf numFmtId="0" fontId="36" fillId="0" borderId="2" xfId="8" applyFont="1" applyBorder="1" applyAlignment="1">
      <alignment horizontal="left" vertical="top" wrapText="1"/>
    </xf>
    <xf numFmtId="2" fontId="36" fillId="0" borderId="2" xfId="2" applyNumberFormat="1" applyFont="1" applyBorder="1" applyAlignment="1">
      <alignment horizontal="left" vertical="top" wrapText="1"/>
    </xf>
    <xf numFmtId="1" fontId="36" fillId="0" borderId="2" xfId="2" applyNumberFormat="1" applyFont="1" applyBorder="1" applyAlignment="1">
      <alignment horizontal="left" vertical="top" wrapText="1"/>
    </xf>
    <xf numFmtId="1" fontId="36" fillId="0" borderId="2" xfId="0" applyNumberFormat="1" applyFont="1" applyBorder="1" applyAlignment="1">
      <alignment horizontal="left" vertical="top" wrapText="1"/>
    </xf>
    <xf numFmtId="2" fontId="36" fillId="0" borderId="2" xfId="4" applyNumberFormat="1" applyFont="1" applyBorder="1" applyAlignment="1">
      <alignment horizontal="left" vertical="top" wrapText="1"/>
    </xf>
    <xf numFmtId="1" fontId="38" fillId="0" borderId="2" xfId="4" applyNumberFormat="1" applyFont="1" applyBorder="1" applyAlignment="1">
      <alignment horizontal="left" vertical="top" wrapText="1"/>
    </xf>
    <xf numFmtId="0" fontId="1" fillId="0" borderId="2" xfId="0" applyFont="1" applyBorder="1" applyAlignment="1">
      <alignment horizontal="left" vertical="top" wrapText="1"/>
    </xf>
    <xf numFmtId="2" fontId="39" fillId="0" borderId="2" xfId="0" applyNumberFormat="1" applyFont="1" applyBorder="1" applyAlignment="1">
      <alignment horizontal="left" vertical="top" wrapText="1"/>
    </xf>
    <xf numFmtId="0" fontId="33" fillId="0" borderId="2" xfId="0" applyFont="1" applyBorder="1" applyAlignment="1">
      <alignment horizontal="left" vertical="top" wrapText="1"/>
    </xf>
    <xf numFmtId="0" fontId="37" fillId="0" borderId="0" xfId="0" applyFont="1" applyAlignment="1">
      <alignment horizontal="left" vertical="top" wrapText="1"/>
    </xf>
    <xf numFmtId="0" fontId="10" fillId="422" borderId="0" xfId="5" applyFont="1" applyFill="1"/>
    <xf numFmtId="164" fontId="10" fillId="422" borderId="2" xfId="1" applyFont="1" applyFill="1" applyBorder="1" applyAlignment="1">
      <alignment horizontal="center" vertical="center" wrapText="1" readingOrder="1"/>
    </xf>
    <xf numFmtId="43" fontId="4" fillId="422" borderId="0" xfId="0" applyNumberFormat="1" applyFont="1" applyFill="1"/>
    <xf numFmtId="0" fontId="10" fillId="422" borderId="6" xfId="4" applyFont="1" applyFill="1" applyBorder="1" applyAlignment="1">
      <alignment vertical="top"/>
    </xf>
    <xf numFmtId="164" fontId="4" fillId="422" borderId="0" xfId="1" applyFont="1" applyFill="1" applyBorder="1"/>
    <xf numFmtId="0" fontId="36" fillId="422" borderId="2" xfId="2" applyFont="1" applyFill="1" applyBorder="1" applyAlignment="1">
      <alignment horizontal="left" vertical="top" wrapText="1"/>
    </xf>
    <xf numFmtId="0" fontId="16" fillId="422" borderId="2" xfId="0" applyFont="1" applyFill="1" applyBorder="1" applyAlignment="1">
      <alignment horizontal="center" vertical="top"/>
    </xf>
    <xf numFmtId="0" fontId="25" fillId="422" borderId="2" xfId="0" applyFont="1" applyFill="1" applyBorder="1" applyAlignment="1">
      <alignment horizontal="left" vertical="top" wrapText="1"/>
    </xf>
    <xf numFmtId="166" fontId="16" fillId="422" borderId="2" xfId="0" applyNumberFormat="1" applyFont="1" applyFill="1" applyBorder="1" applyAlignment="1">
      <alignment horizontal="center" vertical="center"/>
    </xf>
    <xf numFmtId="176" fontId="19" fillId="422" borderId="2" xfId="0" applyNumberFormat="1" applyFont="1" applyFill="1" applyBorder="1" applyAlignment="1">
      <alignment horizontal="center" vertical="center" wrapText="1"/>
    </xf>
    <xf numFmtId="166" fontId="17" fillId="422" borderId="2" xfId="0" applyNumberFormat="1" applyFont="1" applyFill="1" applyBorder="1" applyAlignment="1">
      <alignment horizontal="center" vertical="center"/>
    </xf>
    <xf numFmtId="0" fontId="16" fillId="422" borderId="2" xfId="0" applyFont="1" applyFill="1" applyBorder="1"/>
    <xf numFmtId="0" fontId="16" fillId="422" borderId="0" xfId="0" applyFont="1" applyFill="1"/>
    <xf numFmtId="0" fontId="10" fillId="422" borderId="5" xfId="4" applyFont="1" applyFill="1" applyBorder="1" applyAlignment="1">
      <alignment vertical="top"/>
    </xf>
    <xf numFmtId="165" fontId="2" fillId="422" borderId="0" xfId="5" applyNumberFormat="1" applyFill="1"/>
    <xf numFmtId="0" fontId="10" fillId="423" borderId="2" xfId="4" applyFont="1" applyFill="1" applyBorder="1" applyAlignment="1">
      <alignment horizontal="center" vertical="top"/>
    </xf>
    <xf numFmtId="0" fontId="36" fillId="423" borderId="2" xfId="0" applyFont="1" applyFill="1" applyBorder="1" applyAlignment="1">
      <alignment horizontal="left" vertical="top" wrapText="1"/>
    </xf>
    <xf numFmtId="166" fontId="10" fillId="423" borderId="2" xfId="2" applyNumberFormat="1" applyFont="1" applyFill="1" applyBorder="1" applyAlignment="1">
      <alignment horizontal="center" vertical="center" wrapText="1"/>
    </xf>
    <xf numFmtId="164" fontId="10" fillId="423" borderId="2" xfId="1" applyFont="1" applyFill="1" applyBorder="1" applyAlignment="1">
      <alignment horizontal="center" vertical="center" wrapText="1" readingOrder="1"/>
    </xf>
    <xf numFmtId="164" fontId="10" fillId="423" borderId="2" xfId="1" applyFont="1" applyFill="1" applyBorder="1" applyAlignment="1">
      <alignment horizontal="right" vertical="center" wrapText="1"/>
    </xf>
    <xf numFmtId="164" fontId="10" fillId="423" borderId="2" xfId="1" applyFont="1" applyFill="1" applyBorder="1" applyAlignment="1">
      <alignment horizontal="left" vertical="center"/>
    </xf>
    <xf numFmtId="0" fontId="10" fillId="423" borderId="0" xfId="5" applyFont="1" applyFill="1"/>
    <xf numFmtId="164" fontId="10" fillId="423" borderId="2" xfId="1" applyFont="1" applyFill="1" applyBorder="1" applyAlignment="1">
      <alignment horizontal="center" vertical="center"/>
    </xf>
    <xf numFmtId="164" fontId="10" fillId="423" borderId="2" xfId="1" applyFont="1" applyFill="1" applyBorder="1" applyAlignment="1">
      <alignment horizontal="right" vertical="center"/>
    </xf>
    <xf numFmtId="43" fontId="4" fillId="423" borderId="0" xfId="0" applyNumberFormat="1" applyFont="1" applyFill="1"/>
    <xf numFmtId="0" fontId="4" fillId="423" borderId="0" xfId="0" applyFont="1" applyFill="1"/>
    <xf numFmtId="0" fontId="5" fillId="423" borderId="0" xfId="0" applyFont="1" applyFill="1"/>
    <xf numFmtId="0" fontId="16" fillId="423" borderId="2" xfId="0" applyFont="1" applyFill="1" applyBorder="1" applyAlignment="1">
      <alignment horizontal="center" vertical="top"/>
    </xf>
    <xf numFmtId="0" fontId="25" fillId="423" borderId="2" xfId="0" applyFont="1" applyFill="1" applyBorder="1" applyAlignment="1">
      <alignment horizontal="left" vertical="top" wrapText="1"/>
    </xf>
    <xf numFmtId="166" fontId="16" fillId="423" borderId="2" xfId="0" applyNumberFormat="1" applyFont="1" applyFill="1" applyBorder="1" applyAlignment="1">
      <alignment horizontal="center" vertical="center"/>
    </xf>
    <xf numFmtId="176" fontId="19" fillId="423" borderId="2" xfId="0" applyNumberFormat="1" applyFont="1" applyFill="1" applyBorder="1" applyAlignment="1">
      <alignment horizontal="center" vertical="center" wrapText="1"/>
    </xf>
    <xf numFmtId="166" fontId="17" fillId="423" borderId="2" xfId="0" applyNumberFormat="1" applyFont="1" applyFill="1" applyBorder="1" applyAlignment="1">
      <alignment horizontal="center" vertical="center"/>
    </xf>
    <xf numFmtId="0" fontId="16" fillId="423" borderId="2" xfId="0" applyFont="1" applyFill="1" applyBorder="1"/>
    <xf numFmtId="0" fontId="16" fillId="423" borderId="0" xfId="0" applyFont="1" applyFill="1"/>
    <xf numFmtId="168" fontId="10" fillId="422" borderId="2" xfId="2" applyNumberFormat="1" applyFont="1" applyFill="1" applyBorder="1" applyAlignment="1">
      <alignment horizontal="center" vertical="center" wrapText="1"/>
    </xf>
    <xf numFmtId="168" fontId="16" fillId="422" borderId="2" xfId="0" applyNumberFormat="1" applyFont="1" applyFill="1" applyBorder="1" applyAlignment="1">
      <alignment horizontal="center" vertical="center"/>
    </xf>
    <xf numFmtId="0" fontId="10" fillId="422" borderId="2" xfId="0" applyFont="1" applyFill="1" applyBorder="1" applyAlignment="1">
      <alignment horizontal="center" vertical="top"/>
    </xf>
    <xf numFmtId="0" fontId="11" fillId="422" borderId="2" xfId="0" applyFont="1" applyFill="1" applyBorder="1" applyAlignment="1">
      <alignment horizontal="center" vertical="top"/>
    </xf>
    <xf numFmtId="0" fontId="36" fillId="422" borderId="2" xfId="7" applyNumberFormat="1" applyFont="1" applyFill="1" applyBorder="1" applyAlignment="1">
      <alignment horizontal="left" vertical="top" wrapText="1"/>
    </xf>
    <xf numFmtId="0" fontId="11" fillId="422" borderId="2" xfId="0" applyFont="1" applyFill="1" applyBorder="1" applyAlignment="1">
      <alignment horizontal="center" vertical="center"/>
    </xf>
    <xf numFmtId="0" fontId="11" fillId="422" borderId="2" xfId="0" applyFont="1" applyFill="1" applyBorder="1" applyAlignment="1">
      <alignment vertical="center"/>
    </xf>
    <xf numFmtId="0" fontId="5" fillId="422" borderId="2" xfId="0" applyFont="1" applyFill="1" applyBorder="1"/>
    <xf numFmtId="0" fontId="10" fillId="422" borderId="2" xfId="4" applyFont="1" applyFill="1" applyBorder="1" applyAlignment="1">
      <alignment horizontal="center" vertical="top" wrapText="1"/>
    </xf>
    <xf numFmtId="170" fontId="10" fillId="422" borderId="2" xfId="2" applyNumberFormat="1" applyFont="1" applyFill="1" applyBorder="1" applyAlignment="1">
      <alignment horizontal="center" vertical="center" wrapText="1"/>
    </xf>
    <xf numFmtId="164" fontId="10" fillId="422" borderId="2" xfId="1" applyFont="1" applyFill="1" applyBorder="1" applyAlignment="1">
      <alignment vertical="center"/>
    </xf>
    <xf numFmtId="170" fontId="10" fillId="422" borderId="2" xfId="0" applyNumberFormat="1" applyFont="1" applyFill="1" applyBorder="1" applyAlignment="1">
      <alignment horizontal="center" vertical="center" wrapText="1"/>
    </xf>
    <xf numFmtId="1" fontId="10" fillId="422" borderId="2" xfId="4" applyNumberFormat="1" applyFont="1" applyFill="1" applyBorder="1" applyAlignment="1">
      <alignment horizontal="center" vertical="top"/>
    </xf>
    <xf numFmtId="164" fontId="4" fillId="422" borderId="0" xfId="0" applyNumberFormat="1" applyFont="1" applyFill="1"/>
    <xf numFmtId="0" fontId="10" fillId="0" borderId="4" xfId="4" applyFont="1" applyBorder="1" applyAlignment="1">
      <alignment horizontal="center" vertical="top"/>
    </xf>
    <xf numFmtId="0" fontId="10" fillId="0" borderId="0" xfId="0" applyFont="1"/>
    <xf numFmtId="0" fontId="13" fillId="0" borderId="2" xfId="2" applyFont="1" applyBorder="1" applyAlignment="1">
      <alignment horizontal="center" vertical="top" wrapText="1"/>
    </xf>
    <xf numFmtId="0" fontId="13" fillId="0" borderId="2" xfId="2" applyFont="1" applyBorder="1" applyAlignment="1">
      <alignment horizontal="justify" vertical="center"/>
    </xf>
    <xf numFmtId="0" fontId="13" fillId="0" borderId="2" xfId="2" applyFont="1" applyBorder="1" applyAlignment="1">
      <alignment horizontal="center" vertical="center"/>
    </xf>
    <xf numFmtId="164" fontId="13" fillId="0" borderId="2" xfId="1" applyFont="1" applyFill="1" applyBorder="1" applyAlignment="1">
      <alignment horizontal="center" vertical="center" wrapText="1"/>
    </xf>
    <xf numFmtId="164" fontId="13" fillId="0" borderId="2" xfId="1" applyFont="1" applyFill="1" applyBorder="1" applyAlignment="1">
      <alignment horizontal="center" vertical="center"/>
    </xf>
    <xf numFmtId="0" fontId="10" fillId="0" borderId="2" xfId="2" applyFont="1" applyBorder="1" applyAlignment="1">
      <alignment horizontal="justify" vertical="top" wrapText="1"/>
    </xf>
    <xf numFmtId="43" fontId="12" fillId="0" borderId="0" xfId="0" applyNumberFormat="1" applyFont="1"/>
    <xf numFmtId="0" fontId="19" fillId="0" borderId="2" xfId="2" applyFont="1" applyBorder="1" applyAlignment="1">
      <alignment horizontal="justify" vertical="top" wrapText="1"/>
    </xf>
    <xf numFmtId="0" fontId="10" fillId="0" borderId="2" xfId="2" applyFont="1" applyBorder="1" applyAlignment="1">
      <alignment horizontal="justify" vertical="top"/>
    </xf>
    <xf numFmtId="0" fontId="10" fillId="0" borderId="5" xfId="2" applyFont="1" applyBorder="1" applyAlignment="1">
      <alignment horizontal="center" vertical="top" wrapText="1"/>
    </xf>
    <xf numFmtId="4" fontId="10" fillId="0" borderId="2" xfId="2" applyNumberFormat="1" applyFont="1" applyBorder="1" applyAlignment="1">
      <alignment horizontal="justify" vertical="top" wrapText="1"/>
    </xf>
    <xf numFmtId="164" fontId="10" fillId="0" borderId="0" xfId="0" applyNumberFormat="1" applyFont="1"/>
    <xf numFmtId="0" fontId="10" fillId="0" borderId="2" xfId="3" applyFont="1" applyBorder="1" applyAlignment="1">
      <alignment horizontal="justify" vertical="top" wrapText="1"/>
    </xf>
    <xf numFmtId="0" fontId="10" fillId="0" borderId="2" xfId="0" applyFont="1" applyBorder="1" applyAlignment="1">
      <alignment horizontal="justify" vertical="top" wrapText="1"/>
    </xf>
    <xf numFmtId="164" fontId="10" fillId="0" borderId="0" xfId="5" applyNumberFormat="1" applyFont="1"/>
    <xf numFmtId="164" fontId="12" fillId="0" borderId="0" xfId="1" applyFont="1" applyFill="1" applyBorder="1"/>
    <xf numFmtId="0" fontId="12" fillId="0" borderId="0" xfId="0" applyFont="1"/>
    <xf numFmtId="0" fontId="19" fillId="0" borderId="2" xfId="0" applyFont="1" applyBorder="1" applyAlignment="1">
      <alignment horizontal="justify" vertical="top" wrapText="1"/>
    </xf>
    <xf numFmtId="168" fontId="19" fillId="0" borderId="2" xfId="0" applyNumberFormat="1" applyFont="1" applyBorder="1" applyAlignment="1">
      <alignment horizontal="center" vertical="center"/>
    </xf>
    <xf numFmtId="0" fontId="19" fillId="0" borderId="2" xfId="0" applyFont="1" applyBorder="1"/>
    <xf numFmtId="0" fontId="19" fillId="0" borderId="0" xfId="0" applyFont="1"/>
    <xf numFmtId="0" fontId="10" fillId="0" borderId="2" xfId="6" applyFont="1" applyBorder="1" applyAlignment="1">
      <alignment horizontal="justify" vertical="top" wrapText="1"/>
    </xf>
    <xf numFmtId="0" fontId="12" fillId="0" borderId="2" xfId="0" applyFont="1" applyBorder="1"/>
    <xf numFmtId="164" fontId="12" fillId="0" borderId="0" xfId="0" applyNumberFormat="1" applyFont="1"/>
    <xf numFmtId="166" fontId="10" fillId="0" borderId="3" xfId="0" applyNumberFormat="1" applyFont="1" applyBorder="1" applyAlignment="1">
      <alignment horizontal="center" vertical="center"/>
    </xf>
    <xf numFmtId="172" fontId="10" fillId="0" borderId="3" xfId="0" applyNumberFormat="1" applyFont="1" applyBorder="1" applyAlignment="1">
      <alignment horizontal="center" vertical="center"/>
    </xf>
    <xf numFmtId="0" fontId="10" fillId="0" borderId="2" xfId="7" applyNumberFormat="1" applyFont="1" applyFill="1" applyBorder="1" applyAlignment="1">
      <alignment horizontal="justify" vertical="top" wrapText="1"/>
    </xf>
    <xf numFmtId="166" fontId="10" fillId="0" borderId="2" xfId="0" applyNumberFormat="1" applyFont="1" applyBorder="1" applyAlignment="1">
      <alignment horizontal="center" vertical="center"/>
    </xf>
    <xf numFmtId="0" fontId="13" fillId="0" borderId="2" xfId="0" applyFont="1" applyBorder="1" applyAlignment="1">
      <alignment horizontal="center" vertical="center"/>
    </xf>
    <xf numFmtId="0" fontId="13" fillId="0" borderId="2" xfId="0" applyFont="1" applyBorder="1" applyAlignment="1">
      <alignment vertical="center"/>
    </xf>
    <xf numFmtId="0" fontId="10" fillId="0" borderId="2" xfId="0" applyFont="1" applyBorder="1"/>
    <xf numFmtId="173" fontId="10" fillId="0" borderId="2" xfId="7" applyFont="1" applyFill="1" applyBorder="1" applyAlignment="1">
      <alignment horizontal="justify" vertical="top" wrapText="1"/>
    </xf>
    <xf numFmtId="164" fontId="10" fillId="0" borderId="2" xfId="1" applyFont="1" applyFill="1" applyBorder="1"/>
    <xf numFmtId="0" fontId="10" fillId="0" borderId="2" xfId="8" applyFont="1" applyBorder="1" applyAlignment="1">
      <alignment horizontal="justify" vertical="top" wrapText="1"/>
    </xf>
    <xf numFmtId="2" fontId="10" fillId="0" borderId="2" xfId="2" applyNumberFormat="1" applyFont="1" applyBorder="1" applyAlignment="1">
      <alignment horizontal="justify" vertical="top" wrapText="1"/>
    </xf>
    <xf numFmtId="1" fontId="10" fillId="0" borderId="2" xfId="2" applyNumberFormat="1" applyFont="1" applyBorder="1" applyAlignment="1">
      <alignment horizontal="justify" vertical="top" wrapText="1"/>
    </xf>
    <xf numFmtId="1" fontId="10" fillId="0" borderId="2" xfId="0" applyNumberFormat="1" applyFont="1" applyBorder="1" applyAlignment="1">
      <alignment horizontal="justify" vertical="top" wrapText="1"/>
    </xf>
    <xf numFmtId="2" fontId="10" fillId="0" borderId="2" xfId="4" applyNumberFormat="1" applyFont="1" applyBorder="1" applyAlignment="1">
      <alignment horizontal="justify" vertical="top" wrapText="1"/>
    </xf>
    <xf numFmtId="0" fontId="12" fillId="0" borderId="2" xfId="0" applyFont="1" applyBorder="1" applyAlignment="1">
      <alignment horizontal="center" vertical="center"/>
    </xf>
    <xf numFmtId="169" fontId="19" fillId="0" borderId="2" xfId="0" applyNumberFormat="1" applyFont="1" applyBorder="1" applyAlignment="1">
      <alignment horizontal="center" vertical="center"/>
    </xf>
    <xf numFmtId="0" fontId="19" fillId="0" borderId="2" xfId="0" applyFont="1" applyBorder="1" applyAlignment="1">
      <alignment vertical="center"/>
    </xf>
    <xf numFmtId="178" fontId="19" fillId="0" borderId="2" xfId="0" applyNumberFormat="1" applyFont="1" applyBorder="1" applyAlignment="1">
      <alignment horizontal="center" vertical="center"/>
    </xf>
    <xf numFmtId="164" fontId="19" fillId="0" borderId="0" xfId="0" applyNumberFormat="1" applyFont="1"/>
    <xf numFmtId="165" fontId="19" fillId="0" borderId="2" xfId="1" applyNumberFormat="1" applyFont="1" applyFill="1" applyBorder="1" applyAlignment="1">
      <alignment vertical="center"/>
    </xf>
    <xf numFmtId="179" fontId="19" fillId="0" borderId="2" xfId="0" applyNumberFormat="1" applyFont="1" applyBorder="1" applyAlignment="1">
      <alignment horizontal="center" vertical="center"/>
    </xf>
    <xf numFmtId="0" fontId="42" fillId="0" borderId="2" xfId="0" applyFont="1" applyBorder="1" applyAlignment="1">
      <alignment horizontal="center" vertical="center"/>
    </xf>
    <xf numFmtId="0" fontId="42" fillId="0" borderId="2" xfId="0" applyFont="1" applyBorder="1" applyAlignment="1">
      <alignment vertical="center"/>
    </xf>
    <xf numFmtId="43" fontId="19" fillId="0" borderId="0" xfId="0" applyNumberFormat="1" applyFont="1"/>
    <xf numFmtId="172" fontId="19" fillId="0" borderId="2" xfId="0" applyNumberFormat="1" applyFont="1" applyBorder="1" applyAlignment="1">
      <alignment horizontal="center" vertical="center"/>
    </xf>
    <xf numFmtId="172" fontId="42" fillId="0" borderId="2" xfId="0" applyNumberFormat="1" applyFont="1" applyBorder="1" applyAlignment="1">
      <alignment horizontal="center" vertical="center"/>
    </xf>
    <xf numFmtId="2" fontId="42" fillId="0" borderId="2" xfId="0" applyNumberFormat="1" applyFont="1" applyBorder="1" applyAlignment="1">
      <alignment horizontal="center" vertical="center"/>
    </xf>
    <xf numFmtId="166" fontId="19" fillId="0" borderId="2" xfId="0" applyNumberFormat="1" applyFont="1" applyBorder="1" applyAlignment="1">
      <alignment horizontal="center" vertical="center"/>
    </xf>
    <xf numFmtId="166" fontId="42" fillId="0" borderId="2" xfId="0" applyNumberFormat="1" applyFont="1" applyBorder="1" applyAlignment="1">
      <alignment horizontal="center" vertical="center"/>
    </xf>
    <xf numFmtId="168" fontId="42" fillId="0" borderId="2" xfId="0" applyNumberFormat="1" applyFont="1" applyBorder="1" applyAlignment="1">
      <alignment horizontal="center" vertical="center"/>
    </xf>
    <xf numFmtId="2" fontId="21" fillId="0" borderId="2" xfId="0" applyNumberFormat="1" applyFont="1" applyBorder="1" applyAlignment="1">
      <alignment horizontal="justify" vertical="top" wrapText="1"/>
    </xf>
    <xf numFmtId="164" fontId="19" fillId="0" borderId="2" xfId="1" applyFont="1" applyFill="1" applyBorder="1" applyAlignment="1">
      <alignment vertical="center"/>
    </xf>
    <xf numFmtId="0" fontId="19" fillId="0" borderId="2" xfId="0" applyFont="1" applyBorder="1" applyAlignment="1">
      <alignment horizontal="center" vertical="center" wrapText="1"/>
    </xf>
    <xf numFmtId="0" fontId="13" fillId="0" borderId="2" xfId="0" applyFont="1" applyBorder="1" applyAlignment="1">
      <alignment horizontal="justify" vertical="top" wrapText="1"/>
    </xf>
    <xf numFmtId="0" fontId="10" fillId="0" borderId="0" xfId="0" applyFont="1" applyAlignment="1">
      <alignment horizontal="center" vertical="top"/>
    </xf>
    <xf numFmtId="0" fontId="10" fillId="0" borderId="0" xfId="0" applyFont="1" applyAlignment="1">
      <alignment horizontal="justify" vertical="top" wrapText="1"/>
    </xf>
    <xf numFmtId="0" fontId="10" fillId="0" borderId="0" xfId="0" applyFont="1" applyAlignment="1">
      <alignment horizontal="center" vertical="center"/>
    </xf>
    <xf numFmtId="164" fontId="10" fillId="0" borderId="0" xfId="1" applyFont="1" applyFill="1" applyBorder="1" applyAlignment="1">
      <alignment horizontal="center" vertical="center"/>
    </xf>
    <xf numFmtId="164" fontId="10" fillId="0" borderId="0" xfId="1" applyFont="1" applyFill="1" applyBorder="1"/>
    <xf numFmtId="165" fontId="10" fillId="0" borderId="2" xfId="1" applyNumberFormat="1" applyFont="1" applyFill="1" applyBorder="1"/>
    <xf numFmtId="0" fontId="10" fillId="0" borderId="0" xfId="0" applyFont="1" applyAlignment="1">
      <alignment horizontal="justify" vertical="top"/>
    </xf>
    <xf numFmtId="165" fontId="10" fillId="0" borderId="0" xfId="1" applyNumberFormat="1" applyFont="1" applyFill="1" applyBorder="1"/>
    <xf numFmtId="165" fontId="43" fillId="0" borderId="2" xfId="1" applyNumberFormat="1" applyFont="1" applyFill="1" applyBorder="1"/>
    <xf numFmtId="0" fontId="10" fillId="0" borderId="0" xfId="0" applyFont="1" applyAlignment="1">
      <alignment horizontal="justify"/>
    </xf>
    <xf numFmtId="0" fontId="13" fillId="0" borderId="2" xfId="2" applyFont="1" applyBorder="1" applyAlignment="1">
      <alignment horizontal="center" vertical="center" wrapText="1"/>
    </xf>
    <xf numFmtId="164" fontId="13" fillId="5" borderId="2" xfId="1" applyFont="1" applyFill="1" applyBorder="1" applyAlignment="1">
      <alignment horizontal="center" vertical="center" wrapText="1"/>
    </xf>
    <xf numFmtId="0" fontId="41" fillId="0" borderId="0" xfId="0" applyFont="1" applyAlignment="1">
      <alignment vertical="center" wrapText="1"/>
    </xf>
    <xf numFmtId="182" fontId="10" fillId="0" borderId="2" xfId="2" applyNumberFormat="1" applyFont="1" applyBorder="1" applyAlignment="1">
      <alignment horizontal="center" vertical="center" wrapText="1"/>
    </xf>
    <xf numFmtId="183" fontId="10" fillId="0" borderId="2" xfId="0" applyNumberFormat="1" applyFont="1" applyBorder="1" applyAlignment="1">
      <alignment horizontal="center" vertical="center" wrapText="1"/>
    </xf>
    <xf numFmtId="0" fontId="10" fillId="0" borderId="2" xfId="1" applyNumberFormat="1" applyFont="1" applyFill="1" applyBorder="1" applyAlignment="1">
      <alignment horizontal="right" vertical="center"/>
    </xf>
    <xf numFmtId="43" fontId="10" fillId="0" borderId="0" xfId="0" applyNumberFormat="1" applyFont="1"/>
    <xf numFmtId="182" fontId="19" fillId="0" borderId="2" xfId="0" applyNumberFormat="1" applyFont="1" applyBorder="1" applyAlignment="1">
      <alignment horizontal="center" vertical="center"/>
    </xf>
    <xf numFmtId="0" fontId="10" fillId="0" borderId="0" xfId="0" applyFont="1" applyAlignment="1">
      <alignment horizontal="center"/>
    </xf>
    <xf numFmtId="0" fontId="7" fillId="0" borderId="1" xfId="0" applyFont="1" applyBorder="1" applyAlignment="1">
      <alignment vertical="center"/>
    </xf>
    <xf numFmtId="165" fontId="43" fillId="0" borderId="0" xfId="1" applyNumberFormat="1" applyFont="1" applyFill="1" applyBorder="1"/>
    <xf numFmtId="0" fontId="10" fillId="0" borderId="4" xfId="0" applyFont="1" applyBorder="1" applyAlignment="1">
      <alignment horizontal="justify" vertical="top" wrapText="1"/>
    </xf>
    <xf numFmtId="0" fontId="10" fillId="0" borderId="4" xfId="0" applyFont="1" applyBorder="1" applyAlignment="1">
      <alignment horizontal="center" vertical="center" wrapText="1"/>
    </xf>
    <xf numFmtId="164" fontId="10" fillId="0" borderId="4" xfId="1" applyFont="1" applyFill="1" applyBorder="1" applyAlignment="1">
      <alignment horizontal="right" vertical="center" wrapText="1"/>
    </xf>
    <xf numFmtId="164" fontId="10" fillId="0" borderId="4" xfId="1" applyFont="1" applyFill="1" applyBorder="1" applyAlignment="1">
      <alignment vertical="center"/>
    </xf>
    <xf numFmtId="164" fontId="10" fillId="0" borderId="4" xfId="1" applyFont="1" applyFill="1" applyBorder="1" applyAlignment="1">
      <alignment horizontal="left" vertical="center"/>
    </xf>
    <xf numFmtId="164" fontId="10" fillId="0" borderId="8" xfId="1" applyFont="1" applyFill="1" applyBorder="1"/>
    <xf numFmtId="164" fontId="10" fillId="0" borderId="9" xfId="1" applyFont="1" applyFill="1" applyBorder="1"/>
    <xf numFmtId="0" fontId="13" fillId="424" borderId="2" xfId="0" applyFont="1" applyFill="1" applyBorder="1" applyAlignment="1">
      <alignment horizontal="center" vertical="center"/>
    </xf>
    <xf numFmtId="0" fontId="10" fillId="0" borderId="5" xfId="2" applyFont="1" applyBorder="1" applyAlignment="1">
      <alignment horizontal="justify" vertical="top" wrapText="1"/>
    </xf>
    <xf numFmtId="166" fontId="10" fillId="0" borderId="5" xfId="2" applyNumberFormat="1" applyFont="1" applyBorder="1" applyAlignment="1">
      <alignment horizontal="center" vertical="center" wrapText="1"/>
    </xf>
    <xf numFmtId="164" fontId="10" fillId="0" borderId="5" xfId="1" applyFont="1" applyFill="1" applyBorder="1" applyAlignment="1">
      <alignment horizontal="right" vertical="center" wrapText="1"/>
    </xf>
    <xf numFmtId="164" fontId="10" fillId="0" borderId="5" xfId="1" applyFont="1" applyFill="1" applyBorder="1" applyAlignment="1">
      <alignment horizontal="right" vertical="center"/>
    </xf>
    <xf numFmtId="164" fontId="10" fillId="0" borderId="5" xfId="1" applyFont="1" applyFill="1" applyBorder="1" applyAlignment="1">
      <alignment horizontal="left" vertical="center"/>
    </xf>
    <xf numFmtId="0" fontId="13" fillId="425" borderId="14" xfId="0" applyFont="1" applyFill="1" applyBorder="1" applyAlignment="1">
      <alignment horizontal="center" vertical="center"/>
    </xf>
    <xf numFmtId="0" fontId="46" fillId="422" borderId="0" xfId="0" applyFont="1" applyFill="1"/>
    <xf numFmtId="0" fontId="10" fillId="426" borderId="2" xfId="4" applyFont="1" applyFill="1" applyBorder="1" applyAlignment="1">
      <alignment horizontal="center" vertical="top"/>
    </xf>
    <xf numFmtId="0" fontId="36" fillId="426" borderId="2" xfId="0" applyFont="1" applyFill="1" applyBorder="1" applyAlignment="1">
      <alignment horizontal="left" vertical="top" wrapText="1"/>
    </xf>
    <xf numFmtId="166" fontId="10" fillId="426" borderId="2" xfId="2" applyNumberFormat="1" applyFont="1" applyFill="1" applyBorder="1" applyAlignment="1">
      <alignment horizontal="center" vertical="center" wrapText="1"/>
    </xf>
    <xf numFmtId="164" fontId="10" fillId="426" borderId="2" xfId="1" applyFont="1" applyFill="1" applyBorder="1" applyAlignment="1">
      <alignment horizontal="center" vertical="center"/>
    </xf>
    <xf numFmtId="164" fontId="10" fillId="426" borderId="2" xfId="1" applyFont="1" applyFill="1" applyBorder="1" applyAlignment="1">
      <alignment horizontal="right" vertical="center"/>
    </xf>
    <xf numFmtId="164" fontId="10" fillId="426" borderId="2" xfId="1" applyFont="1" applyFill="1" applyBorder="1" applyAlignment="1">
      <alignment horizontal="right" vertical="center" wrapText="1"/>
    </xf>
    <xf numFmtId="164" fontId="10" fillId="426" borderId="2" xfId="1" applyFont="1" applyFill="1" applyBorder="1" applyAlignment="1">
      <alignment horizontal="left" vertical="center"/>
    </xf>
    <xf numFmtId="0" fontId="5" fillId="426" borderId="0" xfId="0" applyFont="1" applyFill="1"/>
    <xf numFmtId="0" fontId="4" fillId="426" borderId="0" xfId="0" applyFont="1" applyFill="1"/>
    <xf numFmtId="1" fontId="10" fillId="426" borderId="2" xfId="4" applyNumberFormat="1" applyFont="1" applyFill="1" applyBorder="1" applyAlignment="1">
      <alignment horizontal="center" vertical="top"/>
    </xf>
    <xf numFmtId="164" fontId="5" fillId="426" borderId="2" xfId="1" applyFont="1" applyFill="1" applyBorder="1" applyAlignment="1">
      <alignment vertical="center"/>
    </xf>
    <xf numFmtId="0" fontId="36" fillId="0" borderId="2" xfId="0" applyFont="1" applyBorder="1" applyAlignment="1">
      <alignment horizontal="left" vertical="center" wrapText="1"/>
    </xf>
    <xf numFmtId="164" fontId="10" fillId="0" borderId="16" xfId="1" applyFont="1" applyFill="1" applyBorder="1" applyAlignment="1">
      <alignment horizontal="right" vertical="center" wrapText="1"/>
    </xf>
    <xf numFmtId="0" fontId="10" fillId="0" borderId="2" xfId="2" applyFont="1" applyBorder="1" applyAlignment="1">
      <alignment horizontal="center" vertical="center"/>
    </xf>
    <xf numFmtId="2" fontId="36" fillId="0" borderId="2" xfId="2" applyNumberFormat="1" applyFont="1" applyBorder="1" applyAlignment="1">
      <alignment horizontal="left" vertical="center" wrapText="1"/>
    </xf>
    <xf numFmtId="0" fontId="4" fillId="0" borderId="0" xfId="0" applyFont="1" applyAlignment="1">
      <alignment vertical="center"/>
    </xf>
    <xf numFmtId="0" fontId="10" fillId="0" borderId="2" xfId="4" applyFont="1" applyBorder="1" applyAlignment="1">
      <alignment horizontal="center" vertical="center"/>
    </xf>
    <xf numFmtId="0" fontId="13" fillId="0" borderId="0" xfId="2" applyFont="1" applyAlignment="1">
      <alignment horizontal="center" vertical="top" wrapText="1"/>
    </xf>
    <xf numFmtId="0" fontId="13" fillId="0" borderId="1" xfId="0" applyFont="1" applyBorder="1" applyAlignment="1">
      <alignment horizontal="right" vertical="center"/>
    </xf>
    <xf numFmtId="0" fontId="10" fillId="0" borderId="4" xfId="2" applyFont="1" applyBorder="1" applyAlignment="1">
      <alignment horizontal="center" vertical="top" wrapText="1"/>
    </xf>
    <xf numFmtId="0" fontId="10" fillId="0" borderId="6" xfId="2" applyFont="1" applyBorder="1" applyAlignment="1">
      <alignment horizontal="center" vertical="top" wrapText="1"/>
    </xf>
    <xf numFmtId="0" fontId="10" fillId="0" borderId="5" xfId="2" applyFont="1" applyBorder="1" applyAlignment="1">
      <alignment horizontal="center" vertical="top" wrapText="1"/>
    </xf>
    <xf numFmtId="0" fontId="10" fillId="0" borderId="4" xfId="4" applyFont="1" applyBorder="1" applyAlignment="1">
      <alignment horizontal="center" vertical="top"/>
    </xf>
    <xf numFmtId="0" fontId="10" fillId="0" borderId="6" xfId="4" applyFont="1" applyBorder="1" applyAlignment="1">
      <alignment horizontal="center" vertical="top"/>
    </xf>
    <xf numFmtId="0" fontId="10" fillId="0" borderId="5" xfId="4" applyFont="1" applyBorder="1" applyAlignment="1">
      <alignment horizontal="center" vertical="top"/>
    </xf>
    <xf numFmtId="0" fontId="10" fillId="0" borderId="4" xfId="4" applyFont="1" applyBorder="1" applyAlignment="1">
      <alignment horizontal="center" vertical="top" wrapText="1"/>
    </xf>
    <xf numFmtId="0" fontId="10" fillId="0" borderId="6" xfId="4" applyFont="1" applyBorder="1" applyAlignment="1">
      <alignment horizontal="center" vertical="top" wrapText="1"/>
    </xf>
    <xf numFmtId="0" fontId="10" fillId="0" borderId="5" xfId="4" applyFont="1" applyBorder="1" applyAlignment="1">
      <alignment horizontal="center" vertical="top" wrapText="1"/>
    </xf>
    <xf numFmtId="0" fontId="10" fillId="0" borderId="4" xfId="2" applyFont="1" applyBorder="1" applyAlignment="1">
      <alignment horizontal="center" vertical="top"/>
    </xf>
    <xf numFmtId="0" fontId="10" fillId="0" borderId="6" xfId="2" applyFont="1" applyBorder="1" applyAlignment="1">
      <alignment horizontal="center" vertical="top"/>
    </xf>
    <xf numFmtId="0" fontId="10" fillId="0" borderId="5" xfId="2" applyFont="1" applyBorder="1" applyAlignment="1">
      <alignment horizontal="center" vertical="top"/>
    </xf>
    <xf numFmtId="0" fontId="45" fillId="0" borderId="0" xfId="0" applyFont="1" applyAlignment="1">
      <alignment horizontal="center" vertical="center"/>
    </xf>
    <xf numFmtId="0" fontId="41" fillId="0" borderId="2" xfId="0" applyFont="1" applyBorder="1" applyAlignment="1">
      <alignment horizontal="right" vertical="center" wrapText="1"/>
    </xf>
    <xf numFmtId="0" fontId="13" fillId="5" borderId="2" xfId="2" applyFont="1" applyFill="1" applyBorder="1" applyAlignment="1">
      <alignment horizontal="center" vertical="center" wrapText="1"/>
    </xf>
    <xf numFmtId="0" fontId="13" fillId="5" borderId="2" xfId="2" applyFont="1" applyFill="1" applyBorder="1" applyAlignment="1">
      <alignment horizontal="center" vertical="center"/>
    </xf>
    <xf numFmtId="164" fontId="13" fillId="5" borderId="2" xfId="1" applyFont="1" applyFill="1" applyBorder="1" applyAlignment="1">
      <alignment horizontal="center" vertical="center"/>
    </xf>
    <xf numFmtId="0" fontId="7" fillId="0" borderId="1" xfId="0" applyFont="1" applyBorder="1" applyAlignment="1">
      <alignment horizontal="right" vertical="center"/>
    </xf>
    <xf numFmtId="164" fontId="13" fillId="5" borderId="2" xfId="1" applyFont="1" applyFill="1" applyBorder="1" applyAlignment="1">
      <alignment horizontal="center" vertical="center" wrapText="1"/>
    </xf>
    <xf numFmtId="0" fontId="7" fillId="5" borderId="2" xfId="0" applyFont="1" applyFill="1" applyBorder="1" applyAlignment="1">
      <alignment horizontal="center" vertical="center"/>
    </xf>
    <xf numFmtId="0" fontId="45" fillId="0" borderId="0" xfId="0" applyFont="1" applyAlignment="1">
      <alignment horizontal="center"/>
    </xf>
    <xf numFmtId="0" fontId="13" fillId="0" borderId="2" xfId="2" applyFont="1" applyBorder="1" applyAlignment="1">
      <alignment horizontal="center" vertical="top" wrapText="1"/>
    </xf>
    <xf numFmtId="0" fontId="13" fillId="0" borderId="2" xfId="2" applyFont="1" applyBorder="1" applyAlignment="1">
      <alignment horizontal="center" vertical="center"/>
    </xf>
    <xf numFmtId="0" fontId="7" fillId="0" borderId="2" xfId="0" applyFont="1" applyBorder="1" applyAlignment="1">
      <alignment horizontal="center" vertical="center"/>
    </xf>
    <xf numFmtId="164" fontId="13" fillId="0" borderId="2" xfId="1" applyFont="1" applyFill="1" applyBorder="1" applyAlignment="1">
      <alignment horizontal="center" vertical="center" wrapText="1"/>
    </xf>
    <xf numFmtId="0" fontId="41" fillId="0" borderId="2" xfId="0" applyFont="1" applyBorder="1" applyAlignment="1">
      <alignment horizontal="right" vertical="center"/>
    </xf>
    <xf numFmtId="0" fontId="41" fillId="0" borderId="7" xfId="0" applyFont="1" applyBorder="1" applyAlignment="1">
      <alignment horizontal="right" vertical="center"/>
    </xf>
    <xf numFmtId="0" fontId="41" fillId="0" borderId="8" xfId="0" applyFont="1" applyBorder="1" applyAlignment="1">
      <alignment horizontal="right" vertical="center"/>
    </xf>
    <xf numFmtId="0" fontId="13" fillId="424" borderId="2" xfId="0" applyFont="1" applyFill="1" applyBorder="1" applyAlignment="1">
      <alignment horizontal="center" vertical="center" wrapText="1"/>
    </xf>
    <xf numFmtId="0" fontId="13" fillId="424" borderId="2" xfId="0" applyFont="1" applyFill="1" applyBorder="1" applyAlignment="1">
      <alignment horizontal="center" vertical="center"/>
    </xf>
    <xf numFmtId="0" fontId="13" fillId="424" borderId="2" xfId="2" applyFont="1" applyFill="1" applyBorder="1" applyAlignment="1">
      <alignment horizontal="center" vertical="center" wrapText="1"/>
    </xf>
    <xf numFmtId="0" fontId="13" fillId="424" borderId="2" xfId="2" applyFont="1" applyFill="1" applyBorder="1" applyAlignment="1">
      <alignment horizontal="center" vertical="center"/>
    </xf>
    <xf numFmtId="164" fontId="13" fillId="424" borderId="2" xfId="1" applyFont="1" applyFill="1" applyBorder="1" applyAlignment="1">
      <alignment horizontal="center" vertical="center" wrapText="1"/>
    </xf>
    <xf numFmtId="0" fontId="7" fillId="424" borderId="4" xfId="0" applyFont="1" applyFill="1" applyBorder="1" applyAlignment="1">
      <alignment horizontal="center" vertical="center"/>
    </xf>
    <xf numFmtId="0" fontId="7" fillId="424" borderId="5" xfId="0" applyFont="1" applyFill="1" applyBorder="1" applyAlignment="1">
      <alignment horizontal="center" vertical="center"/>
    </xf>
    <xf numFmtId="164" fontId="13" fillId="424" borderId="4" xfId="1" applyFont="1" applyFill="1" applyBorder="1" applyAlignment="1">
      <alignment horizontal="center" vertical="center"/>
    </xf>
    <xf numFmtId="164" fontId="13" fillId="424" borderId="5" xfId="1" applyFont="1" applyFill="1" applyBorder="1" applyAlignment="1">
      <alignment horizontal="center" vertical="center"/>
    </xf>
    <xf numFmtId="0" fontId="7" fillId="0" borderId="0" xfId="0" applyFont="1" applyAlignment="1">
      <alignment horizontal="right" vertical="center"/>
    </xf>
    <xf numFmtId="0" fontId="13" fillId="425" borderId="10" xfId="2" applyFont="1" applyFill="1" applyBorder="1" applyAlignment="1">
      <alignment horizontal="center" vertical="center" wrapText="1"/>
    </xf>
    <xf numFmtId="0" fontId="13" fillId="425" borderId="13" xfId="2" applyFont="1" applyFill="1" applyBorder="1" applyAlignment="1">
      <alignment horizontal="center" vertical="center" wrapText="1"/>
    </xf>
    <xf numFmtId="0" fontId="13" fillId="425" borderId="11" xfId="2" applyFont="1" applyFill="1" applyBorder="1" applyAlignment="1">
      <alignment horizontal="center" vertical="center"/>
    </xf>
    <xf numFmtId="0" fontId="13" fillId="425" borderId="14" xfId="2" applyFont="1" applyFill="1" applyBorder="1" applyAlignment="1">
      <alignment horizontal="center" vertical="center"/>
    </xf>
    <xf numFmtId="164" fontId="13" fillId="425" borderId="11" xfId="1" applyFont="1" applyFill="1" applyBorder="1" applyAlignment="1">
      <alignment horizontal="center" vertical="center"/>
    </xf>
    <xf numFmtId="164" fontId="13" fillId="425" borderId="14" xfId="1" applyFont="1" applyFill="1" applyBorder="1" applyAlignment="1">
      <alignment horizontal="center" vertical="center"/>
    </xf>
    <xf numFmtId="0" fontId="7" fillId="425" borderId="11" xfId="0" applyFont="1" applyFill="1" applyBorder="1" applyAlignment="1">
      <alignment horizontal="center" vertical="center"/>
    </xf>
    <xf numFmtId="0" fontId="7" fillId="425" borderId="14" xfId="0" applyFont="1" applyFill="1" applyBorder="1" applyAlignment="1">
      <alignment horizontal="center" vertical="center"/>
    </xf>
    <xf numFmtId="164" fontId="13" fillId="425" borderId="11" xfId="1" applyFont="1" applyFill="1" applyBorder="1" applyAlignment="1">
      <alignment horizontal="center" vertical="center" wrapText="1"/>
    </xf>
    <xf numFmtId="164" fontId="13" fillId="425" borderId="14" xfId="1" applyFont="1" applyFill="1" applyBorder="1" applyAlignment="1">
      <alignment horizontal="center" vertical="center" wrapText="1"/>
    </xf>
    <xf numFmtId="0" fontId="13" fillId="425" borderId="11" xfId="0" applyFont="1" applyFill="1" applyBorder="1" applyAlignment="1">
      <alignment horizontal="center" vertical="center"/>
    </xf>
    <xf numFmtId="0" fontId="13" fillId="425" borderId="12" xfId="0" applyFont="1" applyFill="1" applyBorder="1" applyAlignment="1">
      <alignment horizontal="center" vertical="center" wrapText="1"/>
    </xf>
    <xf numFmtId="0" fontId="13" fillId="425" borderId="15" xfId="0" applyFont="1" applyFill="1" applyBorder="1" applyAlignment="1">
      <alignment horizontal="center" vertical="center" wrapText="1"/>
    </xf>
    <xf numFmtId="0" fontId="3" fillId="0" borderId="0" xfId="2" applyFont="1" applyAlignment="1">
      <alignment horizontal="center" vertical="top" wrapText="1"/>
    </xf>
    <xf numFmtId="0" fontId="6" fillId="0" borderId="1" xfId="0" applyFont="1" applyBorder="1" applyAlignment="1">
      <alignment horizontal="right" vertical="center"/>
    </xf>
    <xf numFmtId="0" fontId="10" fillId="0" borderId="2" xfId="4" applyFont="1" applyBorder="1" applyAlignment="1">
      <alignment horizontal="center" vertical="top"/>
    </xf>
    <xf numFmtId="0" fontId="3" fillId="0" borderId="1" xfId="2" applyFont="1" applyBorder="1" applyAlignment="1">
      <alignment horizontal="center" vertical="top" wrapText="1"/>
    </xf>
    <xf numFmtId="0" fontId="7" fillId="2" borderId="2" xfId="2" applyFont="1" applyFill="1" applyBorder="1" applyAlignment="1">
      <alignment horizontal="center" vertical="center" wrapText="1"/>
    </xf>
    <xf numFmtId="0" fontId="7" fillId="2" borderId="2" xfId="2" applyFont="1" applyFill="1" applyBorder="1" applyAlignment="1">
      <alignment horizontal="center" vertical="center"/>
    </xf>
    <xf numFmtId="176" fontId="7" fillId="2" borderId="2" xfId="1" applyNumberFormat="1" applyFont="1" applyFill="1" applyBorder="1" applyAlignment="1">
      <alignment horizontal="center" vertical="center"/>
    </xf>
    <xf numFmtId="0" fontId="6" fillId="2" borderId="2" xfId="0" applyFont="1" applyFill="1" applyBorder="1" applyAlignment="1">
      <alignment horizontal="center" vertical="center"/>
    </xf>
    <xf numFmtId="164" fontId="7" fillId="2" borderId="2" xfId="1" applyFont="1" applyFill="1" applyBorder="1" applyAlignment="1">
      <alignment horizontal="center" vertical="center" wrapText="1"/>
    </xf>
    <xf numFmtId="164" fontId="7" fillId="2" borderId="2" xfId="1" applyFont="1" applyFill="1" applyBorder="1" applyAlignment="1">
      <alignment horizontal="center" vertical="center"/>
    </xf>
    <xf numFmtId="0" fontId="10" fillId="9" borderId="4" xfId="4" applyFont="1" applyFill="1" applyBorder="1" applyAlignment="1">
      <alignment horizontal="center" vertical="top"/>
    </xf>
    <xf numFmtId="0" fontId="6" fillId="61" borderId="1" xfId="0" applyFont="1" applyFill="1" applyBorder="1" applyAlignment="1">
      <alignment horizontal="right" vertical="center"/>
    </xf>
    <xf numFmtId="164" fontId="12" fillId="0" borderId="2" xfId="1" applyFont="1" applyFill="1" applyBorder="1" applyAlignment="1">
      <alignment horizontal="center" vertical="center" wrapText="1"/>
    </xf>
    <xf numFmtId="164" fontId="12" fillId="422" borderId="2" xfId="1" applyFont="1" applyFill="1" applyBorder="1" applyAlignment="1">
      <alignment horizontal="center" vertical="center" wrapText="1"/>
    </xf>
    <xf numFmtId="164" fontId="12" fillId="422" borderId="2" xfId="1" applyFont="1" applyFill="1" applyBorder="1" applyAlignment="1">
      <alignment horizontal="right" vertical="center" wrapText="1"/>
    </xf>
    <xf numFmtId="164" fontId="12" fillId="0" borderId="2" xfId="1" applyFont="1" applyFill="1" applyBorder="1" applyAlignment="1">
      <alignment horizontal="right" vertical="center" wrapText="1"/>
    </xf>
  </cellXfs>
  <cellStyles count="13">
    <cellStyle name="Comma" xfId="1" builtinId="3"/>
    <cellStyle name="Comma 2" xfId="11" xr:uid="{00000000-0005-0000-0000-000001000000}"/>
    <cellStyle name="Comma 2 2" xfId="9" xr:uid="{00000000-0005-0000-0000-000002000000}"/>
    <cellStyle name="Comma 2 2 2" xfId="7" xr:uid="{00000000-0005-0000-0000-000003000000}"/>
    <cellStyle name="Comma 3" xfId="10" xr:uid="{00000000-0005-0000-0000-000004000000}"/>
    <cellStyle name="Normal" xfId="0" builtinId="0"/>
    <cellStyle name="Normal 2" xfId="2" xr:uid="{00000000-0005-0000-0000-000006000000}"/>
    <cellStyle name="Normal 2 2" xfId="4" xr:uid="{00000000-0005-0000-0000-000007000000}"/>
    <cellStyle name="Normal 2 2 2 2" xfId="12" xr:uid="{00000000-0005-0000-0000-000008000000}"/>
    <cellStyle name="Normal 21" xfId="8" xr:uid="{00000000-0005-0000-0000-000009000000}"/>
    <cellStyle name="Normal 27 2" xfId="5" xr:uid="{00000000-0005-0000-0000-00000A000000}"/>
    <cellStyle name="Normal 3 2 13" xfId="6" xr:uid="{00000000-0005-0000-0000-00000B000000}"/>
    <cellStyle name="Normal_Cost modified revised4 2" xfId="3" xr:uid="{00000000-0005-0000-0000-00000C000000}"/>
  </cellStyles>
  <dxfs count="6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333"/>
  <sheetViews>
    <sheetView view="pageBreakPreview" zoomScale="70" zoomScaleNormal="70" zoomScaleSheetLayoutView="70" workbookViewId="0">
      <pane xSplit="3" ySplit="3" topLeftCell="U304" activePane="bottomRight" state="frozen"/>
      <selection activeCell="H7" sqref="H7"/>
      <selection pane="topRight" activeCell="H7" sqref="H7"/>
      <selection pane="bottomLeft" activeCell="H7" sqref="H7"/>
      <selection pane="bottomRight" activeCell="H7" sqref="H7"/>
    </sheetView>
  </sheetViews>
  <sheetFormatPr defaultColWidth="9.140625" defaultRowHeight="15" x14ac:dyDescent="0.2"/>
  <cols>
    <col min="1" max="1" width="4.85546875" style="929" bestFit="1" customWidth="1"/>
    <col min="2" max="2" width="99.28515625" style="935" customWidth="1"/>
    <col min="3" max="3" width="20.5703125" style="931" bestFit="1" customWidth="1"/>
    <col min="4" max="4" width="15" style="932" bestFit="1" customWidth="1"/>
    <col min="5" max="6" width="15" style="933" bestFit="1" customWidth="1"/>
    <col min="7" max="7" width="16.28515625" style="933" bestFit="1" customWidth="1"/>
    <col min="8" max="10" width="17.140625" style="933" bestFit="1" customWidth="1"/>
    <col min="11" max="13" width="15.7109375" style="933" bestFit="1" customWidth="1"/>
    <col min="14" max="14" width="13.7109375" style="933" bestFit="1" customWidth="1"/>
    <col min="15" max="16" width="15.7109375" style="933" bestFit="1" customWidth="1"/>
    <col min="17" max="17" width="16.5703125" style="933" bestFit="1" customWidth="1"/>
    <col min="18" max="18" width="15.7109375" style="933" bestFit="1" customWidth="1"/>
    <col min="19" max="19" width="11.7109375" style="933" bestFit="1" customWidth="1"/>
    <col min="20" max="20" width="12.28515625" style="933" bestFit="1" customWidth="1"/>
    <col min="21" max="21" width="17.140625" style="933" bestFit="1" customWidth="1"/>
    <col min="22" max="22" width="16.140625" style="933" bestFit="1" customWidth="1"/>
    <col min="23" max="23" width="18.7109375" style="933" bestFit="1" customWidth="1"/>
    <col min="24" max="28" width="18.7109375" style="870" bestFit="1" customWidth="1"/>
    <col min="29" max="29" width="16.140625" style="870" bestFit="1" customWidth="1"/>
    <col min="30" max="30" width="8.7109375" style="870" bestFit="1" customWidth="1"/>
    <col min="31" max="31" width="13.7109375" style="870" bestFit="1" customWidth="1"/>
    <col min="32" max="16384" width="9.140625" style="870"/>
  </cols>
  <sheetData>
    <row r="1" spans="1:25" ht="15.75" x14ac:dyDescent="0.2">
      <c r="A1" s="982" t="s">
        <v>0</v>
      </c>
      <c r="B1" s="982"/>
      <c r="C1" s="982"/>
      <c r="D1" s="982"/>
      <c r="E1" s="982"/>
      <c r="F1" s="982"/>
      <c r="G1" s="982"/>
      <c r="H1" s="982"/>
      <c r="I1" s="982"/>
      <c r="J1" s="982"/>
      <c r="K1" s="982"/>
      <c r="L1" s="982"/>
      <c r="M1" s="982"/>
      <c r="N1" s="982"/>
      <c r="O1" s="982"/>
      <c r="P1" s="982"/>
      <c r="Q1" s="982"/>
      <c r="R1" s="982"/>
      <c r="S1" s="982"/>
      <c r="T1" s="982"/>
      <c r="U1" s="982"/>
      <c r="V1" s="982"/>
      <c r="W1" s="982"/>
    </row>
    <row r="2" spans="1:25" ht="15.75" x14ac:dyDescent="0.2">
      <c r="A2" s="983" t="s">
        <v>1</v>
      </c>
      <c r="B2" s="983"/>
      <c r="C2" s="983"/>
      <c r="D2" s="983"/>
      <c r="E2" s="983"/>
      <c r="F2" s="983"/>
      <c r="G2" s="983"/>
      <c r="H2" s="983"/>
      <c r="I2" s="983"/>
      <c r="J2" s="983"/>
      <c r="K2" s="983"/>
      <c r="L2" s="983"/>
      <c r="M2" s="983"/>
      <c r="N2" s="983"/>
      <c r="O2" s="983"/>
      <c r="P2" s="983"/>
      <c r="Q2" s="983"/>
      <c r="R2" s="983"/>
      <c r="S2" s="983"/>
      <c r="T2" s="983"/>
      <c r="U2" s="983"/>
      <c r="V2" s="983"/>
      <c r="W2" s="983"/>
    </row>
    <row r="3" spans="1:25" ht="47.25" x14ac:dyDescent="0.2">
      <c r="A3" s="871" t="s">
        <v>2</v>
      </c>
      <c r="B3" s="872" t="s">
        <v>3</v>
      </c>
      <c r="C3" s="873" t="s">
        <v>4</v>
      </c>
      <c r="D3" s="874" t="s">
        <v>366</v>
      </c>
      <c r="E3" s="874" t="s">
        <v>367</v>
      </c>
      <c r="F3" s="874" t="s">
        <v>368</v>
      </c>
      <c r="G3" s="874" t="s">
        <v>369</v>
      </c>
      <c r="H3" s="874" t="s">
        <v>370</v>
      </c>
      <c r="I3" s="874" t="s">
        <v>371</v>
      </c>
      <c r="J3" s="875" t="s">
        <v>372</v>
      </c>
      <c r="K3" s="874" t="s">
        <v>373</v>
      </c>
      <c r="L3" s="875" t="s">
        <v>374</v>
      </c>
      <c r="M3" s="875" t="s">
        <v>375</v>
      </c>
      <c r="N3" s="874" t="s">
        <v>376</v>
      </c>
      <c r="O3" s="874" t="s">
        <v>377</v>
      </c>
      <c r="P3" s="874" t="s">
        <v>379</v>
      </c>
      <c r="Q3" s="874" t="s">
        <v>382</v>
      </c>
      <c r="R3" s="874" t="s">
        <v>383</v>
      </c>
      <c r="S3" s="874" t="s">
        <v>379</v>
      </c>
      <c r="T3" s="875" t="s">
        <v>400</v>
      </c>
      <c r="U3" s="875" t="s">
        <v>391</v>
      </c>
      <c r="V3" s="875" t="s">
        <v>6</v>
      </c>
      <c r="W3" s="874" t="s">
        <v>7</v>
      </c>
    </row>
    <row r="4" spans="1:25" ht="45" x14ac:dyDescent="0.2">
      <c r="A4" s="116">
        <v>1</v>
      </c>
      <c r="B4" s="876" t="s">
        <v>8</v>
      </c>
      <c r="C4" s="12">
        <v>1000</v>
      </c>
      <c r="D4" s="33">
        <v>616487.5</v>
      </c>
      <c r="E4" s="13">
        <v>590424.88</v>
      </c>
      <c r="F4" s="13">
        <v>203524.5</v>
      </c>
      <c r="G4" s="13">
        <v>2110200</v>
      </c>
      <c r="H4" s="13">
        <v>15023937.5</v>
      </c>
      <c r="I4" s="13">
        <v>10154747.5</v>
      </c>
      <c r="J4" s="13">
        <v>19380715.75</v>
      </c>
      <c r="K4" s="13">
        <v>4710315</v>
      </c>
      <c r="L4" s="13">
        <v>2187776.7000000002</v>
      </c>
      <c r="M4" s="13">
        <v>1671902.1400000001</v>
      </c>
      <c r="N4" s="13">
        <v>307260.39</v>
      </c>
      <c r="O4" s="13">
        <v>4234073.0999999996</v>
      </c>
      <c r="P4" s="13">
        <v>3676695</v>
      </c>
      <c r="Q4" s="13">
        <v>15402.5</v>
      </c>
      <c r="R4" s="13">
        <v>4410982.0599999996</v>
      </c>
      <c r="S4" s="13"/>
      <c r="T4" s="13"/>
      <c r="U4" s="13">
        <v>69775243.960000008</v>
      </c>
      <c r="V4" s="14">
        <v>4640.7</v>
      </c>
      <c r="W4" s="15">
        <f>V4*U4/C4</f>
        <v>323805974.645172</v>
      </c>
      <c r="Y4" s="877" t="e">
        <f>#REF!-Y96</f>
        <v>#REF!</v>
      </c>
    </row>
    <row r="5" spans="1:25" ht="30" x14ac:dyDescent="0.2">
      <c r="A5" s="116">
        <v>2</v>
      </c>
      <c r="B5" s="876" t="s">
        <v>9</v>
      </c>
      <c r="C5" s="12">
        <v>1000</v>
      </c>
      <c r="D5" s="33">
        <v>174315</v>
      </c>
      <c r="E5" s="13">
        <v>112011.005</v>
      </c>
      <c r="F5" s="13">
        <v>262075.5</v>
      </c>
      <c r="G5" s="13">
        <v>680530</v>
      </c>
      <c r="H5" s="13">
        <v>2113837.5</v>
      </c>
      <c r="I5" s="13">
        <v>4167935</v>
      </c>
      <c r="J5" s="13">
        <v>5396103.75</v>
      </c>
      <c r="K5" s="13">
        <v>2201861.25</v>
      </c>
      <c r="L5" s="13">
        <v>1607647.35</v>
      </c>
      <c r="M5" s="13">
        <v>1638852.06</v>
      </c>
      <c r="N5" s="13">
        <v>392780.14500000002</v>
      </c>
      <c r="O5" s="13">
        <v>1712983.98</v>
      </c>
      <c r="P5" s="13">
        <v>4402362.5</v>
      </c>
      <c r="Q5" s="13">
        <v>51770</v>
      </c>
      <c r="R5" s="13">
        <v>1949662.13</v>
      </c>
      <c r="S5" s="13"/>
      <c r="T5" s="13"/>
      <c r="U5" s="13">
        <v>26864727.169999998</v>
      </c>
      <c r="V5" s="14">
        <v>940.9</v>
      </c>
      <c r="W5" s="15">
        <f t="shared" ref="W5:W66" si="0">V5*U5/C5</f>
        <v>25277021.794252999</v>
      </c>
    </row>
    <row r="6" spans="1:25" ht="30" x14ac:dyDescent="0.2">
      <c r="A6" s="984">
        <v>3</v>
      </c>
      <c r="B6" s="876" t="s">
        <v>10</v>
      </c>
      <c r="C6" s="33"/>
      <c r="D6" s="33"/>
      <c r="E6" s="13"/>
      <c r="F6" s="13"/>
      <c r="G6" s="13"/>
      <c r="H6" s="13"/>
      <c r="I6" s="13"/>
      <c r="J6" s="13"/>
      <c r="K6" s="13"/>
      <c r="L6" s="13"/>
      <c r="M6" s="13"/>
      <c r="N6" s="13"/>
      <c r="O6" s="13"/>
      <c r="P6" s="13"/>
      <c r="Q6" s="13"/>
      <c r="R6" s="13"/>
      <c r="S6" s="13"/>
      <c r="T6" s="13"/>
      <c r="U6" s="13">
        <v>0</v>
      </c>
      <c r="V6" s="14">
        <v>0</v>
      </c>
      <c r="W6" s="14">
        <v>0</v>
      </c>
    </row>
    <row r="7" spans="1:25" x14ac:dyDescent="0.2">
      <c r="A7" s="985"/>
      <c r="B7" s="878" t="s">
        <v>11</v>
      </c>
      <c r="C7" s="12">
        <v>1000</v>
      </c>
      <c r="D7" s="33">
        <v>20640</v>
      </c>
      <c r="E7" s="13">
        <v>4055.6700000000005</v>
      </c>
      <c r="F7" s="13">
        <v>3727.5</v>
      </c>
      <c r="G7" s="13">
        <v>8217.5000000000036</v>
      </c>
      <c r="H7" s="13">
        <v>12747.499999999998</v>
      </c>
      <c r="I7" s="13">
        <v>100405</v>
      </c>
      <c r="J7" s="13">
        <v>10945.75</v>
      </c>
      <c r="K7" s="13">
        <v>17267.5</v>
      </c>
      <c r="L7" s="13">
        <v>1752.5</v>
      </c>
      <c r="M7" s="13">
        <v>10467.499999999996</v>
      </c>
      <c r="N7" s="13"/>
      <c r="O7" s="13">
        <v>70005.000000000015</v>
      </c>
      <c r="P7" s="13">
        <v>137177.5</v>
      </c>
      <c r="Q7" s="13">
        <v>1360</v>
      </c>
      <c r="R7" s="13">
        <v>147378.57999999999</v>
      </c>
      <c r="S7" s="13"/>
      <c r="T7" s="13"/>
      <c r="U7" s="13">
        <v>546147.5</v>
      </c>
      <c r="V7" s="14">
        <v>1073.2</v>
      </c>
      <c r="W7" s="15">
        <f t="shared" si="0"/>
        <v>586125.49699999997</v>
      </c>
    </row>
    <row r="8" spans="1:25" x14ac:dyDescent="0.2">
      <c r="A8" s="985"/>
      <c r="B8" s="876" t="s">
        <v>144</v>
      </c>
      <c r="C8" s="12">
        <v>1000</v>
      </c>
      <c r="D8" s="33"/>
      <c r="E8" s="13">
        <v>4805</v>
      </c>
      <c r="F8" s="13">
        <v>5270</v>
      </c>
      <c r="G8" s="13"/>
      <c r="H8" s="13"/>
      <c r="I8" s="13">
        <v>9912.5</v>
      </c>
      <c r="J8" s="13"/>
      <c r="K8" s="13"/>
      <c r="L8" s="13">
        <v>16955</v>
      </c>
      <c r="M8" s="13">
        <v>23964.999999999996</v>
      </c>
      <c r="N8" s="13"/>
      <c r="O8" s="13">
        <v>29937.499999999982</v>
      </c>
      <c r="P8" s="13">
        <v>898790</v>
      </c>
      <c r="Q8" s="13"/>
      <c r="R8" s="13"/>
      <c r="S8" s="13"/>
      <c r="T8" s="13"/>
      <c r="U8" s="13">
        <v>989635</v>
      </c>
      <c r="V8" s="14">
        <v>1743.95</v>
      </c>
      <c r="W8" s="15">
        <f t="shared" si="0"/>
        <v>1725873.9582499999</v>
      </c>
    </row>
    <row r="9" spans="1:25" x14ac:dyDescent="0.2">
      <c r="A9" s="985"/>
      <c r="B9" s="876" t="s">
        <v>455</v>
      </c>
      <c r="C9" s="12">
        <v>1000</v>
      </c>
      <c r="D9" s="33">
        <v>2970</v>
      </c>
      <c r="E9" s="13"/>
      <c r="F9" s="13"/>
      <c r="G9" s="13"/>
      <c r="H9" s="13">
        <v>5975.0000000000018</v>
      </c>
      <c r="I9" s="13">
        <v>24562.5</v>
      </c>
      <c r="J9" s="13"/>
      <c r="K9" s="13"/>
      <c r="L9" s="13"/>
      <c r="M9" s="13">
        <v>5747.4999999999964</v>
      </c>
      <c r="N9" s="13">
        <v>11732.790000000008</v>
      </c>
      <c r="O9" s="13"/>
      <c r="P9" s="13"/>
      <c r="Q9" s="13"/>
      <c r="R9" s="13">
        <v>224897.5</v>
      </c>
      <c r="S9" s="13"/>
      <c r="T9" s="13"/>
      <c r="U9" s="13">
        <v>275885.29000000004</v>
      </c>
      <c r="V9" s="14">
        <v>2414.6999999999998</v>
      </c>
      <c r="W9" s="15">
        <f t="shared" si="0"/>
        <v>666180.20976300002</v>
      </c>
    </row>
    <row r="10" spans="1:25" x14ac:dyDescent="0.2">
      <c r="A10" s="985"/>
      <c r="B10" s="876" t="s">
        <v>456</v>
      </c>
      <c r="C10" s="12">
        <v>1000</v>
      </c>
      <c r="D10" s="33">
        <v>8792.5</v>
      </c>
      <c r="E10" s="13">
        <v>20505</v>
      </c>
      <c r="F10" s="13"/>
      <c r="G10" s="13"/>
      <c r="H10" s="13"/>
      <c r="I10" s="13">
        <v>33180.000000000007</v>
      </c>
      <c r="J10" s="13"/>
      <c r="K10" s="13"/>
      <c r="L10" s="13"/>
      <c r="M10" s="13"/>
      <c r="N10" s="13"/>
      <c r="O10" s="13"/>
      <c r="P10" s="13"/>
      <c r="Q10" s="13"/>
      <c r="R10" s="13"/>
      <c r="S10" s="13"/>
      <c r="T10" s="13"/>
      <c r="U10" s="13">
        <v>62477.500000000007</v>
      </c>
      <c r="V10" s="14">
        <v>6677.8</v>
      </c>
      <c r="W10" s="15">
        <f t="shared" si="0"/>
        <v>417212.24950000003</v>
      </c>
    </row>
    <row r="11" spans="1:25" x14ac:dyDescent="0.2">
      <c r="A11" s="985"/>
      <c r="B11" s="876" t="s">
        <v>457</v>
      </c>
      <c r="C11" s="12">
        <v>1000</v>
      </c>
      <c r="D11" s="33">
        <v>1215</v>
      </c>
      <c r="E11" s="13"/>
      <c r="F11" s="13"/>
      <c r="G11" s="13"/>
      <c r="H11" s="13"/>
      <c r="I11" s="13">
        <v>79555</v>
      </c>
      <c r="J11" s="13"/>
      <c r="K11" s="13"/>
      <c r="L11" s="13"/>
      <c r="M11" s="13"/>
      <c r="N11" s="13"/>
      <c r="O11" s="13"/>
      <c r="P11" s="13"/>
      <c r="Q11" s="13"/>
      <c r="R11" s="13">
        <v>468525</v>
      </c>
      <c r="S11" s="13"/>
      <c r="T11" s="13"/>
      <c r="U11" s="13">
        <v>549295</v>
      </c>
      <c r="V11" s="14">
        <v>6751.2</v>
      </c>
      <c r="W11" s="15">
        <f t="shared" si="0"/>
        <v>3708400.4040000001</v>
      </c>
    </row>
    <row r="12" spans="1:25" x14ac:dyDescent="0.2">
      <c r="A12" s="985"/>
      <c r="B12" s="876" t="s">
        <v>458</v>
      </c>
      <c r="C12" s="12">
        <v>1000</v>
      </c>
      <c r="D12" s="20"/>
      <c r="E12" s="13"/>
      <c r="F12" s="13"/>
      <c r="G12" s="13">
        <v>58687.5</v>
      </c>
      <c r="H12" s="13"/>
      <c r="I12" s="13"/>
      <c r="J12" s="13"/>
      <c r="K12" s="13"/>
      <c r="L12" s="13"/>
      <c r="M12" s="13"/>
      <c r="N12" s="13"/>
      <c r="O12" s="13"/>
      <c r="P12" s="13">
        <v>496885</v>
      </c>
      <c r="Q12" s="13"/>
      <c r="R12" s="13"/>
      <c r="S12" s="13"/>
      <c r="T12" s="13"/>
      <c r="U12" s="13">
        <v>555572.5</v>
      </c>
      <c r="V12" s="39">
        <v>6751.2</v>
      </c>
      <c r="W12" s="15">
        <f t="shared" si="0"/>
        <v>3750781.0619999999</v>
      </c>
    </row>
    <row r="13" spans="1:25" x14ac:dyDescent="0.2">
      <c r="A13" s="985"/>
      <c r="B13" s="876" t="s">
        <v>459</v>
      </c>
      <c r="C13" s="12">
        <v>1000</v>
      </c>
      <c r="D13" s="33">
        <v>18740</v>
      </c>
      <c r="E13" s="13"/>
      <c r="F13" s="13"/>
      <c r="G13" s="13"/>
      <c r="H13" s="13"/>
      <c r="I13" s="13"/>
      <c r="J13" s="13"/>
      <c r="K13" s="13"/>
      <c r="L13" s="13"/>
      <c r="M13" s="13"/>
      <c r="N13" s="13"/>
      <c r="O13" s="13"/>
      <c r="P13" s="13"/>
      <c r="Q13" s="13"/>
      <c r="R13" s="13"/>
      <c r="S13" s="13"/>
      <c r="T13" s="13"/>
      <c r="U13" s="13">
        <v>18740</v>
      </c>
      <c r="V13" s="14">
        <v>6824.6</v>
      </c>
      <c r="W13" s="15">
        <f t="shared" si="0"/>
        <v>127893.004</v>
      </c>
    </row>
    <row r="14" spans="1:25" x14ac:dyDescent="0.2">
      <c r="A14" s="985"/>
      <c r="B14" s="876" t="s">
        <v>460</v>
      </c>
      <c r="C14" s="12">
        <v>1000</v>
      </c>
      <c r="D14" s="33"/>
      <c r="E14" s="13"/>
      <c r="F14" s="13"/>
      <c r="G14" s="13"/>
      <c r="H14" s="13"/>
      <c r="I14" s="13">
        <v>53390</v>
      </c>
      <c r="J14" s="13"/>
      <c r="K14" s="13"/>
      <c r="L14" s="13"/>
      <c r="M14" s="13"/>
      <c r="N14" s="13"/>
      <c r="O14" s="13"/>
      <c r="P14" s="13"/>
      <c r="Q14" s="13"/>
      <c r="R14" s="13"/>
      <c r="S14" s="13"/>
      <c r="T14" s="13"/>
      <c r="U14" s="13">
        <v>53390</v>
      </c>
      <c r="V14" s="33">
        <v>6971.4</v>
      </c>
      <c r="W14" s="15">
        <f t="shared" si="0"/>
        <v>372203.04599999997</v>
      </c>
    </row>
    <row r="15" spans="1:25" x14ac:dyDescent="0.2">
      <c r="A15" s="985"/>
      <c r="B15" s="876" t="s">
        <v>461</v>
      </c>
      <c r="C15" s="12">
        <v>1000</v>
      </c>
      <c r="D15" s="33"/>
      <c r="E15" s="13"/>
      <c r="F15" s="13"/>
      <c r="G15" s="13">
        <v>75040</v>
      </c>
      <c r="H15" s="13"/>
      <c r="I15" s="13"/>
      <c r="J15" s="13"/>
      <c r="K15" s="13"/>
      <c r="L15" s="13"/>
      <c r="M15" s="13"/>
      <c r="N15" s="13"/>
      <c r="O15" s="13"/>
      <c r="P15" s="13"/>
      <c r="Q15" s="13"/>
      <c r="R15" s="13"/>
      <c r="S15" s="13"/>
      <c r="T15" s="13"/>
      <c r="U15" s="13">
        <v>75040</v>
      </c>
      <c r="V15" s="39">
        <v>6971.4</v>
      </c>
      <c r="W15" s="15">
        <f t="shared" si="0"/>
        <v>523133.85600000003</v>
      </c>
    </row>
    <row r="16" spans="1:25" x14ac:dyDescent="0.2">
      <c r="A16" s="985"/>
      <c r="B16" s="876" t="s">
        <v>462</v>
      </c>
      <c r="C16" s="12">
        <v>1000</v>
      </c>
      <c r="D16" s="33"/>
      <c r="E16" s="13">
        <v>1237.5</v>
      </c>
      <c r="F16" s="13"/>
      <c r="G16" s="13"/>
      <c r="H16" s="13"/>
      <c r="I16" s="13"/>
      <c r="J16" s="13"/>
      <c r="K16" s="13"/>
      <c r="L16" s="13">
        <v>97028.25</v>
      </c>
      <c r="M16" s="13"/>
      <c r="N16" s="13"/>
      <c r="O16" s="13"/>
      <c r="P16" s="13"/>
      <c r="Q16" s="13"/>
      <c r="R16" s="13"/>
      <c r="S16" s="13"/>
      <c r="T16" s="13"/>
      <c r="U16" s="13">
        <v>98265.75</v>
      </c>
      <c r="V16" s="14">
        <v>7044.8</v>
      </c>
      <c r="W16" s="15">
        <f t="shared" si="0"/>
        <v>692262.55560000008</v>
      </c>
    </row>
    <row r="17" spans="1:24" x14ac:dyDescent="0.2">
      <c r="A17" s="985"/>
      <c r="B17" s="876" t="s">
        <v>463</v>
      </c>
      <c r="C17" s="12">
        <v>1000</v>
      </c>
      <c r="D17" s="33"/>
      <c r="E17" s="13"/>
      <c r="F17" s="13"/>
      <c r="G17" s="13"/>
      <c r="H17" s="13"/>
      <c r="I17" s="13">
        <v>187560</v>
      </c>
      <c r="J17" s="13"/>
      <c r="K17" s="13"/>
      <c r="L17" s="13"/>
      <c r="M17" s="13"/>
      <c r="N17" s="13"/>
      <c r="O17" s="13"/>
      <c r="P17" s="13"/>
      <c r="Q17" s="13"/>
      <c r="R17" s="13"/>
      <c r="S17" s="13"/>
      <c r="T17" s="13"/>
      <c r="U17" s="13">
        <v>187560</v>
      </c>
      <c r="V17" s="33">
        <v>7191.6</v>
      </c>
      <c r="W17" s="15">
        <f t="shared" si="0"/>
        <v>1348856.496</v>
      </c>
    </row>
    <row r="18" spans="1:24" x14ac:dyDescent="0.2">
      <c r="A18" s="985"/>
      <c r="B18" s="876" t="s">
        <v>464</v>
      </c>
      <c r="C18" s="12">
        <v>1000</v>
      </c>
      <c r="D18" s="33">
        <v>54772.5</v>
      </c>
      <c r="E18" s="13"/>
      <c r="F18" s="13"/>
      <c r="G18" s="13"/>
      <c r="H18" s="13"/>
      <c r="I18" s="13"/>
      <c r="J18" s="13"/>
      <c r="K18" s="13"/>
      <c r="L18" s="13"/>
      <c r="M18" s="13"/>
      <c r="N18" s="13"/>
      <c r="O18" s="13"/>
      <c r="P18" s="13"/>
      <c r="Q18" s="13"/>
      <c r="R18" s="13"/>
      <c r="S18" s="13"/>
      <c r="T18" s="13"/>
      <c r="U18" s="13">
        <v>54772.5</v>
      </c>
      <c r="V18" s="14">
        <v>7338.4</v>
      </c>
      <c r="W18" s="15">
        <f t="shared" si="0"/>
        <v>401942.51400000002</v>
      </c>
    </row>
    <row r="19" spans="1:24" x14ac:dyDescent="0.2">
      <c r="A19" s="985"/>
      <c r="B19" s="876" t="s">
        <v>465</v>
      </c>
      <c r="C19" s="12">
        <v>1000</v>
      </c>
      <c r="D19" s="33"/>
      <c r="E19" s="13">
        <v>15772.5</v>
      </c>
      <c r="F19" s="13">
        <v>109947.5</v>
      </c>
      <c r="G19" s="13"/>
      <c r="H19" s="13"/>
      <c r="I19" s="13"/>
      <c r="J19" s="13"/>
      <c r="K19" s="13"/>
      <c r="L19" s="13"/>
      <c r="M19" s="13"/>
      <c r="N19" s="13"/>
      <c r="O19" s="13"/>
      <c r="P19" s="13"/>
      <c r="Q19" s="13"/>
      <c r="R19" s="13"/>
      <c r="S19" s="13"/>
      <c r="T19" s="13"/>
      <c r="U19" s="13">
        <v>125720</v>
      </c>
      <c r="V19" s="14">
        <v>7411.8</v>
      </c>
      <c r="W19" s="15">
        <f t="shared" si="0"/>
        <v>931811.49600000004</v>
      </c>
    </row>
    <row r="20" spans="1:24" x14ac:dyDescent="0.2">
      <c r="A20" s="985"/>
      <c r="B20" s="879" t="s">
        <v>466</v>
      </c>
      <c r="C20" s="12">
        <v>1000</v>
      </c>
      <c r="D20" s="33"/>
      <c r="E20" s="13"/>
      <c r="F20" s="13">
        <v>70367.5</v>
      </c>
      <c r="G20" s="13"/>
      <c r="H20" s="13"/>
      <c r="I20" s="13"/>
      <c r="J20" s="13"/>
      <c r="K20" s="13"/>
      <c r="L20" s="13"/>
      <c r="M20" s="13"/>
      <c r="N20" s="13"/>
      <c r="O20" s="13"/>
      <c r="P20" s="13"/>
      <c r="Q20" s="13"/>
      <c r="R20" s="13"/>
      <c r="S20" s="13"/>
      <c r="T20" s="13"/>
      <c r="U20" s="13">
        <v>70367.5</v>
      </c>
      <c r="V20" s="14">
        <v>7558.6</v>
      </c>
      <c r="W20" s="15">
        <f t="shared" si="0"/>
        <v>531879.7855</v>
      </c>
    </row>
    <row r="21" spans="1:24" x14ac:dyDescent="0.2">
      <c r="A21" s="986"/>
      <c r="B21" s="876" t="s">
        <v>467</v>
      </c>
      <c r="C21" s="12">
        <v>1000</v>
      </c>
      <c r="D21" s="33"/>
      <c r="E21" s="13">
        <v>4869.33</v>
      </c>
      <c r="F21" s="13"/>
      <c r="G21" s="13"/>
      <c r="H21" s="13"/>
      <c r="I21" s="13"/>
      <c r="J21" s="13"/>
      <c r="K21" s="13"/>
      <c r="L21" s="13"/>
      <c r="M21" s="13"/>
      <c r="N21" s="13"/>
      <c r="O21" s="13"/>
      <c r="P21" s="13"/>
      <c r="Q21" s="13"/>
      <c r="R21" s="13"/>
      <c r="S21" s="13"/>
      <c r="T21" s="13"/>
      <c r="U21" s="13">
        <v>4869.33</v>
      </c>
      <c r="V21" s="14">
        <v>7934.1</v>
      </c>
      <c r="W21" s="15">
        <f t="shared" si="0"/>
        <v>38633.751153000005</v>
      </c>
    </row>
    <row r="22" spans="1:24" x14ac:dyDescent="0.2">
      <c r="A22" s="984">
        <v>4</v>
      </c>
      <c r="B22" s="879" t="s">
        <v>157</v>
      </c>
      <c r="C22" s="12">
        <v>1000</v>
      </c>
      <c r="D22" s="33"/>
      <c r="E22" s="13"/>
      <c r="F22" s="13"/>
      <c r="G22" s="13"/>
      <c r="H22" s="13"/>
      <c r="I22" s="13"/>
      <c r="J22" s="13"/>
      <c r="K22" s="13"/>
      <c r="L22" s="13"/>
      <c r="M22" s="13"/>
      <c r="N22" s="13"/>
      <c r="O22" s="13"/>
      <c r="P22" s="13"/>
      <c r="Q22" s="13"/>
      <c r="R22" s="13"/>
      <c r="S22" s="13"/>
      <c r="T22" s="13"/>
      <c r="U22" s="13">
        <v>0</v>
      </c>
      <c r="V22" s="13">
        <v>0</v>
      </c>
      <c r="W22" s="13">
        <v>0</v>
      </c>
    </row>
    <row r="23" spans="1:24" x14ac:dyDescent="0.2">
      <c r="A23" s="985"/>
      <c r="B23" s="876" t="s">
        <v>468</v>
      </c>
      <c r="C23" s="12">
        <v>1000</v>
      </c>
      <c r="D23" s="33"/>
      <c r="E23" s="13"/>
      <c r="F23" s="13"/>
      <c r="G23" s="13"/>
      <c r="H23" s="13"/>
      <c r="I23" s="13"/>
      <c r="J23" s="13"/>
      <c r="K23" s="13"/>
      <c r="L23" s="13"/>
      <c r="M23" s="13"/>
      <c r="N23" s="13"/>
      <c r="O23" s="13"/>
      <c r="P23" s="13"/>
      <c r="Q23" s="13"/>
      <c r="R23" s="13">
        <v>140702.28500000003</v>
      </c>
      <c r="S23" s="13"/>
      <c r="T23" s="13"/>
      <c r="U23" s="13">
        <v>140702.28500000003</v>
      </c>
      <c r="V23" s="13">
        <v>10936.05</v>
      </c>
      <c r="W23" s="15">
        <f t="shared" si="0"/>
        <v>1538727.2238742502</v>
      </c>
    </row>
    <row r="24" spans="1:24" x14ac:dyDescent="0.2">
      <c r="A24" s="985"/>
      <c r="B24" s="879" t="s">
        <v>469</v>
      </c>
      <c r="C24" s="12">
        <v>1000</v>
      </c>
      <c r="D24" s="33"/>
      <c r="E24" s="13"/>
      <c r="F24" s="13">
        <v>60633</v>
      </c>
      <c r="G24" s="13"/>
      <c r="H24" s="13"/>
      <c r="I24" s="13"/>
      <c r="J24" s="13"/>
      <c r="K24" s="13"/>
      <c r="L24" s="13"/>
      <c r="M24" s="13"/>
      <c r="N24" s="13"/>
      <c r="O24" s="13"/>
      <c r="P24" s="13">
        <v>1780642.5</v>
      </c>
      <c r="Q24" s="13">
        <v>45770</v>
      </c>
      <c r="R24" s="13"/>
      <c r="S24" s="13"/>
      <c r="T24" s="13"/>
      <c r="U24" s="13">
        <v>1887045.5</v>
      </c>
      <c r="V24" s="14">
        <v>11606.8</v>
      </c>
      <c r="W24" s="15">
        <f t="shared" si="0"/>
        <v>21902559.709399998</v>
      </c>
    </row>
    <row r="25" spans="1:24" x14ac:dyDescent="0.2">
      <c r="A25" s="985"/>
      <c r="B25" s="876" t="s">
        <v>455</v>
      </c>
      <c r="C25" s="12">
        <v>1000</v>
      </c>
      <c r="D25" s="33"/>
      <c r="E25" s="13"/>
      <c r="F25" s="13"/>
      <c r="G25" s="13"/>
      <c r="H25" s="13"/>
      <c r="I25" s="13"/>
      <c r="J25" s="13"/>
      <c r="K25" s="13"/>
      <c r="L25" s="13"/>
      <c r="M25" s="13"/>
      <c r="N25" s="13">
        <v>97969.465000000011</v>
      </c>
      <c r="O25" s="13"/>
      <c r="P25" s="13"/>
      <c r="Q25" s="13"/>
      <c r="R25" s="13"/>
      <c r="S25" s="13"/>
      <c r="T25" s="13"/>
      <c r="U25" s="13">
        <v>97969.465000000011</v>
      </c>
      <c r="V25" s="13">
        <v>12948.3</v>
      </c>
      <c r="W25" s="15">
        <f t="shared" si="0"/>
        <v>1268538.0236595001</v>
      </c>
    </row>
    <row r="26" spans="1:24" x14ac:dyDescent="0.2">
      <c r="A26" s="986"/>
      <c r="B26" s="876" t="s">
        <v>470</v>
      </c>
      <c r="C26" s="12">
        <v>1000</v>
      </c>
      <c r="D26" s="20"/>
      <c r="E26" s="13"/>
      <c r="F26" s="13"/>
      <c r="G26" s="13"/>
      <c r="H26" s="13"/>
      <c r="I26" s="13"/>
      <c r="J26" s="13"/>
      <c r="K26" s="13"/>
      <c r="L26" s="13"/>
      <c r="M26" s="13">
        <v>159193.80000000005</v>
      </c>
      <c r="N26" s="13"/>
      <c r="O26" s="13"/>
      <c r="P26" s="13"/>
      <c r="Q26" s="13"/>
      <c r="R26" s="13"/>
      <c r="S26" s="13"/>
      <c r="T26" s="13"/>
      <c r="U26" s="13">
        <v>159193.80000000005</v>
      </c>
      <c r="V26" s="13">
        <v>18092.2</v>
      </c>
      <c r="W26" s="15">
        <f t="shared" si="0"/>
        <v>2880166.0683600013</v>
      </c>
    </row>
    <row r="27" spans="1:24" x14ac:dyDescent="0.2">
      <c r="A27" s="116">
        <v>5</v>
      </c>
      <c r="B27" s="881" t="s">
        <v>418</v>
      </c>
      <c r="C27" s="12">
        <v>1000</v>
      </c>
      <c r="D27" s="20"/>
      <c r="E27" s="13"/>
      <c r="F27" s="13"/>
      <c r="G27" s="13"/>
      <c r="H27" s="13"/>
      <c r="I27" s="13"/>
      <c r="J27" s="13"/>
      <c r="K27" s="13"/>
      <c r="L27" s="13"/>
      <c r="M27" s="13"/>
      <c r="N27" s="13"/>
      <c r="O27" s="13"/>
      <c r="P27" s="13"/>
      <c r="Q27" s="13"/>
      <c r="R27" s="13">
        <v>910707.77524999995</v>
      </c>
      <c r="S27" s="13"/>
      <c r="T27" s="13"/>
      <c r="U27" s="13">
        <v>1340460.5752499998</v>
      </c>
      <c r="V27" s="13">
        <v>5266.8</v>
      </c>
      <c r="W27" s="15">
        <f t="shared" si="0"/>
        <v>7059937.7577266991</v>
      </c>
      <c r="X27" s="882"/>
    </row>
    <row r="28" spans="1:24" ht="30" x14ac:dyDescent="0.2">
      <c r="A28" s="116">
        <v>6</v>
      </c>
      <c r="B28" s="876" t="s">
        <v>189</v>
      </c>
      <c r="C28" s="37">
        <v>1</v>
      </c>
      <c r="D28" s="25"/>
      <c r="E28" s="13"/>
      <c r="F28" s="13"/>
      <c r="G28" s="13"/>
      <c r="H28" s="13"/>
      <c r="I28" s="13"/>
      <c r="J28" s="13">
        <v>390</v>
      </c>
      <c r="K28" s="13">
        <v>130</v>
      </c>
      <c r="L28" s="13">
        <v>104</v>
      </c>
      <c r="M28" s="13">
        <v>130</v>
      </c>
      <c r="N28" s="13">
        <v>30</v>
      </c>
      <c r="O28" s="13">
        <v>260</v>
      </c>
      <c r="P28" s="13">
        <v>170</v>
      </c>
      <c r="Q28" s="13">
        <v>40</v>
      </c>
      <c r="R28" s="13"/>
      <c r="S28" s="13"/>
      <c r="T28" s="13"/>
      <c r="U28" s="13">
        <v>1254</v>
      </c>
      <c r="V28" s="39">
        <v>1326.2</v>
      </c>
      <c r="W28" s="15">
        <f t="shared" si="0"/>
        <v>1663054.8</v>
      </c>
    </row>
    <row r="29" spans="1:24" ht="45" x14ac:dyDescent="0.2">
      <c r="A29" s="116">
        <v>7</v>
      </c>
      <c r="B29" s="876" t="s">
        <v>17</v>
      </c>
      <c r="C29" s="18">
        <v>1</v>
      </c>
      <c r="D29" s="33">
        <v>410</v>
      </c>
      <c r="E29" s="13">
        <v>255</v>
      </c>
      <c r="F29" s="13">
        <v>215</v>
      </c>
      <c r="G29" s="13">
        <v>95</v>
      </c>
      <c r="H29" s="13">
        <v>720</v>
      </c>
      <c r="I29" s="13">
        <v>45</v>
      </c>
      <c r="J29" s="13"/>
      <c r="K29" s="13"/>
      <c r="L29" s="13"/>
      <c r="M29" s="13"/>
      <c r="N29" s="13"/>
      <c r="O29" s="13"/>
      <c r="P29" s="13"/>
      <c r="Q29" s="13"/>
      <c r="R29" s="13"/>
      <c r="S29" s="13"/>
      <c r="T29" s="13"/>
      <c r="U29" s="13">
        <v>1740</v>
      </c>
      <c r="V29" s="14">
        <v>1935.4</v>
      </c>
      <c r="W29" s="15">
        <f t="shared" si="0"/>
        <v>3367596</v>
      </c>
    </row>
    <row r="30" spans="1:24" x14ac:dyDescent="0.2">
      <c r="A30" s="116">
        <v>8</v>
      </c>
      <c r="B30" s="883" t="s">
        <v>18</v>
      </c>
      <c r="C30" s="19">
        <v>1000</v>
      </c>
      <c r="D30" s="33">
        <v>315680</v>
      </c>
      <c r="E30" s="13">
        <v>180070</v>
      </c>
      <c r="F30" s="13">
        <v>177000</v>
      </c>
      <c r="G30" s="13">
        <v>460000</v>
      </c>
      <c r="H30" s="13">
        <v>2800000</v>
      </c>
      <c r="I30" s="13">
        <v>1680000</v>
      </c>
      <c r="J30" s="13"/>
      <c r="K30" s="13"/>
      <c r="L30" s="13"/>
      <c r="M30" s="13"/>
      <c r="N30" s="13"/>
      <c r="O30" s="13">
        <v>1272300</v>
      </c>
      <c r="P30" s="13"/>
      <c r="Q30" s="13"/>
      <c r="R30" s="13"/>
      <c r="S30" s="13"/>
      <c r="T30" s="13"/>
      <c r="U30" s="13">
        <v>6885050</v>
      </c>
      <c r="V30" s="14">
        <v>376.2</v>
      </c>
      <c r="W30" s="15">
        <f t="shared" si="0"/>
        <v>2590155.81</v>
      </c>
    </row>
    <row r="31" spans="1:24" ht="30" x14ac:dyDescent="0.2">
      <c r="A31" s="116">
        <v>9</v>
      </c>
      <c r="B31" s="876" t="s">
        <v>327</v>
      </c>
      <c r="C31" s="37">
        <v>1</v>
      </c>
      <c r="D31" s="33"/>
      <c r="E31" s="13"/>
      <c r="F31" s="13"/>
      <c r="G31" s="13"/>
      <c r="H31" s="13"/>
      <c r="I31" s="13"/>
      <c r="J31" s="13"/>
      <c r="K31" s="13"/>
      <c r="L31" s="13"/>
      <c r="M31" s="13"/>
      <c r="N31" s="13"/>
      <c r="O31" s="13">
        <v>5</v>
      </c>
      <c r="P31" s="13"/>
      <c r="Q31" s="13"/>
      <c r="R31" s="13"/>
      <c r="S31" s="13"/>
      <c r="T31" s="13"/>
      <c r="U31" s="13">
        <v>5</v>
      </c>
      <c r="V31" s="13">
        <v>14630</v>
      </c>
      <c r="W31" s="15">
        <f t="shared" si="0"/>
        <v>73150</v>
      </c>
    </row>
    <row r="32" spans="1:24" ht="45" x14ac:dyDescent="0.2">
      <c r="A32" s="117">
        <v>10</v>
      </c>
      <c r="B32" s="884" t="s">
        <v>19</v>
      </c>
      <c r="C32" s="12">
        <v>1000</v>
      </c>
      <c r="D32" s="21">
        <v>98</v>
      </c>
      <c r="E32" s="21">
        <v>98</v>
      </c>
      <c r="F32" s="21">
        <v>98</v>
      </c>
      <c r="G32" s="21">
        <v>98</v>
      </c>
      <c r="H32" s="21">
        <v>98</v>
      </c>
      <c r="I32" s="21">
        <v>98</v>
      </c>
      <c r="J32" s="21">
        <v>98</v>
      </c>
      <c r="K32" s="21">
        <v>98</v>
      </c>
      <c r="L32" s="21">
        <v>98</v>
      </c>
      <c r="M32" s="21">
        <v>98</v>
      </c>
      <c r="N32" s="21">
        <v>98</v>
      </c>
      <c r="O32" s="21">
        <v>98</v>
      </c>
      <c r="P32" s="21">
        <v>98</v>
      </c>
      <c r="Q32" s="21">
        <v>49</v>
      </c>
      <c r="R32" s="21">
        <v>294</v>
      </c>
      <c r="S32" s="21"/>
      <c r="T32" s="21"/>
      <c r="U32" s="13">
        <v>1617</v>
      </c>
      <c r="V32" s="21">
        <v>15824.15</v>
      </c>
      <c r="W32" s="15">
        <f t="shared" si="0"/>
        <v>25587.650550000002</v>
      </c>
    </row>
    <row r="33" spans="1:26" s="152" customFormat="1" ht="30" x14ac:dyDescent="0.2">
      <c r="A33" s="987">
        <v>11</v>
      </c>
      <c r="B33" s="884" t="s">
        <v>20</v>
      </c>
      <c r="C33" s="12">
        <v>100</v>
      </c>
      <c r="D33" s="25"/>
      <c r="E33" s="14"/>
      <c r="F33" s="14"/>
      <c r="G33" s="14"/>
      <c r="H33" s="14"/>
      <c r="I33" s="14"/>
      <c r="J33" s="14"/>
      <c r="K33" s="14"/>
      <c r="L33" s="14"/>
      <c r="M33" s="14"/>
      <c r="N33" s="14"/>
      <c r="O33" s="14"/>
      <c r="P33" s="14"/>
      <c r="Q33" s="14"/>
      <c r="R33" s="14"/>
      <c r="S33" s="14"/>
      <c r="T33" s="14"/>
      <c r="U33" s="13">
        <v>0</v>
      </c>
      <c r="V33" s="13">
        <v>0</v>
      </c>
      <c r="W33" s="13">
        <v>0</v>
      </c>
      <c r="X33" s="877" t="e">
        <f>#REF!*37</f>
        <v>#REF!</v>
      </c>
    </row>
    <row r="34" spans="1:26" s="152" customFormat="1" x14ac:dyDescent="0.2">
      <c r="A34" s="988"/>
      <c r="B34" s="884" t="s">
        <v>21</v>
      </c>
      <c r="C34" s="12">
        <v>100</v>
      </c>
      <c r="D34" s="21">
        <v>24.5</v>
      </c>
      <c r="E34" s="21">
        <v>24.5</v>
      </c>
      <c r="F34" s="21">
        <v>24.5</v>
      </c>
      <c r="G34" s="21">
        <v>24.5</v>
      </c>
      <c r="H34" s="21">
        <v>24.5</v>
      </c>
      <c r="I34" s="21">
        <v>24.5</v>
      </c>
      <c r="J34" s="21">
        <v>24.5</v>
      </c>
      <c r="K34" s="21">
        <v>24.5</v>
      </c>
      <c r="L34" s="21">
        <v>24.5</v>
      </c>
      <c r="M34" s="21">
        <v>24.5</v>
      </c>
      <c r="N34" s="21">
        <v>24.5</v>
      </c>
      <c r="O34" s="21">
        <v>24.5</v>
      </c>
      <c r="P34" s="21">
        <v>24.5</v>
      </c>
      <c r="Q34" s="21">
        <v>12.25</v>
      </c>
      <c r="R34" s="21">
        <v>73.5</v>
      </c>
      <c r="S34" s="21"/>
      <c r="T34" s="21"/>
      <c r="U34" s="13">
        <v>41070.554165017595</v>
      </c>
      <c r="V34" s="21">
        <v>34694.300000000003</v>
      </c>
      <c r="W34" s="15">
        <f t="shared" si="0"/>
        <v>14249141.273673702</v>
      </c>
      <c r="X34" s="877"/>
      <c r="Y34" s="885">
        <f>SUM(U34:U34)</f>
        <v>41070.554165017595</v>
      </c>
      <c r="Z34" s="886">
        <v>23362466.852632541</v>
      </c>
    </row>
    <row r="35" spans="1:26" x14ac:dyDescent="0.2">
      <c r="A35" s="989"/>
      <c r="B35" s="884" t="s">
        <v>107</v>
      </c>
      <c r="C35" s="12">
        <v>100</v>
      </c>
      <c r="D35" s="25">
        <v>157.9</v>
      </c>
      <c r="E35" s="14">
        <v>136.80000000000001</v>
      </c>
      <c r="F35" s="14"/>
      <c r="G35" s="14">
        <v>966.72</v>
      </c>
      <c r="H35" s="14">
        <v>2414.0700000000002</v>
      </c>
      <c r="I35" s="14">
        <v>976.25</v>
      </c>
      <c r="J35" s="14"/>
      <c r="K35" s="14"/>
      <c r="L35" s="14"/>
      <c r="M35" s="14"/>
      <c r="N35" s="14"/>
      <c r="O35" s="14"/>
      <c r="P35" s="14">
        <f>100.31+100.31</f>
        <v>200.62</v>
      </c>
      <c r="Q35" s="14"/>
      <c r="R35" s="14"/>
      <c r="S35" s="14"/>
      <c r="T35" s="13"/>
      <c r="U35" s="13">
        <v>12898.728125000001</v>
      </c>
      <c r="V35" s="14">
        <v>47135.9</v>
      </c>
      <c r="W35" s="15">
        <f>V35*U35/C35</f>
        <v>6079931.5902718762</v>
      </c>
      <c r="Y35" s="882">
        <f>SUM(U35:U35)</f>
        <v>12898.728125000001</v>
      </c>
    </row>
    <row r="36" spans="1:26" s="152" customFormat="1" x14ac:dyDescent="0.2">
      <c r="A36" s="44">
        <v>12</v>
      </c>
      <c r="B36" s="884" t="s">
        <v>22</v>
      </c>
      <c r="C36" s="12">
        <v>100</v>
      </c>
      <c r="D36" s="21">
        <v>97.5</v>
      </c>
      <c r="E36" s="21">
        <v>97.5</v>
      </c>
      <c r="F36" s="21">
        <v>97.5</v>
      </c>
      <c r="G36" s="21">
        <v>97.5</v>
      </c>
      <c r="H36" s="21">
        <v>97.5</v>
      </c>
      <c r="I36" s="21">
        <v>97.5</v>
      </c>
      <c r="J36" s="21">
        <v>97.5</v>
      </c>
      <c r="K36" s="21">
        <v>97.5</v>
      </c>
      <c r="L36" s="21">
        <v>97.5</v>
      </c>
      <c r="M36" s="21">
        <v>97.5</v>
      </c>
      <c r="N36" s="21">
        <v>97.5</v>
      </c>
      <c r="O36" s="21">
        <v>97.5</v>
      </c>
      <c r="P36" s="21">
        <v>97.5</v>
      </c>
      <c r="Q36" s="21">
        <v>48.75</v>
      </c>
      <c r="R36" s="21">
        <v>292.5</v>
      </c>
      <c r="S36" s="21"/>
      <c r="T36" s="21"/>
      <c r="U36" s="13">
        <v>58371.555499999995</v>
      </c>
      <c r="V36" s="21">
        <v>32675.95</v>
      </c>
      <c r="W36" s="15">
        <f t="shared" si="0"/>
        <v>19073460.28940225</v>
      </c>
      <c r="X36" s="877" t="e">
        <f>#REF!*37</f>
        <v>#REF!</v>
      </c>
      <c r="Y36" s="885"/>
    </row>
    <row r="37" spans="1:26" s="152" customFormat="1" ht="30" x14ac:dyDescent="0.2">
      <c r="A37" s="44">
        <v>13</v>
      </c>
      <c r="B37" s="884" t="s">
        <v>23</v>
      </c>
      <c r="C37" s="19">
        <v>100</v>
      </c>
      <c r="D37" s="21">
        <v>39</v>
      </c>
      <c r="E37" s="21">
        <v>39</v>
      </c>
      <c r="F37" s="21">
        <v>39</v>
      </c>
      <c r="G37" s="21">
        <v>39</v>
      </c>
      <c r="H37" s="21">
        <v>39</v>
      </c>
      <c r="I37" s="21">
        <v>39</v>
      </c>
      <c r="J37" s="21">
        <v>39</v>
      </c>
      <c r="K37" s="21">
        <v>39</v>
      </c>
      <c r="L37" s="21">
        <v>39</v>
      </c>
      <c r="M37" s="21">
        <v>39</v>
      </c>
      <c r="N37" s="21">
        <v>39</v>
      </c>
      <c r="O37" s="21">
        <v>39</v>
      </c>
      <c r="P37" s="21">
        <v>39</v>
      </c>
      <c r="Q37" s="21">
        <v>19.5</v>
      </c>
      <c r="R37" s="21">
        <v>117</v>
      </c>
      <c r="S37" s="21"/>
      <c r="T37" s="21"/>
      <c r="U37" s="13">
        <v>643.5</v>
      </c>
      <c r="V37" s="14">
        <v>11851.2</v>
      </c>
      <c r="W37" s="15">
        <f t="shared" si="0"/>
        <v>76262.472000000009</v>
      </c>
    </row>
    <row r="38" spans="1:26" s="887" customFormat="1" ht="45" x14ac:dyDescent="0.2">
      <c r="A38" s="44">
        <v>14</v>
      </c>
      <c r="B38" s="884" t="s">
        <v>92</v>
      </c>
      <c r="C38" s="19">
        <v>100</v>
      </c>
      <c r="D38" s="25">
        <v>258</v>
      </c>
      <c r="E38" s="14">
        <v>129</v>
      </c>
      <c r="F38" s="14"/>
      <c r="G38" s="14">
        <v>451.5</v>
      </c>
      <c r="H38" s="14">
        <v>322.5</v>
      </c>
      <c r="I38" s="14"/>
      <c r="J38" s="14">
        <v>774</v>
      </c>
      <c r="K38" s="14">
        <v>64.5</v>
      </c>
      <c r="L38" s="14"/>
      <c r="M38" s="14"/>
      <c r="N38" s="14">
        <v>64.5</v>
      </c>
      <c r="O38" s="14"/>
      <c r="P38" s="14">
        <v>322.5</v>
      </c>
      <c r="Q38" s="14"/>
      <c r="R38" s="14"/>
      <c r="S38" s="14"/>
      <c r="T38" s="14"/>
      <c r="U38" s="13">
        <v>11220.609375</v>
      </c>
      <c r="V38" s="14">
        <v>11460.2</v>
      </c>
      <c r="W38" s="15">
        <f>V38*U38/C38</f>
        <v>1285904.2755937499</v>
      </c>
      <c r="X38" s="877">
        <f>K38*37</f>
        <v>2386.5</v>
      </c>
      <c r="Y38" s="877"/>
    </row>
    <row r="39" spans="1:26" s="891" customFormat="1" ht="30" x14ac:dyDescent="0.2">
      <c r="A39" s="124">
        <v>15</v>
      </c>
      <c r="B39" s="888" t="s">
        <v>272</v>
      </c>
      <c r="C39" s="889">
        <v>100</v>
      </c>
      <c r="D39" s="90">
        <v>427.5</v>
      </c>
      <c r="E39" s="889"/>
      <c r="F39" s="889"/>
      <c r="G39" s="889"/>
      <c r="H39" s="889"/>
      <c r="I39" s="889"/>
      <c r="J39" s="889"/>
      <c r="K39" s="889"/>
      <c r="L39" s="889"/>
      <c r="M39" s="889"/>
      <c r="N39" s="889"/>
      <c r="O39" s="889"/>
      <c r="P39" s="890"/>
      <c r="Q39" s="889"/>
      <c r="R39" s="889"/>
      <c r="S39" s="889"/>
      <c r="T39" s="889"/>
      <c r="U39" s="13">
        <v>427.5</v>
      </c>
      <c r="V39" s="14">
        <v>11851.6</v>
      </c>
      <c r="W39" s="15">
        <f>V39*U39/C39</f>
        <v>50665.59</v>
      </c>
    </row>
    <row r="40" spans="1:26" x14ac:dyDescent="0.2">
      <c r="A40" s="117">
        <v>16</v>
      </c>
      <c r="B40" s="884" t="s">
        <v>24</v>
      </c>
      <c r="C40" s="12">
        <v>100</v>
      </c>
      <c r="D40" s="21">
        <v>81.703125</v>
      </c>
      <c r="E40" s="21">
        <v>81.703125</v>
      </c>
      <c r="F40" s="21">
        <v>81.703125</v>
      </c>
      <c r="G40" s="21">
        <v>81.703125</v>
      </c>
      <c r="H40" s="21">
        <v>81.703125</v>
      </c>
      <c r="I40" s="21">
        <v>81.703125</v>
      </c>
      <c r="J40" s="21">
        <v>81.703125</v>
      </c>
      <c r="K40" s="21">
        <v>81.703125</v>
      </c>
      <c r="L40" s="21">
        <v>81.703125</v>
      </c>
      <c r="M40" s="21">
        <v>81.703125</v>
      </c>
      <c r="N40" s="21">
        <v>81.703125</v>
      </c>
      <c r="O40" s="21">
        <v>81.703125</v>
      </c>
      <c r="P40" s="21">
        <v>81.703125</v>
      </c>
      <c r="Q40" s="21">
        <v>40.8515625</v>
      </c>
      <c r="R40" s="21">
        <v>245.109375</v>
      </c>
      <c r="S40" s="21"/>
      <c r="T40" s="21"/>
      <c r="U40" s="13">
        <v>1348.1015625</v>
      </c>
      <c r="V40" s="21">
        <v>37620.6</v>
      </c>
      <c r="W40" s="15">
        <f t="shared" si="0"/>
        <v>507163.89642187499</v>
      </c>
    </row>
    <row r="41" spans="1:26" x14ac:dyDescent="0.2">
      <c r="A41" s="117">
        <v>17</v>
      </c>
      <c r="B41" s="884" t="s">
        <v>25</v>
      </c>
      <c r="C41" s="19">
        <v>100</v>
      </c>
      <c r="D41" s="21">
        <v>230.64999999999998</v>
      </c>
      <c r="E41" s="21">
        <v>230.64999999999998</v>
      </c>
      <c r="F41" s="21">
        <v>230.64999999999998</v>
      </c>
      <c r="G41" s="21">
        <v>230.64999999999998</v>
      </c>
      <c r="H41" s="21">
        <v>230.64999999999998</v>
      </c>
      <c r="I41" s="21">
        <v>230.64999999999998</v>
      </c>
      <c r="J41" s="21">
        <v>230.64999999999998</v>
      </c>
      <c r="K41" s="21">
        <v>230.64999999999998</v>
      </c>
      <c r="L41" s="21">
        <v>230.64999999999998</v>
      </c>
      <c r="M41" s="21">
        <v>230.64999999999998</v>
      </c>
      <c r="N41" s="21">
        <v>230.64999999999998</v>
      </c>
      <c r="O41" s="21">
        <v>230.64999999999998</v>
      </c>
      <c r="P41" s="21">
        <v>230.64999999999998</v>
      </c>
      <c r="Q41" s="21">
        <v>115.32499999999999</v>
      </c>
      <c r="R41" s="21">
        <v>691.94999999999993</v>
      </c>
      <c r="S41" s="21"/>
      <c r="T41" s="21"/>
      <c r="U41" s="13">
        <v>3805.7250000000004</v>
      </c>
      <c r="V41" s="21">
        <v>4334.75</v>
      </c>
      <c r="W41" s="15">
        <f t="shared" si="0"/>
        <v>164968.6644375</v>
      </c>
    </row>
    <row r="42" spans="1:26" ht="30" x14ac:dyDescent="0.2">
      <c r="A42" s="117">
        <v>18</v>
      </c>
      <c r="B42" s="884" t="s">
        <v>115</v>
      </c>
      <c r="C42" s="19">
        <v>100</v>
      </c>
      <c r="D42" s="21">
        <v>230.64999999999998</v>
      </c>
      <c r="E42" s="21">
        <v>230.64999999999998</v>
      </c>
      <c r="F42" s="21">
        <v>230.64999999999998</v>
      </c>
      <c r="G42" s="21">
        <v>230.64999999999998</v>
      </c>
      <c r="H42" s="21">
        <v>230.64999999999998</v>
      </c>
      <c r="I42" s="21">
        <v>230.64999999999998</v>
      </c>
      <c r="J42" s="21">
        <v>230.64999999999998</v>
      </c>
      <c r="K42" s="21">
        <v>230.64999999999998</v>
      </c>
      <c r="L42" s="21">
        <v>230.64999999999998</v>
      </c>
      <c r="M42" s="21">
        <v>230.64999999999998</v>
      </c>
      <c r="N42" s="21">
        <v>230.64999999999998</v>
      </c>
      <c r="O42" s="21">
        <v>230.64999999999998</v>
      </c>
      <c r="P42" s="21">
        <v>230.64999999999998</v>
      </c>
      <c r="Q42" s="21">
        <v>115.32499999999999</v>
      </c>
      <c r="R42" s="21">
        <v>691.94999999999993</v>
      </c>
      <c r="S42" s="21"/>
      <c r="T42" s="21"/>
      <c r="U42" s="13">
        <v>61675.404300000002</v>
      </c>
      <c r="V42" s="21">
        <v>7379.1</v>
      </c>
      <c r="W42" s="15">
        <f t="shared" si="0"/>
        <v>4551089.7587013002</v>
      </c>
      <c r="X42" s="877" t="e">
        <f>#REF!*37</f>
        <v>#REF!</v>
      </c>
      <c r="Y42" s="882"/>
    </row>
    <row r="43" spans="1:26" x14ac:dyDescent="0.2">
      <c r="A43" s="117">
        <v>19</v>
      </c>
      <c r="B43" s="884" t="s">
        <v>27</v>
      </c>
      <c r="C43" s="24">
        <v>1</v>
      </c>
      <c r="D43" s="21">
        <v>500</v>
      </c>
      <c r="E43" s="21">
        <v>500</v>
      </c>
      <c r="F43" s="21">
        <v>500</v>
      </c>
      <c r="G43" s="21">
        <v>500</v>
      </c>
      <c r="H43" s="21">
        <v>500</v>
      </c>
      <c r="I43" s="21">
        <v>500</v>
      </c>
      <c r="J43" s="21">
        <v>500</v>
      </c>
      <c r="K43" s="21">
        <v>500</v>
      </c>
      <c r="L43" s="21">
        <v>500</v>
      </c>
      <c r="M43" s="21">
        <v>500</v>
      </c>
      <c r="N43" s="21">
        <v>500</v>
      </c>
      <c r="O43" s="21">
        <v>500</v>
      </c>
      <c r="P43" s="21">
        <v>500</v>
      </c>
      <c r="Q43" s="21">
        <v>250</v>
      </c>
      <c r="R43" s="21">
        <v>1500</v>
      </c>
      <c r="S43" s="21"/>
      <c r="T43" s="21"/>
      <c r="U43" s="13">
        <v>8250</v>
      </c>
      <c r="V43" s="21">
        <v>30.5</v>
      </c>
      <c r="W43" s="15">
        <f t="shared" si="0"/>
        <v>251625</v>
      </c>
    </row>
    <row r="44" spans="1:26" s="152" customFormat="1" ht="45.75" x14ac:dyDescent="0.2">
      <c r="A44" s="987">
        <v>20</v>
      </c>
      <c r="B44" s="892" t="s">
        <v>36</v>
      </c>
      <c r="C44" s="23"/>
      <c r="D44" s="23"/>
      <c r="E44" s="23"/>
      <c r="F44" s="23"/>
      <c r="G44" s="23"/>
      <c r="H44" s="23"/>
      <c r="I44" s="23"/>
      <c r="J44" s="23"/>
      <c r="K44" s="23"/>
      <c r="L44" s="23"/>
      <c r="M44" s="23"/>
      <c r="N44" s="23"/>
      <c r="O44" s="23"/>
      <c r="P44" s="23"/>
      <c r="Q44" s="23"/>
      <c r="R44" s="23"/>
      <c r="S44" s="23"/>
      <c r="T44" s="23"/>
      <c r="U44" s="13">
        <v>0</v>
      </c>
      <c r="V44" s="23"/>
      <c r="W44" s="23"/>
    </row>
    <row r="45" spans="1:26" x14ac:dyDescent="0.2">
      <c r="A45" s="988"/>
      <c r="B45" s="884" t="s">
        <v>29</v>
      </c>
      <c r="C45" s="12">
        <v>100</v>
      </c>
      <c r="D45" s="21">
        <v>4.29</v>
      </c>
      <c r="E45" s="21">
        <v>4.29</v>
      </c>
      <c r="F45" s="21">
        <v>4.29</v>
      </c>
      <c r="G45" s="21">
        <v>4.29</v>
      </c>
      <c r="H45" s="21">
        <v>4.29</v>
      </c>
      <c r="I45" s="21">
        <v>4.29</v>
      </c>
      <c r="J45" s="21">
        <v>4.29</v>
      </c>
      <c r="K45" s="21">
        <v>4.29</v>
      </c>
      <c r="L45" s="21">
        <v>4.29</v>
      </c>
      <c r="M45" s="21">
        <v>4.29</v>
      </c>
      <c r="N45" s="21">
        <v>4.29</v>
      </c>
      <c r="O45" s="21">
        <v>4.29</v>
      </c>
      <c r="P45" s="21">
        <v>4.29</v>
      </c>
      <c r="Q45" s="21">
        <v>2.145</v>
      </c>
      <c r="R45" s="21">
        <v>12.870000000000001</v>
      </c>
      <c r="S45" s="21"/>
      <c r="T45" s="21"/>
      <c r="U45" s="13">
        <v>70.784999999999997</v>
      </c>
      <c r="V45" s="21">
        <v>14042.6</v>
      </c>
      <c r="W45" s="15">
        <f t="shared" ref="W45:W53" si="1">V45*U45/C45</f>
        <v>9940.0544100000006</v>
      </c>
    </row>
    <row r="46" spans="1:26" x14ac:dyDescent="0.2">
      <c r="A46" s="988"/>
      <c r="B46" s="884" t="s">
        <v>38</v>
      </c>
      <c r="C46" s="12">
        <v>100</v>
      </c>
      <c r="D46" s="25">
        <v>161.4272</v>
      </c>
      <c r="E46" s="14">
        <v>80.7136</v>
      </c>
      <c r="F46" s="14"/>
      <c r="G46" s="14">
        <v>282.49759999999998</v>
      </c>
      <c r="H46" s="14">
        <v>201.78399999999999</v>
      </c>
      <c r="I46" s="14"/>
      <c r="J46" s="14">
        <v>484.28160000000003</v>
      </c>
      <c r="K46" s="14">
        <v>40.3568</v>
      </c>
      <c r="L46" s="14"/>
      <c r="M46" s="14"/>
      <c r="N46" s="14">
        <v>40.3568</v>
      </c>
      <c r="O46" s="14"/>
      <c r="P46" s="14">
        <v>201.78399999999999</v>
      </c>
      <c r="Q46" s="14"/>
      <c r="R46" s="14"/>
      <c r="S46" s="14"/>
      <c r="T46" s="14"/>
      <c r="U46" s="13">
        <v>5036.5815499999999</v>
      </c>
      <c r="V46" s="13">
        <v>14042.6</v>
      </c>
      <c r="W46" s="15">
        <f t="shared" si="1"/>
        <v>707267.00074029993</v>
      </c>
      <c r="X46" s="877">
        <f>K46*37</f>
        <v>1493.2016000000001</v>
      </c>
      <c r="Y46" s="877">
        <f>U46-X46</f>
        <v>3543.3799499999996</v>
      </c>
      <c r="Z46" s="882"/>
    </row>
    <row r="47" spans="1:26" x14ac:dyDescent="0.2">
      <c r="A47" s="988"/>
      <c r="B47" s="884" t="s">
        <v>61</v>
      </c>
      <c r="C47" s="12">
        <v>100</v>
      </c>
      <c r="D47" s="25">
        <v>405.551786207232</v>
      </c>
      <c r="E47" s="14">
        <v>202.775893103616</v>
      </c>
      <c r="F47" s="14"/>
      <c r="G47" s="14">
        <v>709.715625862656</v>
      </c>
      <c r="H47" s="14">
        <v>506.93973275904</v>
      </c>
      <c r="I47" s="14"/>
      <c r="J47" s="14">
        <v>1216.655358621696</v>
      </c>
      <c r="K47" s="14">
        <v>101.387946551808</v>
      </c>
      <c r="L47" s="14"/>
      <c r="M47" s="14"/>
      <c r="N47" s="14">
        <v>101.387946551808</v>
      </c>
      <c r="O47" s="14"/>
      <c r="P47" s="14">
        <v>506.93973275904</v>
      </c>
      <c r="Q47" s="14"/>
      <c r="R47" s="14"/>
      <c r="S47" s="14"/>
      <c r="T47" s="14"/>
      <c r="U47" s="13">
        <v>30772.144598416897</v>
      </c>
      <c r="V47" s="13">
        <v>14042.6</v>
      </c>
      <c r="W47" s="15">
        <f t="shared" si="1"/>
        <v>4321209.177377291</v>
      </c>
      <c r="X47" s="877">
        <f>K47*37</f>
        <v>3751.354022416896</v>
      </c>
      <c r="Y47" s="877">
        <f>U47-X47</f>
        <v>27020.790575999999</v>
      </c>
      <c r="Z47" s="882"/>
    </row>
    <row r="48" spans="1:26" s="887" customFormat="1" x14ac:dyDescent="0.2">
      <c r="A48" s="988"/>
      <c r="B48" s="884" t="s">
        <v>62</v>
      </c>
      <c r="C48" s="12">
        <v>100</v>
      </c>
      <c r="D48" s="25">
        <v>3360.2016000000044</v>
      </c>
      <c r="E48" s="14"/>
      <c r="F48" s="14"/>
      <c r="G48" s="14"/>
      <c r="H48" s="14">
        <v>1344.84</v>
      </c>
      <c r="I48" s="14"/>
      <c r="J48" s="14">
        <v>19900.154399999996</v>
      </c>
      <c r="K48" s="14">
        <v>7557.3120000000017</v>
      </c>
      <c r="L48" s="14">
        <v>8217.7031999999945</v>
      </c>
      <c r="M48" s="14">
        <v>6210.1545882352493</v>
      </c>
      <c r="N48" s="14">
        <v>2988.518400000004</v>
      </c>
      <c r="O48" s="14">
        <v>1661.15</v>
      </c>
      <c r="P48" s="893"/>
      <c r="Q48" s="14"/>
      <c r="R48" s="14"/>
      <c r="S48" s="14"/>
      <c r="T48" s="14"/>
      <c r="U48" s="13">
        <v>106108.05618023523</v>
      </c>
      <c r="V48" s="13">
        <v>14042.6</v>
      </c>
      <c r="W48" s="15">
        <f t="shared" si="1"/>
        <v>14900329.897165714</v>
      </c>
      <c r="X48" s="894"/>
    </row>
    <row r="49" spans="1:26" s="887" customFormat="1" x14ac:dyDescent="0.2">
      <c r="A49" s="988"/>
      <c r="B49" s="884" t="s">
        <v>64</v>
      </c>
      <c r="C49" s="12">
        <v>100</v>
      </c>
      <c r="D49" s="25">
        <v>585.6</v>
      </c>
      <c r="E49" s="14"/>
      <c r="F49" s="14"/>
      <c r="G49" s="14"/>
      <c r="H49" s="14"/>
      <c r="I49" s="14"/>
      <c r="J49" s="14">
        <v>585.6</v>
      </c>
      <c r="K49" s="14">
        <v>219.6</v>
      </c>
      <c r="L49" s="14">
        <v>366</v>
      </c>
      <c r="M49" s="14">
        <v>427</v>
      </c>
      <c r="N49" s="14"/>
      <c r="O49" s="14"/>
      <c r="P49" s="893"/>
      <c r="Q49" s="14"/>
      <c r="R49" s="14"/>
      <c r="S49" s="14"/>
      <c r="T49" s="14"/>
      <c r="U49" s="13">
        <v>2183.8000000000002</v>
      </c>
      <c r="V49" s="13">
        <v>14042.6</v>
      </c>
      <c r="W49" s="15">
        <f t="shared" si="1"/>
        <v>306662.29880000005</v>
      </c>
    </row>
    <row r="50" spans="1:26" s="887" customFormat="1" x14ac:dyDescent="0.2">
      <c r="A50" s="988"/>
      <c r="B50" s="884" t="s">
        <v>65</v>
      </c>
      <c r="C50" s="12">
        <v>100</v>
      </c>
      <c r="D50" s="25">
        <v>72</v>
      </c>
      <c r="E50" s="14"/>
      <c r="F50" s="14"/>
      <c r="G50" s="14"/>
      <c r="H50" s="14"/>
      <c r="I50" s="14"/>
      <c r="J50" s="14">
        <v>72</v>
      </c>
      <c r="K50" s="14">
        <v>27</v>
      </c>
      <c r="L50" s="14">
        <v>45</v>
      </c>
      <c r="M50" s="14">
        <v>52.5</v>
      </c>
      <c r="N50" s="14"/>
      <c r="O50" s="14"/>
      <c r="P50" s="893"/>
      <c r="Q50" s="14"/>
      <c r="R50" s="14"/>
      <c r="S50" s="14"/>
      <c r="T50" s="14"/>
      <c r="U50" s="13">
        <v>268.5</v>
      </c>
      <c r="V50" s="13">
        <v>14042.6</v>
      </c>
      <c r="W50" s="15">
        <f t="shared" si="1"/>
        <v>37704.381000000001</v>
      </c>
    </row>
    <row r="51" spans="1:26" x14ac:dyDescent="0.2">
      <c r="A51" s="988"/>
      <c r="B51" s="884" t="s">
        <v>141</v>
      </c>
      <c r="C51" s="12">
        <v>100</v>
      </c>
      <c r="D51" s="25">
        <v>607.45911599999999</v>
      </c>
      <c r="E51" s="14">
        <v>303.729558</v>
      </c>
      <c r="F51" s="14"/>
      <c r="G51" s="14">
        <v>1063.053453</v>
      </c>
      <c r="H51" s="14">
        <v>759.32389499999999</v>
      </c>
      <c r="I51" s="14"/>
      <c r="J51" s="14">
        <v>1822.377348</v>
      </c>
      <c r="K51" s="14">
        <v>151.864779</v>
      </c>
      <c r="L51" s="14"/>
      <c r="M51" s="14"/>
      <c r="N51" s="14">
        <v>151.864779</v>
      </c>
      <c r="O51" s="14"/>
      <c r="P51" s="14">
        <v>759.32389499999999</v>
      </c>
      <c r="Q51" s="14"/>
      <c r="R51" s="14"/>
      <c r="S51" s="14"/>
      <c r="T51" s="14"/>
      <c r="U51" s="13">
        <v>24736.495222999998</v>
      </c>
      <c r="V51" s="13">
        <v>14042.6</v>
      </c>
      <c r="W51" s="15">
        <f t="shared" si="1"/>
        <v>3473647.0781849981</v>
      </c>
      <c r="X51" s="877">
        <f>K51*37</f>
        <v>5618.9968229999995</v>
      </c>
      <c r="Y51" s="877">
        <f>U51-X51</f>
        <v>19117.498399999997</v>
      </c>
      <c r="Z51" s="882">
        <f>SUM(W185:W221)</f>
        <v>80212234.679585844</v>
      </c>
    </row>
    <row r="52" spans="1:26" x14ac:dyDescent="0.2">
      <c r="A52" s="988"/>
      <c r="B52" s="884" t="s">
        <v>143</v>
      </c>
      <c r="C52" s="12">
        <v>100</v>
      </c>
      <c r="D52" s="25">
        <v>28.38</v>
      </c>
      <c r="E52" s="14">
        <v>14.19</v>
      </c>
      <c r="F52" s="14"/>
      <c r="G52" s="14">
        <v>49.664999999999999</v>
      </c>
      <c r="H52" s="14">
        <v>35.475000000000001</v>
      </c>
      <c r="I52" s="14"/>
      <c r="J52" s="14">
        <v>85.14</v>
      </c>
      <c r="K52" s="14">
        <v>7.0949999999999998</v>
      </c>
      <c r="L52" s="14"/>
      <c r="M52" s="14"/>
      <c r="N52" s="14">
        <v>7.0949999999999998</v>
      </c>
      <c r="O52" s="14"/>
      <c r="P52" s="14">
        <v>35.475000000000001</v>
      </c>
      <c r="Q52" s="14"/>
      <c r="R52" s="14"/>
      <c r="S52" s="14"/>
      <c r="T52" s="14"/>
      <c r="U52" s="13">
        <v>1234.2670312499999</v>
      </c>
      <c r="V52" s="13">
        <v>14042.6</v>
      </c>
      <c r="W52" s="15">
        <f t="shared" si="1"/>
        <v>173323.18213031252</v>
      </c>
      <c r="X52" s="877">
        <f>K52*37</f>
        <v>262.51499999999999</v>
      </c>
      <c r="Y52" s="877">
        <f>U52-X52</f>
        <v>971.75203124999996</v>
      </c>
      <c r="Z52" s="882"/>
    </row>
    <row r="53" spans="1:26" s="887" customFormat="1" x14ac:dyDescent="0.2">
      <c r="A53" s="989"/>
      <c r="B53" s="884" t="s">
        <v>207</v>
      </c>
      <c r="C53" s="12">
        <v>100</v>
      </c>
      <c r="D53" s="25"/>
      <c r="E53" s="14"/>
      <c r="F53" s="14"/>
      <c r="G53" s="14"/>
      <c r="H53" s="14"/>
      <c r="I53" s="14"/>
      <c r="J53" s="14">
        <v>6027.5329200000006</v>
      </c>
      <c r="K53" s="14">
        <v>1282.4827200000007</v>
      </c>
      <c r="L53" s="14">
        <v>3577.3679700000007</v>
      </c>
      <c r="M53" s="14">
        <v>3147.1564500000018</v>
      </c>
      <c r="N53" s="14">
        <v>1190.2237199999997</v>
      </c>
      <c r="O53" s="14"/>
      <c r="P53" s="14"/>
      <c r="Q53" s="14"/>
      <c r="R53" s="14"/>
      <c r="S53" s="14"/>
      <c r="T53" s="14"/>
      <c r="U53" s="13">
        <v>15224.763780000005</v>
      </c>
      <c r="V53" s="13">
        <v>14042.6</v>
      </c>
      <c r="W53" s="15">
        <f t="shared" si="1"/>
        <v>2137952.6785702808</v>
      </c>
    </row>
    <row r="54" spans="1:26" s="152" customFormat="1" x14ac:dyDescent="0.2">
      <c r="A54" s="118">
        <v>21</v>
      </c>
      <c r="B54" s="892" t="s">
        <v>30</v>
      </c>
      <c r="C54" s="12">
        <v>1</v>
      </c>
      <c r="D54" s="25">
        <v>55.04</v>
      </c>
      <c r="E54" s="14">
        <v>30.96</v>
      </c>
      <c r="F54" s="14">
        <v>30.96</v>
      </c>
      <c r="G54" s="14">
        <v>39.56</v>
      </c>
      <c r="H54" s="14">
        <v>242.52</v>
      </c>
      <c r="I54" s="14">
        <v>146.19999999999999</v>
      </c>
      <c r="J54" s="14">
        <v>67.08</v>
      </c>
      <c r="K54" s="14">
        <v>22.36</v>
      </c>
      <c r="L54" s="14">
        <v>22.36</v>
      </c>
      <c r="M54" s="14">
        <v>22.36</v>
      </c>
      <c r="N54" s="14">
        <v>5.16</v>
      </c>
      <c r="O54" s="14">
        <v>44.72</v>
      </c>
      <c r="P54" s="14">
        <v>29.24</v>
      </c>
      <c r="Q54" s="14">
        <v>6.88</v>
      </c>
      <c r="R54" s="14">
        <v>20.64</v>
      </c>
      <c r="S54" s="14"/>
      <c r="T54" s="14"/>
      <c r="U54" s="13">
        <v>786.04000000000008</v>
      </c>
      <c r="V54" s="25">
        <v>546.95000000000005</v>
      </c>
      <c r="W54" s="15">
        <f t="shared" si="0"/>
        <v>429924.5780000001</v>
      </c>
    </row>
    <row r="55" spans="1:26" s="152" customFormat="1" ht="30" x14ac:dyDescent="0.2">
      <c r="A55" s="118">
        <v>22</v>
      </c>
      <c r="B55" s="892" t="s">
        <v>31</v>
      </c>
      <c r="C55" s="26">
        <v>100</v>
      </c>
      <c r="D55" s="25">
        <v>125.76</v>
      </c>
      <c r="E55" s="14">
        <v>70.740000000000009</v>
      </c>
      <c r="F55" s="14">
        <v>70.740000000000009</v>
      </c>
      <c r="G55" s="14">
        <v>90.39</v>
      </c>
      <c r="H55" s="14">
        <v>554.13</v>
      </c>
      <c r="I55" s="14">
        <v>334.05</v>
      </c>
      <c r="J55" s="14">
        <v>153.27000000000001</v>
      </c>
      <c r="K55" s="14">
        <v>51.09</v>
      </c>
      <c r="L55" s="14">
        <v>51.09</v>
      </c>
      <c r="M55" s="14">
        <v>51.09</v>
      </c>
      <c r="N55" s="14">
        <v>11.790000000000001</v>
      </c>
      <c r="O55" s="14">
        <v>102.18</v>
      </c>
      <c r="P55" s="14">
        <v>66.81</v>
      </c>
      <c r="Q55" s="14">
        <v>15.72</v>
      </c>
      <c r="R55" s="14">
        <v>47.160000000000004</v>
      </c>
      <c r="S55" s="14"/>
      <c r="T55" s="14"/>
      <c r="U55" s="13">
        <v>1796.0099999999998</v>
      </c>
      <c r="V55" s="25">
        <v>30006.1</v>
      </c>
      <c r="W55" s="15">
        <f t="shared" si="0"/>
        <v>538912.55660999985</v>
      </c>
    </row>
    <row r="56" spans="1:26" s="152" customFormat="1" x14ac:dyDescent="0.2">
      <c r="A56" s="44">
        <v>23</v>
      </c>
      <c r="B56" s="892" t="s">
        <v>32</v>
      </c>
      <c r="C56" s="24">
        <v>1</v>
      </c>
      <c r="D56" s="25">
        <v>32</v>
      </c>
      <c r="E56" s="14">
        <v>18</v>
      </c>
      <c r="F56" s="14">
        <v>18</v>
      </c>
      <c r="G56" s="14">
        <v>23</v>
      </c>
      <c r="H56" s="14">
        <v>141</v>
      </c>
      <c r="I56" s="14">
        <v>85</v>
      </c>
      <c r="J56" s="14">
        <v>39</v>
      </c>
      <c r="K56" s="14">
        <v>13</v>
      </c>
      <c r="L56" s="14">
        <v>13</v>
      </c>
      <c r="M56" s="14">
        <v>13</v>
      </c>
      <c r="N56" s="14">
        <v>3</v>
      </c>
      <c r="O56" s="14">
        <v>26</v>
      </c>
      <c r="P56" s="14">
        <v>17</v>
      </c>
      <c r="Q56" s="14">
        <v>4</v>
      </c>
      <c r="R56" s="14">
        <v>12</v>
      </c>
      <c r="S56" s="14"/>
      <c r="T56" s="14"/>
      <c r="U56" s="13">
        <v>457</v>
      </c>
      <c r="V56" s="25">
        <v>115.4</v>
      </c>
      <c r="W56" s="15">
        <f t="shared" si="0"/>
        <v>52737.8</v>
      </c>
    </row>
    <row r="57" spans="1:26" s="152" customFormat="1" x14ac:dyDescent="0.2">
      <c r="A57" s="44">
        <v>24</v>
      </c>
      <c r="B57" s="892" t="s">
        <v>33</v>
      </c>
      <c r="C57" s="27">
        <v>1</v>
      </c>
      <c r="D57" s="25">
        <v>32</v>
      </c>
      <c r="E57" s="14">
        <v>18</v>
      </c>
      <c r="F57" s="14">
        <v>18</v>
      </c>
      <c r="G57" s="14">
        <v>23</v>
      </c>
      <c r="H57" s="14">
        <v>141</v>
      </c>
      <c r="I57" s="14">
        <v>85</v>
      </c>
      <c r="J57" s="14">
        <v>39</v>
      </c>
      <c r="K57" s="14">
        <v>13</v>
      </c>
      <c r="L57" s="14">
        <v>13</v>
      </c>
      <c r="M57" s="14">
        <v>13</v>
      </c>
      <c r="N57" s="14">
        <v>3</v>
      </c>
      <c r="O57" s="14">
        <v>26</v>
      </c>
      <c r="P57" s="14">
        <v>17</v>
      </c>
      <c r="Q57" s="14">
        <v>4</v>
      </c>
      <c r="R57" s="14">
        <v>12</v>
      </c>
      <c r="S57" s="14"/>
      <c r="T57" s="14"/>
      <c r="U57" s="13">
        <v>457</v>
      </c>
      <c r="V57" s="25">
        <v>141.9</v>
      </c>
      <c r="W57" s="15">
        <f t="shared" si="0"/>
        <v>64848.3</v>
      </c>
    </row>
    <row r="58" spans="1:26" s="152" customFormat="1" x14ac:dyDescent="0.2">
      <c r="A58" s="44">
        <v>25</v>
      </c>
      <c r="B58" s="892" t="s">
        <v>34</v>
      </c>
      <c r="C58" s="19">
        <v>100</v>
      </c>
      <c r="D58" s="25">
        <v>112</v>
      </c>
      <c r="E58" s="14">
        <v>63</v>
      </c>
      <c r="F58" s="14">
        <v>63</v>
      </c>
      <c r="G58" s="14">
        <v>80.5</v>
      </c>
      <c r="H58" s="14">
        <v>493.5</v>
      </c>
      <c r="I58" s="14">
        <v>297.5</v>
      </c>
      <c r="J58" s="14">
        <v>136.5</v>
      </c>
      <c r="K58" s="14">
        <v>45.5</v>
      </c>
      <c r="L58" s="14">
        <v>45.5</v>
      </c>
      <c r="M58" s="14">
        <v>45.5</v>
      </c>
      <c r="N58" s="14">
        <v>10.5</v>
      </c>
      <c r="O58" s="14">
        <v>91</v>
      </c>
      <c r="P58" s="14">
        <v>59.5</v>
      </c>
      <c r="Q58" s="14">
        <v>14</v>
      </c>
      <c r="R58" s="14">
        <v>42</v>
      </c>
      <c r="S58" s="14"/>
      <c r="T58" s="14"/>
      <c r="U58" s="13">
        <v>1599.5</v>
      </c>
      <c r="V58" s="25">
        <v>4307.55</v>
      </c>
      <c r="W58" s="15">
        <f t="shared" si="0"/>
        <v>68899.26225</v>
      </c>
    </row>
    <row r="59" spans="1:26" s="152" customFormat="1" x14ac:dyDescent="0.2">
      <c r="A59" s="44">
        <v>26</v>
      </c>
      <c r="B59" s="892" t="s">
        <v>35</v>
      </c>
      <c r="C59" s="24">
        <v>1</v>
      </c>
      <c r="D59" s="25">
        <v>320</v>
      </c>
      <c r="E59" s="14">
        <v>180</v>
      </c>
      <c r="F59" s="14">
        <v>180</v>
      </c>
      <c r="G59" s="14">
        <v>230</v>
      </c>
      <c r="H59" s="14">
        <v>1410</v>
      </c>
      <c r="I59" s="14">
        <v>850</v>
      </c>
      <c r="J59" s="14">
        <v>390</v>
      </c>
      <c r="K59" s="14">
        <v>130</v>
      </c>
      <c r="L59" s="14">
        <v>130</v>
      </c>
      <c r="M59" s="14">
        <v>130</v>
      </c>
      <c r="N59" s="14">
        <v>30</v>
      </c>
      <c r="O59" s="14">
        <v>260</v>
      </c>
      <c r="P59" s="14">
        <v>170</v>
      </c>
      <c r="Q59" s="14">
        <v>40</v>
      </c>
      <c r="R59" s="14">
        <v>120</v>
      </c>
      <c r="S59" s="14"/>
      <c r="T59" s="14"/>
      <c r="U59" s="13">
        <v>4570</v>
      </c>
      <c r="V59" s="25">
        <v>30.5</v>
      </c>
      <c r="W59" s="15">
        <f t="shared" si="0"/>
        <v>139385</v>
      </c>
    </row>
    <row r="60" spans="1:26" s="152" customFormat="1" ht="30" x14ac:dyDescent="0.2">
      <c r="A60" s="118">
        <v>27</v>
      </c>
      <c r="B60" s="884" t="s">
        <v>328</v>
      </c>
      <c r="C60" s="179">
        <v>1000</v>
      </c>
      <c r="D60" s="25"/>
      <c r="E60" s="14"/>
      <c r="F60" s="14"/>
      <c r="G60" s="14"/>
      <c r="H60" s="14"/>
      <c r="I60" s="14"/>
      <c r="J60" s="14"/>
      <c r="K60" s="14"/>
      <c r="L60" s="14"/>
      <c r="M60" s="14"/>
      <c r="N60" s="14"/>
      <c r="O60" s="40">
        <v>245</v>
      </c>
      <c r="P60" s="14"/>
      <c r="Q60" s="14"/>
      <c r="R60" s="14"/>
      <c r="S60" s="14"/>
      <c r="T60" s="14"/>
      <c r="U60" s="13">
        <v>245</v>
      </c>
      <c r="V60" s="25">
        <v>546.95000000000005</v>
      </c>
      <c r="W60" s="15">
        <f t="shared" si="0"/>
        <v>134.00274999999999</v>
      </c>
    </row>
    <row r="61" spans="1:26" s="152" customFormat="1" ht="30" x14ac:dyDescent="0.2">
      <c r="A61" s="118">
        <v>28</v>
      </c>
      <c r="B61" s="884" t="s">
        <v>329</v>
      </c>
      <c r="C61" s="895">
        <v>100</v>
      </c>
      <c r="D61" s="25"/>
      <c r="E61" s="14"/>
      <c r="F61" s="14"/>
      <c r="G61" s="14"/>
      <c r="H61" s="14"/>
      <c r="I61" s="14"/>
      <c r="J61" s="14"/>
      <c r="K61" s="14"/>
      <c r="L61" s="14"/>
      <c r="M61" s="14"/>
      <c r="N61" s="14"/>
      <c r="O61" s="40">
        <v>367.5</v>
      </c>
      <c r="P61" s="14"/>
      <c r="Q61" s="14"/>
      <c r="R61" s="14"/>
      <c r="S61" s="14"/>
      <c r="T61" s="14"/>
      <c r="U61" s="13">
        <v>367.5</v>
      </c>
      <c r="V61" s="25">
        <v>30006.1</v>
      </c>
      <c r="W61" s="15">
        <f t="shared" si="0"/>
        <v>110272.4175</v>
      </c>
    </row>
    <row r="62" spans="1:26" s="152" customFormat="1" ht="45" x14ac:dyDescent="0.2">
      <c r="A62" s="44">
        <v>29</v>
      </c>
      <c r="B62" s="884" t="s">
        <v>330</v>
      </c>
      <c r="C62" s="896">
        <v>1</v>
      </c>
      <c r="D62" s="25"/>
      <c r="E62" s="14"/>
      <c r="F62" s="14"/>
      <c r="G62" s="14"/>
      <c r="H62" s="14"/>
      <c r="I62" s="14"/>
      <c r="J62" s="14"/>
      <c r="K62" s="14"/>
      <c r="L62" s="14"/>
      <c r="M62" s="14"/>
      <c r="N62" s="14"/>
      <c r="O62" s="40">
        <v>560</v>
      </c>
      <c r="P62" s="14"/>
      <c r="Q62" s="14"/>
      <c r="R62" s="14"/>
      <c r="S62" s="14"/>
      <c r="T62" s="14"/>
      <c r="U62" s="13">
        <v>560</v>
      </c>
      <c r="V62" s="25">
        <v>115.4</v>
      </c>
      <c r="W62" s="15">
        <f t="shared" si="0"/>
        <v>64624</v>
      </c>
    </row>
    <row r="63" spans="1:26" s="152" customFormat="1" ht="30" x14ac:dyDescent="0.2">
      <c r="A63" s="44">
        <v>30</v>
      </c>
      <c r="B63" s="884" t="s">
        <v>331</v>
      </c>
      <c r="C63" s="895">
        <v>100</v>
      </c>
      <c r="D63" s="25"/>
      <c r="E63" s="14"/>
      <c r="F63" s="14"/>
      <c r="G63" s="14"/>
      <c r="H63" s="14"/>
      <c r="I63" s="14"/>
      <c r="J63" s="14"/>
      <c r="K63" s="14"/>
      <c r="L63" s="14"/>
      <c r="M63" s="14"/>
      <c r="N63" s="14"/>
      <c r="O63" s="40">
        <v>323.40000000000003</v>
      </c>
      <c r="P63" s="14"/>
      <c r="Q63" s="14"/>
      <c r="R63" s="14"/>
      <c r="S63" s="14"/>
      <c r="T63" s="14"/>
      <c r="U63" s="13">
        <v>323.40000000000003</v>
      </c>
      <c r="V63" s="25">
        <v>141.9</v>
      </c>
      <c r="W63" s="15">
        <f t="shared" si="0"/>
        <v>458.90460000000007</v>
      </c>
    </row>
    <row r="64" spans="1:26" ht="15.75" x14ac:dyDescent="0.2">
      <c r="A64" s="127">
        <v>31</v>
      </c>
      <c r="B64" s="897" t="s">
        <v>333</v>
      </c>
      <c r="C64" s="898">
        <v>100</v>
      </c>
      <c r="D64" s="899"/>
      <c r="E64" s="900"/>
      <c r="F64" s="900"/>
      <c r="G64" s="900"/>
      <c r="H64" s="900"/>
      <c r="I64" s="900"/>
      <c r="J64" s="900"/>
      <c r="K64" s="900"/>
      <c r="L64" s="900"/>
      <c r="M64" s="900"/>
      <c r="N64" s="900"/>
      <c r="O64" s="25">
        <f>507.9375+511.88</f>
        <v>1019.8175</v>
      </c>
      <c r="P64" s="901"/>
      <c r="Q64" s="25">
        <v>803.25</v>
      </c>
      <c r="R64" s="14"/>
      <c r="S64" s="900"/>
      <c r="T64" s="900"/>
      <c r="U64" s="13">
        <v>1823.0675000000001</v>
      </c>
      <c r="V64" s="25">
        <v>2633.4</v>
      </c>
      <c r="W64" s="15">
        <f t="shared" si="0"/>
        <v>48008.659545000002</v>
      </c>
    </row>
    <row r="65" spans="1:27" ht="45" x14ac:dyDescent="0.2">
      <c r="A65" s="127">
        <v>32</v>
      </c>
      <c r="B65" s="897" t="s">
        <v>57</v>
      </c>
      <c r="C65" s="12">
        <v>100</v>
      </c>
      <c r="D65" s="899"/>
      <c r="E65" s="900"/>
      <c r="F65" s="900"/>
      <c r="G65" s="900"/>
      <c r="H65" s="900"/>
      <c r="I65" s="900"/>
      <c r="J65" s="900"/>
      <c r="K65" s="900"/>
      <c r="L65" s="900"/>
      <c r="M65" s="900"/>
      <c r="N65" s="900"/>
      <c r="O65" s="25">
        <f>1155</f>
        <v>1155</v>
      </c>
      <c r="P65" s="901"/>
      <c r="Q65" s="25"/>
      <c r="R65" s="900"/>
      <c r="S65" s="900"/>
      <c r="T65" s="900"/>
      <c r="U65" s="13">
        <v>4635</v>
      </c>
      <c r="V65" s="25">
        <v>4017.8</v>
      </c>
      <c r="W65" s="15">
        <f t="shared" si="0"/>
        <v>186225.03</v>
      </c>
      <c r="Y65" s="882"/>
    </row>
    <row r="66" spans="1:27" ht="30" x14ac:dyDescent="0.2">
      <c r="A66" s="127">
        <v>33</v>
      </c>
      <c r="B66" s="897" t="s">
        <v>336</v>
      </c>
      <c r="C66" s="12">
        <v>100</v>
      </c>
      <c r="D66" s="899">
        <v>307</v>
      </c>
      <c r="E66" s="900"/>
      <c r="F66" s="900"/>
      <c r="G66" s="900">
        <v>384</v>
      </c>
      <c r="H66" s="900">
        <v>11823.77</v>
      </c>
      <c r="I66" s="900"/>
      <c r="J66" s="900"/>
      <c r="K66" s="900"/>
      <c r="L66" s="900"/>
      <c r="M66" s="900"/>
      <c r="N66" s="900"/>
      <c r="O66" s="25">
        <f>422.5+403</f>
        <v>825.5</v>
      </c>
      <c r="P66" s="901"/>
      <c r="Q66" s="25"/>
      <c r="R66" s="900"/>
      <c r="S66" s="900"/>
      <c r="T66" s="900"/>
      <c r="U66" s="13">
        <v>13340.27</v>
      </c>
      <c r="V66" s="25">
        <v>27086.400000000001</v>
      </c>
      <c r="W66" s="15">
        <f t="shared" si="0"/>
        <v>3613398.89328</v>
      </c>
    </row>
    <row r="67" spans="1:27" s="887" customFormat="1" ht="60" x14ac:dyDescent="0.2">
      <c r="A67" s="118">
        <v>34</v>
      </c>
      <c r="B67" s="884" t="s">
        <v>39</v>
      </c>
      <c r="C67" s="12">
        <v>1000</v>
      </c>
      <c r="D67" s="25"/>
      <c r="E67" s="14"/>
      <c r="F67" s="14"/>
      <c r="G67" s="14"/>
      <c r="H67" s="14">
        <v>60639.351906000011</v>
      </c>
      <c r="I67" s="14"/>
      <c r="J67" s="14">
        <v>44596.765778000001</v>
      </c>
      <c r="K67" s="14"/>
      <c r="L67" s="14">
        <v>25000.750577999999</v>
      </c>
      <c r="M67" s="14">
        <v>21403.790700999998</v>
      </c>
      <c r="N67" s="14"/>
      <c r="O67" s="14"/>
      <c r="P67" s="14">
        <v>125135.84964100001</v>
      </c>
      <c r="Q67" s="14"/>
      <c r="R67" s="14"/>
      <c r="S67" s="14"/>
      <c r="T67" s="14"/>
      <c r="U67" s="13">
        <v>588089.4261981172</v>
      </c>
      <c r="V67" s="14">
        <v>12735.6</v>
      </c>
      <c r="W67" s="15">
        <f>V67*U67/C67</f>
        <v>7489671.6962887421</v>
      </c>
      <c r="X67" s="894">
        <f>SUM(W67:W181)</f>
        <v>704518649.62020278</v>
      </c>
      <c r="Z67" s="886">
        <v>63826446.624435835</v>
      </c>
      <c r="AA67" s="894"/>
    </row>
    <row r="68" spans="1:27" s="887" customFormat="1" ht="60" x14ac:dyDescent="0.2">
      <c r="A68" s="122">
        <v>35</v>
      </c>
      <c r="B68" s="884" t="s">
        <v>98</v>
      </c>
      <c r="C68" s="29">
        <v>100</v>
      </c>
      <c r="D68" s="25">
        <v>4141.7667000000001</v>
      </c>
      <c r="E68" s="14">
        <v>2070.8833500000001</v>
      </c>
      <c r="F68" s="14"/>
      <c r="G68" s="14">
        <v>7248.0917250000002</v>
      </c>
      <c r="H68" s="14">
        <v>5177.2083750000002</v>
      </c>
      <c r="I68" s="14"/>
      <c r="J68" s="14">
        <v>12425.3001</v>
      </c>
      <c r="K68" s="14">
        <v>1035.441675</v>
      </c>
      <c r="L68" s="14"/>
      <c r="M68" s="14"/>
      <c r="N68" s="14">
        <v>1035.441675</v>
      </c>
      <c r="O68" s="14"/>
      <c r="P68" s="14">
        <v>5177.2083750000002</v>
      </c>
      <c r="Q68" s="14"/>
      <c r="R68" s="14"/>
      <c r="S68" s="14"/>
      <c r="T68" s="14"/>
      <c r="U68" s="13">
        <v>1015459.2095243642</v>
      </c>
      <c r="V68" s="14">
        <v>30376.9</v>
      </c>
      <c r="W68" s="15">
        <f>V68*U68/C68</f>
        <v>308465028.61800659</v>
      </c>
      <c r="X68" s="877">
        <f>K68*37</f>
        <v>38311.341975000003</v>
      </c>
      <c r="Y68" s="877"/>
    </row>
    <row r="69" spans="1:27" ht="75.75" x14ac:dyDescent="0.2">
      <c r="A69" s="44">
        <v>36</v>
      </c>
      <c r="B69" s="884" t="s">
        <v>41</v>
      </c>
      <c r="C69" s="12"/>
      <c r="D69" s="25"/>
      <c r="E69" s="14"/>
      <c r="F69" s="14"/>
      <c r="G69" s="14"/>
      <c r="H69" s="14"/>
      <c r="I69" s="14"/>
      <c r="J69" s="14"/>
      <c r="K69" s="14"/>
      <c r="L69" s="14"/>
      <c r="M69" s="14"/>
      <c r="N69" s="14"/>
      <c r="O69" s="14"/>
      <c r="P69" s="14"/>
      <c r="Q69" s="14"/>
      <c r="R69" s="14"/>
      <c r="S69" s="14"/>
      <c r="T69" s="35"/>
      <c r="U69" s="13">
        <v>0</v>
      </c>
      <c r="V69" s="893"/>
      <c r="W69" s="893"/>
    </row>
    <row r="70" spans="1:27" ht="60" x14ac:dyDescent="0.2">
      <c r="A70" s="44" t="s">
        <v>42</v>
      </c>
      <c r="B70" s="884" t="s">
        <v>43</v>
      </c>
      <c r="C70" s="12">
        <v>1</v>
      </c>
      <c r="D70" s="25">
        <f>2556.24000000001+499.88</f>
        <v>3056.1200000000099</v>
      </c>
      <c r="E70" s="14"/>
      <c r="F70" s="14"/>
      <c r="G70" s="14">
        <v>520</v>
      </c>
      <c r="H70" s="14">
        <f>1073+13743.27</f>
        <v>14816.27</v>
      </c>
      <c r="I70" s="14"/>
      <c r="J70" s="14">
        <v>17924.659999999996</v>
      </c>
      <c r="K70" s="14">
        <v>6956.8000000000038</v>
      </c>
      <c r="L70" s="14">
        <v>6710.9799999999941</v>
      </c>
      <c r="M70" s="14">
        <v>5135.041176470535</v>
      </c>
      <c r="N70" s="14">
        <v>2549.7600000000048</v>
      </c>
      <c r="O70" s="14">
        <f>6010.66+1345.56</f>
        <v>7356.2199999999993</v>
      </c>
      <c r="P70" s="14">
        <f>2130.79+3157.12</f>
        <v>5287.91</v>
      </c>
      <c r="Q70" s="14">
        <v>4517.97</v>
      </c>
      <c r="R70" s="14"/>
      <c r="S70" s="14"/>
      <c r="T70" s="13"/>
      <c r="U70" s="13">
        <v>174842.05310147052</v>
      </c>
      <c r="V70" s="14">
        <v>817.55</v>
      </c>
      <c r="W70" s="15">
        <f t="shared" ref="W70:W95" si="2">V70*U70/C70</f>
        <v>142942120.51310721</v>
      </c>
      <c r="X70" s="882"/>
    </row>
    <row r="71" spans="1:27" ht="60" x14ac:dyDescent="0.2">
      <c r="A71" s="44" t="s">
        <v>44</v>
      </c>
      <c r="B71" s="884" t="s">
        <v>45</v>
      </c>
      <c r="C71" s="12">
        <v>1</v>
      </c>
      <c r="D71" s="25">
        <v>1444</v>
      </c>
      <c r="E71" s="14"/>
      <c r="F71" s="14"/>
      <c r="G71" s="14" t="s">
        <v>420</v>
      </c>
      <c r="H71" s="14">
        <f>528+192</f>
        <v>720</v>
      </c>
      <c r="I71" s="14"/>
      <c r="J71" s="14">
        <v>5766</v>
      </c>
      <c r="K71" s="14">
        <v>2040</v>
      </c>
      <c r="L71" s="14">
        <v>3072</v>
      </c>
      <c r="M71" s="14">
        <v>2258</v>
      </c>
      <c r="N71" s="14">
        <v>1008</v>
      </c>
      <c r="O71" s="14">
        <f>2797.92+632</f>
        <v>3429.92</v>
      </c>
      <c r="P71" s="14">
        <f>1739.1+1739.1</f>
        <v>3478.2</v>
      </c>
      <c r="Q71" s="14">
        <v>1972.18</v>
      </c>
      <c r="R71" s="14"/>
      <c r="S71" s="14"/>
      <c r="T71" s="13"/>
      <c r="U71" s="13">
        <v>77484.511800000007</v>
      </c>
      <c r="V71" s="14">
        <v>670.5</v>
      </c>
      <c r="W71" s="15">
        <f t="shared" si="2"/>
        <v>51953365.161900006</v>
      </c>
      <c r="X71" s="882"/>
    </row>
    <row r="72" spans="1:27" ht="30" x14ac:dyDescent="0.2">
      <c r="A72" s="44">
        <v>37</v>
      </c>
      <c r="B72" s="902" t="s">
        <v>71</v>
      </c>
      <c r="C72" s="31">
        <v>1</v>
      </c>
      <c r="D72" s="25"/>
      <c r="E72" s="14"/>
      <c r="F72" s="14"/>
      <c r="G72" s="14"/>
      <c r="H72" s="14"/>
      <c r="I72" s="14"/>
      <c r="J72" s="14"/>
      <c r="K72" s="14"/>
      <c r="L72" s="14"/>
      <c r="M72" s="14"/>
      <c r="N72" s="14"/>
      <c r="O72" s="14">
        <v>51.34</v>
      </c>
      <c r="P72" s="903"/>
      <c r="Q72" s="14"/>
      <c r="R72" s="14"/>
      <c r="S72" s="14"/>
      <c r="T72" s="14"/>
      <c r="U72" s="13">
        <v>6423.48</v>
      </c>
      <c r="V72" s="14">
        <v>809.4</v>
      </c>
      <c r="W72" s="15">
        <f t="shared" si="2"/>
        <v>5199164.7119999994</v>
      </c>
      <c r="X72" s="882"/>
    </row>
    <row r="73" spans="1:27" ht="30" x14ac:dyDescent="0.2">
      <c r="A73" s="44">
        <v>38</v>
      </c>
      <c r="B73" s="884" t="s">
        <v>46</v>
      </c>
      <c r="C73" s="19">
        <v>100</v>
      </c>
      <c r="D73" s="25">
        <v>2739.760000000007</v>
      </c>
      <c r="E73" s="14"/>
      <c r="F73" s="14"/>
      <c r="G73" s="14"/>
      <c r="H73" s="14">
        <f>944</f>
        <v>944</v>
      </c>
      <c r="I73" s="14"/>
      <c r="J73" s="14">
        <v>16855.639999999992</v>
      </c>
      <c r="K73" s="14">
        <v>7707.6000000000076</v>
      </c>
      <c r="L73" s="14">
        <v>6537.2799999999952</v>
      </c>
      <c r="M73" s="14">
        <v>4909.2811764705175</v>
      </c>
      <c r="N73" s="14">
        <v>2884.8000000000065</v>
      </c>
      <c r="O73" s="14">
        <f>2047.1232+1117.92</f>
        <v>3165.0432000000001</v>
      </c>
      <c r="P73" s="14">
        <f>978.1224+1471.48</f>
        <v>2449.6023999999998</v>
      </c>
      <c r="Q73" s="14">
        <v>2183.8119999999999</v>
      </c>
      <c r="R73" s="14"/>
      <c r="S73" s="14"/>
      <c r="T73" s="14"/>
      <c r="U73" s="13">
        <v>99728.813576470522</v>
      </c>
      <c r="V73" s="25">
        <v>1645.1</v>
      </c>
      <c r="W73" s="15">
        <f t="shared" si="2"/>
        <v>1640638.7121465164</v>
      </c>
      <c r="X73" s="882"/>
    </row>
    <row r="74" spans="1:27" s="887" customFormat="1" ht="30" x14ac:dyDescent="0.2">
      <c r="A74" s="44">
        <v>39</v>
      </c>
      <c r="B74" s="884" t="s">
        <v>111</v>
      </c>
      <c r="C74" s="36">
        <v>1</v>
      </c>
      <c r="D74" s="25">
        <v>52</v>
      </c>
      <c r="E74" s="14">
        <v>26</v>
      </c>
      <c r="F74" s="14"/>
      <c r="G74" s="14">
        <v>91</v>
      </c>
      <c r="H74" s="14">
        <v>65</v>
      </c>
      <c r="I74" s="14"/>
      <c r="J74" s="14">
        <v>156</v>
      </c>
      <c r="K74" s="14">
        <v>13</v>
      </c>
      <c r="L74" s="14"/>
      <c r="M74" s="14"/>
      <c r="N74" s="14">
        <v>13</v>
      </c>
      <c r="O74" s="14"/>
      <c r="P74" s="14">
        <v>65</v>
      </c>
      <c r="Q74" s="14"/>
      <c r="R74" s="14"/>
      <c r="S74" s="14"/>
      <c r="T74" s="14"/>
      <c r="U74" s="13">
        <v>11417</v>
      </c>
      <c r="V74" s="25">
        <v>514.9</v>
      </c>
      <c r="W74" s="15">
        <f>V74*U74/C74</f>
        <v>5878613.2999999998</v>
      </c>
      <c r="X74" s="877">
        <f>K74*37</f>
        <v>481</v>
      </c>
      <c r="Y74" s="877"/>
    </row>
    <row r="75" spans="1:27" s="887" customFormat="1" x14ac:dyDescent="0.2">
      <c r="A75" s="121">
        <v>40</v>
      </c>
      <c r="B75" s="904" t="s">
        <v>87</v>
      </c>
      <c r="C75" s="36">
        <v>1</v>
      </c>
      <c r="D75" s="33">
        <v>12</v>
      </c>
      <c r="E75" s="33"/>
      <c r="F75" s="33"/>
      <c r="G75" s="33">
        <v>6</v>
      </c>
      <c r="H75" s="33">
        <v>30</v>
      </c>
      <c r="I75" s="33"/>
      <c r="J75" s="33"/>
      <c r="K75" s="33"/>
      <c r="L75" s="33"/>
      <c r="M75" s="33"/>
      <c r="N75" s="33"/>
      <c r="O75" s="33"/>
      <c r="P75" s="33"/>
      <c r="Q75" s="33"/>
      <c r="R75" s="33"/>
      <c r="S75" s="33"/>
      <c r="T75" s="13"/>
      <c r="U75" s="13">
        <v>48</v>
      </c>
      <c r="V75" s="33">
        <v>378.75</v>
      </c>
      <c r="W75" s="15">
        <f>V75*U75/C75</f>
        <v>18180</v>
      </c>
    </row>
    <row r="76" spans="1:27" ht="30" x14ac:dyDescent="0.2">
      <c r="A76" s="44">
        <v>41</v>
      </c>
      <c r="B76" s="884" t="s">
        <v>47</v>
      </c>
      <c r="C76" s="31">
        <v>1</v>
      </c>
      <c r="D76" s="25">
        <v>13.5</v>
      </c>
      <c r="E76" s="14"/>
      <c r="F76" s="14"/>
      <c r="G76" s="14"/>
      <c r="H76" s="14">
        <v>6</v>
      </c>
      <c r="I76" s="14"/>
      <c r="J76" s="14">
        <v>60</v>
      </c>
      <c r="K76" s="14">
        <v>22.5</v>
      </c>
      <c r="L76" s="14">
        <v>31.5</v>
      </c>
      <c r="M76" s="14">
        <v>22.5</v>
      </c>
      <c r="N76" s="14">
        <v>13.5</v>
      </c>
      <c r="O76" s="14"/>
      <c r="P76" s="903"/>
      <c r="Q76" s="14"/>
      <c r="R76" s="14"/>
      <c r="S76" s="14"/>
      <c r="T76" s="14"/>
      <c r="U76" s="13">
        <v>169.5</v>
      </c>
      <c r="V76" s="25">
        <v>303.8</v>
      </c>
      <c r="W76" s="15">
        <f t="shared" si="2"/>
        <v>51494.1</v>
      </c>
    </row>
    <row r="77" spans="1:27" ht="75" x14ac:dyDescent="0.2">
      <c r="A77" s="44">
        <v>41</v>
      </c>
      <c r="B77" s="884" t="s">
        <v>164</v>
      </c>
      <c r="C77" s="36">
        <v>1</v>
      </c>
      <c r="D77" s="25">
        <v>96</v>
      </c>
      <c r="E77" s="14"/>
      <c r="F77" s="14"/>
      <c r="G77" s="14">
        <v>48</v>
      </c>
      <c r="H77" s="14">
        <f>48+320</f>
        <v>368</v>
      </c>
      <c r="I77" s="14"/>
      <c r="J77" s="14"/>
      <c r="K77" s="903"/>
      <c r="L77" s="903"/>
      <c r="M77" s="14"/>
      <c r="N77" s="14"/>
      <c r="O77" s="14">
        <v>112</v>
      </c>
      <c r="P77" s="903"/>
      <c r="Q77" s="14"/>
      <c r="R77" s="14"/>
      <c r="S77" s="14"/>
      <c r="T77" s="14"/>
      <c r="U77" s="13">
        <v>624</v>
      </c>
      <c r="V77" s="13">
        <v>2150.35</v>
      </c>
      <c r="W77" s="15">
        <f t="shared" si="2"/>
        <v>1341818.3999999999</v>
      </c>
    </row>
    <row r="78" spans="1:27" s="887" customFormat="1" ht="90" x14ac:dyDescent="0.2">
      <c r="A78" s="44">
        <v>43</v>
      </c>
      <c r="B78" s="897" t="s">
        <v>422</v>
      </c>
      <c r="C78" s="12">
        <v>100</v>
      </c>
      <c r="D78" s="25">
        <v>480</v>
      </c>
      <c r="E78" s="14"/>
      <c r="F78" s="14"/>
      <c r="G78" s="14"/>
      <c r="H78" s="14"/>
      <c r="I78" s="14"/>
      <c r="J78" s="14">
        <v>480</v>
      </c>
      <c r="K78" s="14">
        <v>180</v>
      </c>
      <c r="L78" s="14">
        <v>300</v>
      </c>
      <c r="M78" s="14">
        <v>350</v>
      </c>
      <c r="N78" s="14"/>
      <c r="O78" s="14">
        <v>825</v>
      </c>
      <c r="P78" s="893"/>
      <c r="Q78" s="14"/>
      <c r="R78" s="14"/>
      <c r="S78" s="14"/>
      <c r="T78" s="14"/>
      <c r="U78" s="13">
        <v>4715</v>
      </c>
      <c r="V78" s="14">
        <v>10003.5</v>
      </c>
      <c r="W78" s="15">
        <f t="shared" si="2"/>
        <v>471665.02500000002</v>
      </c>
      <c r="X78" s="894"/>
    </row>
    <row r="79" spans="1:27" s="887" customFormat="1" ht="75" x14ac:dyDescent="0.2">
      <c r="A79" s="44">
        <v>44</v>
      </c>
      <c r="B79" s="897" t="s">
        <v>423</v>
      </c>
      <c r="C79" s="12">
        <v>100</v>
      </c>
      <c r="D79" s="25">
        <v>480</v>
      </c>
      <c r="E79" s="14"/>
      <c r="F79" s="14"/>
      <c r="G79" s="14"/>
      <c r="H79" s="14"/>
      <c r="I79" s="14"/>
      <c r="J79" s="14">
        <v>480</v>
      </c>
      <c r="K79" s="14">
        <v>180</v>
      </c>
      <c r="L79" s="14">
        <v>300</v>
      </c>
      <c r="M79" s="14">
        <v>350</v>
      </c>
      <c r="N79" s="14"/>
      <c r="O79" s="14">
        <v>825</v>
      </c>
      <c r="P79" s="893"/>
      <c r="Q79" s="14"/>
      <c r="R79" s="14"/>
      <c r="S79" s="14"/>
      <c r="T79" s="14"/>
      <c r="U79" s="13">
        <v>2615</v>
      </c>
      <c r="V79" s="14">
        <v>13527.4</v>
      </c>
      <c r="W79" s="15">
        <f t="shared" si="2"/>
        <v>353741.51</v>
      </c>
    </row>
    <row r="80" spans="1:27" s="887" customFormat="1" ht="30" x14ac:dyDescent="0.2">
      <c r="A80" s="44">
        <v>45</v>
      </c>
      <c r="B80" s="897" t="s">
        <v>50</v>
      </c>
      <c r="C80" s="31">
        <v>1</v>
      </c>
      <c r="D80" s="25">
        <v>120</v>
      </c>
      <c r="E80" s="14"/>
      <c r="F80" s="14"/>
      <c r="G80" s="14"/>
      <c r="H80" s="14"/>
      <c r="I80" s="14"/>
      <c r="J80" s="14">
        <v>160</v>
      </c>
      <c r="K80" s="14">
        <v>60</v>
      </c>
      <c r="L80" s="14">
        <v>60</v>
      </c>
      <c r="M80" s="14">
        <v>100</v>
      </c>
      <c r="N80" s="14"/>
      <c r="O80" s="14">
        <v>200</v>
      </c>
      <c r="P80" s="893"/>
      <c r="Q80" s="14"/>
      <c r="R80" s="14"/>
      <c r="S80" s="14"/>
      <c r="T80" s="14"/>
      <c r="U80" s="13">
        <v>700</v>
      </c>
      <c r="V80" s="14">
        <v>64.2</v>
      </c>
      <c r="W80" s="15">
        <f t="shared" si="2"/>
        <v>44940</v>
      </c>
    </row>
    <row r="81" spans="1:29" s="887" customFormat="1" ht="75" x14ac:dyDescent="0.2">
      <c r="A81" s="44">
        <v>46</v>
      </c>
      <c r="B81" s="897" t="s">
        <v>392</v>
      </c>
      <c r="C81" s="19"/>
      <c r="D81" s="14"/>
      <c r="E81" s="14"/>
      <c r="F81" s="14"/>
      <c r="G81" s="14"/>
      <c r="H81" s="14"/>
      <c r="I81" s="14"/>
      <c r="J81" s="14"/>
      <c r="K81" s="893"/>
      <c r="L81" s="893"/>
      <c r="M81" s="14"/>
      <c r="N81" s="14"/>
      <c r="O81" s="14"/>
      <c r="P81" s="14"/>
      <c r="Q81" s="14"/>
      <c r="R81" s="14"/>
      <c r="S81" s="14"/>
      <c r="T81" s="14"/>
      <c r="U81" s="13">
        <v>0</v>
      </c>
      <c r="V81" s="14"/>
      <c r="W81" s="14"/>
    </row>
    <row r="82" spans="1:29" s="887" customFormat="1" ht="30" x14ac:dyDescent="0.2">
      <c r="A82" s="44" t="s">
        <v>51</v>
      </c>
      <c r="B82" s="897" t="s">
        <v>52</v>
      </c>
      <c r="C82" s="19">
        <v>100</v>
      </c>
      <c r="D82" s="25">
        <v>960</v>
      </c>
      <c r="E82" s="25"/>
      <c r="F82" s="25"/>
      <c r="G82" s="25"/>
      <c r="H82" s="25"/>
      <c r="I82" s="25"/>
      <c r="J82" s="25">
        <v>960</v>
      </c>
      <c r="K82" s="25">
        <v>360</v>
      </c>
      <c r="L82" s="25">
        <v>600</v>
      </c>
      <c r="M82" s="25">
        <v>700</v>
      </c>
      <c r="N82" s="25"/>
      <c r="O82" s="25">
        <v>1650</v>
      </c>
      <c r="P82" s="893"/>
      <c r="Q82" s="25"/>
      <c r="R82" s="25"/>
      <c r="S82" s="25"/>
      <c r="T82" s="25"/>
      <c r="U82" s="13">
        <v>5230</v>
      </c>
      <c r="V82" s="25">
        <v>4549.95</v>
      </c>
      <c r="W82" s="15">
        <f t="shared" si="2"/>
        <v>237962.38500000001</v>
      </c>
    </row>
    <row r="83" spans="1:29" s="887" customFormat="1" ht="30" x14ac:dyDescent="0.2">
      <c r="A83" s="44" t="s">
        <v>53</v>
      </c>
      <c r="B83" s="897" t="s">
        <v>54</v>
      </c>
      <c r="C83" s="19">
        <v>100</v>
      </c>
      <c r="D83" s="25">
        <v>960</v>
      </c>
      <c r="E83" s="25"/>
      <c r="F83" s="25"/>
      <c r="G83" s="25"/>
      <c r="H83" s="25"/>
      <c r="I83" s="25"/>
      <c r="J83" s="25">
        <v>960</v>
      </c>
      <c r="K83" s="25">
        <v>360</v>
      </c>
      <c r="L83" s="25">
        <v>600</v>
      </c>
      <c r="M83" s="25">
        <v>700</v>
      </c>
      <c r="N83" s="25"/>
      <c r="O83" s="25">
        <v>1650</v>
      </c>
      <c r="P83" s="893"/>
      <c r="Q83" s="25"/>
      <c r="R83" s="25"/>
      <c r="S83" s="25"/>
      <c r="T83" s="25"/>
      <c r="U83" s="13">
        <v>5230</v>
      </c>
      <c r="V83" s="25">
        <v>2639.45</v>
      </c>
      <c r="W83" s="15">
        <f t="shared" si="2"/>
        <v>138043.23499999999</v>
      </c>
    </row>
    <row r="84" spans="1:29" s="887" customFormat="1" ht="30" x14ac:dyDescent="0.2">
      <c r="A84" s="44" t="s">
        <v>55</v>
      </c>
      <c r="B84" s="897" t="s">
        <v>56</v>
      </c>
      <c r="C84" s="19">
        <v>100</v>
      </c>
      <c r="D84" s="25">
        <v>960</v>
      </c>
      <c r="E84" s="25"/>
      <c r="F84" s="25"/>
      <c r="G84" s="25"/>
      <c r="H84" s="25"/>
      <c r="I84" s="25"/>
      <c r="J84" s="25">
        <v>960</v>
      </c>
      <c r="K84" s="25">
        <v>360</v>
      </c>
      <c r="L84" s="25">
        <v>600</v>
      </c>
      <c r="M84" s="25">
        <v>700</v>
      </c>
      <c r="N84" s="25"/>
      <c r="O84" s="25">
        <v>1650</v>
      </c>
      <c r="P84" s="893"/>
      <c r="Q84" s="25"/>
      <c r="R84" s="25"/>
      <c r="S84" s="25"/>
      <c r="T84" s="25"/>
      <c r="U84" s="13">
        <v>5230</v>
      </c>
      <c r="V84" s="25">
        <v>1960.75</v>
      </c>
      <c r="W84" s="15">
        <f t="shared" si="2"/>
        <v>102547.22500000001</v>
      </c>
    </row>
    <row r="85" spans="1:29" s="887" customFormat="1" x14ac:dyDescent="0.2">
      <c r="A85" s="120">
        <v>47</v>
      </c>
      <c r="B85" s="905" t="s">
        <v>419</v>
      </c>
      <c r="C85" s="12">
        <v>1000</v>
      </c>
      <c r="D85" s="25">
        <f>6480+3710</f>
        <v>10190</v>
      </c>
      <c r="E85" s="14"/>
      <c r="F85" s="14"/>
      <c r="G85" s="14">
        <v>8490</v>
      </c>
      <c r="H85" s="14">
        <f>5400+30345</f>
        <v>35745</v>
      </c>
      <c r="I85" s="14"/>
      <c r="J85" s="14">
        <v>9600</v>
      </c>
      <c r="K85" s="14">
        <v>3200</v>
      </c>
      <c r="L85" s="14">
        <v>4000</v>
      </c>
      <c r="M85" s="14">
        <v>6400</v>
      </c>
      <c r="N85" s="14"/>
      <c r="O85" s="14">
        <f>40500+5040</f>
        <v>45540</v>
      </c>
      <c r="P85" s="893"/>
      <c r="Q85" s="14"/>
      <c r="R85" s="14"/>
      <c r="S85" s="14"/>
      <c r="T85" s="14"/>
      <c r="U85" s="13">
        <v>123165</v>
      </c>
      <c r="V85" s="25">
        <v>10533.6</v>
      </c>
      <c r="W85" s="15">
        <f t="shared" si="2"/>
        <v>1297370.844</v>
      </c>
    </row>
    <row r="86" spans="1:29" s="887" customFormat="1" x14ac:dyDescent="0.2">
      <c r="A86" s="121">
        <v>48</v>
      </c>
      <c r="B86" s="884" t="s">
        <v>88</v>
      </c>
      <c r="C86" s="19">
        <v>100</v>
      </c>
      <c r="D86" s="33">
        <v>694.5</v>
      </c>
      <c r="E86" s="33">
        <v>848</v>
      </c>
      <c r="F86" s="33"/>
      <c r="G86" s="33">
        <v>3936</v>
      </c>
      <c r="H86" s="33">
        <v>5976</v>
      </c>
      <c r="I86" s="33">
        <v>4140</v>
      </c>
      <c r="J86" s="33"/>
      <c r="K86" s="33"/>
      <c r="L86" s="33"/>
      <c r="M86" s="33"/>
      <c r="N86" s="33"/>
      <c r="O86" s="33"/>
      <c r="P86" s="33"/>
      <c r="Q86" s="33"/>
      <c r="R86" s="33"/>
      <c r="S86" s="33"/>
      <c r="T86" s="33"/>
      <c r="U86" s="13">
        <v>15594.5</v>
      </c>
      <c r="V86" s="25">
        <v>4850.3999999999996</v>
      </c>
      <c r="W86" s="15">
        <f>V86*U86/C86</f>
        <v>756395.62800000003</v>
      </c>
    </row>
    <row r="87" spans="1:29" s="887" customFormat="1" x14ac:dyDescent="0.2">
      <c r="A87" s="121">
        <v>49</v>
      </c>
      <c r="B87" s="904" t="s">
        <v>168</v>
      </c>
      <c r="C87" s="12">
        <v>100</v>
      </c>
      <c r="D87" s="33"/>
      <c r="E87" s="33"/>
      <c r="F87" s="33"/>
      <c r="G87" s="33"/>
      <c r="H87" s="33">
        <v>2100</v>
      </c>
      <c r="I87" s="33"/>
      <c r="J87" s="33"/>
      <c r="K87" s="33"/>
      <c r="L87" s="33"/>
      <c r="M87" s="33"/>
      <c r="N87" s="33"/>
      <c r="O87" s="33"/>
      <c r="P87" s="33"/>
      <c r="Q87" s="33"/>
      <c r="R87" s="33"/>
      <c r="S87" s="33"/>
      <c r="T87" s="33"/>
      <c r="U87" s="13">
        <v>2100</v>
      </c>
      <c r="V87" s="13">
        <v>13527.4</v>
      </c>
      <c r="W87" s="15">
        <f>V87*U87/C87</f>
        <v>284075.40000000002</v>
      </c>
    </row>
    <row r="88" spans="1:29" s="887" customFormat="1" ht="75" x14ac:dyDescent="0.2">
      <c r="A88" s="121">
        <v>50</v>
      </c>
      <c r="B88" s="904" t="s">
        <v>169</v>
      </c>
      <c r="C88" s="19">
        <v>100</v>
      </c>
      <c r="D88" s="33"/>
      <c r="E88" s="33"/>
      <c r="F88" s="33"/>
      <c r="G88" s="33"/>
      <c r="H88" s="33">
        <v>2800</v>
      </c>
      <c r="I88" s="33"/>
      <c r="J88" s="33"/>
      <c r="K88" s="33"/>
      <c r="L88" s="33"/>
      <c r="M88" s="33"/>
      <c r="N88" s="33"/>
      <c r="O88" s="33"/>
      <c r="P88" s="33"/>
      <c r="Q88" s="33"/>
      <c r="R88" s="33"/>
      <c r="S88" s="33"/>
      <c r="T88" s="33"/>
      <c r="U88" s="13">
        <v>2800</v>
      </c>
      <c r="V88" s="40">
        <v>4549.95</v>
      </c>
      <c r="W88" s="15">
        <f>V88*U88/C88</f>
        <v>127398.6</v>
      </c>
    </row>
    <row r="89" spans="1:29" s="887" customFormat="1" ht="30" x14ac:dyDescent="0.2">
      <c r="A89" s="121">
        <v>51</v>
      </c>
      <c r="B89" s="904" t="s">
        <v>165</v>
      </c>
      <c r="C89" s="35" t="s">
        <v>166</v>
      </c>
      <c r="D89" s="33"/>
      <c r="E89" s="33"/>
      <c r="F89" s="33"/>
      <c r="G89" s="33"/>
      <c r="H89" s="33">
        <v>304.64</v>
      </c>
      <c r="I89" s="33"/>
      <c r="J89" s="33"/>
      <c r="K89" s="33"/>
      <c r="L89" s="33"/>
      <c r="M89" s="33"/>
      <c r="N89" s="33"/>
      <c r="O89" s="33"/>
      <c r="P89" s="33"/>
      <c r="Q89" s="33"/>
      <c r="R89" s="33"/>
      <c r="S89" s="33"/>
      <c r="T89" s="33"/>
      <c r="U89" s="13">
        <v>304.64</v>
      </c>
      <c r="V89" s="33">
        <v>72</v>
      </c>
      <c r="W89" s="15">
        <f>V89*U89</f>
        <v>21934.079999999998</v>
      </c>
    </row>
    <row r="90" spans="1:29" s="887" customFormat="1" ht="30" x14ac:dyDescent="0.2">
      <c r="A90" s="44">
        <v>52</v>
      </c>
      <c r="B90" s="884" t="s">
        <v>385</v>
      </c>
      <c r="C90" s="12">
        <v>1</v>
      </c>
      <c r="D90" s="25"/>
      <c r="E90" s="14"/>
      <c r="F90" s="14"/>
      <c r="G90" s="14"/>
      <c r="H90" s="14"/>
      <c r="I90" s="14"/>
      <c r="J90" s="14"/>
      <c r="K90" s="14"/>
      <c r="L90" s="14"/>
      <c r="M90" s="14"/>
      <c r="N90" s="14"/>
      <c r="O90" s="14">
        <v>59.4</v>
      </c>
      <c r="P90" s="893"/>
      <c r="Q90" s="14">
        <v>143.55000000000001</v>
      </c>
      <c r="R90" s="14"/>
      <c r="S90" s="14"/>
      <c r="T90" s="14"/>
      <c r="U90" s="13">
        <v>202.95000000000002</v>
      </c>
      <c r="V90" s="25">
        <v>17752.2</v>
      </c>
      <c r="W90" s="15">
        <f t="shared" si="2"/>
        <v>3602808.99</v>
      </c>
    </row>
    <row r="91" spans="1:29" s="887" customFormat="1" x14ac:dyDescent="0.2">
      <c r="A91" s="121">
        <v>53</v>
      </c>
      <c r="B91" s="906" t="s">
        <v>424</v>
      </c>
      <c r="C91" s="29">
        <v>1</v>
      </c>
      <c r="D91" s="25">
        <v>-82</v>
      </c>
      <c r="E91" s="15"/>
      <c r="F91" s="15"/>
      <c r="G91" s="15">
        <v>-768</v>
      </c>
      <c r="H91" s="15">
        <v>-23647.54</v>
      </c>
      <c r="I91" s="15"/>
      <c r="J91" s="15"/>
      <c r="K91" s="15"/>
      <c r="L91" s="15"/>
      <c r="M91" s="15"/>
      <c r="N91" s="15"/>
      <c r="O91" s="15">
        <f>-1267.5-1209</f>
        <v>-2476.5</v>
      </c>
      <c r="P91" s="15"/>
      <c r="Q91" s="15"/>
      <c r="R91" s="15"/>
      <c r="S91" s="15"/>
      <c r="T91" s="15"/>
      <c r="U91" s="13">
        <v>-26974.04</v>
      </c>
      <c r="V91" s="30">
        <v>170</v>
      </c>
      <c r="W91" s="15">
        <f>V91*U91/C91</f>
        <v>-4585586.8</v>
      </c>
      <c r="AB91" s="877">
        <f>Y92-X92</f>
        <v>-323045052.04827404</v>
      </c>
    </row>
    <row r="92" spans="1:29" s="887" customFormat="1" x14ac:dyDescent="0.2">
      <c r="A92" s="121">
        <v>54</v>
      </c>
      <c r="B92" s="906" t="s">
        <v>425</v>
      </c>
      <c r="C92" s="405">
        <v>100</v>
      </c>
      <c r="D92" s="25"/>
      <c r="E92" s="15"/>
      <c r="F92" s="15"/>
      <c r="G92" s="15"/>
      <c r="H92" s="15"/>
      <c r="I92" s="15"/>
      <c r="J92" s="15"/>
      <c r="K92" s="15"/>
      <c r="L92" s="15"/>
      <c r="M92" s="15"/>
      <c r="N92" s="15"/>
      <c r="O92" s="15">
        <f>-507.94-511.88</f>
        <v>-1019.8199999999999</v>
      </c>
      <c r="P92" s="15"/>
      <c r="Q92" s="15">
        <v>-803.25</v>
      </c>
      <c r="R92" s="15"/>
      <c r="S92" s="15"/>
      <c r="T92" s="15"/>
      <c r="U92" s="13">
        <v>-1823.07</v>
      </c>
      <c r="V92" s="30">
        <v>4100</v>
      </c>
      <c r="W92" s="15">
        <f>V92*U92/C92</f>
        <v>-74745.87</v>
      </c>
      <c r="X92" s="894">
        <f>SUM(W64:W92)</f>
        <v>531606278.04827404</v>
      </c>
      <c r="Y92" s="886">
        <v>208561226</v>
      </c>
      <c r="Z92" s="877">
        <f>Y92-X92</f>
        <v>-323045052.04827404</v>
      </c>
      <c r="AB92" s="877">
        <f>AB91+AC96</f>
        <v>-326079072.54057777</v>
      </c>
    </row>
    <row r="93" spans="1:29" s="887" customFormat="1" x14ac:dyDescent="0.2">
      <c r="A93" s="118">
        <v>55</v>
      </c>
      <c r="B93" s="884" t="s">
        <v>66</v>
      </c>
      <c r="C93" s="12">
        <v>1000</v>
      </c>
      <c r="D93" s="25"/>
      <c r="E93" s="14"/>
      <c r="F93" s="14"/>
      <c r="G93" s="14"/>
      <c r="H93" s="14">
        <v>60639.351906000011</v>
      </c>
      <c r="I93" s="14"/>
      <c r="J93" s="14">
        <v>44596.765778000001</v>
      </c>
      <c r="K93" s="14"/>
      <c r="L93" s="14">
        <v>25000.750577999999</v>
      </c>
      <c r="M93" s="14">
        <v>21403.790700999998</v>
      </c>
      <c r="N93" s="14"/>
      <c r="O93" s="14"/>
      <c r="P93" s="14">
        <v>125135.84964100001</v>
      </c>
      <c r="Q93" s="14"/>
      <c r="R93" s="14"/>
      <c r="S93" s="14"/>
      <c r="T93" s="14"/>
      <c r="U93" s="13">
        <v>333466.16890399996</v>
      </c>
      <c r="V93" s="14">
        <v>12038.4</v>
      </c>
      <c r="W93" s="15">
        <f>V93*U93/C93</f>
        <v>4014399.1277339128</v>
      </c>
      <c r="X93" s="894"/>
      <c r="Z93" s="886">
        <v>36383456.567040272</v>
      </c>
    </row>
    <row r="94" spans="1:29" s="887" customFormat="1" ht="30" x14ac:dyDescent="0.2">
      <c r="A94" s="44">
        <v>46</v>
      </c>
      <c r="B94" s="884" t="s">
        <v>70</v>
      </c>
      <c r="C94" s="12">
        <v>100</v>
      </c>
      <c r="D94" s="25">
        <v>80</v>
      </c>
      <c r="E94" s="14"/>
      <c r="F94" s="14"/>
      <c r="G94" s="14">
        <v>40</v>
      </c>
      <c r="H94" s="14"/>
      <c r="I94" s="14"/>
      <c r="J94" s="14">
        <v>440</v>
      </c>
      <c r="K94" s="30">
        <v>160</v>
      </c>
      <c r="L94" s="14">
        <v>440</v>
      </c>
      <c r="M94" s="14">
        <v>560</v>
      </c>
      <c r="N94" s="14">
        <v>160</v>
      </c>
      <c r="O94" s="14"/>
      <c r="P94" s="14"/>
      <c r="Q94" s="14"/>
      <c r="R94" s="14"/>
      <c r="S94" s="14"/>
      <c r="T94" s="14"/>
      <c r="U94" s="13">
        <v>13799.150000000001</v>
      </c>
      <c r="V94" s="25">
        <v>35727</v>
      </c>
      <c r="W94" s="15">
        <f t="shared" si="2"/>
        <v>4930022.3205000004</v>
      </c>
      <c r="X94" s="894"/>
    </row>
    <row r="95" spans="1:29" s="887" customFormat="1" x14ac:dyDescent="0.2">
      <c r="A95" s="44">
        <v>57</v>
      </c>
      <c r="B95" s="907" t="s">
        <v>72</v>
      </c>
      <c r="C95" s="34">
        <v>1</v>
      </c>
      <c r="D95" s="25">
        <v>70</v>
      </c>
      <c r="E95" s="14"/>
      <c r="F95" s="14"/>
      <c r="G95" s="14">
        <v>50</v>
      </c>
      <c r="H95" s="14"/>
      <c r="I95" s="14"/>
      <c r="J95" s="14">
        <v>450</v>
      </c>
      <c r="K95" s="30">
        <v>160</v>
      </c>
      <c r="L95" s="14">
        <v>380</v>
      </c>
      <c r="M95" s="14">
        <v>470</v>
      </c>
      <c r="N95" s="14">
        <v>90</v>
      </c>
      <c r="O95" s="14"/>
      <c r="P95" s="14"/>
      <c r="Q95" s="14"/>
      <c r="R95" s="14"/>
      <c r="S95" s="14"/>
      <c r="T95" s="14"/>
      <c r="U95" s="13">
        <v>1670</v>
      </c>
      <c r="V95" s="14">
        <v>1381</v>
      </c>
      <c r="W95" s="15">
        <f t="shared" si="2"/>
        <v>2306270</v>
      </c>
    </row>
    <row r="96" spans="1:29" s="887" customFormat="1" ht="15.75" x14ac:dyDescent="0.2">
      <c r="A96" s="127">
        <v>58</v>
      </c>
      <c r="B96" s="884" t="s">
        <v>158</v>
      </c>
      <c r="C96" s="12">
        <v>100</v>
      </c>
      <c r="D96" s="899"/>
      <c r="E96" s="900"/>
      <c r="F96" s="900"/>
      <c r="G96" s="14">
        <v>93240</v>
      </c>
      <c r="H96" s="900"/>
      <c r="I96" s="900"/>
      <c r="J96" s="900"/>
      <c r="K96" s="900"/>
      <c r="L96" s="900"/>
      <c r="M96" s="900"/>
      <c r="N96" s="900"/>
      <c r="O96" s="900"/>
      <c r="P96" s="900"/>
      <c r="Q96" s="900"/>
      <c r="R96" s="900"/>
      <c r="S96" s="900"/>
      <c r="T96" s="900"/>
      <c r="U96" s="13">
        <v>93240</v>
      </c>
      <c r="V96" s="25">
        <v>3762</v>
      </c>
      <c r="W96" s="15">
        <v>3507688.8</v>
      </c>
      <c r="X96" s="886">
        <v>89611262</v>
      </c>
      <c r="Y96" s="894">
        <f>SUM(W96:W110)</f>
        <v>92645282.492303729</v>
      </c>
      <c r="Z96" s="877">
        <f>Y96-X96</f>
        <v>3034020.4923037291</v>
      </c>
      <c r="AC96" s="877">
        <f>X96-Y96</f>
        <v>-3034020.4923037291</v>
      </c>
    </row>
    <row r="97" spans="1:27" s="887" customFormat="1" ht="30" x14ac:dyDescent="0.2">
      <c r="A97" s="118">
        <v>59</v>
      </c>
      <c r="B97" s="884" t="s">
        <v>159</v>
      </c>
      <c r="C97" s="12">
        <v>100</v>
      </c>
      <c r="D97" s="25"/>
      <c r="E97" s="14"/>
      <c r="F97" s="14"/>
      <c r="G97" s="14">
        <v>126000</v>
      </c>
      <c r="H97" s="14"/>
      <c r="I97" s="14"/>
      <c r="J97" s="14"/>
      <c r="K97" s="14"/>
      <c r="L97" s="14"/>
      <c r="M97" s="14"/>
      <c r="N97" s="14"/>
      <c r="O97" s="14"/>
      <c r="P97" s="14"/>
      <c r="Q97" s="14"/>
      <c r="R97" s="14"/>
      <c r="S97" s="14"/>
      <c r="T97" s="408"/>
      <c r="U97" s="13">
        <v>126000</v>
      </c>
      <c r="V97" s="25">
        <v>4743.75</v>
      </c>
      <c r="W97" s="15">
        <f>V97*U97/C97</f>
        <v>5977125</v>
      </c>
      <c r="AA97" s="877">
        <f>Z96+Z92</f>
        <v>-320011031.55597031</v>
      </c>
    </row>
    <row r="98" spans="1:27" s="887" customFormat="1" ht="30" x14ac:dyDescent="0.2">
      <c r="A98" s="118">
        <v>60</v>
      </c>
      <c r="B98" s="884" t="s">
        <v>75</v>
      </c>
      <c r="C98" s="12">
        <v>100</v>
      </c>
      <c r="D98" s="25">
        <v>476.44</v>
      </c>
      <c r="E98" s="14">
        <v>355.5</v>
      </c>
      <c r="F98" s="14">
        <v>312.56</v>
      </c>
      <c r="G98" s="14">
        <v>3745.5</v>
      </c>
      <c r="H98" s="14">
        <v>10945.44</v>
      </c>
      <c r="I98" s="14"/>
      <c r="J98" s="14">
        <v>10137.189999999999</v>
      </c>
      <c r="K98" s="14">
        <v>269.25</v>
      </c>
      <c r="L98" s="14">
        <v>6208.72</v>
      </c>
      <c r="M98" s="14">
        <v>6208.72</v>
      </c>
      <c r="N98" s="14">
        <v>148.5</v>
      </c>
      <c r="O98" s="14">
        <v>967.12999999999988</v>
      </c>
      <c r="P98" s="14">
        <v>5141.1400000000003</v>
      </c>
      <c r="Q98" s="14">
        <v>2700.32</v>
      </c>
      <c r="R98" s="14">
        <v>967.13</v>
      </c>
      <c r="S98" s="14">
        <v>967.12999999999988</v>
      </c>
      <c r="T98" s="408">
        <v>967.12999999999988</v>
      </c>
      <c r="U98" s="13">
        <v>50517.799999999988</v>
      </c>
      <c r="V98" s="25">
        <v>6849</v>
      </c>
      <c r="W98" s="15">
        <f>V98*U98/C98</f>
        <v>3459964.1219999995</v>
      </c>
    </row>
    <row r="99" spans="1:27" s="887" customFormat="1" x14ac:dyDescent="0.2">
      <c r="A99" s="44">
        <v>61</v>
      </c>
      <c r="B99" s="883" t="s">
        <v>76</v>
      </c>
      <c r="C99" s="19">
        <v>100</v>
      </c>
      <c r="D99" s="25">
        <v>735.36749999999995</v>
      </c>
      <c r="E99" s="14">
        <v>681.66000000000008</v>
      </c>
      <c r="F99" s="14">
        <v>525.12249999999995</v>
      </c>
      <c r="G99" s="14">
        <v>72754.37000000001</v>
      </c>
      <c r="H99" s="14">
        <v>6058.7160000000003</v>
      </c>
      <c r="I99" s="14"/>
      <c r="J99" s="14">
        <v>3737.0541800000001</v>
      </c>
      <c r="K99" s="14">
        <v>480.69</v>
      </c>
      <c r="L99" s="14">
        <v>2589.8832000000002</v>
      </c>
      <c r="M99" s="14">
        <v>3457.1106</v>
      </c>
      <c r="N99" s="14">
        <v>422.73</v>
      </c>
      <c r="O99" s="14">
        <v>614.72448000000009</v>
      </c>
      <c r="P99" s="14"/>
      <c r="Q99" s="14">
        <v>785.33279999999991</v>
      </c>
      <c r="R99" s="14">
        <v>614.72</v>
      </c>
      <c r="S99" s="14">
        <v>594.53279999999995</v>
      </c>
      <c r="T99" s="408">
        <v>594.53279999999995</v>
      </c>
      <c r="U99" s="13">
        <v>94646.546860000017</v>
      </c>
      <c r="V99" s="25">
        <v>2265.1</v>
      </c>
      <c r="W99" s="15">
        <f t="shared" ref="W99:W110" si="3">V99*U99/C99</f>
        <v>2143838.9329258604</v>
      </c>
    </row>
    <row r="100" spans="1:27" s="887" customFormat="1" x14ac:dyDescent="0.2">
      <c r="A100" s="44">
        <v>62</v>
      </c>
      <c r="B100" s="883" t="s">
        <v>77</v>
      </c>
      <c r="C100" s="19">
        <v>100</v>
      </c>
      <c r="D100" s="25">
        <v>130.5</v>
      </c>
      <c r="E100" s="14">
        <v>126</v>
      </c>
      <c r="F100" s="14">
        <v>129.5</v>
      </c>
      <c r="G100" s="14">
        <v>12167</v>
      </c>
      <c r="H100" s="14">
        <v>594.66</v>
      </c>
      <c r="I100" s="14"/>
      <c r="J100" s="14">
        <v>631.16</v>
      </c>
      <c r="K100" s="14">
        <v>126</v>
      </c>
      <c r="L100" s="14">
        <v>524.66</v>
      </c>
      <c r="M100" s="14">
        <v>524.66</v>
      </c>
      <c r="N100" s="14">
        <v>126</v>
      </c>
      <c r="O100" s="14">
        <v>96</v>
      </c>
      <c r="P100" s="14"/>
      <c r="Q100" s="14">
        <v>136</v>
      </c>
      <c r="R100" s="14">
        <v>96</v>
      </c>
      <c r="S100" s="14">
        <v>96</v>
      </c>
      <c r="T100" s="408">
        <v>96</v>
      </c>
      <c r="U100" s="13">
        <v>15600.14</v>
      </c>
      <c r="V100" s="25">
        <v>1660.5</v>
      </c>
      <c r="W100" s="15">
        <f t="shared" si="3"/>
        <v>259040.3247</v>
      </c>
    </row>
    <row r="101" spans="1:27" s="887" customFormat="1" x14ac:dyDescent="0.2">
      <c r="A101" s="118">
        <v>63</v>
      </c>
      <c r="B101" s="884" t="s">
        <v>78</v>
      </c>
      <c r="C101" s="12">
        <v>100</v>
      </c>
      <c r="D101" s="25">
        <v>242.67</v>
      </c>
      <c r="E101" s="14">
        <v>224.94</v>
      </c>
      <c r="F101" s="14">
        <v>173.29</v>
      </c>
      <c r="G101" s="14">
        <v>24008.94</v>
      </c>
      <c r="H101" s="14">
        <v>2001.64428</v>
      </c>
      <c r="I101" s="14"/>
      <c r="J101" s="14">
        <v>1233.5999999999999</v>
      </c>
      <c r="K101" s="14">
        <v>158.63</v>
      </c>
      <c r="L101" s="14">
        <v>854.70999999999992</v>
      </c>
      <c r="M101" s="14">
        <v>1140.8899999999999</v>
      </c>
      <c r="N101" s="14">
        <v>139.5</v>
      </c>
      <c r="O101" s="14">
        <v>202.85907840000004</v>
      </c>
      <c r="P101" s="14">
        <v>812.42</v>
      </c>
      <c r="Q101" s="14">
        <v>259.15982400000001</v>
      </c>
      <c r="R101" s="14">
        <v>202.86</v>
      </c>
      <c r="S101" s="14">
        <v>196.19582400000002</v>
      </c>
      <c r="T101" s="408">
        <v>196.19582400000002</v>
      </c>
      <c r="U101" s="13">
        <v>32048.504830399994</v>
      </c>
      <c r="V101" s="25">
        <v>18564.099999999999</v>
      </c>
      <c r="W101" s="15">
        <f t="shared" si="3"/>
        <v>5949516.4852202842</v>
      </c>
    </row>
    <row r="102" spans="1:27" s="887" customFormat="1" x14ac:dyDescent="0.2">
      <c r="A102" s="118">
        <v>64</v>
      </c>
      <c r="B102" s="884" t="s">
        <v>79</v>
      </c>
      <c r="C102" s="12">
        <v>100</v>
      </c>
      <c r="D102" s="25">
        <v>242.67</v>
      </c>
      <c r="E102" s="14">
        <v>224.94</v>
      </c>
      <c r="F102" s="14">
        <v>173.29</v>
      </c>
      <c r="G102" s="14">
        <v>24008.94</v>
      </c>
      <c r="H102" s="14">
        <v>2001.64428</v>
      </c>
      <c r="I102" s="14"/>
      <c r="J102" s="14">
        <v>1233.5999999999999</v>
      </c>
      <c r="K102" s="14">
        <v>158.63</v>
      </c>
      <c r="L102" s="14">
        <v>854.70999999999992</v>
      </c>
      <c r="M102" s="14">
        <v>1140.8899999999999</v>
      </c>
      <c r="N102" s="14">
        <v>139.5</v>
      </c>
      <c r="O102" s="14">
        <v>202.85907840000004</v>
      </c>
      <c r="P102" s="14">
        <v>812.42</v>
      </c>
      <c r="Q102" s="14">
        <v>259.15982400000001</v>
      </c>
      <c r="R102" s="14">
        <v>202.86</v>
      </c>
      <c r="S102" s="14">
        <v>196.19582400000002</v>
      </c>
      <c r="T102" s="408">
        <v>196.19582400000002</v>
      </c>
      <c r="U102" s="13">
        <v>32048.504830399994</v>
      </c>
      <c r="V102" s="25">
        <v>18564.099999999999</v>
      </c>
      <c r="W102" s="15">
        <f t="shared" si="3"/>
        <v>5949516.4852202842</v>
      </c>
    </row>
    <row r="103" spans="1:27" s="887" customFormat="1" x14ac:dyDescent="0.2">
      <c r="A103" s="118">
        <v>65</v>
      </c>
      <c r="B103" s="884" t="s">
        <v>80</v>
      </c>
      <c r="C103" s="12">
        <v>100</v>
      </c>
      <c r="D103" s="25">
        <v>43.07</v>
      </c>
      <c r="E103" s="14">
        <v>41.58</v>
      </c>
      <c r="F103" s="14">
        <v>42.739999999999995</v>
      </c>
      <c r="G103" s="14">
        <v>4015.11</v>
      </c>
      <c r="H103" s="14">
        <v>196.4178</v>
      </c>
      <c r="I103" s="14"/>
      <c r="J103" s="14">
        <v>208.28</v>
      </c>
      <c r="K103" s="14">
        <v>41.58</v>
      </c>
      <c r="L103" s="14">
        <v>173.14</v>
      </c>
      <c r="M103" s="14">
        <v>173.14</v>
      </c>
      <c r="N103" s="14">
        <v>41.58</v>
      </c>
      <c r="O103" s="14">
        <v>31.68</v>
      </c>
      <c r="P103" s="14">
        <v>147.4</v>
      </c>
      <c r="Q103" s="14">
        <v>54.33120000000001</v>
      </c>
      <c r="R103" s="14">
        <v>31.68</v>
      </c>
      <c r="S103" s="14">
        <v>31.68</v>
      </c>
      <c r="T103" s="408">
        <v>31.68</v>
      </c>
      <c r="U103" s="13">
        <v>5305.0890000000009</v>
      </c>
      <c r="V103" s="25">
        <v>18017.599999999999</v>
      </c>
      <c r="W103" s="15">
        <f t="shared" si="3"/>
        <v>955849.71566400002</v>
      </c>
    </row>
    <row r="104" spans="1:27" s="887" customFormat="1" x14ac:dyDescent="0.2">
      <c r="A104" s="118">
        <v>66</v>
      </c>
      <c r="B104" s="884" t="s">
        <v>81</v>
      </c>
      <c r="C104" s="12">
        <v>100</v>
      </c>
      <c r="D104" s="25">
        <v>43.07</v>
      </c>
      <c r="E104" s="14">
        <v>41.58</v>
      </c>
      <c r="F104" s="14">
        <v>42.739999999999995</v>
      </c>
      <c r="G104" s="14">
        <v>4015.11</v>
      </c>
      <c r="H104" s="14">
        <v>196.4178</v>
      </c>
      <c r="I104" s="14"/>
      <c r="J104" s="14">
        <v>208.28</v>
      </c>
      <c r="K104" s="14">
        <v>41.58</v>
      </c>
      <c r="L104" s="14">
        <v>173.14</v>
      </c>
      <c r="M104" s="14">
        <v>173.14</v>
      </c>
      <c r="N104" s="14">
        <v>41.58</v>
      </c>
      <c r="O104" s="14">
        <v>31.68</v>
      </c>
      <c r="P104" s="14">
        <v>147.4</v>
      </c>
      <c r="Q104" s="14">
        <v>54.33120000000001</v>
      </c>
      <c r="R104" s="25">
        <v>31.68</v>
      </c>
      <c r="S104" s="14">
        <v>31.68</v>
      </c>
      <c r="T104" s="408">
        <v>31.68</v>
      </c>
      <c r="U104" s="13">
        <v>5305.0890000000009</v>
      </c>
      <c r="V104" s="25">
        <v>18017.599999999999</v>
      </c>
      <c r="W104" s="15">
        <f t="shared" si="3"/>
        <v>955849.71566400002</v>
      </c>
    </row>
    <row r="105" spans="1:27" s="887" customFormat="1" x14ac:dyDescent="0.2">
      <c r="A105" s="118">
        <v>67</v>
      </c>
      <c r="B105" s="884" t="s">
        <v>82</v>
      </c>
      <c r="C105" s="12">
        <v>100</v>
      </c>
      <c r="D105" s="25">
        <v>735.37</v>
      </c>
      <c r="E105" s="14">
        <v>681.66000000000008</v>
      </c>
      <c r="F105" s="14">
        <v>525.12</v>
      </c>
      <c r="G105" s="14">
        <v>72754.37000000001</v>
      </c>
      <c r="H105" s="14">
        <v>6058.72</v>
      </c>
      <c r="I105" s="14"/>
      <c r="J105" s="14">
        <v>3738.19</v>
      </c>
      <c r="K105" s="14">
        <v>480.69</v>
      </c>
      <c r="L105" s="14">
        <v>2590.02</v>
      </c>
      <c r="M105" s="14">
        <v>3457.25</v>
      </c>
      <c r="N105" s="14">
        <v>422.73</v>
      </c>
      <c r="O105" s="14">
        <v>614.72448000000009</v>
      </c>
      <c r="P105" s="14">
        <v>2461.88</v>
      </c>
      <c r="Q105" s="14">
        <v>785.33279999999991</v>
      </c>
      <c r="R105" s="25">
        <v>614.72</v>
      </c>
      <c r="S105" s="14">
        <v>594.53279999999995</v>
      </c>
      <c r="T105" s="408">
        <v>594.53279999999995</v>
      </c>
      <c r="U105" s="13">
        <v>97109.842880000026</v>
      </c>
      <c r="V105" s="25">
        <v>11511</v>
      </c>
      <c r="W105" s="15">
        <f t="shared" si="3"/>
        <v>11178314.013916802</v>
      </c>
    </row>
    <row r="106" spans="1:27" s="887" customFormat="1" x14ac:dyDescent="0.2">
      <c r="A106" s="118">
        <v>68</v>
      </c>
      <c r="B106" s="884" t="s">
        <v>83</v>
      </c>
      <c r="C106" s="12">
        <v>100</v>
      </c>
      <c r="D106" s="25">
        <v>130.5</v>
      </c>
      <c r="E106" s="14">
        <v>126</v>
      </c>
      <c r="F106" s="14">
        <v>129.5</v>
      </c>
      <c r="G106" s="14">
        <v>12167</v>
      </c>
      <c r="H106" s="14">
        <v>594.66</v>
      </c>
      <c r="I106" s="14"/>
      <c r="J106" s="14">
        <v>631.16</v>
      </c>
      <c r="K106" s="14">
        <v>126</v>
      </c>
      <c r="L106" s="14">
        <v>173.14</v>
      </c>
      <c r="M106" s="14">
        <v>173.14</v>
      </c>
      <c r="N106" s="14">
        <v>126</v>
      </c>
      <c r="O106" s="14">
        <v>96</v>
      </c>
      <c r="P106" s="14">
        <v>446.68</v>
      </c>
      <c r="Q106" s="14">
        <v>164.64</v>
      </c>
      <c r="R106" s="14">
        <v>96</v>
      </c>
      <c r="S106" s="14">
        <v>96</v>
      </c>
      <c r="T106" s="408">
        <v>96</v>
      </c>
      <c r="U106" s="13">
        <v>15372.419999999998</v>
      </c>
      <c r="V106" s="25">
        <v>10570.5</v>
      </c>
      <c r="W106" s="15">
        <f t="shared" si="3"/>
        <v>1624941.6560999998</v>
      </c>
    </row>
    <row r="107" spans="1:27" s="887" customFormat="1" ht="30" x14ac:dyDescent="0.2">
      <c r="A107" s="118">
        <v>69</v>
      </c>
      <c r="B107" s="908" t="s">
        <v>84</v>
      </c>
      <c r="C107" s="12">
        <v>100</v>
      </c>
      <c r="D107" s="25">
        <v>1682.2379999999998</v>
      </c>
      <c r="E107" s="14">
        <v>1449.117</v>
      </c>
      <c r="F107" s="14">
        <v>1207.5</v>
      </c>
      <c r="G107" s="14">
        <v>152322.06900000002</v>
      </c>
      <c r="H107" s="14">
        <v>47639.451745000006</v>
      </c>
      <c r="I107" s="14"/>
      <c r="J107" s="14">
        <v>33005.504368000002</v>
      </c>
      <c r="K107" s="14">
        <v>1091.5155</v>
      </c>
      <c r="L107" s="14">
        <v>20947.183422000002</v>
      </c>
      <c r="M107" s="14">
        <v>21997.199982000006</v>
      </c>
      <c r="N107" s="14">
        <v>858.95100000000002</v>
      </c>
      <c r="O107" s="14">
        <v>11198.249675999999</v>
      </c>
      <c r="P107" s="14">
        <v>36777.199999999997</v>
      </c>
      <c r="Q107" s="14">
        <v>10655.627760000001</v>
      </c>
      <c r="R107" s="14">
        <v>11198.25</v>
      </c>
      <c r="S107" s="14">
        <v>5817.7796600000001</v>
      </c>
      <c r="T107" s="408">
        <v>6679.8968599999989</v>
      </c>
      <c r="U107" s="13">
        <v>364527.73397300002</v>
      </c>
      <c r="V107" s="25">
        <v>14042.6</v>
      </c>
      <c r="W107" s="15">
        <f t="shared" si="3"/>
        <v>51189171.570892505</v>
      </c>
    </row>
    <row r="108" spans="1:27" s="887" customFormat="1" x14ac:dyDescent="0.2">
      <c r="A108" s="990">
        <v>70</v>
      </c>
      <c r="B108" s="883" t="s">
        <v>334</v>
      </c>
      <c r="C108" s="12"/>
      <c r="D108" s="12"/>
      <c r="E108" s="12"/>
      <c r="F108" s="12"/>
      <c r="G108" s="12"/>
      <c r="H108" s="12"/>
      <c r="I108" s="12"/>
      <c r="J108" s="12"/>
      <c r="K108" s="12"/>
      <c r="L108" s="12"/>
      <c r="M108" s="12"/>
      <c r="N108" s="12"/>
      <c r="O108" s="12"/>
      <c r="P108" s="12"/>
      <c r="Q108" s="12"/>
      <c r="R108" s="12"/>
      <c r="S108" s="12"/>
      <c r="T108" s="409"/>
      <c r="U108" s="13">
        <v>0</v>
      </c>
      <c r="V108" s="12"/>
      <c r="W108" s="15" t="s">
        <v>440</v>
      </c>
    </row>
    <row r="109" spans="1:27" s="887" customFormat="1" x14ac:dyDescent="0.2">
      <c r="A109" s="991"/>
      <c r="B109" s="883" t="s">
        <v>337</v>
      </c>
      <c r="C109" s="29">
        <v>1</v>
      </c>
      <c r="D109" s="25"/>
      <c r="E109" s="14"/>
      <c r="F109" s="14"/>
      <c r="G109" s="14"/>
      <c r="H109" s="14"/>
      <c r="I109" s="14"/>
      <c r="J109" s="14"/>
      <c r="K109" s="14"/>
      <c r="L109" s="14"/>
      <c r="M109" s="14"/>
      <c r="N109" s="14"/>
      <c r="O109" s="14">
        <v>1267.5</v>
      </c>
      <c r="P109" s="14"/>
      <c r="Q109" s="14"/>
      <c r="R109" s="14">
        <v>1267.5</v>
      </c>
      <c r="S109" s="14"/>
      <c r="T109" s="408"/>
      <c r="U109" s="13">
        <v>2535</v>
      </c>
      <c r="V109" s="25">
        <v>-170</v>
      </c>
      <c r="W109" s="15">
        <f t="shared" si="3"/>
        <v>-430950</v>
      </c>
    </row>
    <row r="110" spans="1:27" s="887" customFormat="1" x14ac:dyDescent="0.2">
      <c r="A110" s="992"/>
      <c r="B110" s="883" t="s">
        <v>335</v>
      </c>
      <c r="C110" s="12">
        <v>100</v>
      </c>
      <c r="D110" s="25"/>
      <c r="E110" s="14"/>
      <c r="F110" s="14"/>
      <c r="G110" s="14"/>
      <c r="H110" s="14"/>
      <c r="I110" s="14"/>
      <c r="J110" s="14"/>
      <c r="K110" s="14"/>
      <c r="L110" s="14"/>
      <c r="M110" s="14"/>
      <c r="N110" s="14"/>
      <c r="O110" s="14">
        <v>507.94</v>
      </c>
      <c r="P110" s="14"/>
      <c r="Q110" s="14">
        <v>803.25</v>
      </c>
      <c r="R110" s="14">
        <v>507.94</v>
      </c>
      <c r="S110" s="14"/>
      <c r="T110" s="408"/>
      <c r="U110" s="13">
        <v>1819.13</v>
      </c>
      <c r="V110" s="25">
        <v>-4100</v>
      </c>
      <c r="W110" s="15">
        <f t="shared" si="3"/>
        <v>-74584.33</v>
      </c>
      <c r="X110" s="894">
        <f>SUM(W111:W154)</f>
        <v>55936171.433729991</v>
      </c>
      <c r="Y110" s="886">
        <f>1364663*37</f>
        <v>50492531</v>
      </c>
    </row>
    <row r="111" spans="1:27" s="887" customFormat="1" ht="45" x14ac:dyDescent="0.2">
      <c r="A111" s="118">
        <v>71</v>
      </c>
      <c r="B111" s="884" t="s">
        <v>90</v>
      </c>
      <c r="C111" s="12">
        <v>1000</v>
      </c>
      <c r="D111" s="25">
        <v>2179.5676332792</v>
      </c>
      <c r="E111" s="14">
        <v>1089.7838166396</v>
      </c>
      <c r="F111" s="14"/>
      <c r="G111" s="14">
        <v>3814.2433582386002</v>
      </c>
      <c r="H111" s="14">
        <v>2724.4595415989997</v>
      </c>
      <c r="I111" s="14"/>
      <c r="J111" s="14">
        <v>6538.7028998375999</v>
      </c>
      <c r="K111" s="14">
        <v>544.8919083198</v>
      </c>
      <c r="L111" s="14"/>
      <c r="M111" s="14"/>
      <c r="N111" s="14">
        <v>544.8919083198</v>
      </c>
      <c r="O111" s="14"/>
      <c r="P111" s="14">
        <v>2724.4595415989997</v>
      </c>
      <c r="Q111" s="14"/>
      <c r="R111" s="14"/>
      <c r="S111" s="14"/>
      <c r="T111" s="14"/>
      <c r="U111" s="13">
        <v>20161.000607832604</v>
      </c>
      <c r="V111" s="14">
        <v>15824.15</v>
      </c>
      <c r="W111" s="15">
        <f t="shared" ref="W111:W150" si="4">V111*U111/C111</f>
        <v>319030.6977684343</v>
      </c>
      <c r="X111" s="877">
        <f>K111*37</f>
        <v>20161.000607832601</v>
      </c>
      <c r="Y111" s="877">
        <f>U111-X111</f>
        <v>0</v>
      </c>
      <c r="Z111" s="894">
        <f>SUM(W111:W154)</f>
        <v>55936171.433729991</v>
      </c>
    </row>
    <row r="112" spans="1:27" s="887" customFormat="1" ht="60" x14ac:dyDescent="0.2">
      <c r="A112" s="118">
        <v>72</v>
      </c>
      <c r="B112" s="908" t="s">
        <v>91</v>
      </c>
      <c r="C112" s="19">
        <v>1</v>
      </c>
      <c r="D112" s="25">
        <v>2034</v>
      </c>
      <c r="E112" s="14">
        <v>1017</v>
      </c>
      <c r="F112" s="14"/>
      <c r="G112" s="14">
        <v>3559.5</v>
      </c>
      <c r="H112" s="14">
        <v>2542.5</v>
      </c>
      <c r="I112" s="14"/>
      <c r="J112" s="14">
        <v>6102</v>
      </c>
      <c r="K112" s="14">
        <v>508.5</v>
      </c>
      <c r="L112" s="14"/>
      <c r="M112" s="14"/>
      <c r="N112" s="14">
        <v>508.5</v>
      </c>
      <c r="O112" s="14"/>
      <c r="P112" s="14">
        <v>2542.5</v>
      </c>
      <c r="Q112" s="14"/>
      <c r="R112" s="14"/>
      <c r="S112" s="14"/>
      <c r="T112" s="14"/>
      <c r="U112" s="13">
        <v>18814.5</v>
      </c>
      <c r="V112" s="25">
        <v>12.55</v>
      </c>
      <c r="W112" s="15">
        <f t="shared" si="4"/>
        <v>236121.97500000001</v>
      </c>
      <c r="X112" s="877">
        <f t="shared" ref="X112:X154" si="5">K112*37</f>
        <v>18814.5</v>
      </c>
      <c r="Y112" s="877">
        <f t="shared" ref="Y112:Y154" si="6">U112-X112</f>
        <v>0</v>
      </c>
    </row>
    <row r="113" spans="1:26" s="887" customFormat="1" ht="45" x14ac:dyDescent="0.2">
      <c r="A113" s="44">
        <v>73</v>
      </c>
      <c r="B113" s="884" t="s">
        <v>93</v>
      </c>
      <c r="C113" s="19">
        <v>100</v>
      </c>
      <c r="D113" s="25">
        <v>480</v>
      </c>
      <c r="E113" s="14">
        <v>240</v>
      </c>
      <c r="F113" s="14"/>
      <c r="G113" s="14">
        <v>840</v>
      </c>
      <c r="H113" s="14">
        <v>600</v>
      </c>
      <c r="I113" s="14"/>
      <c r="J113" s="14">
        <v>1440</v>
      </c>
      <c r="K113" s="14">
        <v>120</v>
      </c>
      <c r="L113" s="14"/>
      <c r="M113" s="14"/>
      <c r="N113" s="14">
        <v>120</v>
      </c>
      <c r="O113" s="14"/>
      <c r="P113" s="14">
        <v>600</v>
      </c>
      <c r="Q113" s="14"/>
      <c r="R113" s="14"/>
      <c r="S113" s="14"/>
      <c r="T113" s="14"/>
      <c r="U113" s="13">
        <v>13211.49</v>
      </c>
      <c r="V113" s="14">
        <v>7607.35</v>
      </c>
      <c r="W113" s="15">
        <f t="shared" si="4"/>
        <v>1005044.2845149999</v>
      </c>
      <c r="X113" s="877">
        <f t="shared" si="5"/>
        <v>4440</v>
      </c>
      <c r="Y113" s="877"/>
    </row>
    <row r="114" spans="1:26" s="887" customFormat="1" x14ac:dyDescent="0.2">
      <c r="A114" s="44">
        <v>74</v>
      </c>
      <c r="B114" s="884" t="s">
        <v>94</v>
      </c>
      <c r="C114" s="12">
        <v>1000</v>
      </c>
      <c r="D114" s="25">
        <v>600</v>
      </c>
      <c r="E114" s="14">
        <v>300</v>
      </c>
      <c r="F114" s="14"/>
      <c r="G114" s="14">
        <v>1050</v>
      </c>
      <c r="H114" s="14">
        <v>750</v>
      </c>
      <c r="I114" s="14"/>
      <c r="J114" s="14">
        <v>1800</v>
      </c>
      <c r="K114" s="14">
        <v>150</v>
      </c>
      <c r="L114" s="14"/>
      <c r="M114" s="14"/>
      <c r="N114" s="14">
        <v>150</v>
      </c>
      <c r="O114" s="14"/>
      <c r="P114" s="14">
        <v>750</v>
      </c>
      <c r="Q114" s="14"/>
      <c r="R114" s="14"/>
      <c r="S114" s="14"/>
      <c r="T114" s="14"/>
      <c r="U114" s="13">
        <v>37224.369999999995</v>
      </c>
      <c r="V114" s="14">
        <v>7547.75</v>
      </c>
      <c r="W114" s="15">
        <f t="shared" si="4"/>
        <v>280960.23866749997</v>
      </c>
      <c r="X114" s="877">
        <f t="shared" si="5"/>
        <v>5550</v>
      </c>
      <c r="Y114" s="877"/>
    </row>
    <row r="115" spans="1:26" s="887" customFormat="1" ht="30" x14ac:dyDescent="0.2">
      <c r="A115" s="44">
        <v>75</v>
      </c>
      <c r="B115" s="884" t="s">
        <v>95</v>
      </c>
      <c r="C115" s="12">
        <v>100</v>
      </c>
      <c r="D115" s="25">
        <v>1163.5999999999999</v>
      </c>
      <c r="E115" s="14">
        <v>581.79999999999995</v>
      </c>
      <c r="F115" s="14"/>
      <c r="G115" s="14">
        <v>2036.2999999999997</v>
      </c>
      <c r="H115" s="14">
        <v>1454.5</v>
      </c>
      <c r="I115" s="14"/>
      <c r="J115" s="14">
        <v>3490.7999999999997</v>
      </c>
      <c r="K115" s="14">
        <v>290.89999999999998</v>
      </c>
      <c r="L115" s="14"/>
      <c r="M115" s="14"/>
      <c r="N115" s="14">
        <v>290.89999999999998</v>
      </c>
      <c r="O115" s="14"/>
      <c r="P115" s="14">
        <v>1454.5</v>
      </c>
      <c r="Q115" s="14"/>
      <c r="R115" s="14"/>
      <c r="S115" s="14"/>
      <c r="T115" s="14"/>
      <c r="U115" s="13">
        <v>10763.3</v>
      </c>
      <c r="V115" s="14">
        <v>35830.6</v>
      </c>
      <c r="W115" s="15">
        <f t="shared" si="4"/>
        <v>3856554.9697999996</v>
      </c>
      <c r="X115" s="877">
        <f t="shared" si="5"/>
        <v>10763.3</v>
      </c>
      <c r="Y115" s="877">
        <f t="shared" si="6"/>
        <v>0</v>
      </c>
    </row>
    <row r="116" spans="1:26" s="887" customFormat="1" ht="75.75" x14ac:dyDescent="0.2">
      <c r="A116" s="44">
        <v>76</v>
      </c>
      <c r="B116" s="884" t="s">
        <v>41</v>
      </c>
      <c r="C116" s="20"/>
      <c r="D116" s="25"/>
      <c r="E116" s="14"/>
      <c r="F116" s="14"/>
      <c r="G116" s="14"/>
      <c r="H116" s="14"/>
      <c r="I116" s="14"/>
      <c r="J116" s="14">
        <v>0</v>
      </c>
      <c r="K116" s="14"/>
      <c r="L116" s="14"/>
      <c r="M116" s="14"/>
      <c r="N116" s="14"/>
      <c r="O116" s="14"/>
      <c r="P116" s="14">
        <v>0</v>
      </c>
      <c r="Q116" s="14"/>
      <c r="R116" s="14"/>
      <c r="S116" s="14"/>
      <c r="T116" s="14"/>
      <c r="U116" s="13">
        <v>0</v>
      </c>
      <c r="V116" s="13">
        <f>SUM(E116:U116)</f>
        <v>0</v>
      </c>
      <c r="W116" s="13">
        <f>SUM(F116:V116)</f>
        <v>0</v>
      </c>
      <c r="X116" s="877">
        <f t="shared" si="5"/>
        <v>0</v>
      </c>
      <c r="Y116" s="877">
        <f t="shared" si="6"/>
        <v>0</v>
      </c>
    </row>
    <row r="117" spans="1:26" s="887" customFormat="1" ht="60" x14ac:dyDescent="0.2">
      <c r="A117" s="44" t="s">
        <v>42</v>
      </c>
      <c r="B117" s="884" t="s">
        <v>96</v>
      </c>
      <c r="C117" s="12">
        <v>1</v>
      </c>
      <c r="D117" s="25">
        <v>616.66319999999996</v>
      </c>
      <c r="E117" s="14">
        <v>308.33159999999998</v>
      </c>
      <c r="F117" s="14"/>
      <c r="G117" s="14">
        <v>1079.1605999999999</v>
      </c>
      <c r="H117" s="14">
        <v>770.82899999999995</v>
      </c>
      <c r="I117" s="14"/>
      <c r="J117" s="14">
        <v>1849.9895999999999</v>
      </c>
      <c r="K117" s="14">
        <v>154.16579999999999</v>
      </c>
      <c r="L117" s="14"/>
      <c r="M117" s="14"/>
      <c r="N117" s="14">
        <v>154.16579999999999</v>
      </c>
      <c r="O117" s="14"/>
      <c r="P117" s="14">
        <v>770.82899999999995</v>
      </c>
      <c r="Q117" s="14"/>
      <c r="R117" s="14"/>
      <c r="S117" s="14"/>
      <c r="T117" s="14"/>
      <c r="U117" s="13">
        <v>5704.1345999999994</v>
      </c>
      <c r="V117" s="14">
        <v>741.85</v>
      </c>
      <c r="W117" s="15">
        <f t="shared" si="4"/>
        <v>4231612.2530100001</v>
      </c>
      <c r="X117" s="877">
        <f t="shared" si="5"/>
        <v>5704.1345999999994</v>
      </c>
      <c r="Y117" s="877">
        <f t="shared" si="6"/>
        <v>0</v>
      </c>
    </row>
    <row r="118" spans="1:26" s="887" customFormat="1" ht="60" x14ac:dyDescent="0.2">
      <c r="A118" s="44" t="s">
        <v>44</v>
      </c>
      <c r="B118" s="884" t="s">
        <v>97</v>
      </c>
      <c r="C118" s="12">
        <v>1</v>
      </c>
      <c r="D118" s="25">
        <v>73.631249999999994</v>
      </c>
      <c r="E118" s="14">
        <v>36.815624999999997</v>
      </c>
      <c r="F118" s="14"/>
      <c r="G118" s="14">
        <v>128.85468749999998</v>
      </c>
      <c r="H118" s="14">
        <v>92.0390625</v>
      </c>
      <c r="I118" s="14"/>
      <c r="J118" s="14">
        <v>220.89374999999998</v>
      </c>
      <c r="K118" s="14">
        <v>18.407812499999999</v>
      </c>
      <c r="L118" s="14"/>
      <c r="M118" s="14"/>
      <c r="N118" s="14">
        <v>18.407812499999999</v>
      </c>
      <c r="O118" s="14"/>
      <c r="P118" s="14">
        <v>92.0390625</v>
      </c>
      <c r="Q118" s="14"/>
      <c r="R118" s="14"/>
      <c r="S118" s="14"/>
      <c r="T118" s="14"/>
      <c r="U118" s="13">
        <v>681.08906249999995</v>
      </c>
      <c r="V118" s="14">
        <v>595</v>
      </c>
      <c r="W118" s="15">
        <f t="shared" si="4"/>
        <v>405247.9921875</v>
      </c>
      <c r="X118" s="877">
        <f t="shared" si="5"/>
        <v>681.08906249999995</v>
      </c>
      <c r="Y118" s="877">
        <f t="shared" si="6"/>
        <v>0</v>
      </c>
    </row>
    <row r="119" spans="1:26" s="887" customFormat="1" ht="120" x14ac:dyDescent="0.2">
      <c r="A119" s="44">
        <v>77</v>
      </c>
      <c r="B119" s="884" t="s">
        <v>99</v>
      </c>
      <c r="C119" s="19">
        <v>1</v>
      </c>
      <c r="D119" s="25">
        <v>128</v>
      </c>
      <c r="E119" s="14">
        <v>64</v>
      </c>
      <c r="F119" s="14"/>
      <c r="G119" s="14">
        <v>224</v>
      </c>
      <c r="H119" s="14">
        <v>160</v>
      </c>
      <c r="I119" s="14"/>
      <c r="J119" s="14">
        <v>384</v>
      </c>
      <c r="K119" s="14">
        <v>32</v>
      </c>
      <c r="L119" s="14"/>
      <c r="M119" s="14"/>
      <c r="N119" s="14">
        <v>32</v>
      </c>
      <c r="O119" s="14"/>
      <c r="P119" s="14">
        <v>160</v>
      </c>
      <c r="Q119" s="14"/>
      <c r="R119" s="14"/>
      <c r="S119" s="14"/>
      <c r="T119" s="14"/>
      <c r="U119" s="13">
        <v>1184</v>
      </c>
      <c r="V119" s="14">
        <v>2180.6999999999998</v>
      </c>
      <c r="W119" s="15">
        <f t="shared" si="4"/>
        <v>2581948.7999999998</v>
      </c>
      <c r="X119" s="877">
        <f t="shared" si="5"/>
        <v>1184</v>
      </c>
      <c r="Y119" s="877">
        <f t="shared" si="6"/>
        <v>0</v>
      </c>
    </row>
    <row r="120" spans="1:26" s="887" customFormat="1" ht="45" x14ac:dyDescent="0.2">
      <c r="A120" s="44">
        <v>78</v>
      </c>
      <c r="B120" s="884" t="s">
        <v>100</v>
      </c>
      <c r="C120" s="19">
        <v>1</v>
      </c>
      <c r="D120" s="25">
        <v>160</v>
      </c>
      <c r="E120" s="14">
        <v>80</v>
      </c>
      <c r="F120" s="14"/>
      <c r="G120" s="14">
        <v>280</v>
      </c>
      <c r="H120" s="14">
        <v>200</v>
      </c>
      <c r="I120" s="14"/>
      <c r="J120" s="14">
        <v>480</v>
      </c>
      <c r="K120" s="14">
        <v>40</v>
      </c>
      <c r="L120" s="14"/>
      <c r="M120" s="14"/>
      <c r="N120" s="14">
        <v>40</v>
      </c>
      <c r="O120" s="14"/>
      <c r="P120" s="14">
        <v>200</v>
      </c>
      <c r="Q120" s="14"/>
      <c r="R120" s="14"/>
      <c r="S120" s="14"/>
      <c r="T120" s="14"/>
      <c r="U120" s="13">
        <v>5302</v>
      </c>
      <c r="V120" s="14">
        <v>457.1</v>
      </c>
      <c r="W120" s="15">
        <f t="shared" si="4"/>
        <v>2423544.2000000002</v>
      </c>
      <c r="X120" s="877">
        <f t="shared" si="5"/>
        <v>1480</v>
      </c>
      <c r="Y120" s="877"/>
    </row>
    <row r="121" spans="1:26" s="887" customFormat="1" ht="30" x14ac:dyDescent="0.2">
      <c r="A121" s="44">
        <v>79</v>
      </c>
      <c r="B121" s="884" t="s">
        <v>101</v>
      </c>
      <c r="C121" s="19">
        <v>1</v>
      </c>
      <c r="D121" s="25">
        <v>196</v>
      </c>
      <c r="E121" s="14">
        <v>98</v>
      </c>
      <c r="F121" s="14"/>
      <c r="G121" s="14">
        <v>343</v>
      </c>
      <c r="H121" s="14">
        <v>245</v>
      </c>
      <c r="I121" s="14"/>
      <c r="J121" s="14">
        <v>588</v>
      </c>
      <c r="K121" s="14">
        <v>49</v>
      </c>
      <c r="L121" s="14"/>
      <c r="M121" s="14"/>
      <c r="N121" s="14">
        <v>49</v>
      </c>
      <c r="O121" s="14"/>
      <c r="P121" s="14">
        <v>245</v>
      </c>
      <c r="Q121" s="14"/>
      <c r="R121" s="14"/>
      <c r="S121" s="14"/>
      <c r="T121" s="14"/>
      <c r="U121" s="13">
        <v>1813</v>
      </c>
      <c r="V121" s="14">
        <v>2767</v>
      </c>
      <c r="W121" s="15">
        <f t="shared" si="4"/>
        <v>5016571</v>
      </c>
      <c r="X121" s="877">
        <f t="shared" si="5"/>
        <v>1813</v>
      </c>
      <c r="Y121" s="877">
        <f t="shared" si="6"/>
        <v>0</v>
      </c>
    </row>
    <row r="122" spans="1:26" s="887" customFormat="1" ht="45" x14ac:dyDescent="0.2">
      <c r="A122" s="44">
        <v>80</v>
      </c>
      <c r="B122" s="884" t="s">
        <v>102</v>
      </c>
      <c r="C122" s="19">
        <v>100</v>
      </c>
      <c r="D122" s="25">
        <v>382.25</v>
      </c>
      <c r="E122" s="14">
        <v>191.125</v>
      </c>
      <c r="F122" s="14"/>
      <c r="G122" s="14">
        <v>668.9375</v>
      </c>
      <c r="H122" s="14">
        <v>477.8125</v>
      </c>
      <c r="I122" s="14"/>
      <c r="J122" s="14">
        <v>1146.75</v>
      </c>
      <c r="K122" s="14">
        <v>95.5625</v>
      </c>
      <c r="L122" s="14"/>
      <c r="M122" s="14"/>
      <c r="N122" s="14">
        <v>95.5625</v>
      </c>
      <c r="O122" s="14"/>
      <c r="P122" s="14">
        <v>477.8125</v>
      </c>
      <c r="Q122" s="14"/>
      <c r="R122" s="14"/>
      <c r="S122" s="14"/>
      <c r="T122" s="14"/>
      <c r="U122" s="13">
        <v>3535.8125</v>
      </c>
      <c r="V122" s="14">
        <v>13179.6</v>
      </c>
      <c r="W122" s="15">
        <f t="shared" si="4"/>
        <v>466005.94425000006</v>
      </c>
      <c r="X122" s="877">
        <f t="shared" si="5"/>
        <v>3535.8125</v>
      </c>
      <c r="Y122" s="877">
        <f t="shared" si="6"/>
        <v>0</v>
      </c>
    </row>
    <row r="123" spans="1:26" s="887" customFormat="1" x14ac:dyDescent="0.2">
      <c r="A123" s="44">
        <v>81</v>
      </c>
      <c r="B123" s="884" t="s">
        <v>103</v>
      </c>
      <c r="C123" s="19">
        <v>1</v>
      </c>
      <c r="D123" s="25">
        <v>398.25</v>
      </c>
      <c r="E123" s="14">
        <v>199.125</v>
      </c>
      <c r="F123" s="14"/>
      <c r="G123" s="14">
        <v>696.9375</v>
      </c>
      <c r="H123" s="14">
        <v>497.8125</v>
      </c>
      <c r="I123" s="14"/>
      <c r="J123" s="14">
        <v>1194.75</v>
      </c>
      <c r="K123" s="14">
        <v>99.5625</v>
      </c>
      <c r="L123" s="14"/>
      <c r="M123" s="14"/>
      <c r="N123" s="14">
        <v>99.5625</v>
      </c>
      <c r="O123" s="14"/>
      <c r="P123" s="14">
        <v>497.8125</v>
      </c>
      <c r="Q123" s="14"/>
      <c r="R123" s="14"/>
      <c r="S123" s="14"/>
      <c r="T123" s="14"/>
      <c r="U123" s="13">
        <v>43350.188849999999</v>
      </c>
      <c r="V123" s="14">
        <v>11</v>
      </c>
      <c r="W123" s="15">
        <f t="shared" si="4"/>
        <v>476852.07734999998</v>
      </c>
      <c r="X123" s="877">
        <f t="shared" si="5"/>
        <v>3683.8125</v>
      </c>
      <c r="Y123" s="877"/>
    </row>
    <row r="124" spans="1:26" s="887" customFormat="1" x14ac:dyDescent="0.2">
      <c r="A124" s="44">
        <v>82</v>
      </c>
      <c r="B124" s="884" t="s">
        <v>104</v>
      </c>
      <c r="C124" s="12">
        <v>100</v>
      </c>
      <c r="D124" s="25">
        <v>163.75</v>
      </c>
      <c r="E124" s="14">
        <v>81.875</v>
      </c>
      <c r="F124" s="14"/>
      <c r="G124" s="14">
        <v>286.5625</v>
      </c>
      <c r="H124" s="14">
        <v>204.6875</v>
      </c>
      <c r="I124" s="14"/>
      <c r="J124" s="14">
        <v>491.25</v>
      </c>
      <c r="K124" s="14">
        <v>40.9375</v>
      </c>
      <c r="L124" s="14"/>
      <c r="M124" s="14"/>
      <c r="N124" s="14">
        <v>40.9375</v>
      </c>
      <c r="O124" s="14"/>
      <c r="P124" s="14">
        <v>204.6875</v>
      </c>
      <c r="Q124" s="14"/>
      <c r="R124" s="14"/>
      <c r="S124" s="14"/>
      <c r="T124" s="14"/>
      <c r="U124" s="13">
        <v>8934.8274999999994</v>
      </c>
      <c r="V124" s="25">
        <v>3987</v>
      </c>
      <c r="W124" s="15">
        <f t="shared" si="4"/>
        <v>356231.57242500002</v>
      </c>
      <c r="X124" s="877">
        <f t="shared" si="5"/>
        <v>1514.6875</v>
      </c>
      <c r="Y124" s="877"/>
    </row>
    <row r="125" spans="1:26" s="887" customFormat="1" ht="30" x14ac:dyDescent="0.2">
      <c r="A125" s="44">
        <v>83</v>
      </c>
      <c r="B125" s="884" t="s">
        <v>105</v>
      </c>
      <c r="C125" s="12">
        <v>100</v>
      </c>
      <c r="D125" s="25">
        <v>195.75</v>
      </c>
      <c r="E125" s="14">
        <v>97.875</v>
      </c>
      <c r="F125" s="14"/>
      <c r="G125" s="14">
        <v>342.5625</v>
      </c>
      <c r="H125" s="14">
        <v>244.6875</v>
      </c>
      <c r="I125" s="14"/>
      <c r="J125" s="14">
        <v>587.25</v>
      </c>
      <c r="K125" s="14">
        <v>48.9375</v>
      </c>
      <c r="L125" s="14"/>
      <c r="M125" s="14"/>
      <c r="N125" s="14">
        <v>48.9375</v>
      </c>
      <c r="O125" s="14"/>
      <c r="P125" s="14">
        <v>244.6875</v>
      </c>
      <c r="Q125" s="14"/>
      <c r="R125" s="14"/>
      <c r="S125" s="14"/>
      <c r="T125" s="14"/>
      <c r="U125" s="13">
        <v>10919.7875</v>
      </c>
      <c r="V125" s="25">
        <v>12801.2</v>
      </c>
      <c r="W125" s="15">
        <f t="shared" si="4"/>
        <v>1397863.83745</v>
      </c>
      <c r="X125" s="877">
        <f t="shared" si="5"/>
        <v>1810.6875</v>
      </c>
      <c r="Y125" s="877"/>
    </row>
    <row r="126" spans="1:26" s="887" customFormat="1" x14ac:dyDescent="0.2">
      <c r="A126" s="44">
        <v>84</v>
      </c>
      <c r="B126" s="884" t="s">
        <v>108</v>
      </c>
      <c r="C126" s="19">
        <v>100</v>
      </c>
      <c r="D126" s="25">
        <v>2273.2200000000003</v>
      </c>
      <c r="E126" s="14">
        <v>1136.6100000000001</v>
      </c>
      <c r="F126" s="14"/>
      <c r="G126" s="14">
        <v>3978.1350000000002</v>
      </c>
      <c r="H126" s="14">
        <v>2841.5250000000005</v>
      </c>
      <c r="I126" s="14"/>
      <c r="J126" s="14">
        <v>6819.6600000000008</v>
      </c>
      <c r="K126" s="14">
        <v>568.30500000000006</v>
      </c>
      <c r="L126" s="14"/>
      <c r="M126" s="14"/>
      <c r="N126" s="14">
        <v>568.30500000000006</v>
      </c>
      <c r="O126" s="14"/>
      <c r="P126" s="14">
        <v>2841.5250000000005</v>
      </c>
      <c r="Q126" s="14"/>
      <c r="R126" s="14"/>
      <c r="S126" s="14"/>
      <c r="T126" s="14"/>
      <c r="U126" s="13">
        <v>140437.41625000001</v>
      </c>
      <c r="V126" s="25">
        <v>4614.1000000000004</v>
      </c>
      <c r="W126" s="15">
        <f t="shared" si="4"/>
        <v>6479922.8231912507</v>
      </c>
      <c r="X126" s="877">
        <f t="shared" si="5"/>
        <v>21027.285000000003</v>
      </c>
      <c r="Y126" s="877">
        <f t="shared" si="6"/>
        <v>119410.13125000001</v>
      </c>
      <c r="Z126" s="894"/>
    </row>
    <row r="127" spans="1:26" s="887" customFormat="1" ht="30" x14ac:dyDescent="0.2">
      <c r="A127" s="44">
        <v>85</v>
      </c>
      <c r="B127" s="884" t="s">
        <v>109</v>
      </c>
      <c r="C127" s="19">
        <v>100</v>
      </c>
      <c r="D127" s="25">
        <v>458.08</v>
      </c>
      <c r="E127" s="14">
        <v>229.04</v>
      </c>
      <c r="F127" s="14"/>
      <c r="G127" s="14">
        <v>801.64</v>
      </c>
      <c r="H127" s="14">
        <v>572.6</v>
      </c>
      <c r="I127" s="14"/>
      <c r="J127" s="14">
        <v>1374.24</v>
      </c>
      <c r="K127" s="14">
        <v>114.52</v>
      </c>
      <c r="L127" s="14"/>
      <c r="M127" s="14"/>
      <c r="N127" s="14">
        <v>114.52</v>
      </c>
      <c r="O127" s="14"/>
      <c r="P127" s="14">
        <v>572.6</v>
      </c>
      <c r="Q127" s="14"/>
      <c r="R127" s="14"/>
      <c r="S127" s="14"/>
      <c r="T127" s="14"/>
      <c r="U127" s="13">
        <v>4237.2400000000007</v>
      </c>
      <c r="V127" s="25">
        <v>5264.65</v>
      </c>
      <c r="W127" s="15">
        <f t="shared" si="4"/>
        <v>223075.85566000003</v>
      </c>
      <c r="X127" s="877">
        <f t="shared" si="5"/>
        <v>4237.24</v>
      </c>
      <c r="Y127" s="877">
        <f t="shared" si="6"/>
        <v>0</v>
      </c>
    </row>
    <row r="128" spans="1:26" s="887" customFormat="1" ht="45" x14ac:dyDescent="0.2">
      <c r="A128" s="44">
        <v>86</v>
      </c>
      <c r="B128" s="884" t="s">
        <v>110</v>
      </c>
      <c r="C128" s="19">
        <v>100</v>
      </c>
      <c r="D128" s="25">
        <v>1959.5</v>
      </c>
      <c r="E128" s="14">
        <v>979.75</v>
      </c>
      <c r="F128" s="14"/>
      <c r="G128" s="14">
        <v>3429.125</v>
      </c>
      <c r="H128" s="14">
        <v>2449.375</v>
      </c>
      <c r="I128" s="14"/>
      <c r="J128" s="14">
        <v>5878.5</v>
      </c>
      <c r="K128" s="14">
        <v>489.875</v>
      </c>
      <c r="L128" s="14"/>
      <c r="M128" s="14"/>
      <c r="N128" s="14">
        <v>489.875</v>
      </c>
      <c r="O128" s="14"/>
      <c r="P128" s="14">
        <v>2449.375</v>
      </c>
      <c r="Q128" s="14"/>
      <c r="R128" s="14"/>
      <c r="S128" s="14"/>
      <c r="T128" s="14"/>
      <c r="U128" s="13">
        <v>83405.59</v>
      </c>
      <c r="V128" s="25">
        <v>5012.6499999999996</v>
      </c>
      <c r="W128" s="15">
        <f t="shared" si="4"/>
        <v>4180830.3071349994</v>
      </c>
      <c r="X128" s="877">
        <f t="shared" si="5"/>
        <v>18125.375</v>
      </c>
      <c r="Y128" s="877">
        <f t="shared" si="6"/>
        <v>65280.214999999997</v>
      </c>
      <c r="Z128" s="894"/>
    </row>
    <row r="129" spans="1:26" s="887" customFormat="1" x14ac:dyDescent="0.2">
      <c r="A129" s="44">
        <v>87</v>
      </c>
      <c r="B129" s="884" t="s">
        <v>112</v>
      </c>
      <c r="C129" s="37">
        <v>1</v>
      </c>
      <c r="D129" s="25">
        <v>8</v>
      </c>
      <c r="E129" s="14">
        <v>4</v>
      </c>
      <c r="F129" s="14"/>
      <c r="G129" s="14">
        <v>14</v>
      </c>
      <c r="H129" s="14">
        <v>10</v>
      </c>
      <c r="I129" s="14"/>
      <c r="J129" s="14">
        <v>24</v>
      </c>
      <c r="K129" s="14">
        <v>2</v>
      </c>
      <c r="L129" s="14"/>
      <c r="M129" s="14"/>
      <c r="N129" s="14">
        <v>2</v>
      </c>
      <c r="O129" s="14"/>
      <c r="P129" s="14">
        <v>10</v>
      </c>
      <c r="Q129" s="14"/>
      <c r="R129" s="14"/>
      <c r="S129" s="14"/>
      <c r="T129" s="14"/>
      <c r="U129" s="13">
        <v>658</v>
      </c>
      <c r="V129" s="25">
        <v>849.7</v>
      </c>
      <c r="W129" s="15">
        <f t="shared" si="4"/>
        <v>559102.6</v>
      </c>
      <c r="X129" s="877">
        <f t="shared" si="5"/>
        <v>74</v>
      </c>
      <c r="Y129" s="877">
        <f t="shared" si="6"/>
        <v>584</v>
      </c>
      <c r="Z129" s="894"/>
    </row>
    <row r="130" spans="1:26" s="887" customFormat="1" x14ac:dyDescent="0.2">
      <c r="A130" s="44">
        <v>88</v>
      </c>
      <c r="B130" s="884" t="s">
        <v>113</v>
      </c>
      <c r="C130" s="37">
        <v>1</v>
      </c>
      <c r="D130" s="25">
        <v>4</v>
      </c>
      <c r="E130" s="14">
        <v>2</v>
      </c>
      <c r="F130" s="14"/>
      <c r="G130" s="14">
        <v>7</v>
      </c>
      <c r="H130" s="14">
        <v>5</v>
      </c>
      <c r="I130" s="14"/>
      <c r="J130" s="14">
        <v>12</v>
      </c>
      <c r="K130" s="14">
        <v>1</v>
      </c>
      <c r="L130" s="14"/>
      <c r="M130" s="14"/>
      <c r="N130" s="14">
        <v>1</v>
      </c>
      <c r="O130" s="14"/>
      <c r="P130" s="14">
        <v>5</v>
      </c>
      <c r="Q130" s="14"/>
      <c r="R130" s="14"/>
      <c r="S130" s="14"/>
      <c r="T130" s="14"/>
      <c r="U130" s="13">
        <v>154</v>
      </c>
      <c r="V130" s="25">
        <v>1159.6500000000001</v>
      </c>
      <c r="W130" s="15">
        <f t="shared" si="4"/>
        <v>178586.1</v>
      </c>
      <c r="X130" s="877">
        <f t="shared" si="5"/>
        <v>37</v>
      </c>
      <c r="Y130" s="877">
        <f t="shared" si="6"/>
        <v>117</v>
      </c>
      <c r="Z130" s="894"/>
    </row>
    <row r="131" spans="1:26" s="887" customFormat="1" x14ac:dyDescent="0.2">
      <c r="A131" s="44">
        <v>89</v>
      </c>
      <c r="B131" s="884" t="s">
        <v>114</v>
      </c>
      <c r="C131" s="19">
        <v>100</v>
      </c>
      <c r="D131" s="25">
        <v>2041.08</v>
      </c>
      <c r="E131" s="14">
        <v>1020.54</v>
      </c>
      <c r="F131" s="14"/>
      <c r="G131" s="14">
        <v>3571.89</v>
      </c>
      <c r="H131" s="14">
        <v>2551.35</v>
      </c>
      <c r="I131" s="14"/>
      <c r="J131" s="14">
        <v>6123.24</v>
      </c>
      <c r="K131" s="14">
        <v>510.27</v>
      </c>
      <c r="L131" s="14"/>
      <c r="M131" s="14"/>
      <c r="N131" s="14">
        <v>510.27</v>
      </c>
      <c r="O131" s="14"/>
      <c r="P131" s="14">
        <v>2551.35</v>
      </c>
      <c r="Q131" s="14"/>
      <c r="R131" s="14"/>
      <c r="S131" s="14"/>
      <c r="T131" s="14"/>
      <c r="U131" s="13">
        <v>118808.22750000001</v>
      </c>
      <c r="V131" s="25">
        <v>1548.2</v>
      </c>
      <c r="W131" s="15">
        <f t="shared" si="4"/>
        <v>1839388.9781550001</v>
      </c>
      <c r="X131" s="877">
        <f t="shared" si="5"/>
        <v>18879.989999999998</v>
      </c>
      <c r="Y131" s="877">
        <f t="shared" si="6"/>
        <v>99928.237500000017</v>
      </c>
      <c r="Z131" s="894"/>
    </row>
    <row r="132" spans="1:26" s="887" customFormat="1" x14ac:dyDescent="0.2">
      <c r="A132" s="44">
        <v>90</v>
      </c>
      <c r="B132" s="884" t="s">
        <v>116</v>
      </c>
      <c r="C132" s="19">
        <v>100</v>
      </c>
      <c r="D132" s="25">
        <v>356</v>
      </c>
      <c r="E132" s="14">
        <v>178</v>
      </c>
      <c r="F132" s="14"/>
      <c r="G132" s="14">
        <v>623</v>
      </c>
      <c r="H132" s="14">
        <v>445</v>
      </c>
      <c r="I132" s="14"/>
      <c r="J132" s="14">
        <v>1068</v>
      </c>
      <c r="K132" s="14">
        <v>89</v>
      </c>
      <c r="L132" s="14"/>
      <c r="M132" s="14"/>
      <c r="N132" s="14">
        <v>89</v>
      </c>
      <c r="O132" s="14"/>
      <c r="P132" s="14">
        <v>445</v>
      </c>
      <c r="Q132" s="14"/>
      <c r="R132" s="14"/>
      <c r="S132" s="14"/>
      <c r="T132" s="14"/>
      <c r="U132" s="13">
        <v>12309</v>
      </c>
      <c r="V132" s="25">
        <v>3052.4</v>
      </c>
      <c r="W132" s="15">
        <f t="shared" si="4"/>
        <v>375719.91600000003</v>
      </c>
      <c r="X132" s="877">
        <f t="shared" si="5"/>
        <v>3293</v>
      </c>
      <c r="Y132" s="877">
        <f t="shared" si="6"/>
        <v>9016</v>
      </c>
      <c r="Z132" s="894"/>
    </row>
    <row r="133" spans="1:26" s="887" customFormat="1" ht="45" x14ac:dyDescent="0.2">
      <c r="A133" s="44">
        <v>91</v>
      </c>
      <c r="B133" s="876" t="s">
        <v>117</v>
      </c>
      <c r="C133" s="29">
        <v>100</v>
      </c>
      <c r="D133" s="25">
        <v>1339.834890683117</v>
      </c>
      <c r="E133" s="14">
        <v>669.9174453415585</v>
      </c>
      <c r="F133" s="14"/>
      <c r="G133" s="14">
        <v>2344.711058695455</v>
      </c>
      <c r="H133" s="14">
        <v>1674.7936133538963</v>
      </c>
      <c r="I133" s="14"/>
      <c r="J133" s="14">
        <v>4019.504672049351</v>
      </c>
      <c r="K133" s="14">
        <v>334.95872267077925</v>
      </c>
      <c r="L133" s="14"/>
      <c r="M133" s="14"/>
      <c r="N133" s="14">
        <v>334.95872267077925</v>
      </c>
      <c r="O133" s="14"/>
      <c r="P133" s="14">
        <v>1674.7936133538963</v>
      </c>
      <c r="Q133" s="14"/>
      <c r="R133" s="14"/>
      <c r="S133" s="14"/>
      <c r="T133" s="14"/>
      <c r="U133" s="13">
        <v>12393.472738818833</v>
      </c>
      <c r="V133" s="14">
        <v>37098.85</v>
      </c>
      <c r="W133" s="15">
        <f t="shared" si="4"/>
        <v>4597835.8611652907</v>
      </c>
      <c r="X133" s="877">
        <f t="shared" si="5"/>
        <v>12393.472738818833</v>
      </c>
      <c r="Y133" s="877">
        <f t="shared" si="6"/>
        <v>0</v>
      </c>
    </row>
    <row r="134" spans="1:26" s="887" customFormat="1" ht="30" x14ac:dyDescent="0.2">
      <c r="A134" s="987">
        <v>92</v>
      </c>
      <c r="B134" s="884" t="s">
        <v>118</v>
      </c>
      <c r="C134" s="20"/>
      <c r="D134" s="20"/>
      <c r="E134" s="20"/>
      <c r="F134" s="20"/>
      <c r="G134" s="20"/>
      <c r="H134" s="20"/>
      <c r="I134" s="20"/>
      <c r="J134" s="20"/>
      <c r="K134" s="20"/>
      <c r="L134" s="20"/>
      <c r="M134" s="20"/>
      <c r="N134" s="20"/>
      <c r="O134" s="20"/>
      <c r="P134" s="20"/>
      <c r="Q134" s="20"/>
      <c r="R134" s="20"/>
      <c r="S134" s="20"/>
      <c r="T134" s="20"/>
      <c r="U134" s="13">
        <v>0</v>
      </c>
      <c r="V134" s="20"/>
      <c r="W134" s="20"/>
      <c r="X134" s="877">
        <f t="shared" si="5"/>
        <v>0</v>
      </c>
      <c r="Y134" s="877">
        <f t="shared" si="6"/>
        <v>0</v>
      </c>
    </row>
    <row r="135" spans="1:26" s="887" customFormat="1" x14ac:dyDescent="0.2">
      <c r="A135" s="988"/>
      <c r="B135" s="884" t="s">
        <v>148</v>
      </c>
      <c r="C135" s="36">
        <v>1</v>
      </c>
      <c r="D135" s="25">
        <v>240</v>
      </c>
      <c r="E135" s="14">
        <v>120</v>
      </c>
      <c r="F135" s="25"/>
      <c r="G135" s="14">
        <v>420</v>
      </c>
      <c r="H135" s="14">
        <v>300</v>
      </c>
      <c r="I135" s="25"/>
      <c r="J135" s="14">
        <v>720</v>
      </c>
      <c r="K135" s="14">
        <v>60</v>
      </c>
      <c r="L135" s="25"/>
      <c r="M135" s="25"/>
      <c r="N135" s="14">
        <v>60</v>
      </c>
      <c r="O135" s="25"/>
      <c r="P135" s="14">
        <v>300</v>
      </c>
      <c r="Q135" s="25"/>
      <c r="R135" s="25"/>
      <c r="S135" s="25"/>
      <c r="T135" s="25"/>
      <c r="U135" s="13">
        <v>12520</v>
      </c>
      <c r="V135" s="25">
        <v>112.25</v>
      </c>
      <c r="W135" s="15">
        <f t="shared" si="4"/>
        <v>1405370</v>
      </c>
      <c r="X135" s="877">
        <f t="shared" si="5"/>
        <v>2220</v>
      </c>
      <c r="Y135" s="877">
        <f t="shared" si="6"/>
        <v>10300</v>
      </c>
      <c r="Z135" s="894"/>
    </row>
    <row r="136" spans="1:26" s="887" customFormat="1" x14ac:dyDescent="0.2">
      <c r="A136" s="988"/>
      <c r="B136" s="884" t="s">
        <v>149</v>
      </c>
      <c r="C136" s="36">
        <v>1</v>
      </c>
      <c r="D136" s="25">
        <v>120</v>
      </c>
      <c r="E136" s="14">
        <v>60</v>
      </c>
      <c r="F136" s="25"/>
      <c r="G136" s="14">
        <v>210</v>
      </c>
      <c r="H136" s="14">
        <v>150</v>
      </c>
      <c r="I136" s="25"/>
      <c r="J136" s="14">
        <v>360</v>
      </c>
      <c r="K136" s="14">
        <v>30</v>
      </c>
      <c r="L136" s="25"/>
      <c r="M136" s="25"/>
      <c r="N136" s="14">
        <v>30</v>
      </c>
      <c r="O136" s="25"/>
      <c r="P136" s="14">
        <v>150</v>
      </c>
      <c r="Q136" s="25"/>
      <c r="R136" s="25"/>
      <c r="S136" s="25"/>
      <c r="T136" s="25"/>
      <c r="U136" s="13">
        <v>6560</v>
      </c>
      <c r="V136" s="25">
        <v>133.6</v>
      </c>
      <c r="W136" s="15">
        <f t="shared" si="4"/>
        <v>876416</v>
      </c>
      <c r="X136" s="877">
        <f t="shared" si="5"/>
        <v>1110</v>
      </c>
      <c r="Y136" s="877">
        <f t="shared" si="6"/>
        <v>5450</v>
      </c>
      <c r="Z136" s="894"/>
    </row>
    <row r="137" spans="1:26" s="887" customFormat="1" x14ac:dyDescent="0.2">
      <c r="A137" s="989"/>
      <c r="B137" s="884" t="s">
        <v>471</v>
      </c>
      <c r="C137" s="36">
        <v>1</v>
      </c>
      <c r="D137" s="25">
        <v>60</v>
      </c>
      <c r="E137" s="14">
        <v>30</v>
      </c>
      <c r="F137" s="25"/>
      <c r="G137" s="14">
        <v>105</v>
      </c>
      <c r="H137" s="14">
        <v>75</v>
      </c>
      <c r="I137" s="25"/>
      <c r="J137" s="14">
        <v>180</v>
      </c>
      <c r="K137" s="14">
        <v>15</v>
      </c>
      <c r="L137" s="25"/>
      <c r="M137" s="25"/>
      <c r="N137" s="14">
        <v>15</v>
      </c>
      <c r="O137" s="25"/>
      <c r="P137" s="14">
        <v>75</v>
      </c>
      <c r="Q137" s="25"/>
      <c r="R137" s="25"/>
      <c r="S137" s="25"/>
      <c r="T137" s="25"/>
      <c r="U137" s="13">
        <v>555</v>
      </c>
      <c r="V137" s="25">
        <v>231.55</v>
      </c>
      <c r="W137" s="15">
        <f t="shared" si="4"/>
        <v>128510.25</v>
      </c>
      <c r="X137" s="877">
        <f t="shared" si="5"/>
        <v>555</v>
      </c>
      <c r="Y137" s="877">
        <f t="shared" si="6"/>
        <v>0</v>
      </c>
    </row>
    <row r="138" spans="1:26" s="887" customFormat="1" ht="60" x14ac:dyDescent="0.2">
      <c r="A138" s="987">
        <v>93</v>
      </c>
      <c r="B138" s="884" t="s">
        <v>123</v>
      </c>
      <c r="C138" s="20"/>
      <c r="D138" s="20"/>
      <c r="E138" s="20"/>
      <c r="F138" s="20"/>
      <c r="G138" s="20"/>
      <c r="H138" s="20"/>
      <c r="I138" s="20"/>
      <c r="J138" s="20"/>
      <c r="K138" s="20"/>
      <c r="L138" s="20"/>
      <c r="M138" s="20"/>
      <c r="N138" s="20"/>
      <c r="O138" s="20"/>
      <c r="P138" s="20"/>
      <c r="Q138" s="20"/>
      <c r="R138" s="20"/>
      <c r="S138" s="20"/>
      <c r="T138" s="20"/>
      <c r="U138" s="13">
        <v>0</v>
      </c>
      <c r="V138" s="20"/>
      <c r="W138" s="20"/>
      <c r="X138" s="877">
        <f t="shared" si="5"/>
        <v>0</v>
      </c>
      <c r="Y138" s="877">
        <f t="shared" si="6"/>
        <v>0</v>
      </c>
    </row>
    <row r="139" spans="1:26" s="887" customFormat="1" x14ac:dyDescent="0.2">
      <c r="A139" s="988"/>
      <c r="B139" s="884" t="s">
        <v>150</v>
      </c>
      <c r="C139" s="36">
        <v>1</v>
      </c>
      <c r="D139" s="25">
        <v>720</v>
      </c>
      <c r="E139" s="14">
        <v>360</v>
      </c>
      <c r="F139" s="25"/>
      <c r="G139" s="14">
        <v>1260</v>
      </c>
      <c r="H139" s="14">
        <v>900</v>
      </c>
      <c r="I139" s="25"/>
      <c r="J139" s="14">
        <v>2160</v>
      </c>
      <c r="K139" s="14">
        <v>180</v>
      </c>
      <c r="L139" s="25"/>
      <c r="M139" s="25"/>
      <c r="N139" s="14">
        <v>180</v>
      </c>
      <c r="O139" s="25"/>
      <c r="P139" s="14">
        <v>900</v>
      </c>
      <c r="Q139" s="25"/>
      <c r="R139" s="25"/>
      <c r="S139" s="25"/>
      <c r="T139" s="25"/>
      <c r="U139" s="13">
        <v>36960</v>
      </c>
      <c r="V139" s="25">
        <v>35.700000000000003</v>
      </c>
      <c r="W139" s="15">
        <f t="shared" si="4"/>
        <v>1319472</v>
      </c>
      <c r="X139" s="877">
        <f t="shared" si="5"/>
        <v>6660</v>
      </c>
      <c r="Y139" s="877">
        <f t="shared" si="6"/>
        <v>30300</v>
      </c>
      <c r="Z139" s="894"/>
    </row>
    <row r="140" spans="1:26" s="887" customFormat="1" x14ac:dyDescent="0.2">
      <c r="A140" s="989"/>
      <c r="B140" s="884" t="s">
        <v>151</v>
      </c>
      <c r="C140" s="36">
        <v>1</v>
      </c>
      <c r="D140" s="25">
        <v>240</v>
      </c>
      <c r="E140" s="14">
        <v>120</v>
      </c>
      <c r="F140" s="25"/>
      <c r="G140" s="14">
        <v>420</v>
      </c>
      <c r="H140" s="14">
        <v>300</v>
      </c>
      <c r="I140" s="25"/>
      <c r="J140" s="14">
        <v>720</v>
      </c>
      <c r="K140" s="14">
        <v>60</v>
      </c>
      <c r="L140" s="25"/>
      <c r="M140" s="25"/>
      <c r="N140" s="14">
        <v>60</v>
      </c>
      <c r="O140" s="25"/>
      <c r="P140" s="14">
        <v>300</v>
      </c>
      <c r="Q140" s="25"/>
      <c r="R140" s="25"/>
      <c r="S140" s="25"/>
      <c r="T140" s="25"/>
      <c r="U140" s="13">
        <v>13020</v>
      </c>
      <c r="V140" s="25">
        <v>56.3</v>
      </c>
      <c r="W140" s="15">
        <f t="shared" si="4"/>
        <v>733026</v>
      </c>
      <c r="X140" s="877">
        <f t="shared" si="5"/>
        <v>2220</v>
      </c>
      <c r="Y140" s="877">
        <f t="shared" si="6"/>
        <v>10800</v>
      </c>
      <c r="Z140" s="894"/>
    </row>
    <row r="141" spans="1:26" s="887" customFormat="1" ht="45" x14ac:dyDescent="0.2">
      <c r="A141" s="44">
        <v>94</v>
      </c>
      <c r="B141" s="884" t="s">
        <v>126</v>
      </c>
      <c r="C141" s="36">
        <v>1</v>
      </c>
      <c r="D141" s="25">
        <v>160</v>
      </c>
      <c r="E141" s="14">
        <v>80</v>
      </c>
      <c r="F141" s="25"/>
      <c r="G141" s="14">
        <v>280</v>
      </c>
      <c r="H141" s="14">
        <v>200</v>
      </c>
      <c r="I141" s="25"/>
      <c r="J141" s="14">
        <v>480</v>
      </c>
      <c r="K141" s="14">
        <v>40</v>
      </c>
      <c r="L141" s="25"/>
      <c r="M141" s="25"/>
      <c r="N141" s="14">
        <v>40</v>
      </c>
      <c r="O141" s="25"/>
      <c r="P141" s="14">
        <v>200</v>
      </c>
      <c r="Q141" s="25"/>
      <c r="R141" s="25"/>
      <c r="S141" s="25"/>
      <c r="T141" s="25"/>
      <c r="U141" s="13">
        <v>19680</v>
      </c>
      <c r="V141" s="25">
        <v>237.65</v>
      </c>
      <c r="W141" s="15">
        <f t="shared" si="4"/>
        <v>4676952</v>
      </c>
      <c r="X141" s="877">
        <f t="shared" si="5"/>
        <v>1480</v>
      </c>
      <c r="Y141" s="877">
        <f t="shared" si="6"/>
        <v>18200</v>
      </c>
      <c r="Z141" s="894"/>
    </row>
    <row r="142" spans="1:26" s="887" customFormat="1" ht="30" x14ac:dyDescent="0.2">
      <c r="A142" s="987">
        <v>95</v>
      </c>
      <c r="B142" s="884" t="s">
        <v>127</v>
      </c>
      <c r="C142" s="20"/>
      <c r="D142" s="20"/>
      <c r="E142" s="20"/>
      <c r="F142" s="20"/>
      <c r="G142" s="20"/>
      <c r="H142" s="20"/>
      <c r="I142" s="20"/>
      <c r="J142" s="20"/>
      <c r="K142" s="20"/>
      <c r="L142" s="20"/>
      <c r="M142" s="20"/>
      <c r="N142" s="20"/>
      <c r="O142" s="20"/>
      <c r="P142" s="20"/>
      <c r="Q142" s="20"/>
      <c r="R142" s="20"/>
      <c r="S142" s="20"/>
      <c r="T142" s="20"/>
      <c r="U142" s="13">
        <v>0</v>
      </c>
      <c r="V142" s="20"/>
      <c r="W142" s="20"/>
      <c r="X142" s="877">
        <f t="shared" si="5"/>
        <v>0</v>
      </c>
      <c r="Y142" s="877">
        <f t="shared" si="6"/>
        <v>0</v>
      </c>
    </row>
    <row r="143" spans="1:26" s="887" customFormat="1" x14ac:dyDescent="0.2">
      <c r="A143" s="988"/>
      <c r="B143" s="884" t="s">
        <v>152</v>
      </c>
      <c r="C143" s="38">
        <v>1</v>
      </c>
      <c r="D143" s="25">
        <v>4</v>
      </c>
      <c r="E143" s="14">
        <v>2</v>
      </c>
      <c r="F143" s="25"/>
      <c r="G143" s="14">
        <v>7</v>
      </c>
      <c r="H143" s="14">
        <v>5</v>
      </c>
      <c r="I143" s="25"/>
      <c r="J143" s="14">
        <v>12</v>
      </c>
      <c r="K143" s="14">
        <v>1</v>
      </c>
      <c r="L143" s="25"/>
      <c r="M143" s="25"/>
      <c r="N143" s="14">
        <v>1</v>
      </c>
      <c r="O143" s="25"/>
      <c r="P143" s="14">
        <v>5</v>
      </c>
      <c r="Q143" s="25"/>
      <c r="R143" s="25"/>
      <c r="S143" s="25"/>
      <c r="T143" s="25"/>
      <c r="U143" s="13">
        <v>219</v>
      </c>
      <c r="V143" s="25">
        <v>382.3</v>
      </c>
      <c r="W143" s="15">
        <f t="shared" si="4"/>
        <v>83723.7</v>
      </c>
      <c r="X143" s="877">
        <f t="shared" si="5"/>
        <v>37</v>
      </c>
      <c r="Y143" s="877">
        <f t="shared" si="6"/>
        <v>182</v>
      </c>
      <c r="Z143" s="894"/>
    </row>
    <row r="144" spans="1:26" s="887" customFormat="1" x14ac:dyDescent="0.2">
      <c r="A144" s="988"/>
      <c r="B144" s="884" t="s">
        <v>153</v>
      </c>
      <c r="C144" s="38">
        <v>1</v>
      </c>
      <c r="D144" s="25">
        <v>4</v>
      </c>
      <c r="E144" s="14">
        <v>2</v>
      </c>
      <c r="F144" s="25"/>
      <c r="G144" s="14">
        <v>7</v>
      </c>
      <c r="H144" s="14">
        <v>5</v>
      </c>
      <c r="I144" s="25"/>
      <c r="J144" s="14">
        <v>12</v>
      </c>
      <c r="K144" s="14">
        <v>1</v>
      </c>
      <c r="L144" s="25"/>
      <c r="M144" s="25"/>
      <c r="N144" s="14">
        <v>1</v>
      </c>
      <c r="O144" s="25"/>
      <c r="P144" s="14">
        <v>5</v>
      </c>
      <c r="Q144" s="25"/>
      <c r="R144" s="25"/>
      <c r="S144" s="25"/>
      <c r="T144" s="25"/>
      <c r="U144" s="13">
        <v>432</v>
      </c>
      <c r="V144" s="25">
        <v>522.75</v>
      </c>
      <c r="W144" s="15">
        <f t="shared" si="4"/>
        <v>225828</v>
      </c>
      <c r="X144" s="877">
        <f t="shared" si="5"/>
        <v>37</v>
      </c>
      <c r="Y144" s="877">
        <f t="shared" si="6"/>
        <v>395</v>
      </c>
      <c r="Z144" s="894"/>
    </row>
    <row r="145" spans="1:26" s="887" customFormat="1" x14ac:dyDescent="0.2">
      <c r="A145" s="989"/>
      <c r="B145" s="884" t="s">
        <v>154</v>
      </c>
      <c r="C145" s="38">
        <v>1</v>
      </c>
      <c r="D145" s="25">
        <v>4</v>
      </c>
      <c r="E145" s="14">
        <v>2</v>
      </c>
      <c r="F145" s="25"/>
      <c r="G145" s="14">
        <v>7</v>
      </c>
      <c r="H145" s="14">
        <v>5</v>
      </c>
      <c r="I145" s="25"/>
      <c r="J145" s="14">
        <v>12</v>
      </c>
      <c r="K145" s="14">
        <v>1</v>
      </c>
      <c r="L145" s="25"/>
      <c r="M145" s="25"/>
      <c r="N145" s="14">
        <v>1</v>
      </c>
      <c r="O145" s="25"/>
      <c r="P145" s="14">
        <v>5</v>
      </c>
      <c r="Q145" s="25"/>
      <c r="R145" s="25"/>
      <c r="S145" s="25"/>
      <c r="T145" s="25"/>
      <c r="U145" s="13">
        <v>128</v>
      </c>
      <c r="V145" s="25">
        <v>668.8</v>
      </c>
      <c r="W145" s="15">
        <f t="shared" si="4"/>
        <v>85606.399999999994</v>
      </c>
      <c r="X145" s="877">
        <f t="shared" si="5"/>
        <v>37</v>
      </c>
      <c r="Y145" s="877">
        <f t="shared" si="6"/>
        <v>91</v>
      </c>
      <c r="Z145" s="894"/>
    </row>
    <row r="146" spans="1:26" s="887" customFormat="1" ht="30" x14ac:dyDescent="0.2">
      <c r="A146" s="44">
        <v>96</v>
      </c>
      <c r="B146" s="884" t="s">
        <v>131</v>
      </c>
      <c r="C146" s="38">
        <v>1</v>
      </c>
      <c r="D146" s="25">
        <v>80</v>
      </c>
      <c r="E146" s="14">
        <v>40</v>
      </c>
      <c r="F146" s="25"/>
      <c r="G146" s="14">
        <v>140</v>
      </c>
      <c r="H146" s="14">
        <v>100</v>
      </c>
      <c r="I146" s="25"/>
      <c r="J146" s="14">
        <v>240</v>
      </c>
      <c r="K146" s="14">
        <v>20</v>
      </c>
      <c r="L146" s="25"/>
      <c r="M146" s="25"/>
      <c r="N146" s="14">
        <v>20</v>
      </c>
      <c r="O146" s="25"/>
      <c r="P146" s="14">
        <v>100</v>
      </c>
      <c r="Q146" s="25"/>
      <c r="R146" s="25"/>
      <c r="S146" s="25"/>
      <c r="T146" s="25"/>
      <c r="U146" s="13">
        <v>4100</v>
      </c>
      <c r="V146" s="25">
        <v>102.7</v>
      </c>
      <c r="W146" s="15">
        <f t="shared" si="4"/>
        <v>421070</v>
      </c>
      <c r="X146" s="877">
        <f t="shared" si="5"/>
        <v>740</v>
      </c>
      <c r="Y146" s="877">
        <f t="shared" si="6"/>
        <v>3360</v>
      </c>
    </row>
    <row r="147" spans="1:26" s="887" customFormat="1" x14ac:dyDescent="0.2">
      <c r="A147" s="44">
        <v>97</v>
      </c>
      <c r="B147" s="884" t="s">
        <v>132</v>
      </c>
      <c r="C147" s="38">
        <v>1</v>
      </c>
      <c r="D147" s="25">
        <v>16</v>
      </c>
      <c r="E147" s="14">
        <v>8</v>
      </c>
      <c r="F147" s="25"/>
      <c r="G147" s="14">
        <v>28</v>
      </c>
      <c r="H147" s="14">
        <v>20</v>
      </c>
      <c r="I147" s="25"/>
      <c r="J147" s="14">
        <v>48</v>
      </c>
      <c r="K147" s="14">
        <v>4</v>
      </c>
      <c r="L147" s="25"/>
      <c r="M147" s="25"/>
      <c r="N147" s="14">
        <v>4</v>
      </c>
      <c r="O147" s="25"/>
      <c r="P147" s="14">
        <v>20</v>
      </c>
      <c r="Q147" s="25"/>
      <c r="R147" s="25"/>
      <c r="S147" s="25"/>
      <c r="T147" s="25"/>
      <c r="U147" s="13">
        <v>744</v>
      </c>
      <c r="V147" s="25">
        <v>96.3</v>
      </c>
      <c r="W147" s="15">
        <f t="shared" si="4"/>
        <v>71647.199999999997</v>
      </c>
      <c r="X147" s="877">
        <f t="shared" si="5"/>
        <v>148</v>
      </c>
      <c r="Y147" s="877">
        <f t="shared" si="6"/>
        <v>596</v>
      </c>
      <c r="Z147" s="894"/>
    </row>
    <row r="148" spans="1:26" s="887" customFormat="1" ht="30" x14ac:dyDescent="0.2">
      <c r="A148" s="44">
        <v>98</v>
      </c>
      <c r="B148" s="884" t="s">
        <v>134</v>
      </c>
      <c r="C148" s="38">
        <v>1</v>
      </c>
      <c r="D148" s="25">
        <v>4</v>
      </c>
      <c r="E148" s="14">
        <v>2</v>
      </c>
      <c r="F148" s="25"/>
      <c r="G148" s="14">
        <v>7</v>
      </c>
      <c r="H148" s="14">
        <v>5</v>
      </c>
      <c r="I148" s="25"/>
      <c r="J148" s="14">
        <v>12</v>
      </c>
      <c r="K148" s="14">
        <v>1</v>
      </c>
      <c r="L148" s="25"/>
      <c r="M148" s="25"/>
      <c r="N148" s="14">
        <v>1</v>
      </c>
      <c r="O148" s="25"/>
      <c r="P148" s="14">
        <v>5</v>
      </c>
      <c r="Q148" s="25"/>
      <c r="R148" s="25"/>
      <c r="S148" s="25"/>
      <c r="T148" s="25"/>
      <c r="U148" s="13">
        <v>37</v>
      </c>
      <c r="V148" s="25">
        <v>213.1</v>
      </c>
      <c r="W148" s="15">
        <f t="shared" si="4"/>
        <v>7884.7</v>
      </c>
      <c r="X148" s="877">
        <f t="shared" si="5"/>
        <v>37</v>
      </c>
      <c r="Y148" s="877">
        <f t="shared" si="6"/>
        <v>0</v>
      </c>
    </row>
    <row r="149" spans="1:26" s="887" customFormat="1" ht="105" x14ac:dyDescent="0.2">
      <c r="A149" s="44">
        <v>99</v>
      </c>
      <c r="B149" s="884" t="s">
        <v>135</v>
      </c>
      <c r="C149" s="37">
        <v>1</v>
      </c>
      <c r="D149" s="25">
        <v>4</v>
      </c>
      <c r="E149" s="14">
        <v>2</v>
      </c>
      <c r="F149" s="25"/>
      <c r="G149" s="14">
        <v>7</v>
      </c>
      <c r="H149" s="14">
        <v>5</v>
      </c>
      <c r="I149" s="25"/>
      <c r="J149" s="14">
        <v>12</v>
      </c>
      <c r="K149" s="14">
        <v>1</v>
      </c>
      <c r="L149" s="25"/>
      <c r="M149" s="25"/>
      <c r="N149" s="14">
        <v>1</v>
      </c>
      <c r="O149" s="25"/>
      <c r="P149" s="14">
        <v>5</v>
      </c>
      <c r="Q149" s="25"/>
      <c r="R149" s="25"/>
      <c r="S149" s="25"/>
      <c r="T149" s="25"/>
      <c r="U149" s="13">
        <v>37</v>
      </c>
      <c r="V149" s="25">
        <v>24422.65</v>
      </c>
      <c r="W149" s="15">
        <f t="shared" si="4"/>
        <v>903638.05</v>
      </c>
      <c r="X149" s="877">
        <f t="shared" si="5"/>
        <v>37</v>
      </c>
      <c r="Y149" s="877">
        <f t="shared" si="6"/>
        <v>0</v>
      </c>
    </row>
    <row r="150" spans="1:26" s="887" customFormat="1" ht="60" x14ac:dyDescent="0.2">
      <c r="A150" s="44">
        <v>100</v>
      </c>
      <c r="B150" s="884" t="s">
        <v>136</v>
      </c>
      <c r="C150" s="37">
        <v>1</v>
      </c>
      <c r="D150" s="25">
        <v>24</v>
      </c>
      <c r="E150" s="14">
        <v>12</v>
      </c>
      <c r="F150" s="25"/>
      <c r="G150" s="14">
        <v>42</v>
      </c>
      <c r="H150" s="14">
        <v>30</v>
      </c>
      <c r="I150" s="25"/>
      <c r="J150" s="14">
        <v>72</v>
      </c>
      <c r="K150" s="14">
        <v>6</v>
      </c>
      <c r="L150" s="25"/>
      <c r="M150" s="25"/>
      <c r="N150" s="14">
        <v>6</v>
      </c>
      <c r="O150" s="25"/>
      <c r="P150" s="14">
        <v>30</v>
      </c>
      <c r="Q150" s="25"/>
      <c r="R150" s="25"/>
      <c r="S150" s="25"/>
      <c r="T150" s="25"/>
      <c r="U150" s="13">
        <v>222</v>
      </c>
      <c r="V150" s="25">
        <v>1453.75</v>
      </c>
      <c r="W150" s="15">
        <f t="shared" si="4"/>
        <v>322732.5</v>
      </c>
      <c r="X150" s="877">
        <f t="shared" si="5"/>
        <v>222</v>
      </c>
      <c r="Y150" s="877">
        <f t="shared" si="6"/>
        <v>0</v>
      </c>
    </row>
    <row r="151" spans="1:26" ht="90" x14ac:dyDescent="0.2">
      <c r="A151" s="44">
        <v>101</v>
      </c>
      <c r="B151" s="884" t="s">
        <v>137</v>
      </c>
      <c r="C151" s="37">
        <v>1</v>
      </c>
      <c r="D151" s="25">
        <v>8</v>
      </c>
      <c r="E151" s="14">
        <v>4</v>
      </c>
      <c r="F151" s="25"/>
      <c r="G151" s="14">
        <v>14</v>
      </c>
      <c r="H151" s="14">
        <v>10</v>
      </c>
      <c r="I151" s="25"/>
      <c r="J151" s="14">
        <v>24</v>
      </c>
      <c r="K151" s="14">
        <v>2</v>
      </c>
      <c r="L151" s="25"/>
      <c r="M151" s="25"/>
      <c r="N151" s="14">
        <v>2</v>
      </c>
      <c r="O151" s="25"/>
      <c r="P151" s="14">
        <v>10</v>
      </c>
      <c r="Q151" s="25"/>
      <c r="R151" s="25"/>
      <c r="S151" s="25"/>
      <c r="T151" s="25"/>
      <c r="U151" s="13">
        <v>74</v>
      </c>
      <c r="V151" s="25">
        <v>13796.3</v>
      </c>
      <c r="W151" s="15">
        <f t="shared" ref="W151:W179" si="7">V151*U151/C151</f>
        <v>1020926.2</v>
      </c>
      <c r="X151" s="877">
        <f t="shared" si="5"/>
        <v>74</v>
      </c>
      <c r="Y151" s="877">
        <f t="shared" si="6"/>
        <v>0</v>
      </c>
    </row>
    <row r="152" spans="1:26" ht="90" x14ac:dyDescent="0.2">
      <c r="A152" s="44">
        <v>102</v>
      </c>
      <c r="B152" s="884" t="s">
        <v>138</v>
      </c>
      <c r="C152" s="37">
        <v>1</v>
      </c>
      <c r="D152" s="25">
        <v>4</v>
      </c>
      <c r="E152" s="14">
        <v>2</v>
      </c>
      <c r="F152" s="25"/>
      <c r="G152" s="14">
        <v>7</v>
      </c>
      <c r="H152" s="14">
        <v>5</v>
      </c>
      <c r="I152" s="25"/>
      <c r="J152" s="14">
        <v>12</v>
      </c>
      <c r="K152" s="14">
        <v>1</v>
      </c>
      <c r="L152" s="25"/>
      <c r="M152" s="25"/>
      <c r="N152" s="14">
        <v>1</v>
      </c>
      <c r="O152" s="25"/>
      <c r="P152" s="14">
        <v>5</v>
      </c>
      <c r="Q152" s="25"/>
      <c r="R152" s="25"/>
      <c r="S152" s="25"/>
      <c r="T152" s="25"/>
      <c r="U152" s="13">
        <v>37</v>
      </c>
      <c r="V152" s="25">
        <v>19859.400000000001</v>
      </c>
      <c r="W152" s="15">
        <f t="shared" si="7"/>
        <v>734797.8</v>
      </c>
      <c r="X152" s="877">
        <f t="shared" si="5"/>
        <v>37</v>
      </c>
      <c r="Y152" s="877">
        <f t="shared" si="6"/>
        <v>0</v>
      </c>
    </row>
    <row r="153" spans="1:26" ht="45" x14ac:dyDescent="0.2">
      <c r="A153" s="44">
        <v>103</v>
      </c>
      <c r="B153" s="884" t="s">
        <v>139</v>
      </c>
      <c r="C153" s="37">
        <v>1</v>
      </c>
      <c r="D153" s="25">
        <v>12</v>
      </c>
      <c r="E153" s="14">
        <v>6</v>
      </c>
      <c r="F153" s="25"/>
      <c r="G153" s="14">
        <v>21</v>
      </c>
      <c r="H153" s="14">
        <v>15</v>
      </c>
      <c r="I153" s="25"/>
      <c r="J153" s="14">
        <v>36</v>
      </c>
      <c r="K153" s="14">
        <v>3</v>
      </c>
      <c r="L153" s="25"/>
      <c r="M153" s="25"/>
      <c r="N153" s="14">
        <v>3</v>
      </c>
      <c r="O153" s="25"/>
      <c r="P153" s="14">
        <v>15</v>
      </c>
      <c r="Q153" s="25"/>
      <c r="R153" s="25"/>
      <c r="S153" s="25"/>
      <c r="T153" s="25"/>
      <c r="U153" s="13">
        <v>707</v>
      </c>
      <c r="V153" s="25">
        <v>1995.3</v>
      </c>
      <c r="W153" s="15">
        <f t="shared" si="7"/>
        <v>1410677.0999999999</v>
      </c>
      <c r="X153" s="877">
        <f t="shared" si="5"/>
        <v>111</v>
      </c>
      <c r="Y153" s="877">
        <f t="shared" si="6"/>
        <v>596</v>
      </c>
      <c r="Z153" s="882"/>
    </row>
    <row r="154" spans="1:26" x14ac:dyDescent="0.2">
      <c r="A154" s="44">
        <v>104</v>
      </c>
      <c r="B154" s="884" t="s">
        <v>140</v>
      </c>
      <c r="C154" s="37">
        <v>1</v>
      </c>
      <c r="D154" s="25">
        <v>12</v>
      </c>
      <c r="E154" s="14">
        <v>6</v>
      </c>
      <c r="F154" s="25"/>
      <c r="G154" s="14">
        <v>21</v>
      </c>
      <c r="H154" s="14">
        <v>15</v>
      </c>
      <c r="I154" s="25"/>
      <c r="J154" s="14">
        <v>36</v>
      </c>
      <c r="K154" s="14">
        <v>3</v>
      </c>
      <c r="L154" s="25"/>
      <c r="M154" s="25"/>
      <c r="N154" s="14">
        <v>3</v>
      </c>
      <c r="O154" s="25"/>
      <c r="P154" s="14">
        <v>15</v>
      </c>
      <c r="Q154" s="25"/>
      <c r="R154" s="25"/>
      <c r="S154" s="25"/>
      <c r="T154" s="25"/>
      <c r="U154" s="13">
        <v>111</v>
      </c>
      <c r="V154" s="25">
        <v>178.75</v>
      </c>
      <c r="W154" s="15">
        <f t="shared" si="7"/>
        <v>19841.25</v>
      </c>
      <c r="X154" s="877">
        <f t="shared" si="5"/>
        <v>111</v>
      </c>
      <c r="Y154" s="877">
        <f t="shared" si="6"/>
        <v>0</v>
      </c>
    </row>
    <row r="155" spans="1:26" s="887" customFormat="1" ht="45" x14ac:dyDescent="0.2">
      <c r="A155" s="44">
        <v>105</v>
      </c>
      <c r="B155" s="884" t="s">
        <v>171</v>
      </c>
      <c r="C155" s="19">
        <v>100</v>
      </c>
      <c r="D155" s="25"/>
      <c r="E155" s="14"/>
      <c r="F155" s="14"/>
      <c r="G155" s="14"/>
      <c r="H155" s="14">
        <v>1758.1539000000002</v>
      </c>
      <c r="I155" s="14"/>
      <c r="J155" s="14">
        <v>997.5381000000001</v>
      </c>
      <c r="K155" s="14"/>
      <c r="L155" s="14">
        <v>648.78250000000003</v>
      </c>
      <c r="M155" s="14">
        <v>648.78250000000003</v>
      </c>
      <c r="N155" s="14"/>
      <c r="O155" s="14"/>
      <c r="P155" s="14">
        <v>1394.2756000000002</v>
      </c>
      <c r="Q155" s="14"/>
      <c r="R155" s="14"/>
      <c r="S155" s="14"/>
      <c r="T155" s="14"/>
      <c r="U155" s="13">
        <v>5447.5326000000005</v>
      </c>
      <c r="V155" s="14">
        <v>13179.6</v>
      </c>
      <c r="W155" s="15">
        <f t="shared" si="7"/>
        <v>717963.00654960005</v>
      </c>
    </row>
    <row r="156" spans="1:26" s="887" customFormat="1" ht="105" x14ac:dyDescent="0.2">
      <c r="A156" s="44">
        <v>106</v>
      </c>
      <c r="B156" s="884" t="s">
        <v>172</v>
      </c>
      <c r="C156" s="22">
        <v>1</v>
      </c>
      <c r="D156" s="25"/>
      <c r="E156" s="14"/>
      <c r="F156" s="14"/>
      <c r="G156" s="14"/>
      <c r="H156" s="14">
        <v>607.91999999999996</v>
      </c>
      <c r="I156" s="14"/>
      <c r="J156" s="14">
        <v>367.92</v>
      </c>
      <c r="K156" s="14"/>
      <c r="L156" s="14">
        <v>271.92</v>
      </c>
      <c r="M156" s="14">
        <v>271.92</v>
      </c>
      <c r="N156" s="14"/>
      <c r="O156" s="14"/>
      <c r="P156" s="14">
        <v>463.92</v>
      </c>
      <c r="Q156" s="14"/>
      <c r="R156" s="14"/>
      <c r="S156" s="14"/>
      <c r="T156" s="14"/>
      <c r="U156" s="13">
        <v>1983.6000000000001</v>
      </c>
      <c r="V156" s="14">
        <v>2180.6999999999998</v>
      </c>
      <c r="W156" s="15">
        <f t="shared" si="7"/>
        <v>4325636.5199999996</v>
      </c>
    </row>
    <row r="157" spans="1:26" s="887" customFormat="1" ht="30" x14ac:dyDescent="0.2">
      <c r="A157" s="44">
        <v>107</v>
      </c>
      <c r="B157" s="884" t="s">
        <v>173</v>
      </c>
      <c r="C157" s="19">
        <v>1</v>
      </c>
      <c r="D157" s="25"/>
      <c r="E157" s="14"/>
      <c r="F157" s="14"/>
      <c r="G157" s="14"/>
      <c r="H157" s="14">
        <v>196</v>
      </c>
      <c r="I157" s="14"/>
      <c r="J157" s="14">
        <v>176</v>
      </c>
      <c r="K157" s="14"/>
      <c r="L157" s="14">
        <v>176</v>
      </c>
      <c r="M157" s="14">
        <v>176</v>
      </c>
      <c r="N157" s="14"/>
      <c r="O157" s="14"/>
      <c r="P157" s="14">
        <v>184</v>
      </c>
      <c r="Q157" s="14"/>
      <c r="R157" s="14"/>
      <c r="S157" s="14"/>
      <c r="T157" s="14"/>
      <c r="U157" s="13">
        <v>908</v>
      </c>
      <c r="V157" s="14">
        <v>2767</v>
      </c>
      <c r="W157" s="15">
        <f t="shared" si="7"/>
        <v>2512436</v>
      </c>
    </row>
    <row r="158" spans="1:26" s="887" customFormat="1" x14ac:dyDescent="0.2">
      <c r="A158" s="44">
        <v>108</v>
      </c>
      <c r="B158" s="884" t="s">
        <v>174</v>
      </c>
      <c r="C158" s="19">
        <v>100</v>
      </c>
      <c r="D158" s="25"/>
      <c r="E158" s="14"/>
      <c r="F158" s="14"/>
      <c r="G158" s="14"/>
      <c r="H158" s="14">
        <v>5921.9459999999999</v>
      </c>
      <c r="I158" s="14"/>
      <c r="J158" s="14">
        <v>3581.6040000000003</v>
      </c>
      <c r="K158" s="14"/>
      <c r="L158" s="14">
        <v>2528.6009999999997</v>
      </c>
      <c r="M158" s="14">
        <v>2528.6009999999997</v>
      </c>
      <c r="N158" s="14"/>
      <c r="O158" s="14"/>
      <c r="P158" s="14">
        <v>4838.8949999999995</v>
      </c>
      <c r="Q158" s="14"/>
      <c r="R158" s="14"/>
      <c r="S158" s="14"/>
      <c r="T158" s="14"/>
      <c r="U158" s="13">
        <v>19399.646999999997</v>
      </c>
      <c r="V158" s="25">
        <v>1212.3499999999999</v>
      </c>
      <c r="W158" s="15">
        <f t="shared" si="7"/>
        <v>235191.62040449996</v>
      </c>
    </row>
    <row r="159" spans="1:26" s="887" customFormat="1" ht="30" x14ac:dyDescent="0.2">
      <c r="A159" s="44">
        <v>109</v>
      </c>
      <c r="B159" s="884" t="s">
        <v>175</v>
      </c>
      <c r="C159" s="37">
        <v>1</v>
      </c>
      <c r="D159" s="25"/>
      <c r="E159" s="14"/>
      <c r="F159" s="14"/>
      <c r="G159" s="14"/>
      <c r="H159" s="14">
        <v>99</v>
      </c>
      <c r="I159" s="14"/>
      <c r="J159" s="14">
        <v>64</v>
      </c>
      <c r="K159" s="14"/>
      <c r="L159" s="14">
        <v>28</v>
      </c>
      <c r="M159" s="14">
        <v>28</v>
      </c>
      <c r="N159" s="14"/>
      <c r="O159" s="14"/>
      <c r="P159" s="14">
        <v>150</v>
      </c>
      <c r="Q159" s="14"/>
      <c r="R159" s="14"/>
      <c r="S159" s="14"/>
      <c r="T159" s="14"/>
      <c r="U159" s="13">
        <v>369</v>
      </c>
      <c r="V159" s="25">
        <v>680.75</v>
      </c>
      <c r="W159" s="15">
        <f t="shared" si="7"/>
        <v>251196.75</v>
      </c>
    </row>
    <row r="160" spans="1:26" s="887" customFormat="1" ht="45" x14ac:dyDescent="0.2">
      <c r="A160" s="44">
        <v>110</v>
      </c>
      <c r="B160" s="884" t="s">
        <v>190</v>
      </c>
      <c r="C160" s="36">
        <v>1</v>
      </c>
      <c r="D160" s="25"/>
      <c r="E160" s="14"/>
      <c r="F160" s="14"/>
      <c r="G160" s="14"/>
      <c r="H160" s="14"/>
      <c r="I160" s="14"/>
      <c r="J160" s="14">
        <v>71.86</v>
      </c>
      <c r="K160" s="14"/>
      <c r="L160" s="14"/>
      <c r="M160" s="893"/>
      <c r="N160" s="14"/>
      <c r="O160" s="14"/>
      <c r="P160" s="14">
        <v>40</v>
      </c>
      <c r="Q160" s="14"/>
      <c r="R160" s="14"/>
      <c r="S160" s="14"/>
      <c r="T160" s="14"/>
      <c r="U160" s="13">
        <v>111.86</v>
      </c>
      <c r="V160" s="25">
        <v>1125.2</v>
      </c>
      <c r="W160" s="15">
        <f t="shared" si="7"/>
        <v>125864.872</v>
      </c>
    </row>
    <row r="161" spans="1:26" s="887" customFormat="1" x14ac:dyDescent="0.2">
      <c r="A161" s="44">
        <v>111</v>
      </c>
      <c r="B161" s="884" t="s">
        <v>176</v>
      </c>
      <c r="C161" s="19">
        <v>1</v>
      </c>
      <c r="D161" s="25"/>
      <c r="E161" s="14"/>
      <c r="F161" s="14"/>
      <c r="G161" s="14"/>
      <c r="H161" s="14">
        <v>1368</v>
      </c>
      <c r="I161" s="14"/>
      <c r="J161" s="14">
        <v>368</v>
      </c>
      <c r="K161" s="14"/>
      <c r="L161" s="14">
        <v>184</v>
      </c>
      <c r="M161" s="14">
        <v>184</v>
      </c>
      <c r="N161" s="14"/>
      <c r="O161" s="14"/>
      <c r="P161" s="14">
        <v>696</v>
      </c>
      <c r="Q161" s="14"/>
      <c r="R161" s="14"/>
      <c r="S161" s="14"/>
      <c r="T161" s="14"/>
      <c r="U161" s="13">
        <v>2800</v>
      </c>
      <c r="V161" s="25">
        <v>603</v>
      </c>
      <c r="W161" s="15">
        <f t="shared" si="7"/>
        <v>1688400</v>
      </c>
    </row>
    <row r="162" spans="1:26" s="887" customFormat="1" ht="45" x14ac:dyDescent="0.2">
      <c r="A162" s="44">
        <v>112</v>
      </c>
      <c r="B162" s="884" t="s">
        <v>177</v>
      </c>
      <c r="C162" s="19">
        <v>1</v>
      </c>
      <c r="D162" s="25"/>
      <c r="E162" s="14"/>
      <c r="F162" s="14"/>
      <c r="G162" s="14"/>
      <c r="H162" s="14">
        <v>2738.75</v>
      </c>
      <c r="I162" s="14"/>
      <c r="J162" s="14">
        <v>1682.7508000000003</v>
      </c>
      <c r="K162" s="14"/>
      <c r="L162" s="14">
        <v>1417.6664000000001</v>
      </c>
      <c r="M162" s="14">
        <v>1417.6664000000001</v>
      </c>
      <c r="N162" s="14"/>
      <c r="O162" s="14"/>
      <c r="P162" s="14">
        <v>2220.2250000000004</v>
      </c>
      <c r="Q162" s="14"/>
      <c r="R162" s="14"/>
      <c r="S162" s="14"/>
      <c r="T162" s="14"/>
      <c r="U162" s="13">
        <v>9477.0586000000003</v>
      </c>
      <c r="V162" s="25">
        <v>205.4</v>
      </c>
      <c r="W162" s="15">
        <f t="shared" si="7"/>
        <v>1946587.8364400002</v>
      </c>
    </row>
    <row r="163" spans="1:26" s="887" customFormat="1" x14ac:dyDescent="0.2">
      <c r="A163" s="44">
        <v>113</v>
      </c>
      <c r="B163" s="884" t="s">
        <v>178</v>
      </c>
      <c r="C163" s="12">
        <v>100</v>
      </c>
      <c r="D163" s="25"/>
      <c r="E163" s="14"/>
      <c r="F163" s="14"/>
      <c r="G163" s="14"/>
      <c r="H163" s="14">
        <v>738.42</v>
      </c>
      <c r="I163" s="14"/>
      <c r="J163" s="14">
        <v>418.97</v>
      </c>
      <c r="K163" s="14"/>
      <c r="L163" s="14">
        <v>272.49</v>
      </c>
      <c r="M163" s="14">
        <v>272.49</v>
      </c>
      <c r="N163" s="14"/>
      <c r="O163" s="14"/>
      <c r="P163" s="14">
        <v>585.6</v>
      </c>
      <c r="Q163" s="14"/>
      <c r="R163" s="14"/>
      <c r="S163" s="14"/>
      <c r="T163" s="14"/>
      <c r="U163" s="13">
        <v>2287.9699999999998</v>
      </c>
      <c r="V163" s="25">
        <v>18017.599999999999</v>
      </c>
      <c r="W163" s="15">
        <f t="shared" si="7"/>
        <v>412237.2827199999</v>
      </c>
    </row>
    <row r="164" spans="1:26" s="887" customFormat="1" ht="60" x14ac:dyDescent="0.2">
      <c r="A164" s="44">
        <v>114</v>
      </c>
      <c r="B164" s="884" t="s">
        <v>179</v>
      </c>
      <c r="C164" s="19">
        <v>100</v>
      </c>
      <c r="D164" s="25"/>
      <c r="E164" s="25"/>
      <c r="F164" s="25"/>
      <c r="G164" s="25"/>
      <c r="H164" s="25">
        <v>1758.1539000000002</v>
      </c>
      <c r="I164" s="25"/>
      <c r="J164" s="25">
        <v>997.5381000000001</v>
      </c>
      <c r="K164" s="25"/>
      <c r="L164" s="25">
        <v>648.78250000000003</v>
      </c>
      <c r="M164" s="25">
        <v>648.78250000000003</v>
      </c>
      <c r="N164" s="25"/>
      <c r="O164" s="25"/>
      <c r="P164" s="25">
        <v>1394.2756000000002</v>
      </c>
      <c r="Q164" s="25"/>
      <c r="R164" s="25"/>
      <c r="S164" s="25"/>
      <c r="T164" s="25"/>
      <c r="U164" s="13">
        <v>5447.5326000000005</v>
      </c>
      <c r="V164" s="25">
        <v>29658.5</v>
      </c>
      <c r="W164" s="15">
        <f t="shared" si="7"/>
        <v>1615656.4561709999</v>
      </c>
    </row>
    <row r="165" spans="1:26" s="887" customFormat="1" ht="60" x14ac:dyDescent="0.2">
      <c r="A165" s="44">
        <v>115</v>
      </c>
      <c r="B165" s="884" t="s">
        <v>180</v>
      </c>
      <c r="C165" s="19">
        <v>100</v>
      </c>
      <c r="D165" s="25"/>
      <c r="E165" s="25"/>
      <c r="F165" s="25"/>
      <c r="G165" s="25"/>
      <c r="H165" s="25">
        <v>112.84</v>
      </c>
      <c r="I165" s="25"/>
      <c r="J165" s="25">
        <v>72.099999999999994</v>
      </c>
      <c r="K165" s="25"/>
      <c r="L165" s="25">
        <v>53.42</v>
      </c>
      <c r="M165" s="25">
        <v>53.42</v>
      </c>
      <c r="N165" s="25"/>
      <c r="O165" s="25"/>
      <c r="P165" s="25">
        <v>93.350000000000009</v>
      </c>
      <c r="Q165" s="25"/>
      <c r="R165" s="25"/>
      <c r="S165" s="25"/>
      <c r="T165" s="25"/>
      <c r="U165" s="13">
        <v>385.13000000000005</v>
      </c>
      <c r="V165" s="25">
        <v>19146.849999999999</v>
      </c>
      <c r="W165" s="15">
        <f t="shared" si="7"/>
        <v>73740.263405000005</v>
      </c>
    </row>
    <row r="166" spans="1:26" s="887" customFormat="1" ht="30" x14ac:dyDescent="0.2">
      <c r="A166" s="44">
        <v>116</v>
      </c>
      <c r="B166" s="884" t="s">
        <v>181</v>
      </c>
      <c r="C166" s="36">
        <v>1</v>
      </c>
      <c r="D166" s="25"/>
      <c r="E166" s="25"/>
      <c r="F166" s="25"/>
      <c r="G166" s="25"/>
      <c r="H166" s="25">
        <v>900.26</v>
      </c>
      <c r="I166" s="25"/>
      <c r="J166" s="25">
        <v>519.15</v>
      </c>
      <c r="K166" s="25"/>
      <c r="L166" s="25">
        <v>389.75</v>
      </c>
      <c r="M166" s="25">
        <v>389.75</v>
      </c>
      <c r="N166" s="25"/>
      <c r="O166" s="25"/>
      <c r="P166" s="25">
        <v>723.40000000000009</v>
      </c>
      <c r="Q166" s="25"/>
      <c r="R166" s="25"/>
      <c r="S166" s="25"/>
      <c r="T166" s="25"/>
      <c r="U166" s="13">
        <v>2922.31</v>
      </c>
      <c r="V166" s="25">
        <v>39.6</v>
      </c>
      <c r="W166" s="15">
        <f t="shared" si="7"/>
        <v>115723.476</v>
      </c>
    </row>
    <row r="167" spans="1:26" s="887" customFormat="1" x14ac:dyDescent="0.2">
      <c r="A167" s="44">
        <v>117</v>
      </c>
      <c r="B167" s="884" t="s">
        <v>183</v>
      </c>
      <c r="C167" s="38">
        <v>1</v>
      </c>
      <c r="D167" s="25"/>
      <c r="E167" s="14"/>
      <c r="F167" s="14"/>
      <c r="G167" s="14"/>
      <c r="H167" s="14">
        <v>15</v>
      </c>
      <c r="I167" s="14"/>
      <c r="J167" s="14">
        <v>10</v>
      </c>
      <c r="K167" s="14"/>
      <c r="L167" s="14">
        <v>5</v>
      </c>
      <c r="M167" s="14">
        <v>5</v>
      </c>
      <c r="N167" s="14"/>
      <c r="O167" s="14"/>
      <c r="P167" s="14">
        <v>15</v>
      </c>
      <c r="Q167" s="14"/>
      <c r="R167" s="14"/>
      <c r="S167" s="14"/>
      <c r="T167" s="14"/>
      <c r="U167" s="13">
        <v>596</v>
      </c>
      <c r="V167" s="25">
        <v>178.75</v>
      </c>
      <c r="W167" s="15">
        <f t="shared" si="7"/>
        <v>106535</v>
      </c>
      <c r="Z167" s="894"/>
    </row>
    <row r="168" spans="1:26" s="887" customFormat="1" ht="60.75" x14ac:dyDescent="0.2">
      <c r="A168" s="44">
        <v>118</v>
      </c>
      <c r="B168" s="884" t="s">
        <v>184</v>
      </c>
      <c r="C168" s="37">
        <v>1</v>
      </c>
      <c r="D168" s="25"/>
      <c r="E168" s="14"/>
      <c r="F168" s="14"/>
      <c r="G168" s="14"/>
      <c r="H168" s="14">
        <v>1</v>
      </c>
      <c r="I168" s="14"/>
      <c r="J168" s="14">
        <v>1</v>
      </c>
      <c r="K168" s="14"/>
      <c r="L168" s="14">
        <v>1</v>
      </c>
      <c r="M168" s="14">
        <v>1</v>
      </c>
      <c r="N168" s="14"/>
      <c r="O168" s="14"/>
      <c r="P168" s="14">
        <v>1</v>
      </c>
      <c r="Q168" s="14"/>
      <c r="R168" s="14"/>
      <c r="S168" s="14"/>
      <c r="T168" s="14"/>
      <c r="U168" s="13">
        <v>5</v>
      </c>
      <c r="V168" s="25">
        <v>5616.25</v>
      </c>
      <c r="W168" s="15">
        <f t="shared" si="7"/>
        <v>28081.25</v>
      </c>
    </row>
    <row r="169" spans="1:26" s="887" customFormat="1" ht="60.75" x14ac:dyDescent="0.2">
      <c r="A169" s="44">
        <v>119</v>
      </c>
      <c r="B169" s="884" t="s">
        <v>185</v>
      </c>
      <c r="C169" s="37">
        <v>1</v>
      </c>
      <c r="D169" s="25"/>
      <c r="E169" s="14"/>
      <c r="F169" s="14"/>
      <c r="G169" s="14"/>
      <c r="H169" s="14">
        <v>10</v>
      </c>
      <c r="I169" s="14"/>
      <c r="J169" s="14">
        <v>5</v>
      </c>
      <c r="K169" s="14"/>
      <c r="L169" s="14">
        <v>2</v>
      </c>
      <c r="M169" s="14">
        <v>2</v>
      </c>
      <c r="N169" s="14"/>
      <c r="O169" s="14"/>
      <c r="P169" s="14">
        <v>10</v>
      </c>
      <c r="Q169" s="14"/>
      <c r="R169" s="14"/>
      <c r="S169" s="14"/>
      <c r="T169" s="14"/>
      <c r="U169" s="13">
        <v>29</v>
      </c>
      <c r="V169" s="25">
        <v>1453.75</v>
      </c>
      <c r="W169" s="15">
        <f t="shared" si="7"/>
        <v>42158.75</v>
      </c>
    </row>
    <row r="170" spans="1:26" s="887" customFormat="1" ht="45" x14ac:dyDescent="0.2">
      <c r="A170" s="44">
        <v>120</v>
      </c>
      <c r="B170" s="884" t="s">
        <v>186</v>
      </c>
      <c r="C170" s="38">
        <v>1</v>
      </c>
      <c r="D170" s="25"/>
      <c r="E170" s="14"/>
      <c r="F170" s="14"/>
      <c r="G170" s="14"/>
      <c r="H170" s="14">
        <v>10</v>
      </c>
      <c r="I170" s="14"/>
      <c r="J170" s="14">
        <v>6</v>
      </c>
      <c r="K170" s="14"/>
      <c r="L170" s="14">
        <v>4</v>
      </c>
      <c r="M170" s="14">
        <v>4</v>
      </c>
      <c r="N170" s="14"/>
      <c r="O170" s="14"/>
      <c r="P170" s="14">
        <v>10</v>
      </c>
      <c r="Q170" s="14"/>
      <c r="R170" s="14"/>
      <c r="S170" s="14"/>
      <c r="T170" s="14"/>
      <c r="U170" s="13">
        <v>34</v>
      </c>
      <c r="V170" s="25">
        <v>11398.45</v>
      </c>
      <c r="W170" s="15">
        <f t="shared" si="7"/>
        <v>387547.30000000005</v>
      </c>
    </row>
    <row r="171" spans="1:26" s="887" customFormat="1" x14ac:dyDescent="0.2">
      <c r="A171" s="120">
        <v>121</v>
      </c>
      <c r="B171" s="905" t="s">
        <v>58</v>
      </c>
      <c r="C171" s="12">
        <v>1000</v>
      </c>
      <c r="D171" s="909"/>
      <c r="E171" s="14"/>
      <c r="F171" s="14"/>
      <c r="G171" s="14"/>
      <c r="H171" s="14"/>
      <c r="I171" s="14"/>
      <c r="J171" s="14">
        <v>34138.375</v>
      </c>
      <c r="K171" s="14"/>
      <c r="L171" s="14">
        <v>10698.490000000002</v>
      </c>
      <c r="M171" s="14">
        <v>14034.924999999999</v>
      </c>
      <c r="N171" s="14"/>
      <c r="O171" s="14"/>
      <c r="P171" s="14"/>
      <c r="Q171" s="14"/>
      <c r="R171" s="14"/>
      <c r="S171" s="14"/>
      <c r="T171" s="14"/>
      <c r="U171" s="13">
        <v>58871.790000000008</v>
      </c>
      <c r="V171" s="25">
        <v>10533.6</v>
      </c>
      <c r="W171" s="15">
        <f t="shared" si="7"/>
        <v>620131.88714400004</v>
      </c>
    </row>
    <row r="172" spans="1:26" s="887" customFormat="1" ht="30" x14ac:dyDescent="0.2">
      <c r="A172" s="120">
        <v>122</v>
      </c>
      <c r="B172" s="905" t="s">
        <v>194</v>
      </c>
      <c r="C172" s="12">
        <v>1000</v>
      </c>
      <c r="D172" s="909"/>
      <c r="E172" s="14"/>
      <c r="F172" s="14"/>
      <c r="G172" s="14"/>
      <c r="H172" s="14"/>
      <c r="I172" s="14"/>
      <c r="J172" s="14">
        <v>34138.375</v>
      </c>
      <c r="K172" s="14"/>
      <c r="L172" s="14">
        <v>10698.490000000002</v>
      </c>
      <c r="M172" s="14">
        <v>14034.924999999999</v>
      </c>
      <c r="N172" s="14"/>
      <c r="O172" s="14"/>
      <c r="P172" s="14"/>
      <c r="Q172" s="14"/>
      <c r="R172" s="14"/>
      <c r="S172" s="14"/>
      <c r="T172" s="14"/>
      <c r="U172" s="13">
        <v>58871.790000000008</v>
      </c>
      <c r="V172" s="25">
        <v>1437.5</v>
      </c>
      <c r="W172" s="15">
        <f t="shared" si="7"/>
        <v>84628.19812500001</v>
      </c>
    </row>
    <row r="173" spans="1:26" s="887" customFormat="1" ht="30" x14ac:dyDescent="0.2">
      <c r="A173" s="993">
        <v>123</v>
      </c>
      <c r="B173" s="905" t="s">
        <v>195</v>
      </c>
      <c r="C173" s="12">
        <v>1000</v>
      </c>
      <c r="D173" s="909"/>
      <c r="E173" s="14"/>
      <c r="F173" s="14"/>
      <c r="G173" s="14"/>
      <c r="H173" s="14"/>
      <c r="I173" s="14"/>
      <c r="J173" s="14">
        <v>5910.3</v>
      </c>
      <c r="K173" s="14"/>
      <c r="L173" s="14">
        <v>4319.8550000000005</v>
      </c>
      <c r="M173" s="14">
        <v>4319.8550000000005</v>
      </c>
      <c r="N173" s="14"/>
      <c r="O173" s="14"/>
      <c r="P173" s="14"/>
      <c r="Q173" s="14"/>
      <c r="R173" s="14"/>
      <c r="S173" s="14"/>
      <c r="T173" s="14"/>
      <c r="U173" s="13">
        <v>14550.010000000002</v>
      </c>
      <c r="V173" s="25">
        <v>5033.7</v>
      </c>
      <c r="W173" s="15">
        <f t="shared" si="7"/>
        <v>73240.385337000014</v>
      </c>
    </row>
    <row r="174" spans="1:26" s="887" customFormat="1" x14ac:dyDescent="0.2">
      <c r="A174" s="994"/>
      <c r="B174" s="905" t="s">
        <v>196</v>
      </c>
      <c r="C174" s="43"/>
      <c r="D174" s="43"/>
      <c r="E174" s="43"/>
      <c r="F174" s="43"/>
      <c r="G174" s="43"/>
      <c r="H174" s="43"/>
      <c r="I174" s="43"/>
      <c r="J174" s="43"/>
      <c r="K174" s="43"/>
      <c r="L174" s="43"/>
      <c r="M174" s="43"/>
      <c r="N174" s="43"/>
      <c r="O174" s="43"/>
      <c r="P174" s="43"/>
      <c r="Q174" s="43"/>
      <c r="R174" s="43"/>
      <c r="S174" s="43"/>
      <c r="T174" s="43"/>
      <c r="U174" s="13">
        <v>0</v>
      </c>
      <c r="V174" s="43"/>
      <c r="W174" s="43"/>
    </row>
    <row r="175" spans="1:26" s="887" customFormat="1" x14ac:dyDescent="0.2">
      <c r="A175" s="994"/>
      <c r="B175" s="905" t="s">
        <v>197</v>
      </c>
      <c r="C175" s="19">
        <v>100</v>
      </c>
      <c r="D175" s="909"/>
      <c r="E175" s="13"/>
      <c r="F175" s="13"/>
      <c r="G175" s="13"/>
      <c r="H175" s="13"/>
      <c r="I175" s="13"/>
      <c r="J175" s="13">
        <v>1100</v>
      </c>
      <c r="K175" s="13"/>
      <c r="L175" s="13">
        <v>700</v>
      </c>
      <c r="M175" s="13">
        <v>700</v>
      </c>
      <c r="N175" s="13"/>
      <c r="O175" s="13"/>
      <c r="P175" s="13"/>
      <c r="Q175" s="13"/>
      <c r="R175" s="13"/>
      <c r="S175" s="13"/>
      <c r="T175" s="13"/>
      <c r="U175" s="13">
        <v>2500</v>
      </c>
      <c r="V175" s="14">
        <v>6512.05</v>
      </c>
      <c r="W175" s="15">
        <f t="shared" si="7"/>
        <v>162801.25</v>
      </c>
    </row>
    <row r="176" spans="1:26" s="887" customFormat="1" x14ac:dyDescent="0.2">
      <c r="A176" s="995"/>
      <c r="B176" s="905" t="s">
        <v>198</v>
      </c>
      <c r="C176" s="19">
        <v>100</v>
      </c>
      <c r="D176" s="909"/>
      <c r="E176" s="13"/>
      <c r="F176" s="13"/>
      <c r="G176" s="13"/>
      <c r="H176" s="13"/>
      <c r="I176" s="13"/>
      <c r="J176" s="13">
        <v>1540</v>
      </c>
      <c r="K176" s="13"/>
      <c r="L176" s="13">
        <v>1168</v>
      </c>
      <c r="M176" s="13">
        <v>1168</v>
      </c>
      <c r="N176" s="13"/>
      <c r="O176" s="13"/>
      <c r="P176" s="13"/>
      <c r="Q176" s="13"/>
      <c r="R176" s="13"/>
      <c r="S176" s="13"/>
      <c r="T176" s="13"/>
      <c r="U176" s="13">
        <v>3876</v>
      </c>
      <c r="V176" s="14">
        <v>7363.45</v>
      </c>
      <c r="W176" s="15">
        <f t="shared" si="7"/>
        <v>285407.32199999999</v>
      </c>
    </row>
    <row r="177" spans="1:26" s="887" customFormat="1" x14ac:dyDescent="0.2">
      <c r="A177" s="993">
        <v>124</v>
      </c>
      <c r="B177" s="905" t="s">
        <v>199</v>
      </c>
      <c r="C177" s="43"/>
      <c r="D177" s="43"/>
      <c r="E177" s="43"/>
      <c r="F177" s="43"/>
      <c r="G177" s="43"/>
      <c r="H177" s="43"/>
      <c r="I177" s="43"/>
      <c r="J177" s="43"/>
      <c r="K177" s="43"/>
      <c r="L177" s="43"/>
      <c r="M177" s="43"/>
      <c r="N177" s="43"/>
      <c r="O177" s="43"/>
      <c r="P177" s="43"/>
      <c r="Q177" s="43"/>
      <c r="R177" s="43"/>
      <c r="S177" s="43"/>
      <c r="T177" s="43"/>
      <c r="U177" s="13">
        <v>0</v>
      </c>
      <c r="V177" s="43"/>
      <c r="W177" s="43"/>
    </row>
    <row r="178" spans="1:26" s="887" customFormat="1" x14ac:dyDescent="0.2">
      <c r="A178" s="994"/>
      <c r="B178" s="905" t="s">
        <v>200</v>
      </c>
      <c r="C178" s="12">
        <v>100</v>
      </c>
      <c r="D178" s="909"/>
      <c r="E178" s="14"/>
      <c r="F178" s="14"/>
      <c r="G178" s="14"/>
      <c r="H178" s="14"/>
      <c r="I178" s="14"/>
      <c r="J178" s="14">
        <v>376.75</v>
      </c>
      <c r="K178" s="14"/>
      <c r="L178" s="14">
        <v>239.75</v>
      </c>
      <c r="M178" s="14">
        <v>239.75</v>
      </c>
      <c r="N178" s="14"/>
      <c r="O178" s="14"/>
      <c r="P178" s="14"/>
      <c r="Q178" s="14"/>
      <c r="R178" s="14"/>
      <c r="S178" s="14"/>
      <c r="T178" s="14"/>
      <c r="U178" s="13">
        <v>856.25</v>
      </c>
      <c r="V178" s="13">
        <v>49016.9</v>
      </c>
      <c r="W178" s="15">
        <f t="shared" si="7"/>
        <v>419707.20624999999</v>
      </c>
    </row>
    <row r="179" spans="1:26" s="887" customFormat="1" x14ac:dyDescent="0.2">
      <c r="A179" s="995"/>
      <c r="B179" s="905" t="s">
        <v>201</v>
      </c>
      <c r="C179" s="12">
        <v>100</v>
      </c>
      <c r="D179" s="909"/>
      <c r="E179" s="14"/>
      <c r="F179" s="14"/>
      <c r="G179" s="14"/>
      <c r="H179" s="14"/>
      <c r="I179" s="14"/>
      <c r="J179" s="14">
        <v>527.45000000000005</v>
      </c>
      <c r="K179" s="14"/>
      <c r="L179" s="14">
        <v>400.04</v>
      </c>
      <c r="M179" s="14">
        <v>400.04</v>
      </c>
      <c r="N179" s="14"/>
      <c r="O179" s="14"/>
      <c r="P179" s="14"/>
      <c r="Q179" s="14"/>
      <c r="R179" s="14"/>
      <c r="S179" s="14"/>
      <c r="T179" s="14"/>
      <c r="U179" s="13">
        <v>1327.53</v>
      </c>
      <c r="V179" s="13">
        <v>51301.8</v>
      </c>
      <c r="W179" s="15">
        <f t="shared" si="7"/>
        <v>681046.78554000007</v>
      </c>
    </row>
    <row r="180" spans="1:26" s="887" customFormat="1" ht="30" x14ac:dyDescent="0.2">
      <c r="A180" s="120">
        <v>125</v>
      </c>
      <c r="B180" s="905" t="s">
        <v>202</v>
      </c>
      <c r="C180" s="36">
        <v>1</v>
      </c>
      <c r="D180" s="909"/>
      <c r="E180" s="14"/>
      <c r="F180" s="14"/>
      <c r="G180" s="14"/>
      <c r="H180" s="14"/>
      <c r="I180" s="14"/>
      <c r="J180" s="14">
        <v>264</v>
      </c>
      <c r="K180" s="14"/>
      <c r="L180" s="14">
        <v>186.8</v>
      </c>
      <c r="M180" s="14">
        <v>186.8</v>
      </c>
      <c r="N180" s="14"/>
      <c r="O180" s="14"/>
      <c r="P180" s="14"/>
      <c r="Q180" s="14"/>
      <c r="R180" s="14"/>
      <c r="S180" s="14"/>
      <c r="T180" s="14"/>
      <c r="U180" s="13">
        <v>637.6</v>
      </c>
      <c r="V180" s="14">
        <v>17.3</v>
      </c>
      <c r="W180" s="15">
        <f t="shared" ref="W180:W206" si="8">V180*U180/C180</f>
        <v>11030.480000000001</v>
      </c>
    </row>
    <row r="181" spans="1:26" s="887" customFormat="1" x14ac:dyDescent="0.2">
      <c r="A181" s="120">
        <v>126</v>
      </c>
      <c r="B181" s="905" t="s">
        <v>203</v>
      </c>
      <c r="C181" s="19">
        <v>100</v>
      </c>
      <c r="D181" s="909"/>
      <c r="E181" s="14"/>
      <c r="F181" s="14"/>
      <c r="G181" s="14"/>
      <c r="H181" s="14"/>
      <c r="I181" s="14"/>
      <c r="J181" s="14">
        <v>132</v>
      </c>
      <c r="K181" s="14"/>
      <c r="L181" s="14">
        <v>93.4</v>
      </c>
      <c r="M181" s="14">
        <v>93.4</v>
      </c>
      <c r="N181" s="14"/>
      <c r="O181" s="14"/>
      <c r="P181" s="14"/>
      <c r="Q181" s="14"/>
      <c r="R181" s="14"/>
      <c r="S181" s="14"/>
      <c r="T181" s="14"/>
      <c r="U181" s="13">
        <v>318.8</v>
      </c>
      <c r="V181" s="25">
        <v>1539.8</v>
      </c>
      <c r="W181" s="15">
        <f t="shared" si="8"/>
        <v>4908.8823999999995</v>
      </c>
    </row>
    <row r="182" spans="1:26" s="887" customFormat="1" ht="45.75" x14ac:dyDescent="0.2">
      <c r="A182" s="118">
        <v>127</v>
      </c>
      <c r="B182" s="884" t="s">
        <v>204</v>
      </c>
      <c r="C182" s="12">
        <v>1000</v>
      </c>
      <c r="D182" s="25"/>
      <c r="E182" s="14"/>
      <c r="F182" s="14"/>
      <c r="G182" s="14"/>
      <c r="H182" s="14"/>
      <c r="I182" s="14"/>
      <c r="J182" s="14">
        <v>14140.759900000003</v>
      </c>
      <c r="K182" s="14">
        <v>3514.6564000000008</v>
      </c>
      <c r="L182" s="14">
        <v>12209.000500000002</v>
      </c>
      <c r="M182" s="14">
        <v>11890.325300000002</v>
      </c>
      <c r="N182" s="14">
        <v>4728.6509999999998</v>
      </c>
      <c r="O182" s="14"/>
      <c r="P182" s="14"/>
      <c r="Q182" s="14"/>
      <c r="R182" s="14"/>
      <c r="S182" s="14"/>
      <c r="T182" s="14"/>
      <c r="U182" s="13">
        <v>46483.393100000008</v>
      </c>
      <c r="V182" s="14">
        <v>15824.15</v>
      </c>
      <c r="W182" s="15">
        <f t="shared" si="8"/>
        <v>735560.18492336513</v>
      </c>
      <c r="X182" s="894">
        <f>SUM(W182:W184)</f>
        <v>1507963.2006953652</v>
      </c>
      <c r="Y182" s="887">
        <v>31715324</v>
      </c>
      <c r="Z182" s="877">
        <f>Y182-X182</f>
        <v>30207360.799304634</v>
      </c>
    </row>
    <row r="183" spans="1:26" s="887" customFormat="1" ht="75" x14ac:dyDescent="0.2">
      <c r="A183" s="44">
        <v>128</v>
      </c>
      <c r="B183" s="884" t="s">
        <v>85</v>
      </c>
      <c r="C183" s="20"/>
      <c r="D183" s="20"/>
      <c r="E183" s="20"/>
      <c r="F183" s="20"/>
      <c r="G183" s="20"/>
      <c r="H183" s="20"/>
      <c r="I183" s="20"/>
      <c r="J183" s="20"/>
      <c r="K183" s="20"/>
      <c r="L183" s="20"/>
      <c r="M183" s="20"/>
      <c r="N183" s="20"/>
      <c r="O183" s="20"/>
      <c r="P183" s="20"/>
      <c r="Q183" s="20"/>
      <c r="R183" s="20"/>
      <c r="S183" s="20"/>
      <c r="T183" s="20"/>
      <c r="U183" s="13">
        <v>0</v>
      </c>
      <c r="V183" s="20"/>
      <c r="W183" s="20"/>
    </row>
    <row r="184" spans="1:26" s="887" customFormat="1" x14ac:dyDescent="0.2">
      <c r="A184" s="44">
        <v>129</v>
      </c>
      <c r="B184" s="883" t="s">
        <v>206</v>
      </c>
      <c r="C184" s="12">
        <v>100</v>
      </c>
      <c r="D184" s="25"/>
      <c r="E184" s="14"/>
      <c r="F184" s="14"/>
      <c r="G184" s="14"/>
      <c r="H184" s="14"/>
      <c r="I184" s="14"/>
      <c r="J184" s="14">
        <v>4464.8392000000003</v>
      </c>
      <c r="K184" s="14">
        <v>949.98720000000037</v>
      </c>
      <c r="L184" s="14">
        <v>2649.9022000000004</v>
      </c>
      <c r="M184" s="14">
        <v>2331.2270000000012</v>
      </c>
      <c r="N184" s="14">
        <v>881.64719999999977</v>
      </c>
      <c r="O184" s="14"/>
      <c r="P184" s="14"/>
      <c r="Q184" s="14"/>
      <c r="R184" s="14"/>
      <c r="S184" s="14"/>
      <c r="T184" s="14"/>
      <c r="U184" s="13">
        <v>11277.602800000002</v>
      </c>
      <c r="V184" s="25">
        <v>6849</v>
      </c>
      <c r="W184" s="15">
        <f t="shared" si="8"/>
        <v>772403.01577200007</v>
      </c>
    </row>
    <row r="185" spans="1:26" ht="45.75" x14ac:dyDescent="0.2">
      <c r="A185" s="118">
        <v>130</v>
      </c>
      <c r="B185" s="884" t="s">
        <v>301</v>
      </c>
      <c r="C185" s="12">
        <v>1000</v>
      </c>
      <c r="D185" s="25">
        <v>72531.663749999992</v>
      </c>
      <c r="E185" s="25"/>
      <c r="F185" s="25"/>
      <c r="G185" s="25"/>
      <c r="H185" s="25"/>
      <c r="I185" s="25"/>
      <c r="J185" s="25"/>
      <c r="K185" s="25"/>
      <c r="L185" s="25"/>
      <c r="M185" s="25"/>
      <c r="N185" s="25"/>
      <c r="O185" s="25"/>
      <c r="P185" s="25"/>
      <c r="Q185" s="25"/>
      <c r="R185" s="25"/>
      <c r="S185" s="25"/>
      <c r="T185" s="25"/>
      <c r="U185" s="13">
        <v>72531.663749999992</v>
      </c>
      <c r="V185" s="14">
        <v>15824.15</v>
      </c>
      <c r="W185" s="15">
        <f t="shared" si="8"/>
        <v>1147751.9269295624</v>
      </c>
      <c r="X185" s="882">
        <f>SUM(W185:W221)</f>
        <v>80212234.679585844</v>
      </c>
    </row>
    <row r="186" spans="1:26" x14ac:dyDescent="0.2">
      <c r="A186" s="118">
        <v>131</v>
      </c>
      <c r="B186" s="884" t="s">
        <v>302</v>
      </c>
      <c r="C186" s="19">
        <v>1</v>
      </c>
      <c r="D186" s="25">
        <v>88776.1875</v>
      </c>
      <c r="E186" s="25"/>
      <c r="F186" s="25"/>
      <c r="G186" s="25"/>
      <c r="H186" s="25"/>
      <c r="I186" s="25"/>
      <c r="J186" s="25"/>
      <c r="K186" s="25"/>
      <c r="L186" s="25"/>
      <c r="M186" s="25"/>
      <c r="N186" s="25"/>
      <c r="O186" s="25"/>
      <c r="P186" s="25"/>
      <c r="Q186" s="25"/>
      <c r="R186" s="25"/>
      <c r="S186" s="25"/>
      <c r="T186" s="25"/>
      <c r="U186" s="13">
        <v>88776.1875</v>
      </c>
      <c r="V186" s="25">
        <v>12.55</v>
      </c>
      <c r="W186" s="15">
        <f t="shared" si="8"/>
        <v>1114141.153125</v>
      </c>
    </row>
    <row r="187" spans="1:26" ht="30" x14ac:dyDescent="0.2">
      <c r="A187" s="44">
        <v>132</v>
      </c>
      <c r="B187" s="884" t="s">
        <v>303</v>
      </c>
      <c r="C187" s="12">
        <v>100</v>
      </c>
      <c r="D187" s="25">
        <v>47794.11</v>
      </c>
      <c r="E187" s="14"/>
      <c r="F187" s="14"/>
      <c r="G187" s="14"/>
      <c r="H187" s="14"/>
      <c r="I187" s="14"/>
      <c r="J187" s="14"/>
      <c r="K187" s="14"/>
      <c r="L187" s="14"/>
      <c r="M187" s="14"/>
      <c r="N187" s="14"/>
      <c r="O187" s="14"/>
      <c r="P187" s="14"/>
      <c r="Q187" s="14"/>
      <c r="R187" s="14"/>
      <c r="S187" s="14"/>
      <c r="T187" s="14"/>
      <c r="U187" s="13">
        <v>47794.11</v>
      </c>
      <c r="V187" s="14">
        <v>35830.6</v>
      </c>
      <c r="W187" s="15">
        <f t="shared" si="8"/>
        <v>17124916.377659999</v>
      </c>
    </row>
    <row r="188" spans="1:26" s="887" customFormat="1" ht="135.75" x14ac:dyDescent="0.2">
      <c r="A188" s="122">
        <v>133</v>
      </c>
      <c r="B188" s="884" t="s">
        <v>304</v>
      </c>
      <c r="C188" s="12">
        <v>1</v>
      </c>
      <c r="D188" s="25">
        <v>21724.43</v>
      </c>
      <c r="E188" s="14"/>
      <c r="F188" s="14"/>
      <c r="G188" s="14"/>
      <c r="H188" s="14"/>
      <c r="I188" s="14"/>
      <c r="J188" s="14"/>
      <c r="K188" s="14"/>
      <c r="L188" s="14"/>
      <c r="M188" s="14"/>
      <c r="N188" s="14"/>
      <c r="O188" s="14"/>
      <c r="P188" s="14"/>
      <c r="Q188" s="14"/>
      <c r="R188" s="14"/>
      <c r="S188" s="14"/>
      <c r="T188" s="14"/>
      <c r="U188" s="13">
        <v>21724.43</v>
      </c>
      <c r="V188" s="14">
        <v>741.85</v>
      </c>
      <c r="W188" s="15">
        <f t="shared" si="8"/>
        <v>16116268.395500001</v>
      </c>
    </row>
    <row r="189" spans="1:26" s="887" customFormat="1" ht="120" x14ac:dyDescent="0.2">
      <c r="A189" s="44">
        <v>134</v>
      </c>
      <c r="B189" s="884" t="s">
        <v>99</v>
      </c>
      <c r="C189" s="19">
        <v>1</v>
      </c>
      <c r="D189" s="25">
        <v>3276</v>
      </c>
      <c r="E189" s="14"/>
      <c r="F189" s="14"/>
      <c r="G189" s="14"/>
      <c r="H189" s="14"/>
      <c r="I189" s="14"/>
      <c r="J189" s="14"/>
      <c r="K189" s="14"/>
      <c r="L189" s="14"/>
      <c r="M189" s="14"/>
      <c r="N189" s="14"/>
      <c r="O189" s="14"/>
      <c r="P189" s="14"/>
      <c r="Q189" s="14"/>
      <c r="R189" s="14"/>
      <c r="S189" s="14"/>
      <c r="T189" s="14"/>
      <c r="U189" s="13">
        <v>3276</v>
      </c>
      <c r="V189" s="14">
        <v>2180.6999999999998</v>
      </c>
      <c r="W189" s="15">
        <f t="shared" si="8"/>
        <v>7143973.1999999993</v>
      </c>
    </row>
    <row r="190" spans="1:26" s="887" customFormat="1" ht="60" x14ac:dyDescent="0.2">
      <c r="A190" s="44">
        <v>135</v>
      </c>
      <c r="B190" s="884" t="s">
        <v>305</v>
      </c>
      <c r="C190" s="19">
        <v>1</v>
      </c>
      <c r="D190" s="25">
        <v>3822</v>
      </c>
      <c r="E190" s="14"/>
      <c r="F190" s="14"/>
      <c r="G190" s="14"/>
      <c r="H190" s="14"/>
      <c r="I190" s="14"/>
      <c r="J190" s="14"/>
      <c r="K190" s="14"/>
      <c r="L190" s="14"/>
      <c r="M190" s="14"/>
      <c r="N190" s="14"/>
      <c r="O190" s="14"/>
      <c r="P190" s="14"/>
      <c r="Q190" s="14"/>
      <c r="R190" s="14"/>
      <c r="S190" s="14"/>
      <c r="T190" s="14"/>
      <c r="U190" s="13">
        <v>3822</v>
      </c>
      <c r="V190" s="14">
        <v>638.85</v>
      </c>
      <c r="W190" s="15">
        <f t="shared" si="8"/>
        <v>2441684.7000000002</v>
      </c>
    </row>
    <row r="191" spans="1:26" s="887" customFormat="1" ht="45" x14ac:dyDescent="0.2">
      <c r="A191" s="118">
        <v>136</v>
      </c>
      <c r="B191" s="884" t="s">
        <v>102</v>
      </c>
      <c r="C191" s="19">
        <v>100</v>
      </c>
      <c r="D191" s="25">
        <v>33854.84375</v>
      </c>
      <c r="E191" s="14"/>
      <c r="F191" s="14"/>
      <c r="G191" s="14"/>
      <c r="H191" s="14"/>
      <c r="I191" s="14"/>
      <c r="J191" s="14"/>
      <c r="K191" s="14"/>
      <c r="L191" s="14"/>
      <c r="M191" s="14"/>
      <c r="N191" s="14"/>
      <c r="O191" s="14"/>
      <c r="P191" s="14"/>
      <c r="Q191" s="14"/>
      <c r="R191" s="14"/>
      <c r="S191" s="14"/>
      <c r="T191" s="14"/>
      <c r="U191" s="13">
        <v>33854.84375</v>
      </c>
      <c r="V191" s="14">
        <v>13179.6</v>
      </c>
      <c r="W191" s="15">
        <f t="shared" si="8"/>
        <v>4461932.9868750004</v>
      </c>
    </row>
    <row r="192" spans="1:26" s="887" customFormat="1" ht="75" x14ac:dyDescent="0.2">
      <c r="A192" s="118">
        <v>137</v>
      </c>
      <c r="B192" s="884" t="s">
        <v>191</v>
      </c>
      <c r="C192" s="19">
        <v>100</v>
      </c>
      <c r="D192" s="25">
        <v>22325.37125</v>
      </c>
      <c r="E192" s="25"/>
      <c r="F192" s="25"/>
      <c r="G192" s="25"/>
      <c r="H192" s="25"/>
      <c r="I192" s="25"/>
      <c r="J192" s="25"/>
      <c r="K192" s="25"/>
      <c r="L192" s="25"/>
      <c r="M192" s="25"/>
      <c r="N192" s="25"/>
      <c r="O192" s="25"/>
      <c r="P192" s="25"/>
      <c r="Q192" s="25"/>
      <c r="R192" s="25"/>
      <c r="S192" s="25"/>
      <c r="T192" s="25"/>
      <c r="U192" s="13">
        <v>22325.37125</v>
      </c>
      <c r="V192" s="25">
        <v>29658.5</v>
      </c>
      <c r="W192" s="15">
        <f t="shared" si="8"/>
        <v>6621370.2321812501</v>
      </c>
    </row>
    <row r="193" spans="1:23" s="887" customFormat="1" ht="60" x14ac:dyDescent="0.2">
      <c r="A193" s="118">
        <v>138</v>
      </c>
      <c r="B193" s="884" t="s">
        <v>180</v>
      </c>
      <c r="C193" s="19">
        <v>100</v>
      </c>
      <c r="D193" s="25">
        <v>14054.039999999999</v>
      </c>
      <c r="E193" s="25"/>
      <c r="F193" s="25"/>
      <c r="G193" s="25"/>
      <c r="H193" s="25"/>
      <c r="I193" s="25"/>
      <c r="J193" s="25"/>
      <c r="K193" s="25"/>
      <c r="L193" s="25"/>
      <c r="M193" s="25"/>
      <c r="N193" s="25"/>
      <c r="O193" s="25"/>
      <c r="P193" s="25"/>
      <c r="Q193" s="25"/>
      <c r="R193" s="25"/>
      <c r="S193" s="25"/>
      <c r="T193" s="25"/>
      <c r="U193" s="13">
        <v>14054.039999999999</v>
      </c>
      <c r="V193" s="25">
        <v>19146.849999999999</v>
      </c>
      <c r="W193" s="15">
        <f t="shared" si="8"/>
        <v>2690905.95774</v>
      </c>
    </row>
    <row r="194" spans="1:23" s="887" customFormat="1" ht="45" x14ac:dyDescent="0.2">
      <c r="A194" s="118">
        <v>139</v>
      </c>
      <c r="B194" s="884" t="s">
        <v>192</v>
      </c>
      <c r="C194" s="36">
        <v>1</v>
      </c>
      <c r="D194" s="25">
        <v>22750</v>
      </c>
      <c r="E194" s="25"/>
      <c r="F194" s="25"/>
      <c r="G194" s="25"/>
      <c r="H194" s="25"/>
      <c r="I194" s="25"/>
      <c r="J194" s="25"/>
      <c r="K194" s="25"/>
      <c r="L194" s="25"/>
      <c r="M194" s="25"/>
      <c r="N194" s="25"/>
      <c r="O194" s="25"/>
      <c r="P194" s="25"/>
      <c r="Q194" s="25"/>
      <c r="R194" s="25"/>
      <c r="S194" s="25"/>
      <c r="T194" s="25"/>
      <c r="U194" s="13">
        <v>22750</v>
      </c>
      <c r="V194" s="25">
        <v>39.6</v>
      </c>
      <c r="W194" s="15">
        <f t="shared" si="8"/>
        <v>900900</v>
      </c>
    </row>
    <row r="195" spans="1:23" s="887" customFormat="1" ht="30" x14ac:dyDescent="0.2">
      <c r="A195" s="44">
        <v>140</v>
      </c>
      <c r="B195" s="876" t="s">
        <v>106</v>
      </c>
      <c r="C195" s="20"/>
      <c r="D195" s="20"/>
      <c r="E195" s="20"/>
      <c r="F195" s="20"/>
      <c r="G195" s="20"/>
      <c r="H195" s="20"/>
      <c r="I195" s="20"/>
      <c r="J195" s="20"/>
      <c r="K195" s="20"/>
      <c r="L195" s="20"/>
      <c r="M195" s="20"/>
      <c r="N195" s="20"/>
      <c r="O195" s="20"/>
      <c r="P195" s="20"/>
      <c r="Q195" s="20"/>
      <c r="R195" s="20"/>
      <c r="S195" s="20"/>
      <c r="T195" s="20"/>
      <c r="U195" s="13">
        <v>0</v>
      </c>
      <c r="V195" s="20"/>
      <c r="W195" s="20"/>
    </row>
    <row r="196" spans="1:23" s="887" customFormat="1" ht="30" x14ac:dyDescent="0.2">
      <c r="A196" s="44">
        <v>141</v>
      </c>
      <c r="B196" s="884" t="s">
        <v>162</v>
      </c>
      <c r="C196" s="19">
        <v>100</v>
      </c>
      <c r="D196" s="25">
        <v>21116.55</v>
      </c>
      <c r="E196" s="14"/>
      <c r="F196" s="14"/>
      <c r="G196" s="14"/>
      <c r="H196" s="14"/>
      <c r="I196" s="14"/>
      <c r="J196" s="14"/>
      <c r="K196" s="14"/>
      <c r="L196" s="14"/>
      <c r="M196" s="14"/>
      <c r="N196" s="14"/>
      <c r="O196" s="14"/>
      <c r="P196" s="14"/>
      <c r="Q196" s="14"/>
      <c r="R196" s="14"/>
      <c r="S196" s="14"/>
      <c r="T196" s="14"/>
      <c r="U196" s="13">
        <v>21116.55</v>
      </c>
      <c r="V196" s="25">
        <v>5264.65</v>
      </c>
      <c r="W196" s="15">
        <f t="shared" si="8"/>
        <v>1111712.449575</v>
      </c>
    </row>
    <row r="197" spans="1:23" s="887" customFormat="1" x14ac:dyDescent="0.2">
      <c r="A197" s="44">
        <v>142</v>
      </c>
      <c r="B197" s="884" t="s">
        <v>306</v>
      </c>
      <c r="C197" s="37">
        <v>1</v>
      </c>
      <c r="D197" s="25">
        <v>182</v>
      </c>
      <c r="E197" s="14"/>
      <c r="F197" s="14"/>
      <c r="G197" s="14"/>
      <c r="H197" s="14"/>
      <c r="I197" s="14"/>
      <c r="J197" s="14"/>
      <c r="K197" s="14"/>
      <c r="L197" s="14"/>
      <c r="M197" s="14"/>
      <c r="N197" s="14"/>
      <c r="O197" s="14"/>
      <c r="P197" s="14"/>
      <c r="Q197" s="14"/>
      <c r="R197" s="14"/>
      <c r="S197" s="14"/>
      <c r="T197" s="14"/>
      <c r="U197" s="13">
        <v>182</v>
      </c>
      <c r="V197" s="25">
        <v>656.85</v>
      </c>
      <c r="W197" s="15">
        <f t="shared" si="8"/>
        <v>119546.7</v>
      </c>
    </row>
    <row r="198" spans="1:23" s="887" customFormat="1" ht="30" x14ac:dyDescent="0.2">
      <c r="A198" s="44">
        <v>143</v>
      </c>
      <c r="B198" s="884" t="s">
        <v>308</v>
      </c>
      <c r="C198" s="38">
        <v>1</v>
      </c>
      <c r="D198" s="25">
        <v>91</v>
      </c>
      <c r="E198" s="14"/>
      <c r="F198" s="14"/>
      <c r="G198" s="14"/>
      <c r="H198" s="14"/>
      <c r="I198" s="14"/>
      <c r="J198" s="14"/>
      <c r="K198" s="14"/>
      <c r="L198" s="14"/>
      <c r="M198" s="14"/>
      <c r="N198" s="14"/>
      <c r="O198" s="14"/>
      <c r="P198" s="14"/>
      <c r="Q198" s="14"/>
      <c r="R198" s="14"/>
      <c r="S198" s="14"/>
      <c r="T198" s="14"/>
      <c r="U198" s="13">
        <v>91</v>
      </c>
      <c r="V198" s="25">
        <v>4105.05</v>
      </c>
      <c r="W198" s="15">
        <f t="shared" si="8"/>
        <v>373559.55</v>
      </c>
    </row>
    <row r="199" spans="1:23" s="887" customFormat="1" ht="30" x14ac:dyDescent="0.2">
      <c r="A199" s="44">
        <v>144</v>
      </c>
      <c r="B199" s="884" t="s">
        <v>309</v>
      </c>
      <c r="C199" s="38">
        <v>1</v>
      </c>
      <c r="D199" s="25">
        <v>273</v>
      </c>
      <c r="E199" s="14"/>
      <c r="F199" s="14"/>
      <c r="G199" s="14"/>
      <c r="H199" s="14"/>
      <c r="I199" s="14"/>
      <c r="J199" s="14"/>
      <c r="K199" s="14"/>
      <c r="L199" s="14"/>
      <c r="M199" s="14"/>
      <c r="N199" s="14"/>
      <c r="O199" s="14"/>
      <c r="P199" s="14"/>
      <c r="Q199" s="14"/>
      <c r="R199" s="14"/>
      <c r="S199" s="14"/>
      <c r="T199" s="14"/>
      <c r="U199" s="13">
        <v>273</v>
      </c>
      <c r="V199" s="25">
        <v>463.15</v>
      </c>
      <c r="W199" s="15">
        <f t="shared" si="8"/>
        <v>126439.95</v>
      </c>
    </row>
    <row r="200" spans="1:23" s="887" customFormat="1" x14ac:dyDescent="0.2">
      <c r="A200" s="44">
        <v>145</v>
      </c>
      <c r="B200" s="884" t="s">
        <v>310</v>
      </c>
      <c r="C200" s="38">
        <v>1</v>
      </c>
      <c r="D200" s="25">
        <v>364</v>
      </c>
      <c r="E200" s="14"/>
      <c r="F200" s="14"/>
      <c r="G200" s="14"/>
      <c r="H200" s="14"/>
      <c r="I200" s="14"/>
      <c r="J200" s="14"/>
      <c r="K200" s="14"/>
      <c r="L200" s="14"/>
      <c r="M200" s="14"/>
      <c r="N200" s="14"/>
      <c r="O200" s="14"/>
      <c r="P200" s="14"/>
      <c r="Q200" s="14"/>
      <c r="R200" s="14"/>
      <c r="S200" s="14"/>
      <c r="T200" s="14"/>
      <c r="U200" s="13">
        <v>364</v>
      </c>
      <c r="V200" s="25">
        <v>1639.2</v>
      </c>
      <c r="W200" s="15">
        <f t="shared" si="8"/>
        <v>596668.80000000005</v>
      </c>
    </row>
    <row r="201" spans="1:23" s="887" customFormat="1" ht="30" x14ac:dyDescent="0.2">
      <c r="A201" s="44">
        <v>146</v>
      </c>
      <c r="B201" s="884" t="s">
        <v>311</v>
      </c>
      <c r="C201" s="38">
        <v>1</v>
      </c>
      <c r="D201" s="25">
        <v>91</v>
      </c>
      <c r="E201" s="14"/>
      <c r="F201" s="14"/>
      <c r="G201" s="14"/>
      <c r="H201" s="14"/>
      <c r="I201" s="14"/>
      <c r="J201" s="14"/>
      <c r="K201" s="14"/>
      <c r="L201" s="14"/>
      <c r="M201" s="14"/>
      <c r="N201" s="14"/>
      <c r="O201" s="14"/>
      <c r="P201" s="14"/>
      <c r="Q201" s="14"/>
      <c r="R201" s="14"/>
      <c r="S201" s="14"/>
      <c r="T201" s="14"/>
      <c r="U201" s="13">
        <v>91</v>
      </c>
      <c r="V201" s="25">
        <v>8069.2</v>
      </c>
      <c r="W201" s="15">
        <f t="shared" si="8"/>
        <v>734297.2</v>
      </c>
    </row>
    <row r="202" spans="1:23" s="887" customFormat="1" x14ac:dyDescent="0.2">
      <c r="A202" s="44">
        <v>147</v>
      </c>
      <c r="B202" s="884" t="s">
        <v>312</v>
      </c>
      <c r="C202" s="37">
        <v>1</v>
      </c>
      <c r="D202" s="25">
        <v>364</v>
      </c>
      <c r="E202" s="14"/>
      <c r="F202" s="14"/>
      <c r="G202" s="14"/>
      <c r="H202" s="14"/>
      <c r="I202" s="14"/>
      <c r="J202" s="14"/>
      <c r="K202" s="14"/>
      <c r="L202" s="14"/>
      <c r="M202" s="14"/>
      <c r="N202" s="14"/>
      <c r="O202" s="14"/>
      <c r="P202" s="14"/>
      <c r="Q202" s="14"/>
      <c r="R202" s="14"/>
      <c r="S202" s="14"/>
      <c r="T202" s="14"/>
      <c r="U202" s="13">
        <v>364</v>
      </c>
      <c r="V202" s="25">
        <v>2374.25</v>
      </c>
      <c r="W202" s="15">
        <f t="shared" si="8"/>
        <v>864227</v>
      </c>
    </row>
    <row r="203" spans="1:23" s="887" customFormat="1" ht="90" x14ac:dyDescent="0.2">
      <c r="A203" s="44">
        <v>148</v>
      </c>
      <c r="B203" s="884" t="s">
        <v>313</v>
      </c>
      <c r="C203" s="20"/>
      <c r="D203" s="20"/>
      <c r="E203" s="20"/>
      <c r="F203" s="20"/>
      <c r="G203" s="20"/>
      <c r="H203" s="20"/>
      <c r="I203" s="20"/>
      <c r="J203" s="20"/>
      <c r="K203" s="20"/>
      <c r="L203" s="20"/>
      <c r="M203" s="20"/>
      <c r="N203" s="20"/>
      <c r="O203" s="20"/>
      <c r="P203" s="20"/>
      <c r="Q203" s="20"/>
      <c r="R203" s="20"/>
      <c r="S203" s="20"/>
      <c r="T203" s="20"/>
      <c r="U203" s="13">
        <v>0</v>
      </c>
      <c r="V203" s="20"/>
      <c r="W203" s="20"/>
    </row>
    <row r="204" spans="1:23" s="887" customFormat="1" x14ac:dyDescent="0.2">
      <c r="A204" s="44" t="s">
        <v>60</v>
      </c>
      <c r="B204" s="884" t="s">
        <v>314</v>
      </c>
      <c r="C204" s="36">
        <v>1</v>
      </c>
      <c r="D204" s="25">
        <v>9100</v>
      </c>
      <c r="E204" s="14"/>
      <c r="F204" s="14"/>
      <c r="G204" s="14"/>
      <c r="H204" s="14"/>
      <c r="I204" s="14"/>
      <c r="J204" s="14"/>
      <c r="K204" s="14"/>
      <c r="L204" s="14"/>
      <c r="M204" s="14"/>
      <c r="N204" s="14"/>
      <c r="O204" s="14"/>
      <c r="P204" s="14"/>
      <c r="Q204" s="14"/>
      <c r="R204" s="14"/>
      <c r="S204" s="14"/>
      <c r="T204" s="14"/>
      <c r="U204" s="13">
        <v>9100</v>
      </c>
      <c r="V204" s="25">
        <v>62.95</v>
      </c>
      <c r="W204" s="15">
        <f t="shared" si="8"/>
        <v>572845</v>
      </c>
    </row>
    <row r="205" spans="1:23" s="887" customFormat="1" x14ac:dyDescent="0.2">
      <c r="A205" s="44" t="s">
        <v>37</v>
      </c>
      <c r="B205" s="884" t="s">
        <v>315</v>
      </c>
      <c r="C205" s="36">
        <v>1</v>
      </c>
      <c r="D205" s="25">
        <v>4550</v>
      </c>
      <c r="E205" s="14"/>
      <c r="F205" s="14"/>
      <c r="G205" s="14"/>
      <c r="H205" s="14"/>
      <c r="I205" s="14"/>
      <c r="J205" s="14"/>
      <c r="K205" s="14"/>
      <c r="L205" s="14"/>
      <c r="M205" s="14"/>
      <c r="N205" s="14"/>
      <c r="O205" s="14"/>
      <c r="P205" s="14"/>
      <c r="Q205" s="14"/>
      <c r="R205" s="14"/>
      <c r="S205" s="14"/>
      <c r="T205" s="14"/>
      <c r="U205" s="13">
        <v>4550</v>
      </c>
      <c r="V205" s="25">
        <v>87.1</v>
      </c>
      <c r="W205" s="15">
        <f t="shared" si="8"/>
        <v>396305</v>
      </c>
    </row>
    <row r="206" spans="1:23" s="887" customFormat="1" ht="30" x14ac:dyDescent="0.2">
      <c r="A206" s="44">
        <v>149</v>
      </c>
      <c r="B206" s="884" t="s">
        <v>316</v>
      </c>
      <c r="C206" s="38">
        <v>1</v>
      </c>
      <c r="D206" s="25">
        <v>91</v>
      </c>
      <c r="E206" s="14"/>
      <c r="F206" s="14"/>
      <c r="G206" s="14"/>
      <c r="H206" s="14"/>
      <c r="I206" s="14"/>
      <c r="J206" s="14"/>
      <c r="K206" s="14"/>
      <c r="L206" s="14"/>
      <c r="M206" s="14"/>
      <c r="N206" s="14"/>
      <c r="O206" s="14"/>
      <c r="P206" s="14"/>
      <c r="Q206" s="14"/>
      <c r="R206" s="14"/>
      <c r="S206" s="14"/>
      <c r="T206" s="14"/>
      <c r="U206" s="13">
        <v>91</v>
      </c>
      <c r="V206" s="25">
        <v>1457.7</v>
      </c>
      <c r="W206" s="15">
        <f t="shared" si="8"/>
        <v>132650.70000000001</v>
      </c>
    </row>
    <row r="207" spans="1:23" s="887" customFormat="1" ht="30" x14ac:dyDescent="0.2">
      <c r="A207" s="44">
        <v>150</v>
      </c>
      <c r="B207" s="884" t="s">
        <v>317</v>
      </c>
      <c r="C207" s="38">
        <v>1</v>
      </c>
      <c r="D207" s="25">
        <v>91</v>
      </c>
      <c r="E207" s="14"/>
      <c r="F207" s="14"/>
      <c r="G207" s="14"/>
      <c r="H207" s="14"/>
      <c r="I207" s="14"/>
      <c r="J207" s="14"/>
      <c r="K207" s="14"/>
      <c r="L207" s="14"/>
      <c r="M207" s="14"/>
      <c r="N207" s="14"/>
      <c r="O207" s="14"/>
      <c r="P207" s="14"/>
      <c r="Q207" s="14"/>
      <c r="R207" s="14"/>
      <c r="S207" s="14"/>
      <c r="T207" s="14"/>
      <c r="U207" s="13">
        <v>91</v>
      </c>
      <c r="V207" s="25">
        <v>15209.1</v>
      </c>
      <c r="W207" s="15">
        <f t="shared" ref="W207:W241" si="9">V207*U207/C207</f>
        <v>1384028.1</v>
      </c>
    </row>
    <row r="208" spans="1:23" s="887" customFormat="1" x14ac:dyDescent="0.2">
      <c r="A208" s="987">
        <v>151</v>
      </c>
      <c r="B208" s="884" t="s">
        <v>318</v>
      </c>
      <c r="C208" s="25"/>
      <c r="D208" s="25"/>
      <c r="E208" s="25"/>
      <c r="F208" s="25"/>
      <c r="G208" s="25"/>
      <c r="H208" s="25"/>
      <c r="I208" s="25"/>
      <c r="J208" s="25"/>
      <c r="K208" s="25"/>
      <c r="L208" s="25"/>
      <c r="M208" s="25"/>
      <c r="N208" s="25"/>
      <c r="O208" s="25"/>
      <c r="P208" s="25"/>
      <c r="Q208" s="25"/>
      <c r="R208" s="25"/>
      <c r="S208" s="25"/>
      <c r="T208" s="25"/>
      <c r="U208" s="13">
        <v>0</v>
      </c>
      <c r="V208" s="25"/>
      <c r="W208" s="25"/>
    </row>
    <row r="209" spans="1:26" s="887" customFormat="1" x14ac:dyDescent="0.2">
      <c r="A209" s="988"/>
      <c r="B209" s="884" t="s">
        <v>319</v>
      </c>
      <c r="C209" s="38">
        <v>1</v>
      </c>
      <c r="D209" s="25">
        <v>91</v>
      </c>
      <c r="E209" s="14"/>
      <c r="F209" s="14"/>
      <c r="G209" s="14"/>
      <c r="H209" s="14"/>
      <c r="I209" s="14"/>
      <c r="J209" s="14"/>
      <c r="K209" s="14"/>
      <c r="L209" s="14"/>
      <c r="M209" s="14"/>
      <c r="N209" s="14"/>
      <c r="O209" s="14"/>
      <c r="P209" s="14"/>
      <c r="Q209" s="14"/>
      <c r="R209" s="14"/>
      <c r="S209" s="14"/>
      <c r="T209" s="14"/>
      <c r="U209" s="13">
        <v>91</v>
      </c>
      <c r="V209" s="25">
        <v>1380</v>
      </c>
      <c r="W209" s="15">
        <f t="shared" si="9"/>
        <v>125580</v>
      </c>
    </row>
    <row r="210" spans="1:26" s="887" customFormat="1" x14ac:dyDescent="0.2">
      <c r="A210" s="988"/>
      <c r="B210" s="884" t="s">
        <v>320</v>
      </c>
      <c r="C210" s="38">
        <v>1</v>
      </c>
      <c r="D210" s="25">
        <v>91</v>
      </c>
      <c r="E210" s="14"/>
      <c r="F210" s="14"/>
      <c r="G210" s="14"/>
      <c r="H210" s="14"/>
      <c r="I210" s="14"/>
      <c r="J210" s="14"/>
      <c r="K210" s="14"/>
      <c r="L210" s="14"/>
      <c r="M210" s="14"/>
      <c r="N210" s="14"/>
      <c r="O210" s="14"/>
      <c r="P210" s="14"/>
      <c r="Q210" s="14"/>
      <c r="R210" s="14"/>
      <c r="S210" s="14"/>
      <c r="T210" s="14"/>
      <c r="U210" s="13">
        <v>91</v>
      </c>
      <c r="V210" s="25">
        <v>1610</v>
      </c>
      <c r="W210" s="15">
        <f t="shared" si="9"/>
        <v>146510</v>
      </c>
    </row>
    <row r="211" spans="1:26" s="887" customFormat="1" x14ac:dyDescent="0.2">
      <c r="A211" s="989"/>
      <c r="B211" s="884" t="s">
        <v>321</v>
      </c>
      <c r="C211" s="38">
        <v>1</v>
      </c>
      <c r="D211" s="25">
        <v>91</v>
      </c>
      <c r="E211" s="14"/>
      <c r="F211" s="14"/>
      <c r="G211" s="14"/>
      <c r="H211" s="14"/>
      <c r="I211" s="14"/>
      <c r="J211" s="14"/>
      <c r="K211" s="14"/>
      <c r="L211" s="14"/>
      <c r="M211" s="14"/>
      <c r="N211" s="14"/>
      <c r="O211" s="14"/>
      <c r="P211" s="14"/>
      <c r="Q211" s="14"/>
      <c r="R211" s="14"/>
      <c r="S211" s="14"/>
      <c r="T211" s="14"/>
      <c r="U211" s="13">
        <v>91</v>
      </c>
      <c r="V211" s="25">
        <v>1035</v>
      </c>
      <c r="W211" s="15">
        <f t="shared" si="9"/>
        <v>94185</v>
      </c>
    </row>
    <row r="212" spans="1:26" s="887" customFormat="1" x14ac:dyDescent="0.2">
      <c r="A212" s="44">
        <v>152</v>
      </c>
      <c r="B212" s="884" t="s">
        <v>322</v>
      </c>
      <c r="C212" s="38">
        <v>1</v>
      </c>
      <c r="D212" s="25">
        <v>91</v>
      </c>
      <c r="E212" s="14"/>
      <c r="F212" s="14"/>
      <c r="G212" s="14"/>
      <c r="H212" s="14"/>
      <c r="I212" s="14"/>
      <c r="J212" s="14"/>
      <c r="K212" s="14"/>
      <c r="L212" s="14"/>
      <c r="M212" s="14"/>
      <c r="N212" s="14"/>
      <c r="O212" s="14"/>
      <c r="P212" s="14"/>
      <c r="Q212" s="14"/>
      <c r="R212" s="14"/>
      <c r="S212" s="14"/>
      <c r="T212" s="14"/>
      <c r="U212" s="13">
        <v>91</v>
      </c>
      <c r="V212" s="25">
        <v>1999.2</v>
      </c>
      <c r="W212" s="15">
        <f t="shared" si="9"/>
        <v>181927.2</v>
      </c>
    </row>
    <row r="213" spans="1:26" s="887" customFormat="1" x14ac:dyDescent="0.2">
      <c r="A213" s="44">
        <v>153</v>
      </c>
      <c r="B213" s="884" t="s">
        <v>133</v>
      </c>
      <c r="C213" s="38">
        <v>1</v>
      </c>
      <c r="D213" s="25">
        <v>8</v>
      </c>
      <c r="E213" s="14">
        <v>4</v>
      </c>
      <c r="F213" s="25"/>
      <c r="G213" s="14">
        <v>14</v>
      </c>
      <c r="H213" s="14">
        <v>10</v>
      </c>
      <c r="I213" s="25"/>
      <c r="J213" s="14">
        <v>24</v>
      </c>
      <c r="K213" s="14">
        <v>2</v>
      </c>
      <c r="L213" s="25"/>
      <c r="M213" s="25"/>
      <c r="N213" s="14">
        <v>2</v>
      </c>
      <c r="O213" s="25"/>
      <c r="P213" s="14">
        <v>10</v>
      </c>
      <c r="Q213" s="25"/>
      <c r="R213" s="25"/>
      <c r="S213" s="25"/>
      <c r="T213" s="25"/>
      <c r="U213" s="13">
        <v>256</v>
      </c>
      <c r="V213" s="25">
        <v>204.7</v>
      </c>
      <c r="W213" s="15">
        <f>V213*U213/C213</f>
        <v>52403.199999999997</v>
      </c>
      <c r="X213" s="877">
        <f>K213*37</f>
        <v>74</v>
      </c>
      <c r="Y213" s="877">
        <f>U213-X213</f>
        <v>182</v>
      </c>
      <c r="Z213" s="894"/>
    </row>
    <row r="214" spans="1:26" s="887" customFormat="1" x14ac:dyDescent="0.2">
      <c r="A214" s="44">
        <v>154</v>
      </c>
      <c r="B214" s="884" t="s">
        <v>155</v>
      </c>
      <c r="C214" s="38">
        <v>1</v>
      </c>
      <c r="D214" s="25">
        <v>182</v>
      </c>
      <c r="E214" s="14"/>
      <c r="F214" s="14"/>
      <c r="G214" s="14"/>
      <c r="H214" s="14"/>
      <c r="I214" s="14"/>
      <c r="J214" s="14"/>
      <c r="K214" s="14"/>
      <c r="L214" s="14"/>
      <c r="M214" s="14"/>
      <c r="N214" s="14"/>
      <c r="O214" s="14"/>
      <c r="P214" s="14"/>
      <c r="Q214" s="14"/>
      <c r="R214" s="14"/>
      <c r="S214" s="14"/>
      <c r="T214" s="14"/>
      <c r="U214" s="13">
        <v>182</v>
      </c>
      <c r="V214" s="25">
        <v>213.1</v>
      </c>
      <c r="W214" s="15">
        <f t="shared" si="9"/>
        <v>38784.199999999997</v>
      </c>
    </row>
    <row r="215" spans="1:26" s="887" customFormat="1" ht="90" x14ac:dyDescent="0.2">
      <c r="A215" s="44">
        <v>155</v>
      </c>
      <c r="B215" s="884" t="s">
        <v>163</v>
      </c>
      <c r="C215" s="37">
        <v>1</v>
      </c>
      <c r="D215" s="25">
        <v>91</v>
      </c>
      <c r="E215" s="14"/>
      <c r="F215" s="14"/>
      <c r="G215" s="14"/>
      <c r="H215" s="14"/>
      <c r="I215" s="14"/>
      <c r="J215" s="14"/>
      <c r="K215" s="14"/>
      <c r="L215" s="14"/>
      <c r="M215" s="14"/>
      <c r="N215" s="14"/>
      <c r="O215" s="14"/>
      <c r="P215" s="14"/>
      <c r="Q215" s="14"/>
      <c r="R215" s="14"/>
      <c r="S215" s="14"/>
      <c r="T215" s="14"/>
      <c r="U215" s="13">
        <v>91</v>
      </c>
      <c r="V215" s="25">
        <v>24422.65</v>
      </c>
      <c r="W215" s="15">
        <f t="shared" si="9"/>
        <v>2222461.15</v>
      </c>
    </row>
    <row r="216" spans="1:26" s="887" customFormat="1" ht="60.75" x14ac:dyDescent="0.2">
      <c r="A216" s="44">
        <v>156</v>
      </c>
      <c r="B216" s="884" t="s">
        <v>184</v>
      </c>
      <c r="C216" s="37">
        <v>1</v>
      </c>
      <c r="D216" s="25">
        <v>91</v>
      </c>
      <c r="E216" s="14"/>
      <c r="F216" s="14"/>
      <c r="G216" s="14"/>
      <c r="H216" s="14"/>
      <c r="I216" s="14"/>
      <c r="J216" s="14"/>
      <c r="K216" s="14"/>
      <c r="L216" s="14"/>
      <c r="M216" s="14"/>
      <c r="N216" s="14"/>
      <c r="O216" s="14"/>
      <c r="P216" s="14"/>
      <c r="Q216" s="14"/>
      <c r="R216" s="14"/>
      <c r="S216" s="14"/>
      <c r="T216" s="14"/>
      <c r="U216" s="13">
        <v>91</v>
      </c>
      <c r="V216" s="25">
        <v>5616.25</v>
      </c>
      <c r="W216" s="15">
        <f t="shared" si="9"/>
        <v>511078.75</v>
      </c>
    </row>
    <row r="217" spans="1:26" s="887" customFormat="1" ht="60.75" x14ac:dyDescent="0.2">
      <c r="A217" s="44">
        <v>157</v>
      </c>
      <c r="B217" s="884" t="s">
        <v>185</v>
      </c>
      <c r="C217" s="37">
        <v>1</v>
      </c>
      <c r="D217" s="25">
        <v>364</v>
      </c>
      <c r="E217" s="14"/>
      <c r="F217" s="14"/>
      <c r="G217" s="14"/>
      <c r="H217" s="14"/>
      <c r="I217" s="14"/>
      <c r="J217" s="14"/>
      <c r="K217" s="14"/>
      <c r="L217" s="14"/>
      <c r="M217" s="14"/>
      <c r="N217" s="14"/>
      <c r="O217" s="14"/>
      <c r="P217" s="14"/>
      <c r="Q217" s="14"/>
      <c r="R217" s="14"/>
      <c r="S217" s="14"/>
      <c r="T217" s="14"/>
      <c r="U217" s="13">
        <v>364</v>
      </c>
      <c r="V217" s="25">
        <v>1453.75</v>
      </c>
      <c r="W217" s="15">
        <f t="shared" si="9"/>
        <v>529165</v>
      </c>
    </row>
    <row r="218" spans="1:26" s="887" customFormat="1" x14ac:dyDescent="0.2">
      <c r="A218" s="44">
        <v>158</v>
      </c>
      <c r="B218" s="884" t="s">
        <v>323</v>
      </c>
      <c r="C218" s="38">
        <v>1</v>
      </c>
      <c r="D218" s="25">
        <v>91</v>
      </c>
      <c r="E218" s="14"/>
      <c r="F218" s="14"/>
      <c r="G218" s="14"/>
      <c r="H218" s="14"/>
      <c r="I218" s="14"/>
      <c r="J218" s="14"/>
      <c r="K218" s="14"/>
      <c r="L218" s="14"/>
      <c r="M218" s="14"/>
      <c r="N218" s="14"/>
      <c r="O218" s="14"/>
      <c r="P218" s="14"/>
      <c r="Q218" s="14"/>
      <c r="R218" s="14"/>
      <c r="S218" s="14"/>
      <c r="T218" s="14"/>
      <c r="U218" s="13">
        <v>91</v>
      </c>
      <c r="V218" s="25">
        <v>83.75</v>
      </c>
      <c r="W218" s="15">
        <f t="shared" si="9"/>
        <v>7621.25</v>
      </c>
    </row>
    <row r="219" spans="1:26" s="887" customFormat="1" ht="45" x14ac:dyDescent="0.2">
      <c r="A219" s="44">
        <v>159</v>
      </c>
      <c r="B219" s="884" t="s">
        <v>324</v>
      </c>
      <c r="C219" s="38">
        <v>1</v>
      </c>
      <c r="D219" s="25">
        <v>91</v>
      </c>
      <c r="E219" s="14"/>
      <c r="F219" s="14"/>
      <c r="G219" s="14"/>
      <c r="H219" s="14"/>
      <c r="I219" s="14"/>
      <c r="J219" s="14"/>
      <c r="K219" s="14"/>
      <c r="L219" s="14"/>
      <c r="M219" s="14"/>
      <c r="N219" s="14"/>
      <c r="O219" s="14"/>
      <c r="P219" s="14"/>
      <c r="Q219" s="14"/>
      <c r="R219" s="14"/>
      <c r="S219" s="14"/>
      <c r="T219" s="14"/>
      <c r="U219" s="13">
        <v>91</v>
      </c>
      <c r="V219" s="25">
        <v>10815.4</v>
      </c>
      <c r="W219" s="15">
        <f t="shared" si="9"/>
        <v>984201.4</v>
      </c>
    </row>
    <row r="220" spans="1:26" s="887" customFormat="1" ht="45" x14ac:dyDescent="0.2">
      <c r="A220" s="44">
        <v>160</v>
      </c>
      <c r="B220" s="884" t="s">
        <v>325</v>
      </c>
      <c r="C220" s="38">
        <v>1</v>
      </c>
      <c r="D220" s="25">
        <v>91</v>
      </c>
      <c r="E220" s="14"/>
      <c r="F220" s="14"/>
      <c r="G220" s="14"/>
      <c r="H220" s="14"/>
      <c r="I220" s="14"/>
      <c r="J220" s="14"/>
      <c r="K220" s="14"/>
      <c r="L220" s="14"/>
      <c r="M220" s="14"/>
      <c r="N220" s="14"/>
      <c r="O220" s="14"/>
      <c r="P220" s="14"/>
      <c r="Q220" s="14"/>
      <c r="R220" s="14"/>
      <c r="S220" s="14"/>
      <c r="T220" s="14"/>
      <c r="U220" s="13">
        <v>91</v>
      </c>
      <c r="V220" s="25">
        <v>663.65</v>
      </c>
      <c r="W220" s="15">
        <f t="shared" si="9"/>
        <v>60392.15</v>
      </c>
    </row>
    <row r="221" spans="1:26" ht="30" x14ac:dyDescent="0.2">
      <c r="A221" s="44">
        <v>161</v>
      </c>
      <c r="B221" s="884" t="s">
        <v>326</v>
      </c>
      <c r="C221" s="38">
        <v>1</v>
      </c>
      <c r="D221" s="25">
        <v>91</v>
      </c>
      <c r="E221" s="14"/>
      <c r="F221" s="14"/>
      <c r="G221" s="14"/>
      <c r="H221" s="14"/>
      <c r="I221" s="14"/>
      <c r="J221" s="14"/>
      <c r="K221" s="14"/>
      <c r="L221" s="14"/>
      <c r="M221" s="14"/>
      <c r="N221" s="14"/>
      <c r="O221" s="14"/>
      <c r="P221" s="14"/>
      <c r="Q221" s="14"/>
      <c r="R221" s="14"/>
      <c r="S221" s="14"/>
      <c r="T221" s="14"/>
      <c r="U221" s="13">
        <v>91</v>
      </c>
      <c r="V221" s="25">
        <v>99800</v>
      </c>
      <c r="W221" s="15">
        <f t="shared" si="9"/>
        <v>9081800</v>
      </c>
    </row>
    <row r="222" spans="1:26" s="891" customFormat="1" x14ac:dyDescent="0.2">
      <c r="A222" s="44">
        <v>162</v>
      </c>
      <c r="B222" s="888" t="s">
        <v>210</v>
      </c>
      <c r="C222" s="910">
        <v>1</v>
      </c>
      <c r="D222" s="49">
        <v>25</v>
      </c>
      <c r="E222" s="911"/>
      <c r="F222" s="911"/>
      <c r="G222" s="911"/>
      <c r="H222" s="911"/>
      <c r="I222" s="911"/>
      <c r="J222" s="911"/>
      <c r="K222" s="911"/>
      <c r="L222" s="911"/>
      <c r="M222" s="911"/>
      <c r="N222" s="911"/>
      <c r="O222" s="911"/>
      <c r="P222" s="911"/>
      <c r="Q222" s="911"/>
      <c r="R222" s="911"/>
      <c r="S222" s="911"/>
      <c r="T222" s="911"/>
      <c r="U222" s="13">
        <v>25</v>
      </c>
      <c r="V222" s="911">
        <v>71344</v>
      </c>
      <c r="W222" s="105">
        <f>V222*U222/C222</f>
        <v>1783600</v>
      </c>
    </row>
    <row r="223" spans="1:26" s="891" customFormat="1" x14ac:dyDescent="0.2">
      <c r="A223" s="44">
        <v>163</v>
      </c>
      <c r="B223" s="888" t="s">
        <v>211</v>
      </c>
      <c r="C223" s="910">
        <v>1</v>
      </c>
      <c r="D223" s="49">
        <v>700</v>
      </c>
      <c r="E223" s="911"/>
      <c r="F223" s="911"/>
      <c r="G223" s="911"/>
      <c r="H223" s="911"/>
      <c r="I223" s="911"/>
      <c r="J223" s="911"/>
      <c r="K223" s="911"/>
      <c r="L223" s="911"/>
      <c r="M223" s="911"/>
      <c r="N223" s="911"/>
      <c r="O223" s="911"/>
      <c r="P223" s="911"/>
      <c r="Q223" s="911"/>
      <c r="R223" s="911"/>
      <c r="S223" s="911"/>
      <c r="T223" s="911"/>
      <c r="U223" s="13">
        <v>700</v>
      </c>
      <c r="V223" s="911">
        <v>71680</v>
      </c>
      <c r="W223" s="15">
        <f t="shared" si="9"/>
        <v>50176000</v>
      </c>
    </row>
    <row r="224" spans="1:26" s="891" customFormat="1" x14ac:dyDescent="0.2">
      <c r="A224" s="44">
        <v>164</v>
      </c>
      <c r="B224" s="888" t="s">
        <v>212</v>
      </c>
      <c r="C224" s="910">
        <v>1</v>
      </c>
      <c r="D224" s="49">
        <v>700</v>
      </c>
      <c r="E224" s="911"/>
      <c r="F224" s="911"/>
      <c r="G224" s="911"/>
      <c r="H224" s="911"/>
      <c r="I224" s="911"/>
      <c r="J224" s="911"/>
      <c r="K224" s="911"/>
      <c r="L224" s="911"/>
      <c r="M224" s="911"/>
      <c r="N224" s="911"/>
      <c r="O224" s="911"/>
      <c r="P224" s="911"/>
      <c r="Q224" s="911"/>
      <c r="R224" s="911"/>
      <c r="S224" s="911"/>
      <c r="T224" s="911"/>
      <c r="U224" s="13">
        <v>840</v>
      </c>
      <c r="V224" s="911">
        <v>5488</v>
      </c>
      <c r="W224" s="15">
        <f t="shared" si="9"/>
        <v>4609920</v>
      </c>
    </row>
    <row r="225" spans="1:26" s="891" customFormat="1" x14ac:dyDescent="0.2">
      <c r="A225" s="44">
        <v>165</v>
      </c>
      <c r="B225" s="888" t="s">
        <v>213</v>
      </c>
      <c r="C225" s="910">
        <v>1</v>
      </c>
      <c r="D225" s="49">
        <v>1000</v>
      </c>
      <c r="E225" s="911"/>
      <c r="F225" s="911"/>
      <c r="G225" s="911"/>
      <c r="H225" s="911"/>
      <c r="I225" s="911"/>
      <c r="J225" s="911"/>
      <c r="K225" s="911"/>
      <c r="L225" s="911"/>
      <c r="M225" s="911"/>
      <c r="N225" s="911"/>
      <c r="O225" s="911"/>
      <c r="P225" s="911"/>
      <c r="Q225" s="911"/>
      <c r="R225" s="911"/>
      <c r="S225" s="911"/>
      <c r="T225" s="911"/>
      <c r="U225" s="13">
        <v>1760</v>
      </c>
      <c r="V225" s="911">
        <v>8333</v>
      </c>
      <c r="W225" s="15">
        <f t="shared" si="9"/>
        <v>14666080</v>
      </c>
    </row>
    <row r="226" spans="1:26" s="891" customFormat="1" x14ac:dyDescent="0.2">
      <c r="A226" s="44">
        <v>166</v>
      </c>
      <c r="B226" s="888" t="s">
        <v>214</v>
      </c>
      <c r="C226" s="910">
        <v>1</v>
      </c>
      <c r="D226" s="49">
        <v>1500</v>
      </c>
      <c r="E226" s="911"/>
      <c r="F226" s="911"/>
      <c r="G226" s="911"/>
      <c r="H226" s="911"/>
      <c r="I226" s="911"/>
      <c r="J226" s="911"/>
      <c r="K226" s="911"/>
      <c r="L226" s="911"/>
      <c r="M226" s="911"/>
      <c r="N226" s="911"/>
      <c r="O226" s="911"/>
      <c r="P226" s="911"/>
      <c r="Q226" s="911"/>
      <c r="R226" s="911"/>
      <c r="S226" s="911"/>
      <c r="T226" s="911"/>
      <c r="U226" s="13">
        <v>1530</v>
      </c>
      <c r="V226" s="911">
        <v>4250</v>
      </c>
      <c r="W226" s="15">
        <f t="shared" si="9"/>
        <v>6502500</v>
      </c>
    </row>
    <row r="227" spans="1:26" s="891" customFormat="1" x14ac:dyDescent="0.2">
      <c r="A227" s="44">
        <v>167</v>
      </c>
      <c r="B227" s="888" t="s">
        <v>483</v>
      </c>
      <c r="C227" s="910">
        <v>1</v>
      </c>
      <c r="D227" s="49">
        <v>1200</v>
      </c>
      <c r="E227" s="911"/>
      <c r="F227" s="911"/>
      <c r="G227" s="911"/>
      <c r="H227" s="911"/>
      <c r="I227" s="911"/>
      <c r="J227" s="911"/>
      <c r="K227" s="911"/>
      <c r="L227" s="911"/>
      <c r="M227" s="911"/>
      <c r="N227" s="911"/>
      <c r="O227" s="911"/>
      <c r="P227" s="911"/>
      <c r="Q227" s="911"/>
      <c r="R227" s="911"/>
      <c r="S227" s="911"/>
      <c r="T227" s="911"/>
      <c r="U227" s="13">
        <v>1200</v>
      </c>
      <c r="V227" s="911">
        <v>609</v>
      </c>
      <c r="W227" s="15">
        <f t="shared" si="9"/>
        <v>730800</v>
      </c>
    </row>
    <row r="228" spans="1:26" s="891" customFormat="1" x14ac:dyDescent="0.2">
      <c r="A228" s="44">
        <v>168</v>
      </c>
      <c r="B228" s="888" t="s">
        <v>216</v>
      </c>
      <c r="C228" s="910">
        <v>1</v>
      </c>
      <c r="D228" s="49">
        <v>250</v>
      </c>
      <c r="E228" s="911"/>
      <c r="F228" s="911"/>
      <c r="G228" s="911"/>
      <c r="H228" s="911"/>
      <c r="I228" s="911"/>
      <c r="J228" s="911"/>
      <c r="K228" s="911"/>
      <c r="L228" s="911"/>
      <c r="M228" s="911"/>
      <c r="N228" s="911"/>
      <c r="O228" s="911"/>
      <c r="P228" s="911"/>
      <c r="Q228" s="911"/>
      <c r="R228" s="911"/>
      <c r="S228" s="911"/>
      <c r="T228" s="911"/>
      <c r="U228" s="13">
        <f>65+2350</f>
        <v>2415</v>
      </c>
      <c r="V228" s="911">
        <v>1797</v>
      </c>
      <c r="W228" s="15">
        <f t="shared" si="9"/>
        <v>4339755</v>
      </c>
    </row>
    <row r="229" spans="1:26" s="891" customFormat="1" x14ac:dyDescent="0.2">
      <c r="A229" s="44">
        <v>169</v>
      </c>
      <c r="B229" s="888" t="s">
        <v>217</v>
      </c>
      <c r="C229" s="910">
        <v>1</v>
      </c>
      <c r="D229" s="49">
        <v>1000</v>
      </c>
      <c r="E229" s="911"/>
      <c r="F229" s="911"/>
      <c r="G229" s="911"/>
      <c r="H229" s="911"/>
      <c r="I229" s="911"/>
      <c r="J229" s="911"/>
      <c r="K229" s="911"/>
      <c r="L229" s="911"/>
      <c r="M229" s="911"/>
      <c r="N229" s="911"/>
      <c r="O229" s="911"/>
      <c r="P229" s="911"/>
      <c r="Q229" s="911"/>
      <c r="R229" s="911"/>
      <c r="S229" s="911"/>
      <c r="T229" s="911"/>
      <c r="U229" s="13">
        <v>1000</v>
      </c>
      <c r="V229" s="911">
        <v>599</v>
      </c>
      <c r="W229" s="15">
        <f t="shared" si="9"/>
        <v>599000</v>
      </c>
      <c r="Y229" s="891">
        <f>3390*245</f>
        <v>830550</v>
      </c>
      <c r="Z229" s="891">
        <f>3390*246</f>
        <v>833940</v>
      </c>
    </row>
    <row r="230" spans="1:26" s="891" customFormat="1" x14ac:dyDescent="0.2">
      <c r="A230" s="44">
        <v>170</v>
      </c>
      <c r="B230" s="888" t="s">
        <v>218</v>
      </c>
      <c r="C230" s="910">
        <v>1</v>
      </c>
      <c r="D230" s="49">
        <v>700</v>
      </c>
      <c r="E230" s="911"/>
      <c r="F230" s="911"/>
      <c r="G230" s="911"/>
      <c r="H230" s="911"/>
      <c r="I230" s="911"/>
      <c r="J230" s="911"/>
      <c r="K230" s="911"/>
      <c r="L230" s="911"/>
      <c r="M230" s="911"/>
      <c r="N230" s="911"/>
      <c r="O230" s="911"/>
      <c r="P230" s="911"/>
      <c r="Q230" s="911"/>
      <c r="R230" s="911"/>
      <c r="S230" s="911"/>
      <c r="T230" s="911"/>
      <c r="U230" s="13">
        <v>700</v>
      </c>
      <c r="V230" s="911">
        <v>358</v>
      </c>
      <c r="W230" s="15">
        <f t="shared" si="9"/>
        <v>250600</v>
      </c>
    </row>
    <row r="231" spans="1:26" s="891" customFormat="1" x14ac:dyDescent="0.2">
      <c r="A231" s="44">
        <v>171</v>
      </c>
      <c r="B231" s="888" t="s">
        <v>219</v>
      </c>
      <c r="C231" s="910">
        <v>1</v>
      </c>
      <c r="D231" s="49">
        <v>500</v>
      </c>
      <c r="E231" s="911"/>
      <c r="F231" s="911"/>
      <c r="G231" s="911"/>
      <c r="H231" s="911"/>
      <c r="I231" s="911"/>
      <c r="J231" s="911"/>
      <c r="K231" s="911"/>
      <c r="L231" s="911"/>
      <c r="M231" s="911"/>
      <c r="N231" s="911"/>
      <c r="O231" s="911"/>
      <c r="P231" s="911"/>
      <c r="Q231" s="911"/>
      <c r="R231" s="911"/>
      <c r="S231" s="911"/>
      <c r="T231" s="911"/>
      <c r="U231" s="13">
        <v>500</v>
      </c>
      <c r="V231" s="911">
        <v>208</v>
      </c>
      <c r="W231" s="15">
        <f t="shared" si="9"/>
        <v>104000</v>
      </c>
    </row>
    <row r="232" spans="1:26" s="891" customFormat="1" x14ac:dyDescent="0.2">
      <c r="A232" s="44">
        <v>172</v>
      </c>
      <c r="B232" s="888" t="s">
        <v>220</v>
      </c>
      <c r="C232" s="910">
        <v>1</v>
      </c>
      <c r="D232" s="49">
        <v>500</v>
      </c>
      <c r="E232" s="911"/>
      <c r="F232" s="911"/>
      <c r="G232" s="911"/>
      <c r="H232" s="911"/>
      <c r="I232" s="911"/>
      <c r="J232" s="911"/>
      <c r="K232" s="911"/>
      <c r="L232" s="911"/>
      <c r="M232" s="911"/>
      <c r="N232" s="911"/>
      <c r="O232" s="911"/>
      <c r="P232" s="911"/>
      <c r="Q232" s="911"/>
      <c r="R232" s="911"/>
      <c r="S232" s="911"/>
      <c r="T232" s="911"/>
      <c r="U232" s="13">
        <v>500</v>
      </c>
      <c r="V232" s="911">
        <v>184</v>
      </c>
      <c r="W232" s="15">
        <f t="shared" si="9"/>
        <v>92000</v>
      </c>
    </row>
    <row r="233" spans="1:26" s="891" customFormat="1" x14ac:dyDescent="0.2">
      <c r="A233" s="44">
        <v>173</v>
      </c>
      <c r="B233" s="888" t="s">
        <v>221</v>
      </c>
      <c r="C233" s="910">
        <v>1</v>
      </c>
      <c r="D233" s="49">
        <v>200</v>
      </c>
      <c r="E233" s="911"/>
      <c r="F233" s="911"/>
      <c r="G233" s="911"/>
      <c r="H233" s="911"/>
      <c r="I233" s="911"/>
      <c r="J233" s="911"/>
      <c r="K233" s="911"/>
      <c r="L233" s="911"/>
      <c r="M233" s="911"/>
      <c r="N233" s="911"/>
      <c r="O233" s="911"/>
      <c r="P233" s="911"/>
      <c r="Q233" s="911"/>
      <c r="R233" s="911"/>
      <c r="S233" s="911"/>
      <c r="T233" s="911"/>
      <c r="U233" s="13">
        <v>200</v>
      </c>
      <c r="V233" s="911">
        <v>49</v>
      </c>
      <c r="W233" s="15">
        <f t="shared" si="9"/>
        <v>9800</v>
      </c>
    </row>
    <row r="234" spans="1:26" s="891" customFormat="1" x14ac:dyDescent="0.2">
      <c r="A234" s="44">
        <v>174</v>
      </c>
      <c r="B234" s="888" t="s">
        <v>222</v>
      </c>
      <c r="C234" s="910">
        <v>1</v>
      </c>
      <c r="D234" s="49">
        <v>150</v>
      </c>
      <c r="E234" s="911"/>
      <c r="F234" s="911"/>
      <c r="G234" s="911"/>
      <c r="H234" s="911"/>
      <c r="I234" s="911"/>
      <c r="J234" s="911"/>
      <c r="K234" s="911"/>
      <c r="L234" s="911"/>
      <c r="M234" s="911"/>
      <c r="N234" s="911"/>
      <c r="O234" s="911"/>
      <c r="P234" s="911"/>
      <c r="Q234" s="911"/>
      <c r="R234" s="911"/>
      <c r="S234" s="911"/>
      <c r="T234" s="911"/>
      <c r="U234" s="13">
        <v>150</v>
      </c>
      <c r="V234" s="911">
        <v>3935</v>
      </c>
      <c r="W234" s="15">
        <f t="shared" si="9"/>
        <v>590250</v>
      </c>
    </row>
    <row r="235" spans="1:26" s="891" customFormat="1" x14ac:dyDescent="0.2">
      <c r="A235" s="44">
        <v>175</v>
      </c>
      <c r="B235" s="888" t="s">
        <v>223</v>
      </c>
      <c r="C235" s="912">
        <v>1</v>
      </c>
      <c r="D235" s="49">
        <v>1200</v>
      </c>
      <c r="E235" s="911"/>
      <c r="F235" s="911"/>
      <c r="G235" s="911"/>
      <c r="H235" s="911"/>
      <c r="I235" s="911"/>
      <c r="J235" s="911"/>
      <c r="K235" s="911"/>
      <c r="L235" s="911"/>
      <c r="M235" s="911"/>
      <c r="N235" s="911"/>
      <c r="O235" s="911"/>
      <c r="P235" s="911"/>
      <c r="Q235" s="911"/>
      <c r="R235" s="911"/>
      <c r="S235" s="911"/>
      <c r="T235" s="911"/>
      <c r="U235" s="13">
        <v>1870</v>
      </c>
      <c r="V235" s="911">
        <v>399</v>
      </c>
      <c r="W235" s="15">
        <f t="shared" si="9"/>
        <v>746130</v>
      </c>
    </row>
    <row r="236" spans="1:26" s="891" customFormat="1" x14ac:dyDescent="0.2">
      <c r="A236" s="44">
        <v>176</v>
      </c>
      <c r="B236" s="888" t="s">
        <v>224</v>
      </c>
      <c r="C236" s="910">
        <v>1</v>
      </c>
      <c r="D236" s="49">
        <v>55000</v>
      </c>
      <c r="E236" s="911"/>
      <c r="F236" s="911"/>
      <c r="G236" s="911"/>
      <c r="H236" s="911"/>
      <c r="I236" s="911"/>
      <c r="J236" s="911"/>
      <c r="K236" s="911"/>
      <c r="L236" s="911"/>
      <c r="M236" s="911"/>
      <c r="N236" s="911"/>
      <c r="O236" s="911"/>
      <c r="P236" s="911"/>
      <c r="Q236" s="911"/>
      <c r="R236" s="911"/>
      <c r="S236" s="911"/>
      <c r="T236" s="911"/>
      <c r="U236" s="13">
        <f>58200+3390</f>
        <v>61590</v>
      </c>
      <c r="V236" s="911">
        <v>245</v>
      </c>
      <c r="W236" s="15">
        <f t="shared" si="9"/>
        <v>15089550</v>
      </c>
      <c r="X236" s="891">
        <f>SUM(W222:W236)</f>
        <v>100289985</v>
      </c>
    </row>
    <row r="237" spans="1:26" s="891" customFormat="1" x14ac:dyDescent="0.2">
      <c r="A237" s="44">
        <v>177</v>
      </c>
      <c r="B237" s="888" t="s">
        <v>225</v>
      </c>
      <c r="C237" s="910">
        <v>1</v>
      </c>
      <c r="D237" s="49">
        <v>2</v>
      </c>
      <c r="E237" s="911"/>
      <c r="F237" s="911"/>
      <c r="G237" s="911"/>
      <c r="H237" s="911"/>
      <c r="I237" s="911"/>
      <c r="J237" s="911"/>
      <c r="K237" s="911"/>
      <c r="L237" s="911"/>
      <c r="M237" s="911"/>
      <c r="N237" s="911"/>
      <c r="O237" s="911"/>
      <c r="P237" s="911"/>
      <c r="Q237" s="911"/>
      <c r="R237" s="911"/>
      <c r="S237" s="911"/>
      <c r="T237" s="911"/>
      <c r="U237" s="13">
        <v>2</v>
      </c>
      <c r="V237" s="911">
        <v>2189000</v>
      </c>
      <c r="W237" s="15">
        <f t="shared" si="9"/>
        <v>4378000</v>
      </c>
      <c r="X237" s="913">
        <f>SUM(W237:W249)</f>
        <v>43272829</v>
      </c>
    </row>
    <row r="238" spans="1:26" s="891" customFormat="1" x14ac:dyDescent="0.2">
      <c r="A238" s="44">
        <v>178</v>
      </c>
      <c r="B238" s="888" t="s">
        <v>226</v>
      </c>
      <c r="C238" s="910">
        <v>1</v>
      </c>
      <c r="D238" s="49">
        <v>5</v>
      </c>
      <c r="E238" s="911"/>
      <c r="F238" s="911"/>
      <c r="G238" s="911"/>
      <c r="H238" s="911"/>
      <c r="I238" s="911"/>
      <c r="J238" s="911"/>
      <c r="K238" s="911"/>
      <c r="L238" s="911"/>
      <c r="M238" s="911"/>
      <c r="N238" s="911"/>
      <c r="O238" s="911"/>
      <c r="P238" s="911"/>
      <c r="Q238" s="911"/>
      <c r="R238" s="911"/>
      <c r="S238" s="911"/>
      <c r="T238" s="911"/>
      <c r="U238" s="13">
        <v>5</v>
      </c>
      <c r="V238" s="911">
        <v>506760</v>
      </c>
      <c r="W238" s="15">
        <f t="shared" si="9"/>
        <v>2533800</v>
      </c>
    </row>
    <row r="239" spans="1:26" s="891" customFormat="1" x14ac:dyDescent="0.2">
      <c r="A239" s="44">
        <v>179</v>
      </c>
      <c r="B239" s="888" t="s">
        <v>227</v>
      </c>
      <c r="C239" s="910">
        <v>1</v>
      </c>
      <c r="D239" s="49">
        <v>5</v>
      </c>
      <c r="E239" s="911"/>
      <c r="F239" s="911"/>
      <c r="G239" s="911"/>
      <c r="H239" s="911"/>
      <c r="I239" s="911"/>
      <c r="J239" s="911"/>
      <c r="K239" s="911"/>
      <c r="L239" s="911"/>
      <c r="M239" s="911"/>
      <c r="N239" s="911"/>
      <c r="O239" s="911"/>
      <c r="P239" s="911"/>
      <c r="Q239" s="911"/>
      <c r="R239" s="911"/>
      <c r="S239" s="911"/>
      <c r="T239" s="911"/>
      <c r="U239" s="13">
        <v>5</v>
      </c>
      <c r="V239" s="911">
        <v>400567</v>
      </c>
      <c r="W239" s="15">
        <f t="shared" si="9"/>
        <v>2002835</v>
      </c>
    </row>
    <row r="240" spans="1:26" s="891" customFormat="1" x14ac:dyDescent="0.2">
      <c r="A240" s="44">
        <v>180</v>
      </c>
      <c r="B240" s="888" t="s">
        <v>228</v>
      </c>
      <c r="C240" s="910">
        <v>1</v>
      </c>
      <c r="D240" s="49">
        <v>40</v>
      </c>
      <c r="E240" s="911"/>
      <c r="F240" s="911"/>
      <c r="G240" s="911"/>
      <c r="H240" s="911"/>
      <c r="I240" s="911"/>
      <c r="J240" s="911"/>
      <c r="K240" s="911"/>
      <c r="L240" s="911"/>
      <c r="M240" s="911"/>
      <c r="N240" s="911"/>
      <c r="O240" s="911"/>
      <c r="P240" s="911"/>
      <c r="Q240" s="911"/>
      <c r="R240" s="911"/>
      <c r="S240" s="911"/>
      <c r="T240" s="911"/>
      <c r="U240" s="13">
        <v>46</v>
      </c>
      <c r="V240" s="911">
        <v>286340</v>
      </c>
      <c r="W240" s="15">
        <f t="shared" si="9"/>
        <v>13171640</v>
      </c>
    </row>
    <row r="241" spans="1:25" s="891" customFormat="1" x14ac:dyDescent="0.2">
      <c r="A241" s="44">
        <v>181</v>
      </c>
      <c r="B241" s="888" t="s">
        <v>229</v>
      </c>
      <c r="C241" s="910">
        <v>1</v>
      </c>
      <c r="D241" s="49">
        <v>60</v>
      </c>
      <c r="E241" s="911"/>
      <c r="F241" s="911"/>
      <c r="G241" s="911"/>
      <c r="H241" s="911"/>
      <c r="I241" s="911"/>
      <c r="J241" s="911"/>
      <c r="K241" s="911"/>
      <c r="L241" s="911"/>
      <c r="M241" s="911"/>
      <c r="N241" s="911"/>
      <c r="O241" s="911"/>
      <c r="P241" s="911"/>
      <c r="Q241" s="911"/>
      <c r="R241" s="911"/>
      <c r="S241" s="911"/>
      <c r="T241" s="911"/>
      <c r="U241" s="13">
        <v>60</v>
      </c>
      <c r="V241" s="911">
        <v>24290</v>
      </c>
      <c r="W241" s="15">
        <f t="shared" si="9"/>
        <v>1457400</v>
      </c>
    </row>
    <row r="242" spans="1:25" s="891" customFormat="1" x14ac:dyDescent="0.2">
      <c r="A242" s="44">
        <v>182</v>
      </c>
      <c r="B242" s="888" t="s">
        <v>230</v>
      </c>
      <c r="C242" s="910">
        <v>1</v>
      </c>
      <c r="D242" s="49">
        <v>500</v>
      </c>
      <c r="E242" s="911"/>
      <c r="F242" s="911"/>
      <c r="G242" s="911"/>
      <c r="H242" s="911"/>
      <c r="I242" s="911"/>
      <c r="J242" s="911"/>
      <c r="K242" s="911"/>
      <c r="L242" s="911"/>
      <c r="M242" s="911"/>
      <c r="N242" s="911"/>
      <c r="O242" s="911"/>
      <c r="P242" s="911"/>
      <c r="Q242" s="911"/>
      <c r="R242" s="911"/>
      <c r="S242" s="911"/>
      <c r="T242" s="911"/>
      <c r="U242" s="13">
        <v>1283</v>
      </c>
      <c r="V242" s="911">
        <v>198</v>
      </c>
      <c r="W242" s="15">
        <f t="shared" ref="W242:W269" si="10">V242*U242/C242</f>
        <v>254034</v>
      </c>
    </row>
    <row r="243" spans="1:25" s="891" customFormat="1" x14ac:dyDescent="0.2">
      <c r="A243" s="44">
        <v>183</v>
      </c>
      <c r="B243" s="888" t="s">
        <v>231</v>
      </c>
      <c r="C243" s="910">
        <v>1</v>
      </c>
      <c r="D243" s="49">
        <v>150</v>
      </c>
      <c r="E243" s="911"/>
      <c r="F243" s="911"/>
      <c r="G243" s="911"/>
      <c r="H243" s="911"/>
      <c r="I243" s="911"/>
      <c r="J243" s="911"/>
      <c r="K243" s="911"/>
      <c r="L243" s="911"/>
      <c r="M243" s="911"/>
      <c r="N243" s="911"/>
      <c r="O243" s="911"/>
      <c r="P243" s="911"/>
      <c r="Q243" s="911"/>
      <c r="R243" s="911"/>
      <c r="S243" s="911"/>
      <c r="T243" s="911"/>
      <c r="U243" s="13">
        <f>33+150</f>
        <v>183</v>
      </c>
      <c r="V243" s="911">
        <v>18250</v>
      </c>
      <c r="W243" s="15">
        <f t="shared" si="10"/>
        <v>3339750</v>
      </c>
      <c r="X243" s="891">
        <f>155000/198</f>
        <v>782.82828282828279</v>
      </c>
      <c r="Y243" s="891">
        <f>500+783</f>
        <v>1283</v>
      </c>
    </row>
    <row r="244" spans="1:25" s="891" customFormat="1" x14ac:dyDescent="0.2">
      <c r="A244" s="44">
        <v>184</v>
      </c>
      <c r="B244" s="888" t="s">
        <v>232</v>
      </c>
      <c r="C244" s="910">
        <v>1</v>
      </c>
      <c r="D244" s="49">
        <v>50</v>
      </c>
      <c r="E244" s="911"/>
      <c r="F244" s="911"/>
      <c r="G244" s="911"/>
      <c r="H244" s="911"/>
      <c r="I244" s="911"/>
      <c r="J244" s="911"/>
      <c r="K244" s="911"/>
      <c r="L244" s="911"/>
      <c r="M244" s="911"/>
      <c r="N244" s="911"/>
      <c r="O244" s="911"/>
      <c r="P244" s="911"/>
      <c r="Q244" s="911"/>
      <c r="R244" s="911"/>
      <c r="S244" s="911"/>
      <c r="T244" s="911"/>
      <c r="U244" s="13">
        <v>50</v>
      </c>
      <c r="V244" s="911">
        <v>4770</v>
      </c>
      <c r="W244" s="15">
        <f t="shared" si="10"/>
        <v>238500</v>
      </c>
    </row>
    <row r="245" spans="1:25" s="891" customFormat="1" x14ac:dyDescent="0.2">
      <c r="A245" s="44">
        <v>185</v>
      </c>
      <c r="B245" s="888" t="s">
        <v>233</v>
      </c>
      <c r="C245" s="910">
        <v>1</v>
      </c>
      <c r="D245" s="49">
        <v>50</v>
      </c>
      <c r="E245" s="911"/>
      <c r="F245" s="911"/>
      <c r="G245" s="911"/>
      <c r="H245" s="911"/>
      <c r="I245" s="911"/>
      <c r="J245" s="911"/>
      <c r="K245" s="911"/>
      <c r="L245" s="911"/>
      <c r="M245" s="911"/>
      <c r="N245" s="911"/>
      <c r="O245" s="911"/>
      <c r="P245" s="911"/>
      <c r="Q245" s="911"/>
      <c r="R245" s="911"/>
      <c r="S245" s="911"/>
      <c r="T245" s="911"/>
      <c r="U245" s="13">
        <v>50</v>
      </c>
      <c r="V245" s="911">
        <v>10900</v>
      </c>
      <c r="W245" s="15">
        <f t="shared" si="10"/>
        <v>545000</v>
      </c>
    </row>
    <row r="246" spans="1:25" s="891" customFormat="1" x14ac:dyDescent="0.2">
      <c r="A246" s="44">
        <v>186</v>
      </c>
      <c r="B246" s="888" t="s">
        <v>484</v>
      </c>
      <c r="C246" s="910">
        <v>1</v>
      </c>
      <c r="D246" s="49">
        <v>500</v>
      </c>
      <c r="E246" s="911"/>
      <c r="F246" s="911"/>
      <c r="G246" s="911"/>
      <c r="H246" s="911"/>
      <c r="I246" s="911"/>
      <c r="J246" s="911"/>
      <c r="K246" s="911"/>
      <c r="L246" s="911"/>
      <c r="M246" s="911"/>
      <c r="N246" s="911"/>
      <c r="O246" s="911"/>
      <c r="P246" s="911"/>
      <c r="Q246" s="911"/>
      <c r="R246" s="911"/>
      <c r="S246" s="911"/>
      <c r="T246" s="911"/>
      <c r="U246" s="13">
        <v>527</v>
      </c>
      <c r="V246" s="911">
        <v>23650</v>
      </c>
      <c r="W246" s="15">
        <f t="shared" si="10"/>
        <v>12463550</v>
      </c>
    </row>
    <row r="247" spans="1:25" s="891" customFormat="1" ht="30" x14ac:dyDescent="0.2">
      <c r="A247" s="44">
        <v>187</v>
      </c>
      <c r="B247" s="888" t="s">
        <v>235</v>
      </c>
      <c r="C247" s="910">
        <v>1</v>
      </c>
      <c r="D247" s="49">
        <v>200</v>
      </c>
      <c r="E247" s="911"/>
      <c r="F247" s="911"/>
      <c r="G247" s="911"/>
      <c r="H247" s="911"/>
      <c r="I247" s="911"/>
      <c r="J247" s="911"/>
      <c r="K247" s="911"/>
      <c r="L247" s="911"/>
      <c r="M247" s="911"/>
      <c r="N247" s="911"/>
      <c r="O247" s="911"/>
      <c r="P247" s="911"/>
      <c r="Q247" s="911"/>
      <c r="R247" s="911"/>
      <c r="S247" s="911"/>
      <c r="T247" s="911"/>
      <c r="U247" s="13">
        <v>200</v>
      </c>
      <c r="V247" s="911">
        <v>3378.5</v>
      </c>
      <c r="W247" s="15">
        <f t="shared" si="10"/>
        <v>675700</v>
      </c>
    </row>
    <row r="248" spans="1:25" s="891" customFormat="1" ht="45" x14ac:dyDescent="0.2">
      <c r="A248" s="44">
        <v>188</v>
      </c>
      <c r="B248" s="888" t="s">
        <v>236</v>
      </c>
      <c r="C248" s="910">
        <v>1</v>
      </c>
      <c r="D248" s="49">
        <v>200</v>
      </c>
      <c r="E248" s="911"/>
      <c r="F248" s="911"/>
      <c r="G248" s="911"/>
      <c r="H248" s="911"/>
      <c r="I248" s="911"/>
      <c r="J248" s="911"/>
      <c r="K248" s="911"/>
      <c r="L248" s="911"/>
      <c r="M248" s="911"/>
      <c r="N248" s="911"/>
      <c r="O248" s="911"/>
      <c r="P248" s="911"/>
      <c r="Q248" s="911"/>
      <c r="R248" s="911"/>
      <c r="S248" s="911"/>
      <c r="T248" s="911"/>
      <c r="U248" s="13">
        <v>200</v>
      </c>
      <c r="V248" s="911">
        <v>6949.8</v>
      </c>
      <c r="W248" s="15">
        <f t="shared" si="10"/>
        <v>1389960</v>
      </c>
    </row>
    <row r="249" spans="1:25" s="891" customFormat="1" ht="30" x14ac:dyDescent="0.2">
      <c r="A249" s="44">
        <v>189</v>
      </c>
      <c r="B249" s="888" t="s">
        <v>237</v>
      </c>
      <c r="C249" s="910">
        <v>1</v>
      </c>
      <c r="D249" s="49">
        <v>200</v>
      </c>
      <c r="E249" s="911"/>
      <c r="F249" s="911"/>
      <c r="G249" s="911"/>
      <c r="H249" s="911"/>
      <c r="I249" s="911"/>
      <c r="J249" s="911"/>
      <c r="K249" s="911"/>
      <c r="L249" s="911"/>
      <c r="M249" s="911"/>
      <c r="N249" s="911"/>
      <c r="O249" s="911"/>
      <c r="P249" s="911"/>
      <c r="Q249" s="911"/>
      <c r="R249" s="911"/>
      <c r="S249" s="911"/>
      <c r="T249" s="911"/>
      <c r="U249" s="13">
        <v>200</v>
      </c>
      <c r="V249" s="911">
        <v>4113.3</v>
      </c>
      <c r="W249" s="15">
        <f t="shared" si="10"/>
        <v>822660</v>
      </c>
    </row>
    <row r="250" spans="1:25" s="891" customFormat="1" x14ac:dyDescent="0.2">
      <c r="A250" s="44">
        <v>190</v>
      </c>
      <c r="B250" s="888" t="s">
        <v>238</v>
      </c>
      <c r="C250" s="910">
        <v>1</v>
      </c>
      <c r="D250" s="49">
        <v>5000</v>
      </c>
      <c r="E250" s="911"/>
      <c r="F250" s="911"/>
      <c r="G250" s="911"/>
      <c r="H250" s="911"/>
      <c r="I250" s="911"/>
      <c r="J250" s="911"/>
      <c r="K250" s="911"/>
      <c r="L250" s="911"/>
      <c r="M250" s="911"/>
      <c r="N250" s="911"/>
      <c r="O250" s="911"/>
      <c r="P250" s="911"/>
      <c r="Q250" s="911"/>
      <c r="R250" s="911"/>
      <c r="S250" s="911"/>
      <c r="T250" s="911"/>
      <c r="U250" s="13">
        <f>1300+5000</f>
        <v>6300</v>
      </c>
      <c r="V250" s="911">
        <v>975</v>
      </c>
      <c r="W250" s="15">
        <f t="shared" si="10"/>
        <v>6142500</v>
      </c>
    </row>
    <row r="251" spans="1:25" s="891" customFormat="1" x14ac:dyDescent="0.2">
      <c r="A251" s="44">
        <v>191</v>
      </c>
      <c r="B251" s="888" t="s">
        <v>239</v>
      </c>
      <c r="C251" s="910">
        <v>1</v>
      </c>
      <c r="D251" s="49">
        <v>50</v>
      </c>
      <c r="E251" s="911"/>
      <c r="F251" s="911"/>
      <c r="G251" s="911"/>
      <c r="H251" s="911"/>
      <c r="I251" s="911"/>
      <c r="J251" s="911"/>
      <c r="K251" s="911"/>
      <c r="L251" s="911"/>
      <c r="M251" s="911"/>
      <c r="N251" s="911"/>
      <c r="O251" s="911"/>
      <c r="P251" s="911"/>
      <c r="Q251" s="911"/>
      <c r="R251" s="911"/>
      <c r="S251" s="911"/>
      <c r="T251" s="911"/>
      <c r="U251" s="13">
        <v>50</v>
      </c>
      <c r="V251" s="911">
        <v>48900</v>
      </c>
      <c r="W251" s="15">
        <f t="shared" si="10"/>
        <v>2445000</v>
      </c>
    </row>
    <row r="252" spans="1:25" s="891" customFormat="1" x14ac:dyDescent="0.2">
      <c r="A252" s="44">
        <v>192</v>
      </c>
      <c r="B252" s="888" t="s">
        <v>240</v>
      </c>
      <c r="C252" s="910">
        <v>1</v>
      </c>
      <c r="D252" s="49">
        <v>10</v>
      </c>
      <c r="E252" s="911"/>
      <c r="F252" s="911"/>
      <c r="G252" s="911"/>
      <c r="H252" s="911"/>
      <c r="I252" s="911"/>
      <c r="J252" s="911"/>
      <c r="K252" s="911"/>
      <c r="L252" s="911"/>
      <c r="M252" s="911"/>
      <c r="N252" s="911"/>
      <c r="O252" s="911"/>
      <c r="P252" s="911"/>
      <c r="Q252" s="911"/>
      <c r="R252" s="911"/>
      <c r="S252" s="911"/>
      <c r="T252" s="911"/>
      <c r="U252" s="13">
        <v>17</v>
      </c>
      <c r="V252" s="911">
        <v>31300</v>
      </c>
      <c r="W252" s="15">
        <f t="shared" si="10"/>
        <v>532100</v>
      </c>
    </row>
    <row r="253" spans="1:25" s="891" customFormat="1" x14ac:dyDescent="0.2">
      <c r="A253" s="44">
        <v>193</v>
      </c>
      <c r="B253" s="888" t="s">
        <v>242</v>
      </c>
      <c r="C253" s="910">
        <v>1</v>
      </c>
      <c r="D253" s="49">
        <v>80</v>
      </c>
      <c r="E253" s="911"/>
      <c r="F253" s="911"/>
      <c r="G253" s="911"/>
      <c r="H253" s="911"/>
      <c r="I253" s="911"/>
      <c r="J253" s="911"/>
      <c r="K253" s="911"/>
      <c r="L253" s="911"/>
      <c r="M253" s="911"/>
      <c r="N253" s="911"/>
      <c r="O253" s="911"/>
      <c r="P253" s="911"/>
      <c r="Q253" s="911"/>
      <c r="R253" s="911"/>
      <c r="S253" s="911"/>
      <c r="T253" s="911"/>
      <c r="U253" s="13">
        <f>28+80</f>
        <v>108</v>
      </c>
      <c r="V253" s="911">
        <v>10530</v>
      </c>
      <c r="W253" s="15">
        <f t="shared" si="10"/>
        <v>1137240</v>
      </c>
    </row>
    <row r="254" spans="1:25" s="891" customFormat="1" x14ac:dyDescent="0.2">
      <c r="A254" s="44">
        <v>194</v>
      </c>
      <c r="B254" s="888" t="s">
        <v>482</v>
      </c>
      <c r="C254" s="910">
        <v>1</v>
      </c>
      <c r="D254" s="49"/>
      <c r="E254" s="911"/>
      <c r="F254" s="911"/>
      <c r="G254" s="911"/>
      <c r="H254" s="911"/>
      <c r="I254" s="911"/>
      <c r="J254" s="911"/>
      <c r="K254" s="911"/>
      <c r="L254" s="911"/>
      <c r="M254" s="911"/>
      <c r="N254" s="911"/>
      <c r="O254" s="911"/>
      <c r="P254" s="911"/>
      <c r="Q254" s="911"/>
      <c r="R254" s="911"/>
      <c r="S254" s="911"/>
      <c r="T254" s="911"/>
      <c r="U254" s="13">
        <v>0</v>
      </c>
      <c r="V254" s="911">
        <v>16263340</v>
      </c>
      <c r="W254" s="15">
        <f t="shared" ref="W254:W258" si="11">V254</f>
        <v>16263340</v>
      </c>
    </row>
    <row r="255" spans="1:25" s="891" customFormat="1" x14ac:dyDescent="0.2">
      <c r="A255" s="44">
        <v>195</v>
      </c>
      <c r="B255" s="888" t="s">
        <v>481</v>
      </c>
      <c r="C255" s="910">
        <v>1</v>
      </c>
      <c r="D255" s="49"/>
      <c r="E255" s="911"/>
      <c r="F255" s="911"/>
      <c r="G255" s="911"/>
      <c r="H255" s="911"/>
      <c r="I255" s="911"/>
      <c r="J255" s="911"/>
      <c r="K255" s="911"/>
      <c r="L255" s="911"/>
      <c r="M255" s="911"/>
      <c r="N255" s="911"/>
      <c r="O255" s="911"/>
      <c r="P255" s="911"/>
      <c r="Q255" s="911"/>
      <c r="R255" s="911"/>
      <c r="S255" s="911"/>
      <c r="T255" s="911"/>
      <c r="U255" s="13">
        <v>0</v>
      </c>
      <c r="V255" s="911">
        <v>5598490</v>
      </c>
      <c r="W255" s="15">
        <f>V255</f>
        <v>5598490</v>
      </c>
    </row>
    <row r="256" spans="1:25" s="891" customFormat="1" x14ac:dyDescent="0.2">
      <c r="A256" s="44">
        <v>196</v>
      </c>
      <c r="B256" s="888" t="s">
        <v>480</v>
      </c>
      <c r="C256" s="910">
        <v>1</v>
      </c>
      <c r="D256" s="49"/>
      <c r="E256" s="911"/>
      <c r="F256" s="911"/>
      <c r="G256" s="911"/>
      <c r="H256" s="911"/>
      <c r="I256" s="911"/>
      <c r="J256" s="911"/>
      <c r="K256" s="911"/>
      <c r="L256" s="911"/>
      <c r="M256" s="911"/>
      <c r="N256" s="911"/>
      <c r="O256" s="911"/>
      <c r="P256" s="911"/>
      <c r="Q256" s="911"/>
      <c r="R256" s="911"/>
      <c r="S256" s="911"/>
      <c r="T256" s="911"/>
      <c r="U256" s="13">
        <v>0</v>
      </c>
      <c r="V256" s="911">
        <v>1034832</v>
      </c>
      <c r="W256" s="15">
        <f t="shared" si="11"/>
        <v>1034832</v>
      </c>
    </row>
    <row r="257" spans="1:25" s="891" customFormat="1" x14ac:dyDescent="0.2">
      <c r="A257" s="44">
        <v>197</v>
      </c>
      <c r="B257" s="888" t="s">
        <v>478</v>
      </c>
      <c r="C257" s="910">
        <v>1</v>
      </c>
      <c r="D257" s="49"/>
      <c r="E257" s="911"/>
      <c r="F257" s="911"/>
      <c r="G257" s="911"/>
      <c r="H257" s="911"/>
      <c r="I257" s="911"/>
      <c r="J257" s="911"/>
      <c r="K257" s="911"/>
      <c r="L257" s="911"/>
      <c r="M257" s="911"/>
      <c r="N257" s="911"/>
      <c r="O257" s="911"/>
      <c r="P257" s="911"/>
      <c r="Q257" s="911"/>
      <c r="R257" s="911"/>
      <c r="S257" s="911"/>
      <c r="T257" s="911"/>
      <c r="U257" s="13">
        <v>0</v>
      </c>
      <c r="V257" s="914">
        <v>8064000</v>
      </c>
      <c r="W257" s="15">
        <f t="shared" si="11"/>
        <v>8064000</v>
      </c>
    </row>
    <row r="258" spans="1:25" s="891" customFormat="1" x14ac:dyDescent="0.2">
      <c r="A258" s="44">
        <v>198</v>
      </c>
      <c r="B258" s="888" t="s">
        <v>479</v>
      </c>
      <c r="C258" s="910">
        <v>1</v>
      </c>
      <c r="D258" s="49"/>
      <c r="E258" s="911"/>
      <c r="F258" s="911"/>
      <c r="G258" s="911"/>
      <c r="H258" s="911"/>
      <c r="I258" s="911"/>
      <c r="J258" s="911"/>
      <c r="K258" s="911"/>
      <c r="L258" s="911"/>
      <c r="M258" s="911"/>
      <c r="N258" s="911"/>
      <c r="O258" s="911"/>
      <c r="P258" s="911"/>
      <c r="Q258" s="911"/>
      <c r="R258" s="911"/>
      <c r="S258" s="911"/>
      <c r="T258" s="911"/>
      <c r="U258" s="13">
        <v>0</v>
      </c>
      <c r="V258" s="914">
        <v>42000000</v>
      </c>
      <c r="W258" s="15">
        <f t="shared" si="11"/>
        <v>42000000</v>
      </c>
    </row>
    <row r="259" spans="1:25" s="891" customFormat="1" ht="15.75" x14ac:dyDescent="0.2">
      <c r="A259" s="44">
        <v>199</v>
      </c>
      <c r="B259" s="888" t="s">
        <v>269</v>
      </c>
      <c r="C259" s="915">
        <v>1</v>
      </c>
      <c r="D259" s="916"/>
      <c r="E259" s="917"/>
      <c r="F259" s="917"/>
      <c r="G259" s="917"/>
      <c r="H259" s="917"/>
      <c r="I259" s="917"/>
      <c r="J259" s="917"/>
      <c r="K259" s="917"/>
      <c r="L259" s="917">
        <v>2</v>
      </c>
      <c r="M259" s="917"/>
      <c r="N259" s="917"/>
      <c r="O259" s="917"/>
      <c r="P259" s="917"/>
      <c r="Q259" s="917"/>
      <c r="R259" s="917"/>
      <c r="S259" s="917"/>
      <c r="T259" s="917"/>
      <c r="U259" s="13">
        <v>2</v>
      </c>
      <c r="V259" s="911">
        <v>2375000</v>
      </c>
      <c r="W259" s="15">
        <f t="shared" si="10"/>
        <v>4750000</v>
      </c>
      <c r="X259" s="913">
        <f>SUM(W259:W267)</f>
        <v>7856248</v>
      </c>
      <c r="Y259" s="891">
        <v>14594316</v>
      </c>
    </row>
    <row r="260" spans="1:25" s="891" customFormat="1" ht="15.75" x14ac:dyDescent="0.2">
      <c r="A260" s="44">
        <v>200</v>
      </c>
      <c r="B260" s="888" t="s">
        <v>263</v>
      </c>
      <c r="C260" s="915">
        <v>1</v>
      </c>
      <c r="D260" s="916"/>
      <c r="E260" s="917"/>
      <c r="F260" s="917"/>
      <c r="G260" s="917"/>
      <c r="H260" s="917">
        <v>1</v>
      </c>
      <c r="I260" s="917"/>
      <c r="J260" s="917">
        <v>1</v>
      </c>
      <c r="K260" s="917"/>
      <c r="L260" s="917"/>
      <c r="M260" s="917"/>
      <c r="N260" s="917"/>
      <c r="O260" s="917"/>
      <c r="P260" s="917"/>
      <c r="Q260" s="917"/>
      <c r="R260" s="917"/>
      <c r="S260" s="917"/>
      <c r="T260" s="917"/>
      <c r="U260" s="13">
        <v>2</v>
      </c>
      <c r="V260" s="911">
        <v>904422</v>
      </c>
      <c r="W260" s="15">
        <f t="shared" si="10"/>
        <v>1808844</v>
      </c>
      <c r="Y260" s="918">
        <f>Y259-X259</f>
        <v>6738068</v>
      </c>
    </row>
    <row r="261" spans="1:25" s="891" customFormat="1" ht="15.75" x14ac:dyDescent="0.2">
      <c r="A261" s="44">
        <v>201</v>
      </c>
      <c r="B261" s="888" t="s">
        <v>264</v>
      </c>
      <c r="C261" s="915">
        <v>1</v>
      </c>
      <c r="D261" s="916"/>
      <c r="E261" s="917"/>
      <c r="F261" s="917"/>
      <c r="G261" s="917"/>
      <c r="H261" s="917">
        <v>1</v>
      </c>
      <c r="I261" s="917"/>
      <c r="J261" s="917">
        <v>1</v>
      </c>
      <c r="K261" s="917"/>
      <c r="L261" s="917">
        <v>5</v>
      </c>
      <c r="M261" s="917"/>
      <c r="N261" s="917"/>
      <c r="O261" s="917"/>
      <c r="P261" s="917"/>
      <c r="Q261" s="917"/>
      <c r="R261" s="917"/>
      <c r="S261" s="917"/>
      <c r="T261" s="917"/>
      <c r="U261" s="13">
        <v>7</v>
      </c>
      <c r="V261" s="911">
        <v>24290</v>
      </c>
      <c r="W261" s="15">
        <f t="shared" si="10"/>
        <v>170030</v>
      </c>
    </row>
    <row r="262" spans="1:25" s="891" customFormat="1" x14ac:dyDescent="0.2">
      <c r="A262" s="44">
        <v>202</v>
      </c>
      <c r="B262" s="888" t="s">
        <v>250</v>
      </c>
      <c r="C262" s="915">
        <v>1</v>
      </c>
      <c r="D262" s="49">
        <v>1</v>
      </c>
      <c r="E262" s="911">
        <v>1</v>
      </c>
      <c r="F262" s="911">
        <v>1</v>
      </c>
      <c r="G262" s="911">
        <v>1</v>
      </c>
      <c r="H262" s="911"/>
      <c r="I262" s="911">
        <v>1</v>
      </c>
      <c r="J262" s="911"/>
      <c r="K262" s="911">
        <v>1</v>
      </c>
      <c r="L262" s="911"/>
      <c r="M262" s="911"/>
      <c r="N262" s="911"/>
      <c r="O262" s="911"/>
      <c r="P262" s="911"/>
      <c r="Q262" s="911"/>
      <c r="R262" s="911"/>
      <c r="S262" s="911"/>
      <c r="T262" s="911"/>
      <c r="U262" s="13">
        <v>6</v>
      </c>
      <c r="V262" s="911">
        <v>15786</v>
      </c>
      <c r="W262" s="15">
        <f t="shared" si="10"/>
        <v>94716</v>
      </c>
    </row>
    <row r="263" spans="1:25" s="891" customFormat="1" x14ac:dyDescent="0.2">
      <c r="A263" s="44">
        <v>203</v>
      </c>
      <c r="B263" s="888" t="s">
        <v>251</v>
      </c>
      <c r="C263" s="915">
        <v>1</v>
      </c>
      <c r="D263" s="49">
        <v>3</v>
      </c>
      <c r="E263" s="911">
        <v>1</v>
      </c>
      <c r="F263" s="911">
        <v>1</v>
      </c>
      <c r="G263" s="911">
        <v>4</v>
      </c>
      <c r="H263" s="911"/>
      <c r="I263" s="911">
        <v>1</v>
      </c>
      <c r="J263" s="911"/>
      <c r="K263" s="911">
        <v>1</v>
      </c>
      <c r="L263" s="911"/>
      <c r="M263" s="911"/>
      <c r="N263" s="911"/>
      <c r="O263" s="911"/>
      <c r="P263" s="911"/>
      <c r="Q263" s="911"/>
      <c r="R263" s="911"/>
      <c r="S263" s="911"/>
      <c r="T263" s="911"/>
      <c r="U263" s="13">
        <v>12</v>
      </c>
      <c r="V263" s="911">
        <v>33000</v>
      </c>
      <c r="W263" s="15">
        <f t="shared" si="10"/>
        <v>396000</v>
      </c>
    </row>
    <row r="264" spans="1:25" s="891" customFormat="1" x14ac:dyDescent="0.2">
      <c r="A264" s="44">
        <v>204</v>
      </c>
      <c r="B264" s="888" t="s">
        <v>254</v>
      </c>
      <c r="C264" s="915">
        <v>1</v>
      </c>
      <c r="D264" s="49">
        <v>1</v>
      </c>
      <c r="E264" s="911">
        <v>1</v>
      </c>
      <c r="F264" s="911">
        <v>1</v>
      </c>
      <c r="G264" s="911">
        <v>1</v>
      </c>
      <c r="H264" s="911">
        <v>1</v>
      </c>
      <c r="I264" s="911">
        <v>1</v>
      </c>
      <c r="J264" s="911">
        <v>1</v>
      </c>
      <c r="K264" s="911">
        <v>1</v>
      </c>
      <c r="L264" s="911">
        <v>1</v>
      </c>
      <c r="M264" s="911"/>
      <c r="N264" s="911"/>
      <c r="O264" s="911"/>
      <c r="P264" s="911"/>
      <c r="Q264" s="911"/>
      <c r="R264" s="911"/>
      <c r="S264" s="911"/>
      <c r="T264" s="911"/>
      <c r="U264" s="13">
        <v>9</v>
      </c>
      <c r="V264" s="911">
        <v>35200</v>
      </c>
      <c r="W264" s="15">
        <f t="shared" si="10"/>
        <v>316800</v>
      </c>
    </row>
    <row r="265" spans="1:25" s="891" customFormat="1" x14ac:dyDescent="0.2">
      <c r="A265" s="44">
        <v>205</v>
      </c>
      <c r="B265" s="888" t="s">
        <v>257</v>
      </c>
      <c r="C265" s="915">
        <v>1</v>
      </c>
      <c r="D265" s="49">
        <v>4</v>
      </c>
      <c r="E265" s="911"/>
      <c r="F265" s="911">
        <v>2</v>
      </c>
      <c r="G265" s="911">
        <v>4</v>
      </c>
      <c r="H265" s="911"/>
      <c r="I265" s="911">
        <v>2</v>
      </c>
      <c r="J265" s="911"/>
      <c r="K265" s="911">
        <v>2</v>
      </c>
      <c r="L265" s="911"/>
      <c r="M265" s="911"/>
      <c r="N265" s="911"/>
      <c r="O265" s="911"/>
      <c r="P265" s="911"/>
      <c r="Q265" s="911"/>
      <c r="R265" s="911"/>
      <c r="S265" s="911"/>
      <c r="T265" s="911"/>
      <c r="U265" s="13">
        <v>14</v>
      </c>
      <c r="V265" s="911">
        <v>3591</v>
      </c>
      <c r="W265" s="15">
        <f t="shared" si="10"/>
        <v>50274</v>
      </c>
    </row>
    <row r="266" spans="1:25" s="891" customFormat="1" x14ac:dyDescent="0.2">
      <c r="A266" s="44">
        <v>206</v>
      </c>
      <c r="B266" s="888" t="s">
        <v>258</v>
      </c>
      <c r="C266" s="915">
        <v>1</v>
      </c>
      <c r="D266" s="49">
        <v>7</v>
      </c>
      <c r="E266" s="911">
        <v>3</v>
      </c>
      <c r="F266" s="911">
        <v>4</v>
      </c>
      <c r="G266" s="911">
        <v>8</v>
      </c>
      <c r="H266" s="911">
        <v>4</v>
      </c>
      <c r="I266" s="911">
        <v>4</v>
      </c>
      <c r="J266" s="911">
        <v>4</v>
      </c>
      <c r="K266" s="911">
        <v>4</v>
      </c>
      <c r="L266" s="911">
        <v>20</v>
      </c>
      <c r="M266" s="911"/>
      <c r="N266" s="911"/>
      <c r="O266" s="911"/>
      <c r="P266" s="911"/>
      <c r="Q266" s="911"/>
      <c r="R266" s="911"/>
      <c r="S266" s="911"/>
      <c r="T266" s="911"/>
      <c r="U266" s="13">
        <v>58</v>
      </c>
      <c r="V266" s="911">
        <v>1498</v>
      </c>
      <c r="W266" s="15">
        <f t="shared" si="10"/>
        <v>86884</v>
      </c>
    </row>
    <row r="267" spans="1:25" s="891" customFormat="1" x14ac:dyDescent="0.2">
      <c r="A267" s="44">
        <v>207</v>
      </c>
      <c r="B267" s="888" t="s">
        <v>259</v>
      </c>
      <c r="C267" s="912">
        <v>1</v>
      </c>
      <c r="D267" s="49">
        <v>30</v>
      </c>
      <c r="E267" s="911">
        <v>30</v>
      </c>
      <c r="F267" s="911">
        <v>30</v>
      </c>
      <c r="G267" s="911">
        <v>30</v>
      </c>
      <c r="H267" s="911">
        <v>100</v>
      </c>
      <c r="I267" s="911">
        <v>100</v>
      </c>
      <c r="J267" s="911"/>
      <c r="K267" s="911">
        <v>200</v>
      </c>
      <c r="L267" s="911"/>
      <c r="M267" s="911"/>
      <c r="N267" s="911"/>
      <c r="O267" s="911"/>
      <c r="P267" s="911"/>
      <c r="Q267" s="911"/>
      <c r="R267" s="911"/>
      <c r="S267" s="911"/>
      <c r="T267" s="911"/>
      <c r="U267" s="13">
        <v>420</v>
      </c>
      <c r="V267" s="911">
        <v>435</v>
      </c>
      <c r="W267" s="15">
        <f t="shared" si="10"/>
        <v>182700</v>
      </c>
    </row>
    <row r="268" spans="1:25" s="891" customFormat="1" ht="60" x14ac:dyDescent="0.2">
      <c r="A268" s="44">
        <v>208</v>
      </c>
      <c r="B268" s="888" t="s">
        <v>472</v>
      </c>
      <c r="C268" s="919">
        <v>100</v>
      </c>
      <c r="D268" s="90">
        <v>49390</v>
      </c>
      <c r="E268" s="920"/>
      <c r="F268" s="920"/>
      <c r="G268" s="920"/>
      <c r="H268" s="920"/>
      <c r="I268" s="920"/>
      <c r="J268" s="920"/>
      <c r="K268" s="920"/>
      <c r="L268" s="920"/>
      <c r="M268" s="920"/>
      <c r="N268" s="920"/>
      <c r="O268" s="920"/>
      <c r="P268" s="890"/>
      <c r="Q268" s="920"/>
      <c r="R268" s="920"/>
      <c r="S268" s="920"/>
      <c r="T268" s="920"/>
      <c r="U268" s="13">
        <v>49390</v>
      </c>
      <c r="V268" s="921">
        <v>69347.899999999994</v>
      </c>
      <c r="W268" s="15">
        <f t="shared" si="10"/>
        <v>34250927.809999995</v>
      </c>
      <c r="Y268" s="891" t="e">
        <f>#REF!+#REF!</f>
        <v>#REF!</v>
      </c>
    </row>
    <row r="269" spans="1:25" s="891" customFormat="1" ht="45" x14ac:dyDescent="0.2">
      <c r="A269" s="44">
        <v>209</v>
      </c>
      <c r="B269" s="888" t="s">
        <v>270</v>
      </c>
      <c r="C269" s="922">
        <v>1000</v>
      </c>
      <c r="D269" s="90">
        <v>2062.9820000000004</v>
      </c>
      <c r="E269" s="923"/>
      <c r="F269" s="923"/>
      <c r="G269" s="923"/>
      <c r="H269" s="923"/>
      <c r="I269" s="923"/>
      <c r="J269" s="923"/>
      <c r="K269" s="923"/>
      <c r="L269" s="923"/>
      <c r="M269" s="923"/>
      <c r="N269" s="923"/>
      <c r="O269" s="923"/>
      <c r="P269" s="890"/>
      <c r="Q269" s="923"/>
      <c r="R269" s="923"/>
      <c r="S269" s="923"/>
      <c r="T269" s="923"/>
      <c r="U269" s="13">
        <v>2062.9820000000004</v>
      </c>
      <c r="V269" s="921">
        <v>15824.15</v>
      </c>
      <c r="W269" s="15">
        <f t="shared" si="10"/>
        <v>32644.936615300008</v>
      </c>
      <c r="Y269" s="891" t="e">
        <f>Y268-240554556</f>
        <v>#REF!</v>
      </c>
    </row>
    <row r="270" spans="1:25" s="891" customFormat="1" ht="90" x14ac:dyDescent="0.2">
      <c r="A270" s="44">
        <v>210</v>
      </c>
      <c r="B270" s="888" t="s">
        <v>275</v>
      </c>
      <c r="C270" s="889">
        <v>1</v>
      </c>
      <c r="D270" s="90">
        <v>6650</v>
      </c>
      <c r="E270" s="924"/>
      <c r="F270" s="924"/>
      <c r="G270" s="924"/>
      <c r="H270" s="924"/>
      <c r="I270" s="924"/>
      <c r="J270" s="924"/>
      <c r="K270" s="924"/>
      <c r="L270" s="924"/>
      <c r="M270" s="924"/>
      <c r="N270" s="924"/>
      <c r="O270" s="924"/>
      <c r="P270" s="890"/>
      <c r="Q270" s="924"/>
      <c r="R270" s="924"/>
      <c r="S270" s="924"/>
      <c r="T270" s="924"/>
      <c r="U270" s="13">
        <v>6650</v>
      </c>
      <c r="V270" s="921">
        <v>1985.95</v>
      </c>
      <c r="W270" s="15">
        <f t="shared" ref="W270:W303" si="12">V270*U270/C270</f>
        <v>13206567.5</v>
      </c>
    </row>
    <row r="271" spans="1:25" s="891" customFormat="1" ht="45" x14ac:dyDescent="0.2">
      <c r="A271" s="44">
        <v>211</v>
      </c>
      <c r="B271" s="888" t="s">
        <v>276</v>
      </c>
      <c r="C271" s="919">
        <v>1</v>
      </c>
      <c r="D271" s="90">
        <v>14250</v>
      </c>
      <c r="E271" s="920"/>
      <c r="F271" s="920"/>
      <c r="G271" s="920"/>
      <c r="H271" s="920"/>
      <c r="I271" s="920"/>
      <c r="J271" s="920"/>
      <c r="K271" s="920"/>
      <c r="L271" s="920"/>
      <c r="M271" s="920"/>
      <c r="N271" s="920"/>
      <c r="O271" s="920"/>
      <c r="P271" s="890"/>
      <c r="Q271" s="920"/>
      <c r="R271" s="920"/>
      <c r="S271" s="920"/>
      <c r="T271" s="920"/>
      <c r="U271" s="13">
        <v>14250</v>
      </c>
      <c r="V271" s="921">
        <v>234.95</v>
      </c>
      <c r="W271" s="15">
        <f t="shared" si="12"/>
        <v>3348037.5</v>
      </c>
    </row>
    <row r="272" spans="1:25" s="891" customFormat="1" ht="45" x14ac:dyDescent="0.2">
      <c r="A272" s="44">
        <v>212</v>
      </c>
      <c r="B272" s="888" t="s">
        <v>277</v>
      </c>
      <c r="C272" s="919">
        <v>1</v>
      </c>
      <c r="D272" s="90">
        <v>28500</v>
      </c>
      <c r="E272" s="920"/>
      <c r="F272" s="920"/>
      <c r="G272" s="920"/>
      <c r="H272" s="920"/>
      <c r="I272" s="920"/>
      <c r="J272" s="920"/>
      <c r="K272" s="920"/>
      <c r="L272" s="920"/>
      <c r="M272" s="920"/>
      <c r="N272" s="920"/>
      <c r="O272" s="920"/>
      <c r="P272" s="890"/>
      <c r="Q272" s="920"/>
      <c r="R272" s="920"/>
      <c r="S272" s="920"/>
      <c r="T272" s="920"/>
      <c r="U272" s="13">
        <v>28500</v>
      </c>
      <c r="V272" s="921">
        <v>56.3</v>
      </c>
      <c r="W272" s="15">
        <f t="shared" si="12"/>
        <v>1604550</v>
      </c>
      <c r="X272" s="913">
        <f>SUM(W268:W272)</f>
        <v>52442727.746615298</v>
      </c>
    </row>
    <row r="273" spans="1:23" s="891" customFormat="1" ht="195.75" x14ac:dyDescent="0.2">
      <c r="A273" s="44">
        <v>213</v>
      </c>
      <c r="B273" s="925" t="s">
        <v>473</v>
      </c>
      <c r="C273" s="37">
        <v>1</v>
      </c>
      <c r="D273" s="55">
        <v>37</v>
      </c>
      <c r="E273" s="55"/>
      <c r="F273" s="55"/>
      <c r="G273" s="55"/>
      <c r="H273" s="55"/>
      <c r="I273" s="55"/>
      <c r="J273" s="55"/>
      <c r="K273" s="55"/>
      <c r="L273" s="55"/>
      <c r="M273" s="55"/>
      <c r="N273" s="55"/>
      <c r="O273" s="55"/>
      <c r="P273" s="55"/>
      <c r="Q273" s="55"/>
      <c r="R273" s="55"/>
      <c r="S273" s="55"/>
      <c r="T273" s="55"/>
      <c r="U273" s="13">
        <v>37</v>
      </c>
      <c r="V273" s="56">
        <v>4350150</v>
      </c>
      <c r="W273" s="15">
        <f>V273*U273/C273</f>
        <v>160955550</v>
      </c>
    </row>
    <row r="274" spans="1:23" s="891" customFormat="1" ht="240.75" x14ac:dyDescent="0.2">
      <c r="A274" s="44">
        <v>214</v>
      </c>
      <c r="B274" s="888" t="s">
        <v>474</v>
      </c>
      <c r="C274" s="37">
        <v>1</v>
      </c>
      <c r="D274" s="49">
        <v>8</v>
      </c>
      <c r="E274" s="55"/>
      <c r="F274" s="55"/>
      <c r="G274" s="55"/>
      <c r="H274" s="55"/>
      <c r="I274" s="55"/>
      <c r="J274" s="55"/>
      <c r="K274" s="55"/>
      <c r="L274" s="55"/>
      <c r="M274" s="55"/>
      <c r="N274" s="55"/>
      <c r="O274" s="55"/>
      <c r="P274" s="55"/>
      <c r="Q274" s="55"/>
      <c r="R274" s="55"/>
      <c r="S274" s="55"/>
      <c r="T274" s="55"/>
      <c r="U274" s="13">
        <v>8</v>
      </c>
      <c r="V274" s="911">
        <v>3886124</v>
      </c>
      <c r="W274" s="15">
        <f t="shared" si="12"/>
        <v>31088992</v>
      </c>
    </row>
    <row r="275" spans="1:23" s="891" customFormat="1" ht="255" x14ac:dyDescent="0.2">
      <c r="A275" s="44">
        <v>215</v>
      </c>
      <c r="B275" s="888" t="s">
        <v>338</v>
      </c>
      <c r="C275" s="111">
        <v>1</v>
      </c>
      <c r="D275" s="25">
        <v>6</v>
      </c>
      <c r="E275" s="14"/>
      <c r="F275" s="14"/>
      <c r="G275" s="14"/>
      <c r="H275" s="14"/>
      <c r="I275" s="14"/>
      <c r="J275" s="14"/>
      <c r="K275" s="14"/>
      <c r="L275" s="14"/>
      <c r="M275" s="14"/>
      <c r="N275" s="14"/>
      <c r="O275" s="14"/>
      <c r="P275" s="14"/>
      <c r="Q275" s="14"/>
      <c r="R275" s="14"/>
      <c r="S275" s="14"/>
      <c r="T275" s="14"/>
      <c r="U275" s="13">
        <v>6</v>
      </c>
      <c r="V275" s="926">
        <v>4140119</v>
      </c>
      <c r="W275" s="15">
        <f t="shared" si="12"/>
        <v>24840714</v>
      </c>
    </row>
    <row r="276" spans="1:23" s="891" customFormat="1" ht="256.5" x14ac:dyDescent="0.2">
      <c r="A276" s="44">
        <v>216</v>
      </c>
      <c r="B276" s="888" t="s">
        <v>475</v>
      </c>
      <c r="C276" s="37">
        <v>1</v>
      </c>
      <c r="D276" s="49">
        <v>1</v>
      </c>
      <c r="E276" s="55"/>
      <c r="F276" s="55"/>
      <c r="G276" s="55"/>
      <c r="H276" s="55"/>
      <c r="I276" s="55"/>
      <c r="J276" s="55"/>
      <c r="K276" s="55"/>
      <c r="L276" s="55"/>
      <c r="M276" s="55"/>
      <c r="N276" s="55"/>
      <c r="O276" s="55"/>
      <c r="P276" s="55"/>
      <c r="Q276" s="55"/>
      <c r="R276" s="55"/>
      <c r="S276" s="55"/>
      <c r="T276" s="55"/>
      <c r="U276" s="13">
        <v>1</v>
      </c>
      <c r="V276" s="59">
        <v>8178639</v>
      </c>
      <c r="W276" s="15">
        <f t="shared" si="12"/>
        <v>8178639</v>
      </c>
    </row>
    <row r="277" spans="1:23" s="891" customFormat="1" ht="280.14999999999998" customHeight="1" x14ac:dyDescent="0.2">
      <c r="A277" s="44">
        <v>217</v>
      </c>
      <c r="B277" s="876" t="s">
        <v>476</v>
      </c>
      <c r="C277" s="37">
        <v>1</v>
      </c>
      <c r="D277" s="55">
        <v>8</v>
      </c>
      <c r="E277" s="55"/>
      <c r="F277" s="55"/>
      <c r="G277" s="55"/>
      <c r="H277" s="55"/>
      <c r="I277" s="55"/>
      <c r="J277" s="55"/>
      <c r="K277" s="55"/>
      <c r="L277" s="55"/>
      <c r="M277" s="55"/>
      <c r="N277" s="55"/>
      <c r="O277" s="55"/>
      <c r="P277" s="55"/>
      <c r="Q277" s="55"/>
      <c r="R277" s="55"/>
      <c r="S277" s="55"/>
      <c r="T277" s="55"/>
      <c r="U277" s="13">
        <v>8</v>
      </c>
      <c r="V277" s="59">
        <v>13004544</v>
      </c>
      <c r="W277" s="15">
        <f t="shared" si="12"/>
        <v>104036352</v>
      </c>
    </row>
    <row r="278" spans="1:23" s="891" customFormat="1" ht="45" x14ac:dyDescent="0.2">
      <c r="A278" s="44">
        <v>218</v>
      </c>
      <c r="B278" s="888" t="s">
        <v>299</v>
      </c>
      <c r="C278" s="37">
        <v>1</v>
      </c>
      <c r="D278" s="49">
        <v>3</v>
      </c>
      <c r="E278" s="55"/>
      <c r="F278" s="55"/>
      <c r="G278" s="55"/>
      <c r="H278" s="55"/>
      <c r="I278" s="55"/>
      <c r="J278" s="55"/>
      <c r="K278" s="55"/>
      <c r="L278" s="55"/>
      <c r="M278" s="55"/>
      <c r="N278" s="55"/>
      <c r="O278" s="55"/>
      <c r="P278" s="55"/>
      <c r="Q278" s="55"/>
      <c r="R278" s="55"/>
      <c r="S278" s="55"/>
      <c r="T278" s="55"/>
      <c r="U278" s="13">
        <v>4</v>
      </c>
      <c r="V278" s="59">
        <v>1472223</v>
      </c>
      <c r="W278" s="15">
        <f t="shared" si="12"/>
        <v>5888892</v>
      </c>
    </row>
    <row r="279" spans="1:23" s="891" customFormat="1" ht="45" x14ac:dyDescent="0.2">
      <c r="A279" s="44">
        <v>219</v>
      </c>
      <c r="B279" s="888" t="s">
        <v>297</v>
      </c>
      <c r="C279" s="37">
        <v>1</v>
      </c>
      <c r="D279" s="49">
        <v>1</v>
      </c>
      <c r="E279" s="55"/>
      <c r="F279" s="55"/>
      <c r="G279" s="55"/>
      <c r="H279" s="55"/>
      <c r="I279" s="55"/>
      <c r="J279" s="55"/>
      <c r="K279" s="55"/>
      <c r="L279" s="55"/>
      <c r="M279" s="55"/>
      <c r="N279" s="55"/>
      <c r="O279" s="55"/>
      <c r="P279" s="55"/>
      <c r="Q279" s="55"/>
      <c r="R279" s="55"/>
      <c r="S279" s="55"/>
      <c r="T279" s="55"/>
      <c r="U279" s="13">
        <v>1</v>
      </c>
      <c r="V279" s="59">
        <v>1315342</v>
      </c>
      <c r="W279" s="15">
        <f t="shared" si="12"/>
        <v>1315342</v>
      </c>
    </row>
    <row r="280" spans="1:23" s="891" customFormat="1" ht="30" x14ac:dyDescent="0.2">
      <c r="A280" s="44">
        <v>220</v>
      </c>
      <c r="B280" s="888" t="s">
        <v>390</v>
      </c>
      <c r="C280" s="49" t="s">
        <v>278</v>
      </c>
      <c r="D280" s="49">
        <v>8140</v>
      </c>
      <c r="E280" s="49"/>
      <c r="F280" s="49"/>
      <c r="G280" s="49"/>
      <c r="H280" s="49"/>
      <c r="I280" s="49"/>
      <c r="J280" s="49"/>
      <c r="K280" s="49"/>
      <c r="L280" s="49"/>
      <c r="M280" s="49"/>
      <c r="N280" s="49"/>
      <c r="O280" s="49"/>
      <c r="P280" s="49"/>
      <c r="Q280" s="49"/>
      <c r="R280" s="49"/>
      <c r="S280" s="49"/>
      <c r="T280" s="49"/>
      <c r="U280" s="13">
        <v>8140</v>
      </c>
      <c r="V280" s="49">
        <v>864.05</v>
      </c>
      <c r="W280" s="15">
        <f>V280*U280</f>
        <v>7033367</v>
      </c>
    </row>
    <row r="281" spans="1:23" s="891" customFormat="1" ht="30" x14ac:dyDescent="0.2">
      <c r="A281" s="44">
        <v>221</v>
      </c>
      <c r="B281" s="888" t="s">
        <v>279</v>
      </c>
      <c r="C281" s="37">
        <v>1</v>
      </c>
      <c r="D281" s="49">
        <v>1628</v>
      </c>
      <c r="E281" s="49"/>
      <c r="F281" s="49"/>
      <c r="G281" s="49"/>
      <c r="H281" s="49"/>
      <c r="I281" s="49"/>
      <c r="J281" s="49"/>
      <c r="K281" s="49"/>
      <c r="L281" s="49"/>
      <c r="M281" s="49"/>
      <c r="N281" s="49"/>
      <c r="O281" s="49"/>
      <c r="P281" s="49"/>
      <c r="Q281" s="49"/>
      <c r="R281" s="49"/>
      <c r="S281" s="49"/>
      <c r="T281" s="49"/>
      <c r="U281" s="13">
        <v>1628</v>
      </c>
      <c r="V281" s="49">
        <v>80</v>
      </c>
      <c r="W281" s="15">
        <f t="shared" si="12"/>
        <v>130240</v>
      </c>
    </row>
    <row r="282" spans="1:23" s="891" customFormat="1" x14ac:dyDescent="0.2">
      <c r="A282" s="44">
        <v>222</v>
      </c>
      <c r="B282" s="888" t="s">
        <v>280</v>
      </c>
      <c r="C282" s="927" t="s">
        <v>281</v>
      </c>
      <c r="D282" s="49">
        <v>37</v>
      </c>
      <c r="E282" s="49"/>
      <c r="F282" s="49"/>
      <c r="G282" s="49"/>
      <c r="H282" s="49"/>
      <c r="I282" s="49"/>
      <c r="J282" s="49"/>
      <c r="K282" s="49"/>
      <c r="L282" s="49"/>
      <c r="M282" s="49"/>
      <c r="N282" s="49"/>
      <c r="O282" s="49"/>
      <c r="P282" s="49"/>
      <c r="Q282" s="49"/>
      <c r="R282" s="49"/>
      <c r="S282" s="49"/>
      <c r="T282" s="49"/>
      <c r="U282" s="13">
        <v>37</v>
      </c>
      <c r="V282" s="49">
        <v>232.8</v>
      </c>
      <c r="W282" s="15">
        <f>V282*U282</f>
        <v>8613.6</v>
      </c>
    </row>
    <row r="283" spans="1:23" s="891" customFormat="1" ht="45" x14ac:dyDescent="0.2">
      <c r="A283" s="44">
        <v>223</v>
      </c>
      <c r="B283" s="888" t="s">
        <v>282</v>
      </c>
      <c r="C283" s="49" t="s">
        <v>278</v>
      </c>
      <c r="D283" s="49">
        <v>2590</v>
      </c>
      <c r="E283" s="49"/>
      <c r="F283" s="49"/>
      <c r="G283" s="49"/>
      <c r="H283" s="49"/>
      <c r="I283" s="49"/>
      <c r="J283" s="49"/>
      <c r="K283" s="49"/>
      <c r="L283" s="49"/>
      <c r="M283" s="49"/>
      <c r="N283" s="49"/>
      <c r="O283" s="49"/>
      <c r="P283" s="49"/>
      <c r="Q283" s="49"/>
      <c r="R283" s="49"/>
      <c r="S283" s="49"/>
      <c r="T283" s="49"/>
      <c r="U283" s="13">
        <v>2590</v>
      </c>
      <c r="V283" s="49">
        <v>5371</v>
      </c>
      <c r="W283" s="15">
        <f>V283*U283</f>
        <v>13910890</v>
      </c>
    </row>
    <row r="284" spans="1:23" s="891" customFormat="1" ht="30" x14ac:dyDescent="0.2">
      <c r="A284" s="44">
        <v>224</v>
      </c>
      <c r="B284" s="888" t="s">
        <v>283</v>
      </c>
      <c r="C284" s="37">
        <v>1</v>
      </c>
      <c r="D284" s="49">
        <v>74</v>
      </c>
      <c r="E284" s="49"/>
      <c r="F284" s="49"/>
      <c r="G284" s="49"/>
      <c r="H284" s="49"/>
      <c r="I284" s="49"/>
      <c r="J284" s="49"/>
      <c r="K284" s="49"/>
      <c r="L284" s="49"/>
      <c r="M284" s="49"/>
      <c r="N284" s="49"/>
      <c r="O284" s="49"/>
      <c r="P284" s="49"/>
      <c r="Q284" s="49"/>
      <c r="R284" s="49"/>
      <c r="S284" s="49"/>
      <c r="T284" s="49"/>
      <c r="U284" s="13">
        <v>74</v>
      </c>
      <c r="V284" s="49">
        <v>35582</v>
      </c>
      <c r="W284" s="15">
        <f t="shared" si="12"/>
        <v>2633068</v>
      </c>
    </row>
    <row r="285" spans="1:23" s="891" customFormat="1" ht="60" x14ac:dyDescent="0.2">
      <c r="A285" s="44">
        <v>225</v>
      </c>
      <c r="B285" s="888" t="s">
        <v>284</v>
      </c>
      <c r="C285" s="49" t="s">
        <v>278</v>
      </c>
      <c r="D285" s="49">
        <v>4440</v>
      </c>
      <c r="E285" s="49"/>
      <c r="F285" s="49"/>
      <c r="G285" s="49"/>
      <c r="H285" s="49"/>
      <c r="I285" s="49"/>
      <c r="J285" s="49"/>
      <c r="K285" s="49"/>
      <c r="L285" s="49"/>
      <c r="M285" s="49"/>
      <c r="N285" s="49"/>
      <c r="O285" s="49"/>
      <c r="P285" s="49"/>
      <c r="Q285" s="49"/>
      <c r="R285" s="49"/>
      <c r="S285" s="49"/>
      <c r="T285" s="49"/>
      <c r="U285" s="13">
        <v>4440</v>
      </c>
      <c r="V285" s="49">
        <v>3866.45</v>
      </c>
      <c r="W285" s="15">
        <f>V285*U285</f>
        <v>17167038</v>
      </c>
    </row>
    <row r="286" spans="1:23" s="891" customFormat="1" ht="45" x14ac:dyDescent="0.2">
      <c r="A286" s="44">
        <v>226</v>
      </c>
      <c r="B286" s="888" t="s">
        <v>285</v>
      </c>
      <c r="C286" s="49" t="s">
        <v>278</v>
      </c>
      <c r="D286" s="49">
        <v>740</v>
      </c>
      <c r="E286" s="49"/>
      <c r="F286" s="49"/>
      <c r="G286" s="49"/>
      <c r="H286" s="49"/>
      <c r="I286" s="49"/>
      <c r="J286" s="49"/>
      <c r="K286" s="49"/>
      <c r="L286" s="49"/>
      <c r="M286" s="49"/>
      <c r="N286" s="49"/>
      <c r="O286" s="49"/>
      <c r="P286" s="49"/>
      <c r="Q286" s="49"/>
      <c r="R286" s="49"/>
      <c r="S286" s="49"/>
      <c r="T286" s="49"/>
      <c r="U286" s="13">
        <v>740</v>
      </c>
      <c r="V286" s="49">
        <v>3583</v>
      </c>
      <c r="W286" s="15">
        <f>V286*U286</f>
        <v>2651420</v>
      </c>
    </row>
    <row r="287" spans="1:23" s="891" customFormat="1" ht="60" x14ac:dyDescent="0.2">
      <c r="A287" s="44">
        <v>227</v>
      </c>
      <c r="B287" s="888" t="s">
        <v>286</v>
      </c>
      <c r="C287" s="49" t="s">
        <v>278</v>
      </c>
      <c r="D287" s="49">
        <v>370</v>
      </c>
      <c r="E287" s="49"/>
      <c r="F287" s="49"/>
      <c r="G287" s="49"/>
      <c r="H287" s="49"/>
      <c r="I287" s="49"/>
      <c r="J287" s="49"/>
      <c r="K287" s="49"/>
      <c r="L287" s="49"/>
      <c r="M287" s="49"/>
      <c r="N287" s="49"/>
      <c r="O287" s="49"/>
      <c r="P287" s="49"/>
      <c r="Q287" s="49"/>
      <c r="R287" s="49"/>
      <c r="S287" s="49"/>
      <c r="T287" s="49"/>
      <c r="U287" s="13">
        <v>370</v>
      </c>
      <c r="V287" s="49">
        <v>3735.5</v>
      </c>
      <c r="W287" s="15">
        <f>V287*U287</f>
        <v>1382135</v>
      </c>
    </row>
    <row r="288" spans="1:23" s="891" customFormat="1" ht="30" x14ac:dyDescent="0.2">
      <c r="A288" s="44">
        <v>228</v>
      </c>
      <c r="B288" s="888" t="s">
        <v>287</v>
      </c>
      <c r="C288" s="37">
        <v>1</v>
      </c>
      <c r="D288" s="49">
        <v>148</v>
      </c>
      <c r="E288" s="49"/>
      <c r="F288" s="49"/>
      <c r="G288" s="49"/>
      <c r="H288" s="49"/>
      <c r="I288" s="49"/>
      <c r="J288" s="49"/>
      <c r="K288" s="49"/>
      <c r="L288" s="49"/>
      <c r="M288" s="49"/>
      <c r="N288" s="49"/>
      <c r="O288" s="49"/>
      <c r="P288" s="49"/>
      <c r="Q288" s="49"/>
      <c r="R288" s="49"/>
      <c r="S288" s="49"/>
      <c r="T288" s="49"/>
      <c r="U288" s="13">
        <v>148</v>
      </c>
      <c r="V288" s="49">
        <v>1148</v>
      </c>
      <c r="W288" s="15">
        <f t="shared" si="12"/>
        <v>169904</v>
      </c>
    </row>
    <row r="289" spans="1:24" s="891" customFormat="1" x14ac:dyDescent="0.2">
      <c r="A289" s="44">
        <v>229</v>
      </c>
      <c r="B289" s="888" t="s">
        <v>288</v>
      </c>
      <c r="C289" s="49" t="s">
        <v>289</v>
      </c>
      <c r="D289" s="49">
        <v>6520.88</v>
      </c>
      <c r="E289" s="49"/>
      <c r="F289" s="49"/>
      <c r="G289" s="49"/>
      <c r="H289" s="49"/>
      <c r="I289" s="49"/>
      <c r="J289" s="49"/>
      <c r="K289" s="49"/>
      <c r="L289" s="49"/>
      <c r="M289" s="49"/>
      <c r="N289" s="49"/>
      <c r="O289" s="49"/>
      <c r="P289" s="49"/>
      <c r="Q289" s="49"/>
      <c r="R289" s="49"/>
      <c r="S289" s="49"/>
      <c r="T289" s="49"/>
      <c r="U289" s="13">
        <v>6520.88</v>
      </c>
      <c r="V289" s="49">
        <v>186.65</v>
      </c>
      <c r="W289" s="15">
        <f>V289*U289</f>
        <v>1217122.2520000001</v>
      </c>
    </row>
    <row r="290" spans="1:24" s="891" customFormat="1" ht="30" x14ac:dyDescent="0.2">
      <c r="A290" s="44">
        <v>230</v>
      </c>
      <c r="B290" s="888" t="s">
        <v>387</v>
      </c>
      <c r="C290" s="49" t="s">
        <v>290</v>
      </c>
      <c r="D290" s="49">
        <v>2664</v>
      </c>
      <c r="E290" s="49"/>
      <c r="F290" s="49"/>
      <c r="G290" s="49"/>
      <c r="H290" s="49"/>
      <c r="I290" s="49"/>
      <c r="J290" s="49"/>
      <c r="K290" s="49"/>
      <c r="L290" s="49"/>
      <c r="M290" s="49"/>
      <c r="N290" s="49"/>
      <c r="O290" s="49"/>
      <c r="P290" s="49"/>
      <c r="Q290" s="49"/>
      <c r="R290" s="49"/>
      <c r="S290" s="49"/>
      <c r="T290" s="49"/>
      <c r="U290" s="13">
        <v>2664</v>
      </c>
      <c r="V290" s="49">
        <v>3253.1</v>
      </c>
      <c r="W290" s="15">
        <f>V290*U290</f>
        <v>8666258.4000000004</v>
      </c>
    </row>
    <row r="291" spans="1:24" s="891" customFormat="1" ht="30" x14ac:dyDescent="0.2">
      <c r="A291" s="44">
        <v>231</v>
      </c>
      <c r="B291" s="888" t="s">
        <v>291</v>
      </c>
      <c r="C291" s="49" t="s">
        <v>278</v>
      </c>
      <c r="D291" s="49">
        <v>1850</v>
      </c>
      <c r="E291" s="49"/>
      <c r="F291" s="49"/>
      <c r="G291" s="49"/>
      <c r="H291" s="49"/>
      <c r="I291" s="49"/>
      <c r="J291" s="49"/>
      <c r="K291" s="49"/>
      <c r="L291" s="49"/>
      <c r="M291" s="49"/>
      <c r="N291" s="49"/>
      <c r="O291" s="49"/>
      <c r="P291" s="49"/>
      <c r="Q291" s="49"/>
      <c r="R291" s="49"/>
      <c r="S291" s="49"/>
      <c r="T291" s="49"/>
      <c r="U291" s="13">
        <v>1850</v>
      </c>
      <c r="V291" s="49">
        <v>924.05</v>
      </c>
      <c r="W291" s="15">
        <f>V291*U291</f>
        <v>1709492.5</v>
      </c>
    </row>
    <row r="292" spans="1:24" s="891" customFormat="1" ht="45" x14ac:dyDescent="0.2">
      <c r="A292" s="44">
        <v>232</v>
      </c>
      <c r="B292" s="888" t="s">
        <v>292</v>
      </c>
      <c r="C292" s="922">
        <v>1000</v>
      </c>
      <c r="D292" s="49">
        <v>118400</v>
      </c>
      <c r="E292" s="49"/>
      <c r="F292" s="49"/>
      <c r="G292" s="49"/>
      <c r="H292" s="49"/>
      <c r="I292" s="49"/>
      <c r="J292" s="49"/>
      <c r="K292" s="49"/>
      <c r="L292" s="49"/>
      <c r="M292" s="49"/>
      <c r="N292" s="49"/>
      <c r="O292" s="49"/>
      <c r="P292" s="49"/>
      <c r="Q292" s="49"/>
      <c r="R292" s="49"/>
      <c r="S292" s="49"/>
      <c r="T292" s="49"/>
      <c r="U292" s="13">
        <v>118400</v>
      </c>
      <c r="V292" s="49">
        <v>11293.9</v>
      </c>
      <c r="W292" s="15">
        <f t="shared" si="12"/>
        <v>1337197.76</v>
      </c>
    </row>
    <row r="293" spans="1:24" s="891" customFormat="1" ht="60" x14ac:dyDescent="0.2">
      <c r="A293" s="44">
        <v>233</v>
      </c>
      <c r="B293" s="888" t="s">
        <v>294</v>
      </c>
      <c r="C293" s="49" t="s">
        <v>295</v>
      </c>
      <c r="D293" s="49">
        <v>14800</v>
      </c>
      <c r="E293" s="49"/>
      <c r="F293" s="49"/>
      <c r="G293" s="49"/>
      <c r="H293" s="49"/>
      <c r="I293" s="49"/>
      <c r="J293" s="49"/>
      <c r="K293" s="49"/>
      <c r="L293" s="49"/>
      <c r="M293" s="49"/>
      <c r="N293" s="49"/>
      <c r="O293" s="49"/>
      <c r="P293" s="49"/>
      <c r="Q293" s="49"/>
      <c r="R293" s="49"/>
      <c r="S293" s="49"/>
      <c r="T293" s="49"/>
      <c r="U293" s="13">
        <v>14800</v>
      </c>
      <c r="V293" s="49">
        <v>3565</v>
      </c>
      <c r="W293" s="15">
        <f>V293*U293</f>
        <v>52762000</v>
      </c>
    </row>
    <row r="294" spans="1:24" s="891" customFormat="1" ht="60" x14ac:dyDescent="0.2">
      <c r="A294" s="44">
        <v>234</v>
      </c>
      <c r="B294" s="888" t="s">
        <v>296</v>
      </c>
      <c r="C294" s="49" t="s">
        <v>295</v>
      </c>
      <c r="D294" s="49">
        <v>555</v>
      </c>
      <c r="E294" s="49"/>
      <c r="F294" s="49"/>
      <c r="G294" s="49"/>
      <c r="H294" s="49"/>
      <c r="I294" s="49"/>
      <c r="J294" s="49"/>
      <c r="K294" s="49"/>
      <c r="L294" s="49"/>
      <c r="M294" s="49"/>
      <c r="N294" s="49"/>
      <c r="O294" s="49"/>
      <c r="P294" s="49"/>
      <c r="Q294" s="49"/>
      <c r="R294" s="49"/>
      <c r="S294" s="49"/>
      <c r="T294" s="49"/>
      <c r="U294" s="13">
        <v>555</v>
      </c>
      <c r="V294" s="49">
        <v>500.3</v>
      </c>
      <c r="W294" s="15">
        <f>V294*U294</f>
        <v>277666.5</v>
      </c>
      <c r="X294" s="913">
        <f>SUM(W280:W294)</f>
        <v>111056413.01199999</v>
      </c>
    </row>
    <row r="295" spans="1:24" s="891" customFormat="1" ht="195" x14ac:dyDescent="0.2">
      <c r="A295" s="44">
        <v>235</v>
      </c>
      <c r="B295" s="888" t="s">
        <v>300</v>
      </c>
      <c r="C295" s="37">
        <v>1</v>
      </c>
      <c r="D295" s="49">
        <v>87</v>
      </c>
      <c r="E295" s="911"/>
      <c r="F295" s="911"/>
      <c r="G295" s="911"/>
      <c r="H295" s="911"/>
      <c r="I295" s="911"/>
      <c r="J295" s="911"/>
      <c r="K295" s="911"/>
      <c r="L295" s="911"/>
      <c r="M295" s="911"/>
      <c r="N295" s="911"/>
      <c r="O295" s="911"/>
      <c r="P295" s="911"/>
      <c r="Q295" s="911"/>
      <c r="R295" s="911"/>
      <c r="S295" s="911"/>
      <c r="T295" s="911"/>
      <c r="U295" s="13">
        <v>87</v>
      </c>
      <c r="V295" s="911">
        <v>1950150</v>
      </c>
      <c r="W295" s="15">
        <f t="shared" si="12"/>
        <v>169663050</v>
      </c>
    </row>
    <row r="296" spans="1:24" s="891" customFormat="1" x14ac:dyDescent="0.2">
      <c r="A296" s="44">
        <v>236</v>
      </c>
      <c r="B296" s="876" t="s">
        <v>339</v>
      </c>
      <c r="C296" s="37">
        <v>1</v>
      </c>
      <c r="D296" s="49">
        <v>1</v>
      </c>
      <c r="E296" s="49"/>
      <c r="F296" s="49"/>
      <c r="G296" s="49"/>
      <c r="H296" s="49"/>
      <c r="I296" s="49"/>
      <c r="J296" s="49"/>
      <c r="K296" s="49"/>
      <c r="L296" s="49"/>
      <c r="M296" s="49"/>
      <c r="N296" s="49"/>
      <c r="O296" s="49"/>
      <c r="P296" s="49"/>
      <c r="Q296" s="49"/>
      <c r="R296" s="49"/>
      <c r="S296" s="49"/>
      <c r="T296" s="49"/>
      <c r="U296" s="13">
        <v>1</v>
      </c>
      <c r="V296" s="65">
        <v>1829000</v>
      </c>
      <c r="W296" s="15">
        <f t="shared" si="12"/>
        <v>1829000</v>
      </c>
    </row>
    <row r="297" spans="1:24" s="891" customFormat="1" ht="90" x14ac:dyDescent="0.2">
      <c r="A297" s="44">
        <v>237</v>
      </c>
      <c r="B297" s="876" t="s">
        <v>340</v>
      </c>
      <c r="C297" s="37">
        <v>1</v>
      </c>
      <c r="D297" s="49">
        <v>1</v>
      </c>
      <c r="E297" s="49"/>
      <c r="F297" s="49"/>
      <c r="G297" s="49"/>
      <c r="H297" s="49"/>
      <c r="I297" s="49"/>
      <c r="J297" s="49"/>
      <c r="K297" s="49"/>
      <c r="L297" s="49"/>
      <c r="M297" s="49"/>
      <c r="N297" s="49"/>
      <c r="O297" s="49"/>
      <c r="P297" s="49"/>
      <c r="Q297" s="49"/>
      <c r="R297" s="49"/>
      <c r="S297" s="49"/>
      <c r="T297" s="49"/>
      <c r="U297" s="13">
        <v>1</v>
      </c>
      <c r="V297" s="65">
        <v>4250000</v>
      </c>
      <c r="W297" s="15">
        <f t="shared" si="12"/>
        <v>4250000</v>
      </c>
    </row>
    <row r="298" spans="1:24" s="891" customFormat="1" ht="75" x14ac:dyDescent="0.2">
      <c r="A298" s="44">
        <v>238</v>
      </c>
      <c r="B298" s="876" t="s">
        <v>341</v>
      </c>
      <c r="C298" s="37">
        <v>1</v>
      </c>
      <c r="D298" s="49">
        <v>1</v>
      </c>
      <c r="E298" s="49"/>
      <c r="F298" s="49"/>
      <c r="G298" s="49"/>
      <c r="H298" s="49"/>
      <c r="I298" s="49"/>
      <c r="J298" s="49"/>
      <c r="K298" s="49"/>
      <c r="L298" s="49"/>
      <c r="M298" s="49"/>
      <c r="N298" s="49"/>
      <c r="O298" s="49"/>
      <c r="P298" s="49"/>
      <c r="Q298" s="49"/>
      <c r="R298" s="49"/>
      <c r="S298" s="49"/>
      <c r="T298" s="49"/>
      <c r="U298" s="13">
        <v>1</v>
      </c>
      <c r="V298" s="49">
        <v>1475000</v>
      </c>
      <c r="W298" s="15">
        <f>V298*U298/C298</f>
        <v>1475000</v>
      </c>
    </row>
    <row r="299" spans="1:24" s="891" customFormat="1" ht="45" x14ac:dyDescent="0.2">
      <c r="A299" s="44">
        <v>239</v>
      </c>
      <c r="B299" s="876" t="s">
        <v>342</v>
      </c>
      <c r="C299" s="37">
        <v>1</v>
      </c>
      <c r="D299" s="49">
        <v>4</v>
      </c>
      <c r="E299" s="49"/>
      <c r="F299" s="49"/>
      <c r="G299" s="49"/>
      <c r="H299" s="49"/>
      <c r="I299" s="49"/>
      <c r="J299" s="49"/>
      <c r="K299" s="49"/>
      <c r="L299" s="49"/>
      <c r="M299" s="49"/>
      <c r="N299" s="49"/>
      <c r="O299" s="49"/>
      <c r="P299" s="49"/>
      <c r="Q299" s="49"/>
      <c r="R299" s="49"/>
      <c r="S299" s="49"/>
      <c r="T299" s="49"/>
      <c r="U299" s="13">
        <v>4</v>
      </c>
      <c r="V299" s="49">
        <v>129800</v>
      </c>
      <c r="W299" s="15">
        <f t="shared" si="12"/>
        <v>519200</v>
      </c>
    </row>
    <row r="300" spans="1:24" s="891" customFormat="1" ht="90" x14ac:dyDescent="0.2">
      <c r="A300" s="44">
        <v>240</v>
      </c>
      <c r="B300" s="876" t="s">
        <v>343</v>
      </c>
      <c r="C300" s="37">
        <v>1</v>
      </c>
      <c r="D300" s="49">
        <v>2</v>
      </c>
      <c r="E300" s="49"/>
      <c r="F300" s="49"/>
      <c r="G300" s="49"/>
      <c r="H300" s="49"/>
      <c r="I300" s="49"/>
      <c r="J300" s="49"/>
      <c r="K300" s="49"/>
      <c r="L300" s="49"/>
      <c r="M300" s="49"/>
      <c r="N300" s="49"/>
      <c r="O300" s="49"/>
      <c r="P300" s="49"/>
      <c r="Q300" s="49"/>
      <c r="R300" s="49"/>
      <c r="S300" s="49"/>
      <c r="T300" s="49"/>
      <c r="U300" s="13">
        <v>2</v>
      </c>
      <c r="V300" s="49">
        <v>850000</v>
      </c>
      <c r="W300" s="15">
        <f t="shared" si="12"/>
        <v>1700000</v>
      </c>
    </row>
    <row r="301" spans="1:24" s="891" customFormat="1" ht="210.75" x14ac:dyDescent="0.2">
      <c r="A301" s="44">
        <v>241</v>
      </c>
      <c r="B301" s="888" t="s">
        <v>477</v>
      </c>
      <c r="C301" s="37">
        <v>1</v>
      </c>
      <c r="D301" s="61">
        <v>6</v>
      </c>
      <c r="E301" s="61"/>
      <c r="F301" s="61"/>
      <c r="G301" s="61"/>
      <c r="H301" s="61"/>
      <c r="I301" s="61"/>
      <c r="J301" s="61"/>
      <c r="K301" s="61"/>
      <c r="L301" s="61"/>
      <c r="M301" s="61"/>
      <c r="N301" s="61"/>
      <c r="O301" s="61"/>
      <c r="P301" s="61"/>
      <c r="Q301" s="61"/>
      <c r="R301" s="61"/>
      <c r="S301" s="61"/>
      <c r="T301" s="61"/>
      <c r="U301" s="13">
        <v>6</v>
      </c>
      <c r="V301" s="66">
        <v>5061387.5</v>
      </c>
      <c r="W301" s="15">
        <f t="shared" si="12"/>
        <v>30368325</v>
      </c>
    </row>
    <row r="302" spans="1:24" s="891" customFormat="1" ht="210" x14ac:dyDescent="0.2">
      <c r="A302" s="44">
        <v>242</v>
      </c>
      <c r="B302" s="888" t="s">
        <v>426</v>
      </c>
      <c r="C302" s="37">
        <v>1</v>
      </c>
      <c r="D302" s="61">
        <v>7</v>
      </c>
      <c r="E302" s="61"/>
      <c r="F302" s="61"/>
      <c r="G302" s="61"/>
      <c r="H302" s="61"/>
      <c r="I302" s="61"/>
      <c r="J302" s="61"/>
      <c r="K302" s="61"/>
      <c r="L302" s="61"/>
      <c r="M302" s="61"/>
      <c r="N302" s="61"/>
      <c r="O302" s="61"/>
      <c r="P302" s="61"/>
      <c r="Q302" s="61"/>
      <c r="R302" s="61"/>
      <c r="S302" s="61"/>
      <c r="T302" s="61"/>
      <c r="U302" s="13">
        <v>7</v>
      </c>
      <c r="V302" s="66">
        <v>4116450</v>
      </c>
      <c r="W302" s="15">
        <f t="shared" si="12"/>
        <v>28815150</v>
      </c>
    </row>
    <row r="303" spans="1:24" s="891" customFormat="1" ht="210" x14ac:dyDescent="0.2">
      <c r="A303" s="44">
        <v>243</v>
      </c>
      <c r="B303" s="888" t="s">
        <v>427</v>
      </c>
      <c r="C303" s="37">
        <v>1</v>
      </c>
      <c r="D303" s="61">
        <v>1</v>
      </c>
      <c r="E303" s="61"/>
      <c r="F303" s="61"/>
      <c r="G303" s="61"/>
      <c r="H303" s="61"/>
      <c r="I303" s="61"/>
      <c r="J303" s="61"/>
      <c r="K303" s="61"/>
      <c r="L303" s="61"/>
      <c r="M303" s="61"/>
      <c r="N303" s="61"/>
      <c r="O303" s="61"/>
      <c r="P303" s="61"/>
      <c r="Q303" s="61"/>
      <c r="R303" s="61"/>
      <c r="S303" s="61"/>
      <c r="T303" s="61"/>
      <c r="U303" s="13">
        <v>1</v>
      </c>
      <c r="V303" s="66">
        <v>8787425</v>
      </c>
      <c r="W303" s="15">
        <f t="shared" si="12"/>
        <v>8787425</v>
      </c>
    </row>
    <row r="304" spans="1:24" s="887" customFormat="1" x14ac:dyDescent="0.2">
      <c r="A304" s="44">
        <v>244</v>
      </c>
      <c r="B304" s="876" t="s">
        <v>429</v>
      </c>
      <c r="C304" s="22" t="s">
        <v>347</v>
      </c>
      <c r="D304" s="25"/>
      <c r="E304" s="30"/>
      <c r="F304" s="30"/>
      <c r="G304" s="30"/>
      <c r="H304" s="30"/>
      <c r="I304" s="30"/>
      <c r="J304" s="30"/>
      <c r="K304" s="30"/>
      <c r="L304" s="30"/>
      <c r="M304" s="30"/>
      <c r="N304" s="30"/>
      <c r="O304" s="30"/>
      <c r="P304" s="30"/>
      <c r="Q304" s="30"/>
      <c r="R304" s="30"/>
      <c r="S304" s="30"/>
      <c r="T304" s="30"/>
      <c r="U304" s="13">
        <v>0</v>
      </c>
      <c r="V304" s="30"/>
      <c r="W304" s="15">
        <v>1300000</v>
      </c>
    </row>
    <row r="305" spans="1:31" s="887" customFormat="1" x14ac:dyDescent="0.2">
      <c r="A305" s="44">
        <v>245</v>
      </c>
      <c r="B305" s="876" t="s">
        <v>428</v>
      </c>
      <c r="C305" s="22" t="s">
        <v>347</v>
      </c>
      <c r="D305" s="25"/>
      <c r="E305" s="30"/>
      <c r="F305" s="30"/>
      <c r="G305" s="30"/>
      <c r="H305" s="30"/>
      <c r="I305" s="30"/>
      <c r="J305" s="30"/>
      <c r="K305" s="30"/>
      <c r="L305" s="30"/>
      <c r="M305" s="30"/>
      <c r="N305" s="30"/>
      <c r="O305" s="30"/>
      <c r="P305" s="30"/>
      <c r="Q305" s="30"/>
      <c r="R305" s="30"/>
      <c r="S305" s="30"/>
      <c r="T305" s="30"/>
      <c r="U305" s="13">
        <v>0</v>
      </c>
      <c r="V305" s="30"/>
      <c r="W305" s="15">
        <v>700000</v>
      </c>
    </row>
    <row r="306" spans="1:31" s="887" customFormat="1" x14ac:dyDescent="0.2">
      <c r="A306" s="44">
        <v>246</v>
      </c>
      <c r="B306" s="876" t="s">
        <v>432</v>
      </c>
      <c r="C306" s="22" t="s">
        <v>347</v>
      </c>
      <c r="D306" s="25"/>
      <c r="E306" s="30"/>
      <c r="F306" s="30"/>
      <c r="G306" s="30"/>
      <c r="H306" s="30"/>
      <c r="I306" s="30"/>
      <c r="J306" s="30"/>
      <c r="K306" s="30"/>
      <c r="L306" s="30"/>
      <c r="M306" s="30"/>
      <c r="N306" s="30"/>
      <c r="O306" s="30"/>
      <c r="P306" s="30"/>
      <c r="Q306" s="30"/>
      <c r="R306" s="30"/>
      <c r="S306" s="30"/>
      <c r="T306" s="30"/>
      <c r="U306" s="13">
        <v>0</v>
      </c>
      <c r="V306" s="30"/>
      <c r="W306" s="15">
        <v>500000</v>
      </c>
    </row>
    <row r="307" spans="1:31" s="887" customFormat="1" x14ac:dyDescent="0.2">
      <c r="A307" s="44">
        <v>247</v>
      </c>
      <c r="B307" s="876" t="s">
        <v>430</v>
      </c>
      <c r="C307" s="22" t="s">
        <v>347</v>
      </c>
      <c r="D307" s="25"/>
      <c r="E307" s="30"/>
      <c r="F307" s="30"/>
      <c r="G307" s="30"/>
      <c r="H307" s="30"/>
      <c r="I307" s="30"/>
      <c r="J307" s="30"/>
      <c r="K307" s="30"/>
      <c r="L307" s="30"/>
      <c r="M307" s="30"/>
      <c r="N307" s="30"/>
      <c r="O307" s="30"/>
      <c r="P307" s="30"/>
      <c r="Q307" s="30"/>
      <c r="R307" s="30"/>
      <c r="S307" s="30"/>
      <c r="T307" s="30"/>
      <c r="U307" s="13">
        <v>0</v>
      </c>
      <c r="V307" s="30"/>
      <c r="W307" s="15">
        <v>500000</v>
      </c>
    </row>
    <row r="308" spans="1:31" s="887" customFormat="1" x14ac:dyDescent="0.2">
      <c r="A308" s="44">
        <v>248</v>
      </c>
      <c r="B308" s="876" t="s">
        <v>431</v>
      </c>
      <c r="C308" s="22" t="s">
        <v>347</v>
      </c>
      <c r="D308" s="25"/>
      <c r="E308" s="30"/>
      <c r="F308" s="30"/>
      <c r="G308" s="30"/>
      <c r="H308" s="30"/>
      <c r="I308" s="30"/>
      <c r="J308" s="30"/>
      <c r="K308" s="30"/>
      <c r="L308" s="30"/>
      <c r="M308" s="30"/>
      <c r="N308" s="30"/>
      <c r="O308" s="30"/>
      <c r="P308" s="30"/>
      <c r="Q308" s="30"/>
      <c r="R308" s="30"/>
      <c r="S308" s="30"/>
      <c r="T308" s="30"/>
      <c r="U308" s="13">
        <v>0</v>
      </c>
      <c r="V308" s="30"/>
      <c r="W308" s="15">
        <v>500000</v>
      </c>
    </row>
    <row r="309" spans="1:31" s="887" customFormat="1" x14ac:dyDescent="0.2">
      <c r="A309" s="44">
        <v>249</v>
      </c>
      <c r="B309" s="884" t="s">
        <v>433</v>
      </c>
      <c r="C309" s="22" t="s">
        <v>347</v>
      </c>
      <c r="D309" s="25"/>
      <c r="E309" s="30"/>
      <c r="F309" s="30"/>
      <c r="G309" s="30"/>
      <c r="H309" s="30"/>
      <c r="I309" s="30"/>
      <c r="J309" s="30"/>
      <c r="K309" s="30"/>
      <c r="L309" s="30"/>
      <c r="M309" s="30"/>
      <c r="N309" s="30"/>
      <c r="O309" s="30"/>
      <c r="P309" s="30"/>
      <c r="Q309" s="30"/>
      <c r="R309" s="30"/>
      <c r="S309" s="30"/>
      <c r="T309" s="30"/>
      <c r="U309" s="13">
        <v>0</v>
      </c>
      <c r="V309" s="30"/>
      <c r="W309" s="15">
        <v>250000</v>
      </c>
    </row>
    <row r="310" spans="1:31" s="887" customFormat="1" x14ac:dyDescent="0.2">
      <c r="A310" s="44">
        <v>250</v>
      </c>
      <c r="B310" s="884" t="s">
        <v>434</v>
      </c>
      <c r="C310" s="22" t="s">
        <v>347</v>
      </c>
      <c r="D310" s="25"/>
      <c r="E310" s="30"/>
      <c r="F310" s="30"/>
      <c r="G310" s="30"/>
      <c r="H310" s="30"/>
      <c r="I310" s="30"/>
      <c r="J310" s="30"/>
      <c r="K310" s="30"/>
      <c r="L310" s="30"/>
      <c r="M310" s="30"/>
      <c r="N310" s="30"/>
      <c r="O310" s="30"/>
      <c r="P310" s="30"/>
      <c r="Q310" s="30"/>
      <c r="R310" s="30"/>
      <c r="S310" s="30"/>
      <c r="T310" s="30"/>
      <c r="U310" s="13">
        <v>0</v>
      </c>
      <c r="V310" s="30"/>
      <c r="W310" s="15">
        <v>250000</v>
      </c>
    </row>
    <row r="311" spans="1:31" s="887" customFormat="1" x14ac:dyDescent="0.2">
      <c r="A311" s="44">
        <v>251</v>
      </c>
      <c r="B311" s="884" t="s">
        <v>354</v>
      </c>
      <c r="C311" s="22" t="s">
        <v>347</v>
      </c>
      <c r="D311" s="33">
        <v>5</v>
      </c>
      <c r="E311" s="40"/>
      <c r="F311" s="40"/>
      <c r="G311" s="40"/>
      <c r="H311" s="40"/>
      <c r="I311" s="40"/>
      <c r="J311" s="40"/>
      <c r="K311" s="40"/>
      <c r="L311" s="40"/>
      <c r="M311" s="40"/>
      <c r="N311" s="40"/>
      <c r="O311" s="40"/>
      <c r="P311" s="40"/>
      <c r="Q311" s="40"/>
      <c r="R311" s="40"/>
      <c r="S311" s="40"/>
      <c r="T311" s="40"/>
      <c r="U311" s="13">
        <v>5</v>
      </c>
      <c r="V311" s="40">
        <v>100000</v>
      </c>
      <c r="W311" s="15">
        <v>500000</v>
      </c>
    </row>
    <row r="312" spans="1:31" s="887" customFormat="1" ht="15.75" x14ac:dyDescent="0.2">
      <c r="A312" s="44">
        <v>252</v>
      </c>
      <c r="B312" s="928" t="s">
        <v>355</v>
      </c>
      <c r="C312" s="22" t="s">
        <v>347</v>
      </c>
      <c r="D312" s="25">
        <v>1</v>
      </c>
      <c r="E312" s="30"/>
      <c r="F312" s="30"/>
      <c r="G312" s="30"/>
      <c r="H312" s="30"/>
      <c r="I312" s="30"/>
      <c r="J312" s="30"/>
      <c r="K312" s="30"/>
      <c r="L312" s="30"/>
      <c r="M312" s="30"/>
      <c r="N312" s="30"/>
      <c r="O312" s="30"/>
      <c r="P312" s="30"/>
      <c r="Q312" s="30"/>
      <c r="R312" s="30"/>
      <c r="S312" s="30"/>
      <c r="T312" s="30"/>
      <c r="U312" s="13">
        <v>1</v>
      </c>
      <c r="V312" s="30"/>
      <c r="W312" s="15">
        <v>1500000</v>
      </c>
    </row>
    <row r="313" spans="1:31" s="887" customFormat="1" ht="15.75" x14ac:dyDescent="0.2">
      <c r="A313" s="44">
        <v>253</v>
      </c>
      <c r="B313" s="928" t="s">
        <v>356</v>
      </c>
      <c r="C313" s="22" t="s">
        <v>347</v>
      </c>
      <c r="D313" s="33">
        <v>3</v>
      </c>
      <c r="E313" s="40"/>
      <c r="F313" s="40"/>
      <c r="G313" s="40"/>
      <c r="H313" s="40"/>
      <c r="I313" s="40"/>
      <c r="J313" s="40"/>
      <c r="K313" s="40"/>
      <c r="L313" s="40"/>
      <c r="M313" s="40"/>
      <c r="N313" s="40"/>
      <c r="O313" s="40"/>
      <c r="P313" s="40"/>
      <c r="Q313" s="40"/>
      <c r="R313" s="40"/>
      <c r="S313" s="40"/>
      <c r="T313" s="40"/>
      <c r="U313" s="13">
        <v>3</v>
      </c>
      <c r="V313" s="40">
        <v>500000</v>
      </c>
      <c r="W313" s="15">
        <v>1500000</v>
      </c>
    </row>
    <row r="314" spans="1:31" s="887" customFormat="1" ht="15.75" x14ac:dyDescent="0.2">
      <c r="A314" s="44">
        <v>254</v>
      </c>
      <c r="B314" s="928" t="s">
        <v>357</v>
      </c>
      <c r="C314" s="22" t="s">
        <v>347</v>
      </c>
      <c r="D314" s="25">
        <v>1</v>
      </c>
      <c r="E314" s="30"/>
      <c r="F314" s="30"/>
      <c r="G314" s="30"/>
      <c r="H314" s="30"/>
      <c r="I314" s="30"/>
      <c r="J314" s="30"/>
      <c r="K314" s="30"/>
      <c r="L314" s="30"/>
      <c r="M314" s="30"/>
      <c r="N314" s="30"/>
      <c r="O314" s="30"/>
      <c r="P314" s="30"/>
      <c r="Q314" s="30"/>
      <c r="R314" s="30"/>
      <c r="S314" s="30"/>
      <c r="T314" s="30"/>
      <c r="U314" s="13">
        <v>1</v>
      </c>
      <c r="V314" s="30"/>
      <c r="W314" s="15">
        <v>500000</v>
      </c>
    </row>
    <row r="315" spans="1:31" x14ac:dyDescent="0.2">
      <c r="A315" s="44">
        <v>255</v>
      </c>
      <c r="B315" s="884" t="s">
        <v>435</v>
      </c>
      <c r="C315" s="22" t="s">
        <v>347</v>
      </c>
      <c r="D315" s="33">
        <v>1</v>
      </c>
      <c r="E315" s="40"/>
      <c r="F315" s="40"/>
      <c r="G315" s="40"/>
      <c r="H315" s="40"/>
      <c r="I315" s="40"/>
      <c r="J315" s="40"/>
      <c r="K315" s="40"/>
      <c r="L315" s="40"/>
      <c r="M315" s="40"/>
      <c r="N315" s="40"/>
      <c r="O315" s="40"/>
      <c r="P315" s="40"/>
      <c r="Q315" s="40"/>
      <c r="R315" s="40"/>
      <c r="S315" s="40"/>
      <c r="T315" s="40"/>
      <c r="U315" s="13">
        <v>1</v>
      </c>
      <c r="V315" s="30"/>
      <c r="W315" s="15">
        <v>125000</v>
      </c>
    </row>
    <row r="316" spans="1:31" x14ac:dyDescent="0.2">
      <c r="A316" s="44">
        <v>256</v>
      </c>
      <c r="B316" s="884" t="s">
        <v>436</v>
      </c>
      <c r="C316" s="22" t="s">
        <v>347</v>
      </c>
      <c r="D316" s="33">
        <v>1</v>
      </c>
      <c r="E316" s="40"/>
      <c r="F316" s="40"/>
      <c r="G316" s="40"/>
      <c r="H316" s="40"/>
      <c r="I316" s="40"/>
      <c r="J316" s="40"/>
      <c r="K316" s="40"/>
      <c r="L316" s="40"/>
      <c r="M316" s="40"/>
      <c r="N316" s="40"/>
      <c r="O316" s="40"/>
      <c r="P316" s="40"/>
      <c r="Q316" s="40"/>
      <c r="R316" s="40"/>
      <c r="S316" s="40"/>
      <c r="T316" s="40"/>
      <c r="U316" s="13">
        <v>1</v>
      </c>
      <c r="V316" s="30"/>
      <c r="W316" s="15">
        <v>100000</v>
      </c>
      <c r="AC316" s="891"/>
      <c r="AD316" s="891"/>
      <c r="AE316" s="891">
        <f>AC316+AD316</f>
        <v>0</v>
      </c>
    </row>
    <row r="317" spans="1:31" x14ac:dyDescent="0.2">
      <c r="A317" s="44">
        <v>257</v>
      </c>
      <c r="B317" s="884" t="s">
        <v>437</v>
      </c>
      <c r="C317" s="22" t="s">
        <v>347</v>
      </c>
      <c r="D317" s="33">
        <v>1</v>
      </c>
      <c r="E317" s="40"/>
      <c r="F317" s="40"/>
      <c r="G317" s="40"/>
      <c r="H317" s="40"/>
      <c r="I317" s="40"/>
      <c r="J317" s="40"/>
      <c r="K317" s="40"/>
      <c r="L317" s="40"/>
      <c r="M317" s="40"/>
      <c r="N317" s="40"/>
      <c r="O317" s="40"/>
      <c r="P317" s="40"/>
      <c r="Q317" s="40"/>
      <c r="R317" s="40"/>
      <c r="S317" s="40"/>
      <c r="T317" s="40"/>
      <c r="U317" s="13">
        <v>1</v>
      </c>
      <c r="V317" s="30"/>
      <c r="W317" s="15">
        <v>100000</v>
      </c>
      <c r="AC317" s="891">
        <v>187601.82</v>
      </c>
      <c r="AD317" s="891">
        <v>40000</v>
      </c>
      <c r="AE317" s="891">
        <f t="shared" ref="AE317:AE325" si="13">AC317+AD317</f>
        <v>227601.82</v>
      </c>
    </row>
    <row r="318" spans="1:31" x14ac:dyDescent="0.2">
      <c r="A318" s="44">
        <v>258</v>
      </c>
      <c r="B318" s="884" t="s">
        <v>438</v>
      </c>
      <c r="C318" s="22" t="s">
        <v>347</v>
      </c>
      <c r="D318" s="33">
        <v>1</v>
      </c>
      <c r="E318" s="40"/>
      <c r="F318" s="40"/>
      <c r="G318" s="40"/>
      <c r="H318" s="40"/>
      <c r="I318" s="40"/>
      <c r="J318" s="40"/>
      <c r="K318" s="40"/>
      <c r="L318" s="40"/>
      <c r="M318" s="40"/>
      <c r="N318" s="40"/>
      <c r="O318" s="40"/>
      <c r="P318" s="40"/>
      <c r="Q318" s="40"/>
      <c r="R318" s="40"/>
      <c r="S318" s="40"/>
      <c r="T318" s="40"/>
      <c r="U318" s="13">
        <v>1</v>
      </c>
      <c r="V318" s="30"/>
      <c r="W318" s="15">
        <v>175000</v>
      </c>
      <c r="AC318" s="891">
        <v>101544.2</v>
      </c>
      <c r="AD318" s="891">
        <v>40000</v>
      </c>
      <c r="AE318" s="891">
        <f t="shared" si="13"/>
        <v>141544.20000000001</v>
      </c>
    </row>
    <row r="319" spans="1:31" x14ac:dyDescent="0.2">
      <c r="A319" s="44">
        <v>259</v>
      </c>
      <c r="B319" s="884" t="s">
        <v>439</v>
      </c>
      <c r="C319" s="22" t="s">
        <v>347</v>
      </c>
      <c r="D319" s="33">
        <v>1</v>
      </c>
      <c r="E319" s="40"/>
      <c r="F319" s="40"/>
      <c r="G319" s="40"/>
      <c r="H319" s="40"/>
      <c r="I319" s="40"/>
      <c r="J319" s="40"/>
      <c r="K319" s="40"/>
      <c r="L319" s="40"/>
      <c r="M319" s="40"/>
      <c r="N319" s="40"/>
      <c r="O319" s="40"/>
      <c r="P319" s="40"/>
      <c r="Q319" s="40"/>
      <c r="R319" s="40"/>
      <c r="S319" s="40"/>
      <c r="T319" s="40"/>
      <c r="U319" s="13">
        <v>1</v>
      </c>
      <c r="V319" s="30"/>
      <c r="W319" s="15">
        <v>500000</v>
      </c>
      <c r="X319" s="882">
        <f>SUM(W304:W319)</f>
        <v>9000000</v>
      </c>
      <c r="AC319" s="891">
        <v>134924</v>
      </c>
      <c r="AD319" s="891">
        <v>40000</v>
      </c>
      <c r="AE319" s="891">
        <f t="shared" si="13"/>
        <v>174924</v>
      </c>
    </row>
    <row r="320" spans="1:31" x14ac:dyDescent="0.2">
      <c r="B320" s="930"/>
      <c r="AC320" s="891">
        <v>207719.6</v>
      </c>
      <c r="AD320" s="891">
        <v>40000</v>
      </c>
      <c r="AE320" s="891">
        <f t="shared" si="13"/>
        <v>247719.6</v>
      </c>
    </row>
    <row r="321" spans="1:31" x14ac:dyDescent="0.2">
      <c r="B321" s="930"/>
      <c r="AC321" s="891">
        <v>274993.59999999998</v>
      </c>
      <c r="AD321" s="891">
        <v>156780</v>
      </c>
      <c r="AE321" s="891">
        <f t="shared" si="13"/>
        <v>431773.6</v>
      </c>
    </row>
    <row r="322" spans="1:31" x14ac:dyDescent="0.2">
      <c r="B322" s="930"/>
      <c r="V322" s="933" t="s">
        <v>415</v>
      </c>
      <c r="W322" s="934">
        <f>SUM(W4:W319)</f>
        <v>2262037920.5902777</v>
      </c>
      <c r="AC322" s="891">
        <v>141014</v>
      </c>
      <c r="AD322" s="891">
        <v>40000</v>
      </c>
      <c r="AE322" s="891">
        <f t="shared" si="13"/>
        <v>181014</v>
      </c>
    </row>
    <row r="323" spans="1:31" x14ac:dyDescent="0.2">
      <c r="W323" s="936"/>
      <c r="AC323" s="891">
        <v>301093.59999999998</v>
      </c>
      <c r="AD323" s="891">
        <v>156780</v>
      </c>
      <c r="AE323" s="891">
        <f t="shared" si="13"/>
        <v>457873.6</v>
      </c>
    </row>
    <row r="324" spans="1:31" x14ac:dyDescent="0.2">
      <c r="V324" s="933" t="s">
        <v>416</v>
      </c>
      <c r="W324" s="934">
        <v>2279229198.29</v>
      </c>
      <c r="AC324" s="891">
        <v>143304</v>
      </c>
      <c r="AD324" s="891">
        <v>40000</v>
      </c>
      <c r="AE324" s="891">
        <f t="shared" si="13"/>
        <v>183304</v>
      </c>
    </row>
    <row r="325" spans="1:31" x14ac:dyDescent="0.2">
      <c r="W325" s="936"/>
      <c r="AC325" s="891">
        <v>1426668.4</v>
      </c>
      <c r="AD325" s="891">
        <v>156780</v>
      </c>
      <c r="AE325" s="891">
        <f t="shared" si="13"/>
        <v>1583448.4</v>
      </c>
    </row>
    <row r="326" spans="1:31" ht="15.75" x14ac:dyDescent="0.25">
      <c r="V326" s="933" t="s">
        <v>417</v>
      </c>
      <c r="W326" s="937">
        <f>W322-W324</f>
        <v>-17191277.69972229</v>
      </c>
      <c r="X326" s="870">
        <f>16069459</f>
        <v>16069459</v>
      </c>
      <c r="AC326" s="891"/>
      <c r="AD326" s="891"/>
      <c r="AE326" s="891">
        <f>SUM(AE316:AE325)</f>
        <v>3629203.2199999997</v>
      </c>
    </row>
    <row r="327" spans="1:31" x14ac:dyDescent="0.2">
      <c r="X327" s="870">
        <v>4726644</v>
      </c>
    </row>
    <row r="328" spans="1:31" x14ac:dyDescent="0.2">
      <c r="W328" s="933">
        <f>W326+X328+X329+X330+Z329+Z333+Y328+Y329</f>
        <v>6363.3002777099609</v>
      </c>
      <c r="X328" s="870">
        <f>X326-X327</f>
        <v>11342815</v>
      </c>
      <c r="Y328" s="870">
        <v>2000000</v>
      </c>
    </row>
    <row r="329" spans="1:31" x14ac:dyDescent="0.2">
      <c r="X329" s="891">
        <v>3629203</v>
      </c>
      <c r="Y329" s="870">
        <v>225000</v>
      </c>
    </row>
    <row r="330" spans="1:31" x14ac:dyDescent="0.2">
      <c r="X330" s="870">
        <v>623</v>
      </c>
    </row>
    <row r="331" spans="1:31" x14ac:dyDescent="0.2">
      <c r="A331" s="870"/>
      <c r="B331" s="938"/>
      <c r="C331" s="870"/>
      <c r="D331" s="870"/>
      <c r="E331" s="870"/>
      <c r="F331" s="870"/>
      <c r="G331" s="870"/>
      <c r="H331" s="870"/>
      <c r="I331" s="870"/>
      <c r="J331" s="870"/>
      <c r="K331" s="870"/>
      <c r="L331" s="870"/>
      <c r="M331" s="870"/>
      <c r="N331" s="870"/>
      <c r="O331" s="870"/>
      <c r="P331" s="870"/>
      <c r="Q331" s="870"/>
      <c r="R331" s="870"/>
      <c r="S331" s="870"/>
      <c r="T331" s="870"/>
      <c r="U331" s="870"/>
      <c r="V331" s="870"/>
      <c r="W331" s="870"/>
      <c r="X331" s="933">
        <f>SUM(X328:X330)</f>
        <v>14972641</v>
      </c>
      <c r="AA331" s="877">
        <f>AA330+AB352</f>
        <v>0</v>
      </c>
    </row>
    <row r="333" spans="1:31" x14ac:dyDescent="0.2">
      <c r="A333" s="870"/>
      <c r="B333" s="938"/>
      <c r="C333" s="870"/>
      <c r="D333" s="870"/>
      <c r="E333" s="870"/>
      <c r="F333" s="870"/>
      <c r="G333" s="870"/>
      <c r="H333" s="870"/>
      <c r="I333" s="870"/>
      <c r="J333" s="870"/>
      <c r="K333" s="870"/>
      <c r="L333" s="870"/>
      <c r="M333" s="870"/>
      <c r="N333" s="870"/>
      <c r="O333" s="870"/>
      <c r="P333" s="870"/>
      <c r="Q333" s="870"/>
      <c r="R333" s="870"/>
      <c r="S333" s="870"/>
      <c r="T333" s="870"/>
      <c r="U333" s="870"/>
      <c r="V333" s="870"/>
      <c r="W333" s="870"/>
      <c r="AC333" s="877"/>
    </row>
  </sheetData>
  <autoFilter ref="B1:B333" xr:uid="{00000000-0009-0000-0000-000000000000}"/>
  <mergeCells count="13">
    <mergeCell ref="A208:A211"/>
    <mergeCell ref="A33:A35"/>
    <mergeCell ref="A108:A110"/>
    <mergeCell ref="A134:A137"/>
    <mergeCell ref="A138:A140"/>
    <mergeCell ref="A142:A145"/>
    <mergeCell ref="A173:A176"/>
    <mergeCell ref="A177:A179"/>
    <mergeCell ref="A1:W1"/>
    <mergeCell ref="A2:W2"/>
    <mergeCell ref="A6:A21"/>
    <mergeCell ref="A22:A26"/>
    <mergeCell ref="A44:A53"/>
  </mergeCells>
  <printOptions horizontalCentered="1"/>
  <pageMargins left="0.39370078740157483" right="7.874015748031496E-2" top="0.27559055118110237" bottom="0.11811023622047245" header="0.31496062992125984" footer="0.31496062992125984"/>
  <pageSetup paperSize="9" scale="74" orientation="landscape" r:id="rId1"/>
  <rowBreaks count="1" manualBreakCount="1">
    <brk id="39" max="2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67128-F624-4869-8174-99FCC5294EEB}">
  <dimension ref="A1:O333"/>
  <sheetViews>
    <sheetView view="pageBreakPreview" zoomScale="70" zoomScaleNormal="70" zoomScaleSheetLayoutView="70" workbookViewId="0">
      <pane xSplit="3" ySplit="3" topLeftCell="D4" activePane="bottomRight" state="frozen"/>
      <selection activeCell="H7" sqref="H7"/>
      <selection pane="topRight" activeCell="H7" sqref="H7"/>
      <selection pane="bottomLeft" activeCell="H7" sqref="H7"/>
      <selection pane="bottomRight" activeCell="H7" sqref="H7"/>
    </sheetView>
  </sheetViews>
  <sheetFormatPr defaultColWidth="9.140625" defaultRowHeight="15" x14ac:dyDescent="0.2"/>
  <cols>
    <col min="1" max="1" width="4.85546875" style="929" bestFit="1" customWidth="1"/>
    <col min="2" max="2" width="99.28515625" style="935" customWidth="1"/>
    <col min="3" max="3" width="17.5703125" style="931" customWidth="1"/>
    <col min="4" max="4" width="17.140625" style="933" bestFit="1" customWidth="1"/>
    <col min="5" max="5" width="16.5703125" style="933" customWidth="1"/>
    <col min="6" max="6" width="16.140625" style="933" customWidth="1"/>
    <col min="7" max="7" width="18.7109375" style="933" bestFit="1" customWidth="1"/>
    <col min="8" max="12" width="18.7109375" style="870" bestFit="1" customWidth="1"/>
    <col min="13" max="13" width="16.140625" style="870" bestFit="1" customWidth="1"/>
    <col min="14" max="14" width="8.7109375" style="870" bestFit="1" customWidth="1"/>
    <col min="15" max="15" width="13.7109375" style="870" bestFit="1" customWidth="1"/>
    <col min="16" max="16384" width="9.140625" style="870"/>
  </cols>
  <sheetData>
    <row r="1" spans="1:9" customFormat="1" ht="39" customHeight="1" x14ac:dyDescent="0.25">
      <c r="A1" s="996" t="s">
        <v>488</v>
      </c>
      <c r="B1" s="996"/>
      <c r="C1" s="996"/>
      <c r="D1" s="996"/>
      <c r="E1" s="996"/>
      <c r="F1" s="996"/>
      <c r="G1" s="996"/>
    </row>
    <row r="2" spans="1:9" ht="15.75" x14ac:dyDescent="0.2">
      <c r="A2" s="983" t="s">
        <v>1</v>
      </c>
      <c r="B2" s="983"/>
      <c r="C2" s="983"/>
      <c r="D2" s="983"/>
      <c r="E2" s="983"/>
      <c r="F2" s="983"/>
      <c r="G2" s="983"/>
    </row>
    <row r="3" spans="1:9" ht="31.5" x14ac:dyDescent="0.2">
      <c r="A3" s="939" t="s">
        <v>2</v>
      </c>
      <c r="B3" s="873" t="s">
        <v>3</v>
      </c>
      <c r="C3" s="873" t="s">
        <v>4</v>
      </c>
      <c r="D3" s="875" t="s">
        <v>5</v>
      </c>
      <c r="E3" s="874" t="s">
        <v>485</v>
      </c>
      <c r="F3" s="874" t="s">
        <v>486</v>
      </c>
      <c r="G3" s="874" t="s">
        <v>487</v>
      </c>
    </row>
    <row r="4" spans="1:9" ht="69.599999999999994" customHeight="1" x14ac:dyDescent="0.2">
      <c r="A4" s="116">
        <v>1</v>
      </c>
      <c r="B4" s="876" t="s">
        <v>8</v>
      </c>
      <c r="C4" s="12">
        <v>1000</v>
      </c>
      <c r="D4" s="13">
        <v>69775243.960000008</v>
      </c>
      <c r="E4" s="14">
        <v>4640.7</v>
      </c>
      <c r="F4" s="14"/>
      <c r="G4" s="15">
        <f>E4*D4/C4</f>
        <v>323805974.645172</v>
      </c>
      <c r="I4" s="877" t="e">
        <f>#REF!-I96</f>
        <v>#REF!</v>
      </c>
    </row>
    <row r="5" spans="1:9" ht="30" x14ac:dyDescent="0.2">
      <c r="A5" s="116">
        <v>2</v>
      </c>
      <c r="B5" s="876" t="s">
        <v>9</v>
      </c>
      <c r="C5" s="12">
        <v>1000</v>
      </c>
      <c r="D5" s="13">
        <v>26864727.169999998</v>
      </c>
      <c r="E5" s="14">
        <v>940.9</v>
      </c>
      <c r="F5" s="14"/>
      <c r="G5" s="15">
        <f>E5*D5/C5</f>
        <v>25277021.794252999</v>
      </c>
    </row>
    <row r="6" spans="1:9" ht="30" x14ac:dyDescent="0.2">
      <c r="A6" s="984">
        <v>3</v>
      </c>
      <c r="B6" s="876" t="s">
        <v>10</v>
      </c>
      <c r="C6" s="33"/>
      <c r="D6" s="13">
        <v>0</v>
      </c>
      <c r="E6" s="14">
        <v>0</v>
      </c>
      <c r="F6" s="14"/>
      <c r="G6" s="14">
        <v>0</v>
      </c>
    </row>
    <row r="7" spans="1:9" x14ac:dyDescent="0.2">
      <c r="A7" s="985"/>
      <c r="B7" s="878" t="s">
        <v>11</v>
      </c>
      <c r="C7" s="12">
        <v>1000</v>
      </c>
      <c r="D7" s="13">
        <v>546147.5</v>
      </c>
      <c r="E7" s="14">
        <v>1073.2</v>
      </c>
      <c r="F7" s="14"/>
      <c r="G7" s="15">
        <f t="shared" ref="G7:G21" si="0">E7*D7/C7</f>
        <v>586125.49699999997</v>
      </c>
    </row>
    <row r="8" spans="1:9" x14ac:dyDescent="0.2">
      <c r="A8" s="985"/>
      <c r="B8" s="876" t="s">
        <v>144</v>
      </c>
      <c r="C8" s="12">
        <v>1000</v>
      </c>
      <c r="D8" s="13">
        <v>989635</v>
      </c>
      <c r="E8" s="14">
        <v>1743.95</v>
      </c>
      <c r="F8" s="14"/>
      <c r="G8" s="15">
        <f t="shared" si="0"/>
        <v>1725873.9582499999</v>
      </c>
    </row>
    <row r="9" spans="1:9" x14ac:dyDescent="0.2">
      <c r="A9" s="985"/>
      <c r="B9" s="876" t="s">
        <v>455</v>
      </c>
      <c r="C9" s="12">
        <v>1000</v>
      </c>
      <c r="D9" s="13">
        <v>275885.29000000004</v>
      </c>
      <c r="E9" s="14">
        <v>2414.6999999999998</v>
      </c>
      <c r="F9" s="14"/>
      <c r="G9" s="15">
        <f t="shared" si="0"/>
        <v>666180.20976300002</v>
      </c>
    </row>
    <row r="10" spans="1:9" x14ac:dyDescent="0.2">
      <c r="A10" s="985"/>
      <c r="B10" s="876" t="s">
        <v>456</v>
      </c>
      <c r="C10" s="12">
        <v>1000</v>
      </c>
      <c r="D10" s="13">
        <v>62477.500000000007</v>
      </c>
      <c r="E10" s="14">
        <v>6677.8</v>
      </c>
      <c r="F10" s="14"/>
      <c r="G10" s="15">
        <f t="shared" si="0"/>
        <v>417212.24950000003</v>
      </c>
    </row>
    <row r="11" spans="1:9" x14ac:dyDescent="0.2">
      <c r="A11" s="985"/>
      <c r="B11" s="876" t="s">
        <v>457</v>
      </c>
      <c r="C11" s="12">
        <v>1000</v>
      </c>
      <c r="D11" s="13">
        <v>549295</v>
      </c>
      <c r="E11" s="14">
        <v>6751.2</v>
      </c>
      <c r="F11" s="14"/>
      <c r="G11" s="15">
        <f t="shared" si="0"/>
        <v>3708400.4040000001</v>
      </c>
    </row>
    <row r="12" spans="1:9" x14ac:dyDescent="0.2">
      <c r="A12" s="985"/>
      <c r="B12" s="876" t="s">
        <v>458</v>
      </c>
      <c r="C12" s="12">
        <v>1000</v>
      </c>
      <c r="D12" s="13">
        <v>555572.5</v>
      </c>
      <c r="E12" s="39">
        <v>6751.2</v>
      </c>
      <c r="F12" s="39"/>
      <c r="G12" s="15">
        <f t="shared" si="0"/>
        <v>3750781.0619999999</v>
      </c>
    </row>
    <row r="13" spans="1:9" x14ac:dyDescent="0.2">
      <c r="A13" s="985"/>
      <c r="B13" s="876" t="s">
        <v>459</v>
      </c>
      <c r="C13" s="12">
        <v>1000</v>
      </c>
      <c r="D13" s="13">
        <v>18740</v>
      </c>
      <c r="E13" s="14">
        <v>6824.6</v>
      </c>
      <c r="F13" s="14"/>
      <c r="G13" s="15">
        <f t="shared" si="0"/>
        <v>127893.004</v>
      </c>
    </row>
    <row r="14" spans="1:9" x14ac:dyDescent="0.2">
      <c r="A14" s="985"/>
      <c r="B14" s="876" t="s">
        <v>460</v>
      </c>
      <c r="C14" s="12">
        <v>1000</v>
      </c>
      <c r="D14" s="13">
        <v>53390</v>
      </c>
      <c r="E14" s="33">
        <v>6971.4</v>
      </c>
      <c r="F14" s="33"/>
      <c r="G14" s="15">
        <f t="shared" si="0"/>
        <v>372203.04599999997</v>
      </c>
    </row>
    <row r="15" spans="1:9" x14ac:dyDescent="0.2">
      <c r="A15" s="985"/>
      <c r="B15" s="876" t="s">
        <v>461</v>
      </c>
      <c r="C15" s="12">
        <v>1000</v>
      </c>
      <c r="D15" s="13">
        <v>75040</v>
      </c>
      <c r="E15" s="39">
        <v>6971.4</v>
      </c>
      <c r="F15" s="39"/>
      <c r="G15" s="15">
        <f t="shared" si="0"/>
        <v>523133.85600000003</v>
      </c>
    </row>
    <row r="16" spans="1:9" x14ac:dyDescent="0.2">
      <c r="A16" s="985"/>
      <c r="B16" s="876" t="s">
        <v>462</v>
      </c>
      <c r="C16" s="12">
        <v>1000</v>
      </c>
      <c r="D16" s="13">
        <v>98265.75</v>
      </c>
      <c r="E16" s="14">
        <v>7044.8</v>
      </c>
      <c r="F16" s="14"/>
      <c r="G16" s="15">
        <f t="shared" si="0"/>
        <v>692262.55560000008</v>
      </c>
    </row>
    <row r="17" spans="1:8" x14ac:dyDescent="0.2">
      <c r="A17" s="985"/>
      <c r="B17" s="876" t="s">
        <v>463</v>
      </c>
      <c r="C17" s="12">
        <v>1000</v>
      </c>
      <c r="D17" s="13">
        <v>187560</v>
      </c>
      <c r="E17" s="33">
        <v>7191.6</v>
      </c>
      <c r="F17" s="33"/>
      <c r="G17" s="15">
        <f t="shared" si="0"/>
        <v>1348856.496</v>
      </c>
    </row>
    <row r="18" spans="1:8" x14ac:dyDescent="0.2">
      <c r="A18" s="985"/>
      <c r="B18" s="876" t="s">
        <v>464</v>
      </c>
      <c r="C18" s="12">
        <v>1000</v>
      </c>
      <c r="D18" s="13">
        <v>54772.5</v>
      </c>
      <c r="E18" s="14">
        <v>7338.4</v>
      </c>
      <c r="F18" s="14"/>
      <c r="G18" s="15">
        <f t="shared" si="0"/>
        <v>401942.51400000002</v>
      </c>
    </row>
    <row r="19" spans="1:8" x14ac:dyDescent="0.2">
      <c r="A19" s="985"/>
      <c r="B19" s="876" t="s">
        <v>465</v>
      </c>
      <c r="C19" s="12">
        <v>1000</v>
      </c>
      <c r="D19" s="13">
        <v>125720</v>
      </c>
      <c r="E19" s="14">
        <v>7411.8</v>
      </c>
      <c r="F19" s="14"/>
      <c r="G19" s="15">
        <f t="shared" si="0"/>
        <v>931811.49600000004</v>
      </c>
    </row>
    <row r="20" spans="1:8" x14ac:dyDescent="0.2">
      <c r="A20" s="985"/>
      <c r="B20" s="879" t="s">
        <v>466</v>
      </c>
      <c r="C20" s="12">
        <v>1000</v>
      </c>
      <c r="D20" s="13">
        <v>70367.5</v>
      </c>
      <c r="E20" s="14">
        <v>7558.6</v>
      </c>
      <c r="F20" s="14"/>
      <c r="G20" s="15">
        <f t="shared" si="0"/>
        <v>531879.7855</v>
      </c>
    </row>
    <row r="21" spans="1:8" x14ac:dyDescent="0.2">
      <c r="A21" s="986"/>
      <c r="B21" s="876" t="s">
        <v>467</v>
      </c>
      <c r="C21" s="12">
        <v>1000</v>
      </c>
      <c r="D21" s="13">
        <v>4869.33</v>
      </c>
      <c r="E21" s="14">
        <v>7934.1</v>
      </c>
      <c r="F21" s="14"/>
      <c r="G21" s="15">
        <f t="shared" si="0"/>
        <v>38633.751153000005</v>
      </c>
    </row>
    <row r="22" spans="1:8" x14ac:dyDescent="0.2">
      <c r="A22" s="984">
        <v>4</v>
      </c>
      <c r="B22" s="879" t="s">
        <v>157</v>
      </c>
      <c r="C22" s="12">
        <v>1000</v>
      </c>
      <c r="D22" s="13">
        <v>0</v>
      </c>
      <c r="E22" s="13">
        <v>0</v>
      </c>
      <c r="F22" s="13"/>
      <c r="G22" s="13">
        <v>0</v>
      </c>
    </row>
    <row r="23" spans="1:8" x14ac:dyDescent="0.2">
      <c r="A23" s="985"/>
      <c r="B23" s="876" t="s">
        <v>468</v>
      </c>
      <c r="C23" s="12">
        <v>1000</v>
      </c>
      <c r="D23" s="13">
        <v>140702.28500000003</v>
      </c>
      <c r="E23" s="13">
        <v>10936.05</v>
      </c>
      <c r="F23" s="13"/>
      <c r="G23" s="15">
        <f t="shared" ref="G23:G32" si="1">E23*D23/C23</f>
        <v>1538727.2238742502</v>
      </c>
    </row>
    <row r="24" spans="1:8" x14ac:dyDescent="0.2">
      <c r="A24" s="985"/>
      <c r="B24" s="879" t="s">
        <v>469</v>
      </c>
      <c r="C24" s="12">
        <v>1000</v>
      </c>
      <c r="D24" s="13">
        <v>1887045.5</v>
      </c>
      <c r="E24" s="14">
        <v>11606.8</v>
      </c>
      <c r="F24" s="14"/>
      <c r="G24" s="15">
        <f t="shared" si="1"/>
        <v>21902559.709399998</v>
      </c>
    </row>
    <row r="25" spans="1:8" x14ac:dyDescent="0.2">
      <c r="A25" s="985"/>
      <c r="B25" s="876" t="s">
        <v>455</v>
      </c>
      <c r="C25" s="12">
        <v>1000</v>
      </c>
      <c r="D25" s="13">
        <v>97969.465000000011</v>
      </c>
      <c r="E25" s="13">
        <v>12948.3</v>
      </c>
      <c r="F25" s="13"/>
      <c r="G25" s="15">
        <f t="shared" si="1"/>
        <v>1268538.0236595001</v>
      </c>
    </row>
    <row r="26" spans="1:8" x14ac:dyDescent="0.2">
      <c r="A26" s="986"/>
      <c r="B26" s="876" t="s">
        <v>470</v>
      </c>
      <c r="C26" s="12">
        <v>1000</v>
      </c>
      <c r="D26" s="13">
        <v>159193.80000000005</v>
      </c>
      <c r="E26" s="13">
        <v>18092.2</v>
      </c>
      <c r="F26" s="13"/>
      <c r="G26" s="15">
        <f t="shared" si="1"/>
        <v>2880166.0683600013</v>
      </c>
    </row>
    <row r="27" spans="1:8" x14ac:dyDescent="0.2">
      <c r="A27" s="116">
        <v>5</v>
      </c>
      <c r="B27" s="881" t="s">
        <v>418</v>
      </c>
      <c r="C27" s="12">
        <v>1000</v>
      </c>
      <c r="D27" s="13">
        <v>1340460.5752499998</v>
      </c>
      <c r="E27" s="13">
        <v>5266.8</v>
      </c>
      <c r="F27" s="13"/>
      <c r="G27" s="15">
        <f t="shared" si="1"/>
        <v>7059937.7577266991</v>
      </c>
      <c r="H27" s="882"/>
    </row>
    <row r="28" spans="1:8" ht="30" x14ac:dyDescent="0.2">
      <c r="A28" s="116">
        <v>6</v>
      </c>
      <c r="B28" s="876" t="s">
        <v>189</v>
      </c>
      <c r="C28" s="37">
        <v>1</v>
      </c>
      <c r="D28" s="13">
        <v>1254</v>
      </c>
      <c r="E28" s="39">
        <v>1326.2</v>
      </c>
      <c r="F28" s="39"/>
      <c r="G28" s="15">
        <f t="shared" si="1"/>
        <v>1663054.8</v>
      </c>
    </row>
    <row r="29" spans="1:8" ht="45" x14ac:dyDescent="0.2">
      <c r="A29" s="116">
        <v>7</v>
      </c>
      <c r="B29" s="876" t="s">
        <v>17</v>
      </c>
      <c r="C29" s="18">
        <v>1</v>
      </c>
      <c r="D29" s="13">
        <v>1740</v>
      </c>
      <c r="E29" s="14">
        <v>1935.4</v>
      </c>
      <c r="F29" s="14"/>
      <c r="G29" s="15">
        <f t="shared" si="1"/>
        <v>3367596</v>
      </c>
    </row>
    <row r="30" spans="1:8" x14ac:dyDescent="0.2">
      <c r="A30" s="116">
        <v>8</v>
      </c>
      <c r="B30" s="883" t="s">
        <v>18</v>
      </c>
      <c r="C30" s="19">
        <v>1000</v>
      </c>
      <c r="D30" s="13">
        <v>6885050</v>
      </c>
      <c r="E30" s="14">
        <v>376.2</v>
      </c>
      <c r="F30" s="14"/>
      <c r="G30" s="15">
        <f t="shared" si="1"/>
        <v>2590155.81</v>
      </c>
    </row>
    <row r="31" spans="1:8" ht="30" x14ac:dyDescent="0.2">
      <c r="A31" s="116">
        <v>9</v>
      </c>
      <c r="B31" s="876" t="s">
        <v>327</v>
      </c>
      <c r="C31" s="37">
        <v>1</v>
      </c>
      <c r="D31" s="13">
        <v>5</v>
      </c>
      <c r="E31" s="13">
        <v>14630</v>
      </c>
      <c r="F31" s="13"/>
      <c r="G31" s="15">
        <f t="shared" si="1"/>
        <v>73150</v>
      </c>
    </row>
    <row r="32" spans="1:8" ht="45" x14ac:dyDescent="0.2">
      <c r="A32" s="117">
        <v>10</v>
      </c>
      <c r="B32" s="884" t="s">
        <v>19</v>
      </c>
      <c r="C32" s="12">
        <v>1000</v>
      </c>
      <c r="D32" s="13">
        <v>1617</v>
      </c>
      <c r="E32" s="21">
        <v>15824.15</v>
      </c>
      <c r="F32" s="21"/>
      <c r="G32" s="15">
        <f t="shared" si="1"/>
        <v>25587.650550000002</v>
      </c>
    </row>
    <row r="33" spans="1:10" s="152" customFormat="1" ht="30" x14ac:dyDescent="0.2">
      <c r="A33" s="987">
        <v>11</v>
      </c>
      <c r="B33" s="884" t="s">
        <v>20</v>
      </c>
      <c r="C33" s="12">
        <v>100</v>
      </c>
      <c r="D33" s="13">
        <v>0</v>
      </c>
      <c r="E33" s="13">
        <v>0</v>
      </c>
      <c r="F33" s="13"/>
      <c r="G33" s="13">
        <v>0</v>
      </c>
      <c r="H33" s="877" t="e">
        <f>#REF!*37</f>
        <v>#REF!</v>
      </c>
    </row>
    <row r="34" spans="1:10" s="152" customFormat="1" x14ac:dyDescent="0.2">
      <c r="A34" s="988"/>
      <c r="B34" s="884" t="s">
        <v>21</v>
      </c>
      <c r="C34" s="12">
        <v>100</v>
      </c>
      <c r="D34" s="13">
        <v>41070.554165017595</v>
      </c>
      <c r="E34" s="21">
        <v>34694.300000000003</v>
      </c>
      <c r="F34" s="21"/>
      <c r="G34" s="15">
        <f t="shared" ref="G34:G43" si="2">E34*D34/C34</f>
        <v>14249141.273673702</v>
      </c>
      <c r="H34" s="877"/>
      <c r="I34" s="885">
        <f>SUM(D34:D34)</f>
        <v>41070.554165017595</v>
      </c>
      <c r="J34" s="886">
        <v>23362466.852632541</v>
      </c>
    </row>
    <row r="35" spans="1:10" x14ac:dyDescent="0.2">
      <c r="A35" s="989"/>
      <c r="B35" s="884" t="s">
        <v>107</v>
      </c>
      <c r="C35" s="12">
        <v>100</v>
      </c>
      <c r="D35" s="13">
        <v>12898.728125000001</v>
      </c>
      <c r="E35" s="14">
        <v>47135.9</v>
      </c>
      <c r="F35" s="14"/>
      <c r="G35" s="15">
        <f t="shared" si="2"/>
        <v>6079931.5902718762</v>
      </c>
      <c r="I35" s="882">
        <f>SUM(D35:D35)</f>
        <v>12898.728125000001</v>
      </c>
    </row>
    <row r="36" spans="1:10" s="152" customFormat="1" x14ac:dyDescent="0.2">
      <c r="A36" s="44">
        <v>12</v>
      </c>
      <c r="B36" s="884" t="s">
        <v>22</v>
      </c>
      <c r="C36" s="12">
        <v>100</v>
      </c>
      <c r="D36" s="13">
        <v>58371.555499999995</v>
      </c>
      <c r="E36" s="21">
        <v>32675.95</v>
      </c>
      <c r="F36" s="21"/>
      <c r="G36" s="15">
        <f t="shared" si="2"/>
        <v>19073460.28940225</v>
      </c>
      <c r="H36" s="877" t="e">
        <f>#REF!*37</f>
        <v>#REF!</v>
      </c>
      <c r="I36" s="885"/>
    </row>
    <row r="37" spans="1:10" s="152" customFormat="1" ht="30" x14ac:dyDescent="0.2">
      <c r="A37" s="44">
        <v>13</v>
      </c>
      <c r="B37" s="884" t="s">
        <v>23</v>
      </c>
      <c r="C37" s="19">
        <v>100</v>
      </c>
      <c r="D37" s="13">
        <v>643.5</v>
      </c>
      <c r="E37" s="14">
        <v>11851.2</v>
      </c>
      <c r="F37" s="14"/>
      <c r="G37" s="15">
        <f t="shared" si="2"/>
        <v>76262.472000000009</v>
      </c>
    </row>
    <row r="38" spans="1:10" s="887" customFormat="1" ht="45" x14ac:dyDescent="0.2">
      <c r="A38" s="44">
        <v>14</v>
      </c>
      <c r="B38" s="884" t="s">
        <v>92</v>
      </c>
      <c r="C38" s="19">
        <v>100</v>
      </c>
      <c r="D38" s="13">
        <v>11220.609375</v>
      </c>
      <c r="E38" s="14">
        <v>11460.2</v>
      </c>
      <c r="F38" s="14"/>
      <c r="G38" s="15">
        <f t="shared" si="2"/>
        <v>1285904.2755937499</v>
      </c>
      <c r="H38" s="877" t="e">
        <f>#REF!*37</f>
        <v>#REF!</v>
      </c>
      <c r="I38" s="877"/>
    </row>
    <row r="39" spans="1:10" s="891" customFormat="1" ht="30" x14ac:dyDescent="0.2">
      <c r="A39" s="124">
        <v>15</v>
      </c>
      <c r="B39" s="888" t="s">
        <v>272</v>
      </c>
      <c r="C39" s="889">
        <v>100</v>
      </c>
      <c r="D39" s="13">
        <v>427.5</v>
      </c>
      <c r="E39" s="14">
        <v>11851.6</v>
      </c>
      <c r="F39" s="14"/>
      <c r="G39" s="15">
        <f t="shared" si="2"/>
        <v>50665.59</v>
      </c>
    </row>
    <row r="40" spans="1:10" x14ac:dyDescent="0.2">
      <c r="A40" s="117">
        <v>16</v>
      </c>
      <c r="B40" s="884" t="s">
        <v>24</v>
      </c>
      <c r="C40" s="12">
        <v>100</v>
      </c>
      <c r="D40" s="13">
        <v>1348.1015625</v>
      </c>
      <c r="E40" s="21">
        <v>37620.6</v>
      </c>
      <c r="F40" s="21"/>
      <c r="G40" s="15">
        <f t="shared" si="2"/>
        <v>507163.89642187499</v>
      </c>
    </row>
    <row r="41" spans="1:10" x14ac:dyDescent="0.2">
      <c r="A41" s="117">
        <v>17</v>
      </c>
      <c r="B41" s="884" t="s">
        <v>25</v>
      </c>
      <c r="C41" s="19">
        <v>100</v>
      </c>
      <c r="D41" s="13">
        <v>3805.7250000000004</v>
      </c>
      <c r="E41" s="21">
        <v>4334.75</v>
      </c>
      <c r="F41" s="21"/>
      <c r="G41" s="15">
        <f t="shared" si="2"/>
        <v>164968.6644375</v>
      </c>
    </row>
    <row r="42" spans="1:10" ht="30" x14ac:dyDescent="0.2">
      <c r="A42" s="117">
        <v>18</v>
      </c>
      <c r="B42" s="884" t="s">
        <v>115</v>
      </c>
      <c r="C42" s="19">
        <v>100</v>
      </c>
      <c r="D42" s="13">
        <v>61675.404300000002</v>
      </c>
      <c r="E42" s="21">
        <v>7379.1</v>
      </c>
      <c r="F42" s="21"/>
      <c r="G42" s="15">
        <f t="shared" si="2"/>
        <v>4551089.7587013002</v>
      </c>
      <c r="H42" s="877" t="e">
        <f>#REF!*37</f>
        <v>#REF!</v>
      </c>
      <c r="I42" s="882"/>
    </row>
    <row r="43" spans="1:10" x14ac:dyDescent="0.2">
      <c r="A43" s="117">
        <v>19</v>
      </c>
      <c r="B43" s="884" t="s">
        <v>27</v>
      </c>
      <c r="C43" s="24">
        <v>1</v>
      </c>
      <c r="D43" s="13">
        <v>8250</v>
      </c>
      <c r="E43" s="21">
        <v>30.5</v>
      </c>
      <c r="F43" s="21"/>
      <c r="G43" s="15">
        <f t="shared" si="2"/>
        <v>251625</v>
      </c>
    </row>
    <row r="44" spans="1:10" s="152" customFormat="1" ht="45.75" x14ac:dyDescent="0.2">
      <c r="A44" s="987">
        <v>20</v>
      </c>
      <c r="B44" s="892" t="s">
        <v>36</v>
      </c>
      <c r="C44" s="23"/>
      <c r="D44" s="13">
        <v>0</v>
      </c>
      <c r="E44" s="23"/>
      <c r="F44" s="23"/>
      <c r="G44" s="23"/>
    </row>
    <row r="45" spans="1:10" x14ac:dyDescent="0.2">
      <c r="A45" s="988"/>
      <c r="B45" s="884" t="s">
        <v>29</v>
      </c>
      <c r="C45" s="12">
        <v>100</v>
      </c>
      <c r="D45" s="13">
        <v>70.784999999999997</v>
      </c>
      <c r="E45" s="21">
        <v>14042.6</v>
      </c>
      <c r="F45" s="21"/>
      <c r="G45" s="15">
        <f t="shared" ref="G45:G68" si="3">E45*D45/C45</f>
        <v>9940.0544100000006</v>
      </c>
    </row>
    <row r="46" spans="1:10" x14ac:dyDescent="0.2">
      <c r="A46" s="988"/>
      <c r="B46" s="884" t="s">
        <v>38</v>
      </c>
      <c r="C46" s="12">
        <v>100</v>
      </c>
      <c r="D46" s="13">
        <v>5036.5815499999999</v>
      </c>
      <c r="E46" s="13">
        <v>14042.6</v>
      </c>
      <c r="F46" s="13"/>
      <c r="G46" s="15">
        <f t="shared" si="3"/>
        <v>707267.00074029993</v>
      </c>
      <c r="H46" s="877" t="e">
        <f>#REF!*37</f>
        <v>#REF!</v>
      </c>
      <c r="I46" s="877" t="e">
        <f>D46-H46</f>
        <v>#REF!</v>
      </c>
      <c r="J46" s="882"/>
    </row>
    <row r="47" spans="1:10" x14ac:dyDescent="0.2">
      <c r="A47" s="988"/>
      <c r="B47" s="884" t="s">
        <v>61</v>
      </c>
      <c r="C47" s="12">
        <v>100</v>
      </c>
      <c r="D47" s="13">
        <v>30772.144598416897</v>
      </c>
      <c r="E47" s="13">
        <v>14042.6</v>
      </c>
      <c r="F47" s="13"/>
      <c r="G47" s="15">
        <f t="shared" si="3"/>
        <v>4321209.177377291</v>
      </c>
      <c r="H47" s="877" t="e">
        <f>#REF!*37</f>
        <v>#REF!</v>
      </c>
      <c r="I47" s="877" t="e">
        <f>D47-H47</f>
        <v>#REF!</v>
      </c>
      <c r="J47" s="882"/>
    </row>
    <row r="48" spans="1:10" s="887" customFormat="1" x14ac:dyDescent="0.2">
      <c r="A48" s="988"/>
      <c r="B48" s="884" t="s">
        <v>62</v>
      </c>
      <c r="C48" s="12">
        <v>100</v>
      </c>
      <c r="D48" s="13">
        <v>106108.05618023523</v>
      </c>
      <c r="E48" s="13">
        <v>14042.6</v>
      </c>
      <c r="F48" s="13"/>
      <c r="G48" s="15">
        <f t="shared" si="3"/>
        <v>14900329.897165714</v>
      </c>
      <c r="H48" s="894"/>
    </row>
    <row r="49" spans="1:10" s="887" customFormat="1" x14ac:dyDescent="0.2">
      <c r="A49" s="988"/>
      <c r="B49" s="884" t="s">
        <v>64</v>
      </c>
      <c r="C49" s="12">
        <v>100</v>
      </c>
      <c r="D49" s="13">
        <v>2183.8000000000002</v>
      </c>
      <c r="E49" s="13">
        <v>14042.6</v>
      </c>
      <c r="F49" s="13"/>
      <c r="G49" s="15">
        <f t="shared" si="3"/>
        <v>306662.29880000005</v>
      </c>
    </row>
    <row r="50" spans="1:10" s="887" customFormat="1" x14ac:dyDescent="0.2">
      <c r="A50" s="988"/>
      <c r="B50" s="884" t="s">
        <v>65</v>
      </c>
      <c r="C50" s="12">
        <v>100</v>
      </c>
      <c r="D50" s="13">
        <v>268.5</v>
      </c>
      <c r="E50" s="13">
        <v>14042.6</v>
      </c>
      <c r="F50" s="13"/>
      <c r="G50" s="15">
        <f t="shared" si="3"/>
        <v>37704.381000000001</v>
      </c>
    </row>
    <row r="51" spans="1:10" x14ac:dyDescent="0.2">
      <c r="A51" s="988"/>
      <c r="B51" s="884" t="s">
        <v>141</v>
      </c>
      <c r="C51" s="12">
        <v>100</v>
      </c>
      <c r="D51" s="13">
        <v>24736.495222999998</v>
      </c>
      <c r="E51" s="13">
        <v>14042.6</v>
      </c>
      <c r="F51" s="13"/>
      <c r="G51" s="15">
        <f t="shared" si="3"/>
        <v>3473647.0781849981</v>
      </c>
      <c r="H51" s="877" t="e">
        <f>#REF!*37</f>
        <v>#REF!</v>
      </c>
      <c r="I51" s="877" t="e">
        <f>D51-H51</f>
        <v>#REF!</v>
      </c>
      <c r="J51" s="882">
        <f>SUM(G185:G221)</f>
        <v>80212234.679585844</v>
      </c>
    </row>
    <row r="52" spans="1:10" x14ac:dyDescent="0.2">
      <c r="A52" s="988"/>
      <c r="B52" s="884" t="s">
        <v>143</v>
      </c>
      <c r="C52" s="12">
        <v>100</v>
      </c>
      <c r="D52" s="13">
        <v>1234.2670312499999</v>
      </c>
      <c r="E52" s="13">
        <v>14042.6</v>
      </c>
      <c r="F52" s="13"/>
      <c r="G52" s="15">
        <f t="shared" si="3"/>
        <v>173323.18213031252</v>
      </c>
      <c r="H52" s="877" t="e">
        <f>#REF!*37</f>
        <v>#REF!</v>
      </c>
      <c r="I52" s="877" t="e">
        <f>D52-H52</f>
        <v>#REF!</v>
      </c>
      <c r="J52" s="882"/>
    </row>
    <row r="53" spans="1:10" s="887" customFormat="1" x14ac:dyDescent="0.2">
      <c r="A53" s="989"/>
      <c r="B53" s="884" t="s">
        <v>207</v>
      </c>
      <c r="C53" s="12">
        <v>100</v>
      </c>
      <c r="D53" s="13">
        <v>15224.763780000005</v>
      </c>
      <c r="E53" s="13">
        <v>14042.6</v>
      </c>
      <c r="F53" s="13"/>
      <c r="G53" s="15">
        <f t="shared" si="3"/>
        <v>2137952.6785702808</v>
      </c>
    </row>
    <row r="54" spans="1:10" s="152" customFormat="1" x14ac:dyDescent="0.2">
      <c r="A54" s="118">
        <v>21</v>
      </c>
      <c r="B54" s="892" t="s">
        <v>30</v>
      </c>
      <c r="C54" s="12">
        <v>1</v>
      </c>
      <c r="D54" s="13">
        <v>786.04000000000008</v>
      </c>
      <c r="E54" s="25">
        <v>546.95000000000005</v>
      </c>
      <c r="F54" s="25"/>
      <c r="G54" s="15">
        <f t="shared" si="3"/>
        <v>429924.5780000001</v>
      </c>
    </row>
    <row r="55" spans="1:10" s="152" customFormat="1" ht="30" x14ac:dyDescent="0.2">
      <c r="A55" s="118">
        <v>22</v>
      </c>
      <c r="B55" s="892" t="s">
        <v>31</v>
      </c>
      <c r="C55" s="26">
        <v>100</v>
      </c>
      <c r="D55" s="13">
        <v>1796.0099999999998</v>
      </c>
      <c r="E55" s="25">
        <v>30006.1</v>
      </c>
      <c r="F55" s="25"/>
      <c r="G55" s="15">
        <f t="shared" si="3"/>
        <v>538912.55660999985</v>
      </c>
    </row>
    <row r="56" spans="1:10" s="152" customFormat="1" x14ac:dyDescent="0.2">
      <c r="A56" s="44">
        <v>23</v>
      </c>
      <c r="B56" s="892" t="s">
        <v>32</v>
      </c>
      <c r="C56" s="24">
        <v>1</v>
      </c>
      <c r="D56" s="13">
        <v>457</v>
      </c>
      <c r="E56" s="25">
        <v>115.4</v>
      </c>
      <c r="F56" s="25"/>
      <c r="G56" s="15">
        <f t="shared" si="3"/>
        <v>52737.8</v>
      </c>
    </row>
    <row r="57" spans="1:10" s="152" customFormat="1" x14ac:dyDescent="0.2">
      <c r="A57" s="44">
        <v>24</v>
      </c>
      <c r="B57" s="892" t="s">
        <v>33</v>
      </c>
      <c r="C57" s="27">
        <v>1</v>
      </c>
      <c r="D57" s="13">
        <v>457</v>
      </c>
      <c r="E57" s="25">
        <v>141.9</v>
      </c>
      <c r="F57" s="25"/>
      <c r="G57" s="15">
        <f t="shared" si="3"/>
        <v>64848.3</v>
      </c>
    </row>
    <row r="58" spans="1:10" s="152" customFormat="1" x14ac:dyDescent="0.2">
      <c r="A58" s="44">
        <v>25</v>
      </c>
      <c r="B58" s="892" t="s">
        <v>34</v>
      </c>
      <c r="C58" s="19">
        <v>100</v>
      </c>
      <c r="D58" s="13">
        <v>1599.5</v>
      </c>
      <c r="E58" s="25">
        <v>4307.55</v>
      </c>
      <c r="F58" s="25"/>
      <c r="G58" s="15">
        <f t="shared" si="3"/>
        <v>68899.26225</v>
      </c>
    </row>
    <row r="59" spans="1:10" s="152" customFormat="1" x14ac:dyDescent="0.2">
      <c r="A59" s="44">
        <v>26</v>
      </c>
      <c r="B59" s="892" t="s">
        <v>35</v>
      </c>
      <c r="C59" s="24">
        <v>1</v>
      </c>
      <c r="D59" s="13">
        <v>4570</v>
      </c>
      <c r="E59" s="25">
        <v>30.5</v>
      </c>
      <c r="F59" s="25"/>
      <c r="G59" s="15">
        <f t="shared" si="3"/>
        <v>139385</v>
      </c>
    </row>
    <row r="60" spans="1:10" s="152" customFormat="1" ht="30" x14ac:dyDescent="0.2">
      <c r="A60" s="118">
        <v>27</v>
      </c>
      <c r="B60" s="884" t="s">
        <v>328</v>
      </c>
      <c r="C60" s="179">
        <v>1000</v>
      </c>
      <c r="D60" s="13">
        <v>245</v>
      </c>
      <c r="E60" s="25">
        <v>546.95000000000005</v>
      </c>
      <c r="F60" s="25"/>
      <c r="G60" s="15">
        <f t="shared" si="3"/>
        <v>134.00274999999999</v>
      </c>
    </row>
    <row r="61" spans="1:10" s="152" customFormat="1" ht="30" x14ac:dyDescent="0.2">
      <c r="A61" s="118">
        <v>28</v>
      </c>
      <c r="B61" s="884" t="s">
        <v>329</v>
      </c>
      <c r="C61" s="895">
        <v>100</v>
      </c>
      <c r="D61" s="13">
        <v>367.5</v>
      </c>
      <c r="E61" s="25">
        <v>30006.1</v>
      </c>
      <c r="F61" s="25"/>
      <c r="G61" s="15">
        <f t="shared" si="3"/>
        <v>110272.4175</v>
      </c>
    </row>
    <row r="62" spans="1:10" s="152" customFormat="1" ht="45" x14ac:dyDescent="0.2">
      <c r="A62" s="44">
        <v>29</v>
      </c>
      <c r="B62" s="884" t="s">
        <v>330</v>
      </c>
      <c r="C62" s="896">
        <v>1</v>
      </c>
      <c r="D62" s="13">
        <v>560</v>
      </c>
      <c r="E62" s="25">
        <v>115.4</v>
      </c>
      <c r="F62" s="25"/>
      <c r="G62" s="15">
        <f t="shared" si="3"/>
        <v>64624</v>
      </c>
    </row>
    <row r="63" spans="1:10" s="152" customFormat="1" ht="30" x14ac:dyDescent="0.2">
      <c r="A63" s="44">
        <v>30</v>
      </c>
      <c r="B63" s="884" t="s">
        <v>331</v>
      </c>
      <c r="C63" s="895">
        <v>100</v>
      </c>
      <c r="D63" s="13">
        <v>323.40000000000003</v>
      </c>
      <c r="E63" s="25">
        <v>141.9</v>
      </c>
      <c r="F63" s="25"/>
      <c r="G63" s="15">
        <f t="shared" si="3"/>
        <v>458.90460000000007</v>
      </c>
    </row>
    <row r="64" spans="1:10" ht="15.75" x14ac:dyDescent="0.2">
      <c r="A64" s="127">
        <v>31</v>
      </c>
      <c r="B64" s="897" t="s">
        <v>333</v>
      </c>
      <c r="C64" s="898">
        <v>100</v>
      </c>
      <c r="D64" s="13">
        <v>1823.0675000000001</v>
      </c>
      <c r="E64" s="25">
        <v>2633.4</v>
      </c>
      <c r="F64" s="25"/>
      <c r="G64" s="15">
        <f t="shared" si="3"/>
        <v>48008.659545000002</v>
      </c>
    </row>
    <row r="65" spans="1:11" ht="45" x14ac:dyDescent="0.2">
      <c r="A65" s="127">
        <v>32</v>
      </c>
      <c r="B65" s="897" t="s">
        <v>57</v>
      </c>
      <c r="C65" s="12">
        <v>100</v>
      </c>
      <c r="D65" s="13">
        <v>4635</v>
      </c>
      <c r="E65" s="25">
        <v>4017.8</v>
      </c>
      <c r="F65" s="25"/>
      <c r="G65" s="15">
        <f t="shared" si="3"/>
        <v>186225.03</v>
      </c>
      <c r="I65" s="882"/>
    </row>
    <row r="66" spans="1:11" ht="30" x14ac:dyDescent="0.2">
      <c r="A66" s="127">
        <v>33</v>
      </c>
      <c r="B66" s="897" t="s">
        <v>336</v>
      </c>
      <c r="C66" s="12">
        <v>100</v>
      </c>
      <c r="D66" s="13">
        <v>13340.27</v>
      </c>
      <c r="E66" s="25">
        <v>27086.400000000001</v>
      </c>
      <c r="F66" s="25"/>
      <c r="G66" s="15">
        <f t="shared" si="3"/>
        <v>3613398.89328</v>
      </c>
    </row>
    <row r="67" spans="1:11" s="887" customFormat="1" ht="60" x14ac:dyDescent="0.2">
      <c r="A67" s="118">
        <v>34</v>
      </c>
      <c r="B67" s="884" t="s">
        <v>39</v>
      </c>
      <c r="C67" s="12">
        <v>1000</v>
      </c>
      <c r="D67" s="13">
        <v>588089.4261981172</v>
      </c>
      <c r="E67" s="14">
        <v>12735.6</v>
      </c>
      <c r="F67" s="14"/>
      <c r="G67" s="15">
        <f t="shared" si="3"/>
        <v>7489671.6962887421</v>
      </c>
      <c r="H67" s="894">
        <f>SUM(G67:G181)</f>
        <v>704518649.62020278</v>
      </c>
      <c r="J67" s="886">
        <v>63826446.624435835</v>
      </c>
      <c r="K67" s="894"/>
    </row>
    <row r="68" spans="1:11" s="887" customFormat="1" ht="60" x14ac:dyDescent="0.2">
      <c r="A68" s="122">
        <v>35</v>
      </c>
      <c r="B68" s="884" t="s">
        <v>98</v>
      </c>
      <c r="C68" s="29">
        <v>100</v>
      </c>
      <c r="D68" s="13">
        <v>1015459.2095243642</v>
      </c>
      <c r="E68" s="14">
        <v>30376.9</v>
      </c>
      <c r="F68" s="14"/>
      <c r="G68" s="15">
        <f t="shared" si="3"/>
        <v>308465028.61800659</v>
      </c>
      <c r="H68" s="877" t="e">
        <f>#REF!*37</f>
        <v>#REF!</v>
      </c>
      <c r="I68" s="877"/>
    </row>
    <row r="69" spans="1:11" ht="75.75" x14ac:dyDescent="0.2">
      <c r="A69" s="44">
        <v>36</v>
      </c>
      <c r="B69" s="884" t="s">
        <v>41</v>
      </c>
      <c r="C69" s="12"/>
      <c r="D69" s="13">
        <v>0</v>
      </c>
      <c r="E69" s="893"/>
      <c r="F69" s="893"/>
      <c r="G69" s="893"/>
    </row>
    <row r="70" spans="1:11" ht="60" x14ac:dyDescent="0.2">
      <c r="A70" s="44" t="s">
        <v>42</v>
      </c>
      <c r="B70" s="884" t="s">
        <v>43</v>
      </c>
      <c r="C70" s="12">
        <v>1</v>
      </c>
      <c r="D70" s="13">
        <v>174842.05310147052</v>
      </c>
      <c r="E70" s="14">
        <v>817.55</v>
      </c>
      <c r="F70" s="14"/>
      <c r="G70" s="15">
        <f t="shared" ref="G70:G80" si="4">E70*D70/C70</f>
        <v>142942120.51310721</v>
      </c>
      <c r="H70" s="882"/>
    </row>
    <row r="71" spans="1:11" ht="60" x14ac:dyDescent="0.2">
      <c r="A71" s="44" t="s">
        <v>44</v>
      </c>
      <c r="B71" s="884" t="s">
        <v>45</v>
      </c>
      <c r="C71" s="12">
        <v>1</v>
      </c>
      <c r="D71" s="13">
        <v>77484.511800000007</v>
      </c>
      <c r="E71" s="14">
        <v>670.5</v>
      </c>
      <c r="F71" s="14"/>
      <c r="G71" s="15">
        <f t="shared" si="4"/>
        <v>51953365.161900006</v>
      </c>
      <c r="H71" s="882"/>
    </row>
    <row r="72" spans="1:11" ht="30" x14ac:dyDescent="0.2">
      <c r="A72" s="44">
        <v>37</v>
      </c>
      <c r="B72" s="902" t="s">
        <v>71</v>
      </c>
      <c r="C72" s="31">
        <v>1</v>
      </c>
      <c r="D72" s="13">
        <v>6423.48</v>
      </c>
      <c r="E72" s="14">
        <v>809.4</v>
      </c>
      <c r="F72" s="14"/>
      <c r="G72" s="15">
        <f t="shared" si="4"/>
        <v>5199164.7119999994</v>
      </c>
      <c r="H72" s="882"/>
    </row>
    <row r="73" spans="1:11" ht="30" x14ac:dyDescent="0.2">
      <c r="A73" s="44">
        <v>38</v>
      </c>
      <c r="B73" s="884" t="s">
        <v>46</v>
      </c>
      <c r="C73" s="19">
        <v>100</v>
      </c>
      <c r="D73" s="13">
        <v>99728.813576470522</v>
      </c>
      <c r="E73" s="25">
        <v>1645.1</v>
      </c>
      <c r="F73" s="25"/>
      <c r="G73" s="15">
        <f t="shared" si="4"/>
        <v>1640638.7121465164</v>
      </c>
      <c r="H73" s="882"/>
    </row>
    <row r="74" spans="1:11" s="887" customFormat="1" ht="30" x14ac:dyDescent="0.2">
      <c r="A74" s="44">
        <v>39</v>
      </c>
      <c r="B74" s="884" t="s">
        <v>111</v>
      </c>
      <c r="C74" s="36">
        <v>1</v>
      </c>
      <c r="D74" s="13">
        <v>11417</v>
      </c>
      <c r="E74" s="25">
        <v>514.9</v>
      </c>
      <c r="F74" s="25"/>
      <c r="G74" s="15">
        <f t="shared" si="4"/>
        <v>5878613.2999999998</v>
      </c>
      <c r="H74" s="877" t="e">
        <f>#REF!*37</f>
        <v>#REF!</v>
      </c>
      <c r="I74" s="877"/>
    </row>
    <row r="75" spans="1:11" s="887" customFormat="1" x14ac:dyDescent="0.2">
      <c r="A75" s="121">
        <v>40</v>
      </c>
      <c r="B75" s="904" t="s">
        <v>87</v>
      </c>
      <c r="C75" s="36">
        <v>1</v>
      </c>
      <c r="D75" s="13">
        <v>48</v>
      </c>
      <c r="E75" s="33">
        <v>378.75</v>
      </c>
      <c r="F75" s="33"/>
      <c r="G75" s="15">
        <f t="shared" si="4"/>
        <v>18180</v>
      </c>
    </row>
    <row r="76" spans="1:11" ht="30" x14ac:dyDescent="0.2">
      <c r="A76" s="44">
        <v>41</v>
      </c>
      <c r="B76" s="884" t="s">
        <v>47</v>
      </c>
      <c r="C76" s="31">
        <v>1</v>
      </c>
      <c r="D76" s="13">
        <v>169.5</v>
      </c>
      <c r="E76" s="25">
        <v>303.8</v>
      </c>
      <c r="F76" s="25"/>
      <c r="G76" s="15">
        <f t="shared" si="4"/>
        <v>51494.1</v>
      </c>
    </row>
    <row r="77" spans="1:11" ht="75" x14ac:dyDescent="0.2">
      <c r="A77" s="44">
        <v>41</v>
      </c>
      <c r="B77" s="884" t="s">
        <v>164</v>
      </c>
      <c r="C77" s="36">
        <v>1</v>
      </c>
      <c r="D77" s="13">
        <v>624</v>
      </c>
      <c r="E77" s="13">
        <v>2150.35</v>
      </c>
      <c r="F77" s="13"/>
      <c r="G77" s="15">
        <f t="shared" si="4"/>
        <v>1341818.3999999999</v>
      </c>
    </row>
    <row r="78" spans="1:11" s="887" customFormat="1" ht="90" x14ac:dyDescent="0.2">
      <c r="A78" s="44">
        <v>43</v>
      </c>
      <c r="B78" s="897" t="s">
        <v>422</v>
      </c>
      <c r="C78" s="12">
        <v>100</v>
      </c>
      <c r="D78" s="13">
        <v>4715</v>
      </c>
      <c r="E78" s="14">
        <v>10003.5</v>
      </c>
      <c r="F78" s="14"/>
      <c r="G78" s="15">
        <f t="shared" si="4"/>
        <v>471665.02500000002</v>
      </c>
      <c r="H78" s="894"/>
    </row>
    <row r="79" spans="1:11" s="887" customFormat="1" ht="75" x14ac:dyDescent="0.2">
      <c r="A79" s="44">
        <v>44</v>
      </c>
      <c r="B79" s="897" t="s">
        <v>423</v>
      </c>
      <c r="C79" s="12">
        <v>100</v>
      </c>
      <c r="D79" s="13">
        <v>2615</v>
      </c>
      <c r="E79" s="14">
        <v>13527.4</v>
      </c>
      <c r="F79" s="14"/>
      <c r="G79" s="15">
        <f t="shared" si="4"/>
        <v>353741.51</v>
      </c>
    </row>
    <row r="80" spans="1:11" s="887" customFormat="1" ht="30" x14ac:dyDescent="0.2">
      <c r="A80" s="44">
        <v>45</v>
      </c>
      <c r="B80" s="897" t="s">
        <v>50</v>
      </c>
      <c r="C80" s="31">
        <v>1</v>
      </c>
      <c r="D80" s="13">
        <v>700</v>
      </c>
      <c r="E80" s="14">
        <v>64.2</v>
      </c>
      <c r="F80" s="14"/>
      <c r="G80" s="15">
        <f t="shared" si="4"/>
        <v>44940</v>
      </c>
    </row>
    <row r="81" spans="1:13" s="887" customFormat="1" ht="75" x14ac:dyDescent="0.2">
      <c r="A81" s="44">
        <v>46</v>
      </c>
      <c r="B81" s="897" t="s">
        <v>392</v>
      </c>
      <c r="C81" s="19"/>
      <c r="D81" s="13">
        <v>0</v>
      </c>
      <c r="E81" s="14"/>
      <c r="F81" s="14"/>
      <c r="G81" s="14"/>
    </row>
    <row r="82" spans="1:13" s="887" customFormat="1" ht="30" x14ac:dyDescent="0.2">
      <c r="A82" s="44" t="s">
        <v>51</v>
      </c>
      <c r="B82" s="897" t="s">
        <v>52</v>
      </c>
      <c r="C82" s="19">
        <v>100</v>
      </c>
      <c r="D82" s="13">
        <v>5230</v>
      </c>
      <c r="E82" s="25">
        <v>4549.95</v>
      </c>
      <c r="F82" s="25"/>
      <c r="G82" s="15">
        <f t="shared" ref="G82:G88" si="5">E82*D82/C82</f>
        <v>237962.38500000001</v>
      </c>
    </row>
    <row r="83" spans="1:13" s="887" customFormat="1" ht="30" x14ac:dyDescent="0.2">
      <c r="A83" s="44" t="s">
        <v>53</v>
      </c>
      <c r="B83" s="897" t="s">
        <v>54</v>
      </c>
      <c r="C83" s="19">
        <v>100</v>
      </c>
      <c r="D83" s="13">
        <v>5230</v>
      </c>
      <c r="E83" s="25">
        <v>2639.45</v>
      </c>
      <c r="F83" s="25"/>
      <c r="G83" s="15">
        <f t="shared" si="5"/>
        <v>138043.23499999999</v>
      </c>
    </row>
    <row r="84" spans="1:13" s="887" customFormat="1" ht="30" x14ac:dyDescent="0.2">
      <c r="A84" s="44" t="s">
        <v>55</v>
      </c>
      <c r="B84" s="897" t="s">
        <v>56</v>
      </c>
      <c r="C84" s="19">
        <v>100</v>
      </c>
      <c r="D84" s="13">
        <v>5230</v>
      </c>
      <c r="E84" s="25">
        <v>1960.75</v>
      </c>
      <c r="F84" s="25"/>
      <c r="G84" s="15">
        <f t="shared" si="5"/>
        <v>102547.22500000001</v>
      </c>
    </row>
    <row r="85" spans="1:13" s="887" customFormat="1" x14ac:dyDescent="0.2">
      <c r="A85" s="120">
        <v>47</v>
      </c>
      <c r="B85" s="905" t="s">
        <v>419</v>
      </c>
      <c r="C85" s="12">
        <v>1000</v>
      </c>
      <c r="D85" s="13">
        <v>123165</v>
      </c>
      <c r="E85" s="25">
        <v>10533.6</v>
      </c>
      <c r="F85" s="25"/>
      <c r="G85" s="15">
        <f t="shared" si="5"/>
        <v>1297370.844</v>
      </c>
    </row>
    <row r="86" spans="1:13" s="887" customFormat="1" x14ac:dyDescent="0.2">
      <c r="A86" s="121">
        <v>48</v>
      </c>
      <c r="B86" s="884" t="s">
        <v>88</v>
      </c>
      <c r="C86" s="19">
        <v>100</v>
      </c>
      <c r="D86" s="13">
        <v>15594.5</v>
      </c>
      <c r="E86" s="25">
        <v>4850.3999999999996</v>
      </c>
      <c r="F86" s="25"/>
      <c r="G86" s="15">
        <f t="shared" si="5"/>
        <v>756395.62800000003</v>
      </c>
    </row>
    <row r="87" spans="1:13" s="887" customFormat="1" x14ac:dyDescent="0.2">
      <c r="A87" s="121">
        <v>49</v>
      </c>
      <c r="B87" s="904" t="s">
        <v>168</v>
      </c>
      <c r="C87" s="12">
        <v>100</v>
      </c>
      <c r="D87" s="13">
        <v>2100</v>
      </c>
      <c r="E87" s="13">
        <v>13527.4</v>
      </c>
      <c r="F87" s="13"/>
      <c r="G87" s="15">
        <f t="shared" si="5"/>
        <v>284075.40000000002</v>
      </c>
    </row>
    <row r="88" spans="1:13" s="887" customFormat="1" ht="75" x14ac:dyDescent="0.2">
      <c r="A88" s="121">
        <v>50</v>
      </c>
      <c r="B88" s="904" t="s">
        <v>169</v>
      </c>
      <c r="C88" s="19">
        <v>100</v>
      </c>
      <c r="D88" s="13">
        <v>2800</v>
      </c>
      <c r="E88" s="40">
        <v>4549.95</v>
      </c>
      <c r="F88" s="40"/>
      <c r="G88" s="15">
        <f t="shared" si="5"/>
        <v>127398.6</v>
      </c>
    </row>
    <row r="89" spans="1:13" s="887" customFormat="1" ht="30" x14ac:dyDescent="0.2">
      <c r="A89" s="121">
        <v>51</v>
      </c>
      <c r="B89" s="904" t="s">
        <v>165</v>
      </c>
      <c r="C89" s="35" t="s">
        <v>166</v>
      </c>
      <c r="D89" s="13">
        <v>304.64</v>
      </c>
      <c r="E89" s="33">
        <v>72</v>
      </c>
      <c r="F89" s="33"/>
      <c r="G89" s="15">
        <f>E89*D89</f>
        <v>21934.079999999998</v>
      </c>
    </row>
    <row r="90" spans="1:13" s="887" customFormat="1" ht="30" x14ac:dyDescent="0.2">
      <c r="A90" s="44">
        <v>52</v>
      </c>
      <c r="B90" s="884" t="s">
        <v>385</v>
      </c>
      <c r="C90" s="12">
        <v>1</v>
      </c>
      <c r="D90" s="13">
        <v>202.95000000000002</v>
      </c>
      <c r="E90" s="25">
        <v>17752.2</v>
      </c>
      <c r="F90" s="25"/>
      <c r="G90" s="15">
        <f t="shared" ref="G90:G95" si="6">E90*D90/C90</f>
        <v>3602808.99</v>
      </c>
    </row>
    <row r="91" spans="1:13" s="887" customFormat="1" x14ac:dyDescent="0.2">
      <c r="A91" s="121">
        <v>53</v>
      </c>
      <c r="B91" s="906" t="s">
        <v>424</v>
      </c>
      <c r="C91" s="29">
        <v>1</v>
      </c>
      <c r="D91" s="13">
        <v>-26974.04</v>
      </c>
      <c r="E91" s="30">
        <v>170</v>
      </c>
      <c r="F91" s="30"/>
      <c r="G91" s="15">
        <f t="shared" si="6"/>
        <v>-4585586.8</v>
      </c>
      <c r="L91" s="877">
        <f>I92-H92</f>
        <v>-323045052.04827404</v>
      </c>
    </row>
    <row r="92" spans="1:13" s="887" customFormat="1" x14ac:dyDescent="0.2">
      <c r="A92" s="121">
        <v>54</v>
      </c>
      <c r="B92" s="906" t="s">
        <v>425</v>
      </c>
      <c r="C92" s="405">
        <v>100</v>
      </c>
      <c r="D92" s="13">
        <v>-1823.07</v>
      </c>
      <c r="E92" s="30">
        <v>4100</v>
      </c>
      <c r="F92" s="30"/>
      <c r="G92" s="15">
        <f t="shared" si="6"/>
        <v>-74745.87</v>
      </c>
      <c r="H92" s="894">
        <f>SUM(G64:G92)</f>
        <v>531606278.04827404</v>
      </c>
      <c r="I92" s="886">
        <v>208561226</v>
      </c>
      <c r="J92" s="877">
        <f>I92-H92</f>
        <v>-323045052.04827404</v>
      </c>
      <c r="L92" s="877">
        <f>L91+M96</f>
        <v>-326079072.54057777</v>
      </c>
    </row>
    <row r="93" spans="1:13" s="887" customFormat="1" x14ac:dyDescent="0.2">
      <c r="A93" s="118">
        <v>55</v>
      </c>
      <c r="B93" s="884" t="s">
        <v>66</v>
      </c>
      <c r="C93" s="12">
        <v>1000</v>
      </c>
      <c r="D93" s="13">
        <v>333466.16890399996</v>
      </c>
      <c r="E93" s="14">
        <v>12038.4</v>
      </c>
      <c r="F93" s="14"/>
      <c r="G93" s="15">
        <f t="shared" si="6"/>
        <v>4014399.1277339128</v>
      </c>
      <c r="H93" s="894"/>
      <c r="J93" s="886">
        <v>36383456.567040272</v>
      </c>
    </row>
    <row r="94" spans="1:13" s="887" customFormat="1" ht="30" x14ac:dyDescent="0.2">
      <c r="A94" s="44">
        <v>46</v>
      </c>
      <c r="B94" s="884" t="s">
        <v>70</v>
      </c>
      <c r="C94" s="12">
        <v>100</v>
      </c>
      <c r="D94" s="13">
        <v>13799.150000000001</v>
      </c>
      <c r="E94" s="25">
        <v>35727</v>
      </c>
      <c r="F94" s="25"/>
      <c r="G94" s="15">
        <f t="shared" si="6"/>
        <v>4930022.3205000004</v>
      </c>
      <c r="H94" s="894"/>
    </row>
    <row r="95" spans="1:13" s="887" customFormat="1" x14ac:dyDescent="0.2">
      <c r="A95" s="44">
        <v>57</v>
      </c>
      <c r="B95" s="907" t="s">
        <v>72</v>
      </c>
      <c r="C95" s="34">
        <v>1</v>
      </c>
      <c r="D95" s="13">
        <v>1670</v>
      </c>
      <c r="E95" s="14">
        <v>1381</v>
      </c>
      <c r="F95" s="14"/>
      <c r="G95" s="15">
        <f t="shared" si="6"/>
        <v>2306270</v>
      </c>
    </row>
    <row r="96" spans="1:13" s="887" customFormat="1" ht="15.75" x14ac:dyDescent="0.2">
      <c r="A96" s="127">
        <v>58</v>
      </c>
      <c r="B96" s="884" t="s">
        <v>158</v>
      </c>
      <c r="C96" s="12">
        <v>100</v>
      </c>
      <c r="D96" s="13">
        <v>93240</v>
      </c>
      <c r="E96" s="25">
        <v>3762</v>
      </c>
      <c r="F96" s="25"/>
      <c r="G96" s="15">
        <v>3507688.8</v>
      </c>
      <c r="H96" s="886">
        <v>89611262</v>
      </c>
      <c r="I96" s="894">
        <f>SUM(G96:G110)</f>
        <v>92645282.492303729</v>
      </c>
      <c r="J96" s="877">
        <f>I96-H96</f>
        <v>3034020.4923037291</v>
      </c>
      <c r="M96" s="877">
        <f>H96-I96</f>
        <v>-3034020.4923037291</v>
      </c>
    </row>
    <row r="97" spans="1:11" s="887" customFormat="1" ht="30" x14ac:dyDescent="0.2">
      <c r="A97" s="118">
        <v>59</v>
      </c>
      <c r="B97" s="884" t="s">
        <v>159</v>
      </c>
      <c r="C97" s="12">
        <v>100</v>
      </c>
      <c r="D97" s="13">
        <v>126000</v>
      </c>
      <c r="E97" s="25">
        <v>4743.75</v>
      </c>
      <c r="F97" s="25"/>
      <c r="G97" s="15">
        <f t="shared" ref="G97:G107" si="7">E97*D97/C97</f>
        <v>5977125</v>
      </c>
      <c r="K97" s="877">
        <f>J96+J92</f>
        <v>-320011031.55597031</v>
      </c>
    </row>
    <row r="98" spans="1:11" s="887" customFormat="1" ht="30" x14ac:dyDescent="0.2">
      <c r="A98" s="118">
        <v>60</v>
      </c>
      <c r="B98" s="884" t="s">
        <v>75</v>
      </c>
      <c r="C98" s="12">
        <v>100</v>
      </c>
      <c r="D98" s="13">
        <v>50517.799999999988</v>
      </c>
      <c r="E98" s="25">
        <v>6849</v>
      </c>
      <c r="F98" s="25"/>
      <c r="G98" s="15">
        <f t="shared" si="7"/>
        <v>3459964.1219999995</v>
      </c>
    </row>
    <row r="99" spans="1:11" s="887" customFormat="1" x14ac:dyDescent="0.2">
      <c r="A99" s="44">
        <v>61</v>
      </c>
      <c r="B99" s="883" t="s">
        <v>76</v>
      </c>
      <c r="C99" s="19">
        <v>100</v>
      </c>
      <c r="D99" s="13">
        <v>94646.546860000017</v>
      </c>
      <c r="E99" s="25">
        <v>2265.1</v>
      </c>
      <c r="F99" s="25"/>
      <c r="G99" s="15">
        <f t="shared" si="7"/>
        <v>2143838.9329258604</v>
      </c>
    </row>
    <row r="100" spans="1:11" s="887" customFormat="1" x14ac:dyDescent="0.2">
      <c r="A100" s="44">
        <v>62</v>
      </c>
      <c r="B100" s="883" t="s">
        <v>77</v>
      </c>
      <c r="C100" s="19">
        <v>100</v>
      </c>
      <c r="D100" s="13">
        <v>15600.14</v>
      </c>
      <c r="E100" s="25">
        <v>1660.5</v>
      </c>
      <c r="F100" s="25"/>
      <c r="G100" s="15">
        <f t="shared" si="7"/>
        <v>259040.3247</v>
      </c>
    </row>
    <row r="101" spans="1:11" s="887" customFormat="1" x14ac:dyDescent="0.2">
      <c r="A101" s="118">
        <v>63</v>
      </c>
      <c r="B101" s="884" t="s">
        <v>78</v>
      </c>
      <c r="C101" s="12">
        <v>100</v>
      </c>
      <c r="D101" s="13">
        <v>32048.504830399994</v>
      </c>
      <c r="E101" s="25">
        <v>18564.099999999999</v>
      </c>
      <c r="F101" s="25"/>
      <c r="G101" s="15">
        <f t="shared" si="7"/>
        <v>5949516.4852202842</v>
      </c>
    </row>
    <row r="102" spans="1:11" s="887" customFormat="1" x14ac:dyDescent="0.2">
      <c r="A102" s="118">
        <v>64</v>
      </c>
      <c r="B102" s="884" t="s">
        <v>79</v>
      </c>
      <c r="C102" s="12">
        <v>100</v>
      </c>
      <c r="D102" s="13">
        <v>32048.504830399994</v>
      </c>
      <c r="E102" s="25">
        <v>18564.099999999999</v>
      </c>
      <c r="F102" s="25"/>
      <c r="G102" s="15">
        <f t="shared" si="7"/>
        <v>5949516.4852202842</v>
      </c>
    </row>
    <row r="103" spans="1:11" s="887" customFormat="1" x14ac:dyDescent="0.2">
      <c r="A103" s="118">
        <v>65</v>
      </c>
      <c r="B103" s="884" t="s">
        <v>80</v>
      </c>
      <c r="C103" s="12">
        <v>100</v>
      </c>
      <c r="D103" s="13">
        <v>5305.0890000000009</v>
      </c>
      <c r="E103" s="25">
        <v>18017.599999999999</v>
      </c>
      <c r="F103" s="25"/>
      <c r="G103" s="15">
        <f t="shared" si="7"/>
        <v>955849.71566400002</v>
      </c>
    </row>
    <row r="104" spans="1:11" s="887" customFormat="1" x14ac:dyDescent="0.2">
      <c r="A104" s="118">
        <v>66</v>
      </c>
      <c r="B104" s="884" t="s">
        <v>81</v>
      </c>
      <c r="C104" s="12">
        <v>100</v>
      </c>
      <c r="D104" s="13">
        <v>5305.0890000000009</v>
      </c>
      <c r="E104" s="25">
        <v>18017.599999999999</v>
      </c>
      <c r="F104" s="25"/>
      <c r="G104" s="15">
        <f t="shared" si="7"/>
        <v>955849.71566400002</v>
      </c>
    </row>
    <row r="105" spans="1:11" s="887" customFormat="1" x14ac:dyDescent="0.2">
      <c r="A105" s="118">
        <v>67</v>
      </c>
      <c r="B105" s="884" t="s">
        <v>82</v>
      </c>
      <c r="C105" s="12">
        <v>100</v>
      </c>
      <c r="D105" s="13">
        <v>97109.842880000026</v>
      </c>
      <c r="E105" s="25">
        <v>11511</v>
      </c>
      <c r="F105" s="25"/>
      <c r="G105" s="15">
        <f t="shared" si="7"/>
        <v>11178314.013916802</v>
      </c>
    </row>
    <row r="106" spans="1:11" s="887" customFormat="1" x14ac:dyDescent="0.2">
      <c r="A106" s="118">
        <v>68</v>
      </c>
      <c r="B106" s="884" t="s">
        <v>83</v>
      </c>
      <c r="C106" s="12">
        <v>100</v>
      </c>
      <c r="D106" s="13">
        <v>15372.419999999998</v>
      </c>
      <c r="E106" s="25">
        <v>10570.5</v>
      </c>
      <c r="F106" s="25"/>
      <c r="G106" s="15">
        <f t="shared" si="7"/>
        <v>1624941.6560999998</v>
      </c>
    </row>
    <row r="107" spans="1:11" s="887" customFormat="1" ht="30" x14ac:dyDescent="0.2">
      <c r="A107" s="118">
        <v>69</v>
      </c>
      <c r="B107" s="908" t="s">
        <v>84</v>
      </c>
      <c r="C107" s="12">
        <v>100</v>
      </c>
      <c r="D107" s="13">
        <v>364527.73397300002</v>
      </c>
      <c r="E107" s="25">
        <v>14042.6</v>
      </c>
      <c r="F107" s="25"/>
      <c r="G107" s="15">
        <f t="shared" si="7"/>
        <v>51189171.570892505</v>
      </c>
    </row>
    <row r="108" spans="1:11" s="887" customFormat="1" x14ac:dyDescent="0.2">
      <c r="A108" s="990">
        <v>70</v>
      </c>
      <c r="B108" s="883" t="s">
        <v>334</v>
      </c>
      <c r="C108" s="12"/>
      <c r="D108" s="13">
        <v>0</v>
      </c>
      <c r="E108" s="12"/>
      <c r="F108" s="12"/>
      <c r="G108" s="15" t="s">
        <v>440</v>
      </c>
    </row>
    <row r="109" spans="1:11" s="887" customFormat="1" x14ac:dyDescent="0.2">
      <c r="A109" s="991"/>
      <c r="B109" s="883" t="s">
        <v>337</v>
      </c>
      <c r="C109" s="29">
        <v>1</v>
      </c>
      <c r="D109" s="13">
        <v>2535</v>
      </c>
      <c r="E109" s="25">
        <v>-170</v>
      </c>
      <c r="F109" s="25"/>
      <c r="G109" s="15">
        <f t="shared" ref="G109:G115" si="8">E109*D109/C109</f>
        <v>-430950</v>
      </c>
    </row>
    <row r="110" spans="1:11" s="887" customFormat="1" x14ac:dyDescent="0.2">
      <c r="A110" s="992"/>
      <c r="B110" s="883" t="s">
        <v>335</v>
      </c>
      <c r="C110" s="12">
        <v>100</v>
      </c>
      <c r="D110" s="13">
        <v>1819.13</v>
      </c>
      <c r="E110" s="25">
        <v>-4100</v>
      </c>
      <c r="F110" s="25"/>
      <c r="G110" s="15">
        <f t="shared" si="8"/>
        <v>-74584.33</v>
      </c>
      <c r="H110" s="894">
        <f>SUM(G111:G154)</f>
        <v>55936171.433729991</v>
      </c>
      <c r="I110" s="886">
        <f>1364663*37</f>
        <v>50492531</v>
      </c>
    </row>
    <row r="111" spans="1:11" s="887" customFormat="1" ht="45" x14ac:dyDescent="0.2">
      <c r="A111" s="118">
        <v>71</v>
      </c>
      <c r="B111" s="884" t="s">
        <v>90</v>
      </c>
      <c r="C111" s="12">
        <v>1000</v>
      </c>
      <c r="D111" s="13">
        <v>20161.000607832604</v>
      </c>
      <c r="E111" s="14">
        <v>15824.15</v>
      </c>
      <c r="F111" s="14"/>
      <c r="G111" s="15">
        <f t="shared" si="8"/>
        <v>319030.6977684343</v>
      </c>
      <c r="H111" s="877" t="e">
        <f>#REF!*37</f>
        <v>#REF!</v>
      </c>
      <c r="I111" s="877" t="e">
        <f>D111-H111</f>
        <v>#REF!</v>
      </c>
      <c r="J111" s="894">
        <f>SUM(G111:G154)</f>
        <v>55936171.433729991</v>
      </c>
    </row>
    <row r="112" spans="1:11" s="887" customFormat="1" ht="60" x14ac:dyDescent="0.2">
      <c r="A112" s="118">
        <v>72</v>
      </c>
      <c r="B112" s="908" t="s">
        <v>91</v>
      </c>
      <c r="C112" s="19">
        <v>1</v>
      </c>
      <c r="D112" s="13">
        <v>18814.5</v>
      </c>
      <c r="E112" s="25">
        <v>12.55</v>
      </c>
      <c r="F112" s="25"/>
      <c r="G112" s="15">
        <f t="shared" si="8"/>
        <v>236121.97500000001</v>
      </c>
      <c r="H112" s="877" t="e">
        <f>#REF!*37</f>
        <v>#REF!</v>
      </c>
      <c r="I112" s="877" t="e">
        <f t="shared" ref="I112:I154" si="9">D112-H112</f>
        <v>#REF!</v>
      </c>
    </row>
    <row r="113" spans="1:10" s="887" customFormat="1" ht="45" x14ac:dyDescent="0.2">
      <c r="A113" s="44">
        <v>73</v>
      </c>
      <c r="B113" s="884" t="s">
        <v>93</v>
      </c>
      <c r="C113" s="19">
        <v>100</v>
      </c>
      <c r="D113" s="13">
        <v>13211.49</v>
      </c>
      <c r="E113" s="14">
        <v>7607.35</v>
      </c>
      <c r="F113" s="14"/>
      <c r="G113" s="15">
        <f t="shared" si="8"/>
        <v>1005044.2845149999</v>
      </c>
      <c r="H113" s="877" t="e">
        <f>#REF!*37</f>
        <v>#REF!</v>
      </c>
      <c r="I113" s="877"/>
    </row>
    <row r="114" spans="1:10" s="887" customFormat="1" x14ac:dyDescent="0.2">
      <c r="A114" s="44">
        <v>74</v>
      </c>
      <c r="B114" s="884" t="s">
        <v>94</v>
      </c>
      <c r="C114" s="12">
        <v>1000</v>
      </c>
      <c r="D114" s="13">
        <v>37224.369999999995</v>
      </c>
      <c r="E114" s="14">
        <v>7547.75</v>
      </c>
      <c r="F114" s="14"/>
      <c r="G114" s="15">
        <f t="shared" si="8"/>
        <v>280960.23866749997</v>
      </c>
      <c r="H114" s="877" t="e">
        <f>#REF!*37</f>
        <v>#REF!</v>
      </c>
      <c r="I114" s="877"/>
    </row>
    <row r="115" spans="1:10" s="887" customFormat="1" ht="30" x14ac:dyDescent="0.2">
      <c r="A115" s="44">
        <v>75</v>
      </c>
      <c r="B115" s="884" t="s">
        <v>95</v>
      </c>
      <c r="C115" s="12">
        <v>100</v>
      </c>
      <c r="D115" s="13">
        <v>10763.3</v>
      </c>
      <c r="E115" s="14">
        <v>35830.6</v>
      </c>
      <c r="F115" s="14"/>
      <c r="G115" s="15">
        <f t="shared" si="8"/>
        <v>3856554.9697999996</v>
      </c>
      <c r="H115" s="877" t="e">
        <f>#REF!*37</f>
        <v>#REF!</v>
      </c>
      <c r="I115" s="877" t="e">
        <f t="shared" si="9"/>
        <v>#REF!</v>
      </c>
    </row>
    <row r="116" spans="1:10" s="887" customFormat="1" ht="75.75" x14ac:dyDescent="0.2">
      <c r="A116" s="44">
        <v>76</v>
      </c>
      <c r="B116" s="884" t="s">
        <v>41</v>
      </c>
      <c r="C116" s="20"/>
      <c r="D116" s="13">
        <v>0</v>
      </c>
      <c r="E116" s="13">
        <f>SUM(D116:D116)</f>
        <v>0</v>
      </c>
      <c r="F116" s="13"/>
      <c r="G116" s="13">
        <f>SUM(D116:E116)</f>
        <v>0</v>
      </c>
      <c r="H116" s="877" t="e">
        <f>#REF!*37</f>
        <v>#REF!</v>
      </c>
      <c r="I116" s="877" t="e">
        <f t="shared" si="9"/>
        <v>#REF!</v>
      </c>
    </row>
    <row r="117" spans="1:10" s="887" customFormat="1" ht="60" x14ac:dyDescent="0.2">
      <c r="A117" s="44" t="s">
        <v>42</v>
      </c>
      <c r="B117" s="884" t="s">
        <v>96</v>
      </c>
      <c r="C117" s="12">
        <v>1</v>
      </c>
      <c r="D117" s="13">
        <v>5704.1345999999994</v>
      </c>
      <c r="E117" s="14">
        <v>741.85</v>
      </c>
      <c r="F117" s="14"/>
      <c r="G117" s="15">
        <f t="shared" ref="G117:G133" si="10">E117*D117/C117</f>
        <v>4231612.2530100001</v>
      </c>
      <c r="H117" s="877" t="e">
        <f>#REF!*37</f>
        <v>#REF!</v>
      </c>
      <c r="I117" s="877" t="e">
        <f t="shared" si="9"/>
        <v>#REF!</v>
      </c>
    </row>
    <row r="118" spans="1:10" s="887" customFormat="1" ht="60" x14ac:dyDescent="0.2">
      <c r="A118" s="44" t="s">
        <v>44</v>
      </c>
      <c r="B118" s="884" t="s">
        <v>97</v>
      </c>
      <c r="C118" s="12">
        <v>1</v>
      </c>
      <c r="D118" s="13">
        <v>681.08906249999995</v>
      </c>
      <c r="E118" s="14">
        <v>595</v>
      </c>
      <c r="F118" s="14"/>
      <c r="G118" s="15">
        <f t="shared" si="10"/>
        <v>405247.9921875</v>
      </c>
      <c r="H118" s="877" t="e">
        <f>#REF!*37</f>
        <v>#REF!</v>
      </c>
      <c r="I118" s="877" t="e">
        <f t="shared" si="9"/>
        <v>#REF!</v>
      </c>
    </row>
    <row r="119" spans="1:10" s="887" customFormat="1" ht="120" x14ac:dyDescent="0.2">
      <c r="A119" s="44">
        <v>77</v>
      </c>
      <c r="B119" s="884" t="s">
        <v>99</v>
      </c>
      <c r="C119" s="19">
        <v>1</v>
      </c>
      <c r="D119" s="13">
        <v>1184</v>
      </c>
      <c r="E119" s="14">
        <v>2180.6999999999998</v>
      </c>
      <c r="F119" s="14"/>
      <c r="G119" s="15">
        <f t="shared" si="10"/>
        <v>2581948.7999999998</v>
      </c>
      <c r="H119" s="877" t="e">
        <f>#REF!*37</f>
        <v>#REF!</v>
      </c>
      <c r="I119" s="877" t="e">
        <f t="shared" si="9"/>
        <v>#REF!</v>
      </c>
    </row>
    <row r="120" spans="1:10" s="887" customFormat="1" ht="45" x14ac:dyDescent="0.2">
      <c r="A120" s="44">
        <v>78</v>
      </c>
      <c r="B120" s="884" t="s">
        <v>100</v>
      </c>
      <c r="C120" s="19">
        <v>1</v>
      </c>
      <c r="D120" s="13">
        <v>5302</v>
      </c>
      <c r="E120" s="14">
        <v>457.1</v>
      </c>
      <c r="F120" s="14"/>
      <c r="G120" s="15">
        <f t="shared" si="10"/>
        <v>2423544.2000000002</v>
      </c>
      <c r="H120" s="877" t="e">
        <f>#REF!*37</f>
        <v>#REF!</v>
      </c>
      <c r="I120" s="877"/>
    </row>
    <row r="121" spans="1:10" s="887" customFormat="1" ht="30" x14ac:dyDescent="0.2">
      <c r="A121" s="44">
        <v>79</v>
      </c>
      <c r="B121" s="884" t="s">
        <v>101</v>
      </c>
      <c r="C121" s="19">
        <v>1</v>
      </c>
      <c r="D121" s="13">
        <v>1813</v>
      </c>
      <c r="E121" s="14">
        <v>2767</v>
      </c>
      <c r="F121" s="14"/>
      <c r="G121" s="15">
        <f t="shared" si="10"/>
        <v>5016571</v>
      </c>
      <c r="H121" s="877" t="e">
        <f>#REF!*37</f>
        <v>#REF!</v>
      </c>
      <c r="I121" s="877" t="e">
        <f t="shared" si="9"/>
        <v>#REF!</v>
      </c>
    </row>
    <row r="122" spans="1:10" s="887" customFormat="1" ht="45" x14ac:dyDescent="0.2">
      <c r="A122" s="44">
        <v>80</v>
      </c>
      <c r="B122" s="884" t="s">
        <v>102</v>
      </c>
      <c r="C122" s="19">
        <v>100</v>
      </c>
      <c r="D122" s="13">
        <v>3535.8125</v>
      </c>
      <c r="E122" s="14">
        <v>13179.6</v>
      </c>
      <c r="F122" s="14"/>
      <c r="G122" s="15">
        <f t="shared" si="10"/>
        <v>466005.94425000006</v>
      </c>
      <c r="H122" s="877" t="e">
        <f>#REF!*37</f>
        <v>#REF!</v>
      </c>
      <c r="I122" s="877" t="e">
        <f t="shared" si="9"/>
        <v>#REF!</v>
      </c>
    </row>
    <row r="123" spans="1:10" s="887" customFormat="1" x14ac:dyDescent="0.2">
      <c r="A123" s="44">
        <v>81</v>
      </c>
      <c r="B123" s="884" t="s">
        <v>103</v>
      </c>
      <c r="C123" s="19">
        <v>1</v>
      </c>
      <c r="D123" s="13">
        <v>43350.188849999999</v>
      </c>
      <c r="E123" s="14">
        <v>11</v>
      </c>
      <c r="F123" s="14"/>
      <c r="G123" s="15">
        <f t="shared" si="10"/>
        <v>476852.07734999998</v>
      </c>
      <c r="H123" s="877" t="e">
        <f>#REF!*37</f>
        <v>#REF!</v>
      </c>
      <c r="I123" s="877"/>
    </row>
    <row r="124" spans="1:10" s="887" customFormat="1" x14ac:dyDescent="0.2">
      <c r="A124" s="44">
        <v>82</v>
      </c>
      <c r="B124" s="884" t="s">
        <v>104</v>
      </c>
      <c r="C124" s="12">
        <v>100</v>
      </c>
      <c r="D124" s="13">
        <v>8934.8274999999994</v>
      </c>
      <c r="E124" s="25">
        <v>3987</v>
      </c>
      <c r="F124" s="25"/>
      <c r="G124" s="15">
        <f t="shared" si="10"/>
        <v>356231.57242500002</v>
      </c>
      <c r="H124" s="877" t="e">
        <f>#REF!*37</f>
        <v>#REF!</v>
      </c>
      <c r="I124" s="877"/>
    </row>
    <row r="125" spans="1:10" s="887" customFormat="1" ht="30" x14ac:dyDescent="0.2">
      <c r="A125" s="44">
        <v>83</v>
      </c>
      <c r="B125" s="884" t="s">
        <v>105</v>
      </c>
      <c r="C125" s="12">
        <v>100</v>
      </c>
      <c r="D125" s="13">
        <v>10919.7875</v>
      </c>
      <c r="E125" s="25">
        <v>12801.2</v>
      </c>
      <c r="F125" s="25"/>
      <c r="G125" s="15">
        <f t="shared" si="10"/>
        <v>1397863.83745</v>
      </c>
      <c r="H125" s="877" t="e">
        <f>#REF!*37</f>
        <v>#REF!</v>
      </c>
      <c r="I125" s="877"/>
    </row>
    <row r="126" spans="1:10" s="887" customFormat="1" x14ac:dyDescent="0.2">
      <c r="A126" s="44">
        <v>84</v>
      </c>
      <c r="B126" s="884" t="s">
        <v>108</v>
      </c>
      <c r="C126" s="19">
        <v>100</v>
      </c>
      <c r="D126" s="13">
        <v>140437.41625000001</v>
      </c>
      <c r="E126" s="25">
        <v>4614.1000000000004</v>
      </c>
      <c r="F126" s="25"/>
      <c r="G126" s="15">
        <f t="shared" si="10"/>
        <v>6479922.8231912507</v>
      </c>
      <c r="H126" s="877" t="e">
        <f>#REF!*37</f>
        <v>#REF!</v>
      </c>
      <c r="I126" s="877" t="e">
        <f t="shared" si="9"/>
        <v>#REF!</v>
      </c>
      <c r="J126" s="894"/>
    </row>
    <row r="127" spans="1:10" s="887" customFormat="1" ht="30" x14ac:dyDescent="0.2">
      <c r="A127" s="44">
        <v>85</v>
      </c>
      <c r="B127" s="884" t="s">
        <v>109</v>
      </c>
      <c r="C127" s="19">
        <v>100</v>
      </c>
      <c r="D127" s="13">
        <v>4237.2400000000007</v>
      </c>
      <c r="E127" s="25">
        <v>5264.65</v>
      </c>
      <c r="F127" s="25"/>
      <c r="G127" s="15">
        <f t="shared" si="10"/>
        <v>223075.85566000003</v>
      </c>
      <c r="H127" s="877" t="e">
        <f>#REF!*37</f>
        <v>#REF!</v>
      </c>
      <c r="I127" s="877" t="e">
        <f t="shared" si="9"/>
        <v>#REF!</v>
      </c>
    </row>
    <row r="128" spans="1:10" s="887" customFormat="1" ht="45" x14ac:dyDescent="0.2">
      <c r="A128" s="44">
        <v>86</v>
      </c>
      <c r="B128" s="884" t="s">
        <v>110</v>
      </c>
      <c r="C128" s="19">
        <v>100</v>
      </c>
      <c r="D128" s="13">
        <v>83405.59</v>
      </c>
      <c r="E128" s="25">
        <v>5012.6499999999996</v>
      </c>
      <c r="F128" s="25"/>
      <c r="G128" s="15">
        <f t="shared" si="10"/>
        <v>4180830.3071349994</v>
      </c>
      <c r="H128" s="877" t="e">
        <f>#REF!*37</f>
        <v>#REF!</v>
      </c>
      <c r="I128" s="877" t="e">
        <f t="shared" si="9"/>
        <v>#REF!</v>
      </c>
      <c r="J128" s="894"/>
    </row>
    <row r="129" spans="1:10" s="887" customFormat="1" x14ac:dyDescent="0.2">
      <c r="A129" s="44">
        <v>87</v>
      </c>
      <c r="B129" s="884" t="s">
        <v>112</v>
      </c>
      <c r="C129" s="37">
        <v>1</v>
      </c>
      <c r="D129" s="13">
        <v>658</v>
      </c>
      <c r="E129" s="25">
        <v>849.7</v>
      </c>
      <c r="F129" s="25"/>
      <c r="G129" s="15">
        <f t="shared" si="10"/>
        <v>559102.6</v>
      </c>
      <c r="H129" s="877" t="e">
        <f>#REF!*37</f>
        <v>#REF!</v>
      </c>
      <c r="I129" s="877" t="e">
        <f t="shared" si="9"/>
        <v>#REF!</v>
      </c>
      <c r="J129" s="894"/>
    </row>
    <row r="130" spans="1:10" s="887" customFormat="1" x14ac:dyDescent="0.2">
      <c r="A130" s="44">
        <v>88</v>
      </c>
      <c r="B130" s="884" t="s">
        <v>113</v>
      </c>
      <c r="C130" s="37">
        <v>1</v>
      </c>
      <c r="D130" s="13">
        <v>154</v>
      </c>
      <c r="E130" s="25">
        <v>1159.6500000000001</v>
      </c>
      <c r="F130" s="25"/>
      <c r="G130" s="15">
        <f t="shared" si="10"/>
        <v>178586.1</v>
      </c>
      <c r="H130" s="877" t="e">
        <f>#REF!*37</f>
        <v>#REF!</v>
      </c>
      <c r="I130" s="877" t="e">
        <f t="shared" si="9"/>
        <v>#REF!</v>
      </c>
      <c r="J130" s="894"/>
    </row>
    <row r="131" spans="1:10" s="887" customFormat="1" x14ac:dyDescent="0.2">
      <c r="A131" s="44">
        <v>89</v>
      </c>
      <c r="B131" s="884" t="s">
        <v>114</v>
      </c>
      <c r="C131" s="19">
        <v>100</v>
      </c>
      <c r="D131" s="13">
        <v>118808.22750000001</v>
      </c>
      <c r="E131" s="25">
        <v>1548.2</v>
      </c>
      <c r="F131" s="25"/>
      <c r="G131" s="15">
        <f t="shared" si="10"/>
        <v>1839388.9781550001</v>
      </c>
      <c r="H131" s="877" t="e">
        <f>#REF!*37</f>
        <v>#REF!</v>
      </c>
      <c r="I131" s="877" t="e">
        <f t="shared" si="9"/>
        <v>#REF!</v>
      </c>
      <c r="J131" s="894"/>
    </row>
    <row r="132" spans="1:10" s="887" customFormat="1" x14ac:dyDescent="0.2">
      <c r="A132" s="44">
        <v>90</v>
      </c>
      <c r="B132" s="884" t="s">
        <v>116</v>
      </c>
      <c r="C132" s="19">
        <v>100</v>
      </c>
      <c r="D132" s="13">
        <v>12309</v>
      </c>
      <c r="E132" s="25">
        <v>3052.4</v>
      </c>
      <c r="F132" s="25"/>
      <c r="G132" s="15">
        <f t="shared" si="10"/>
        <v>375719.91600000003</v>
      </c>
      <c r="H132" s="877" t="e">
        <f>#REF!*37</f>
        <v>#REF!</v>
      </c>
      <c r="I132" s="877" t="e">
        <f t="shared" si="9"/>
        <v>#REF!</v>
      </c>
      <c r="J132" s="894"/>
    </row>
    <row r="133" spans="1:10" s="887" customFormat="1" ht="45" x14ac:dyDescent="0.2">
      <c r="A133" s="44">
        <v>91</v>
      </c>
      <c r="B133" s="876" t="s">
        <v>117</v>
      </c>
      <c r="C133" s="29">
        <v>100</v>
      </c>
      <c r="D133" s="13">
        <v>12393.472738818833</v>
      </c>
      <c r="E133" s="14">
        <v>37098.85</v>
      </c>
      <c r="F133" s="14"/>
      <c r="G133" s="15">
        <f t="shared" si="10"/>
        <v>4597835.8611652907</v>
      </c>
      <c r="H133" s="877" t="e">
        <f>#REF!*37</f>
        <v>#REF!</v>
      </c>
      <c r="I133" s="877" t="e">
        <f t="shared" si="9"/>
        <v>#REF!</v>
      </c>
    </row>
    <row r="134" spans="1:10" s="887" customFormat="1" ht="30" x14ac:dyDescent="0.2">
      <c r="A134" s="987">
        <v>92</v>
      </c>
      <c r="B134" s="884" t="s">
        <v>118</v>
      </c>
      <c r="C134" s="20"/>
      <c r="D134" s="13">
        <v>0</v>
      </c>
      <c r="E134" s="20"/>
      <c r="F134" s="20"/>
      <c r="G134" s="20"/>
      <c r="H134" s="877" t="e">
        <f>#REF!*37</f>
        <v>#REF!</v>
      </c>
      <c r="I134" s="877" t="e">
        <f t="shared" si="9"/>
        <v>#REF!</v>
      </c>
    </row>
    <row r="135" spans="1:10" s="887" customFormat="1" x14ac:dyDescent="0.2">
      <c r="A135" s="988"/>
      <c r="B135" s="884" t="s">
        <v>148</v>
      </c>
      <c r="C135" s="36">
        <v>1</v>
      </c>
      <c r="D135" s="13">
        <v>12520</v>
      </c>
      <c r="E135" s="25">
        <v>112.25</v>
      </c>
      <c r="F135" s="25"/>
      <c r="G135" s="15">
        <f>E135*D135/C135</f>
        <v>1405370</v>
      </c>
      <c r="H135" s="877" t="e">
        <f>#REF!*37</f>
        <v>#REF!</v>
      </c>
      <c r="I135" s="877" t="e">
        <f t="shared" si="9"/>
        <v>#REF!</v>
      </c>
      <c r="J135" s="894"/>
    </row>
    <row r="136" spans="1:10" s="887" customFormat="1" x14ac:dyDescent="0.2">
      <c r="A136" s="988"/>
      <c r="B136" s="884" t="s">
        <v>149</v>
      </c>
      <c r="C136" s="36">
        <v>1</v>
      </c>
      <c r="D136" s="13">
        <v>6560</v>
      </c>
      <c r="E136" s="25">
        <v>133.6</v>
      </c>
      <c r="F136" s="25"/>
      <c r="G136" s="15">
        <f>E136*D136/C136</f>
        <v>876416</v>
      </c>
      <c r="H136" s="877" t="e">
        <f>#REF!*37</f>
        <v>#REF!</v>
      </c>
      <c r="I136" s="877" t="e">
        <f t="shared" si="9"/>
        <v>#REF!</v>
      </c>
      <c r="J136" s="894"/>
    </row>
    <row r="137" spans="1:10" s="887" customFormat="1" x14ac:dyDescent="0.2">
      <c r="A137" s="989"/>
      <c r="B137" s="884" t="s">
        <v>471</v>
      </c>
      <c r="C137" s="36">
        <v>1</v>
      </c>
      <c r="D137" s="13">
        <v>555</v>
      </c>
      <c r="E137" s="25">
        <v>231.55</v>
      </c>
      <c r="F137" s="25"/>
      <c r="G137" s="15">
        <f>E137*D137/C137</f>
        <v>128510.25</v>
      </c>
      <c r="H137" s="877" t="e">
        <f>#REF!*37</f>
        <v>#REF!</v>
      </c>
      <c r="I137" s="877" t="e">
        <f t="shared" si="9"/>
        <v>#REF!</v>
      </c>
    </row>
    <row r="138" spans="1:10" s="887" customFormat="1" ht="60" x14ac:dyDescent="0.2">
      <c r="A138" s="987">
        <v>93</v>
      </c>
      <c r="B138" s="884" t="s">
        <v>123</v>
      </c>
      <c r="C138" s="20"/>
      <c r="D138" s="13">
        <v>0</v>
      </c>
      <c r="E138" s="20"/>
      <c r="F138" s="20"/>
      <c r="G138" s="20"/>
      <c r="H138" s="877" t="e">
        <f>#REF!*37</f>
        <v>#REF!</v>
      </c>
      <c r="I138" s="877" t="e">
        <f t="shared" si="9"/>
        <v>#REF!</v>
      </c>
    </row>
    <row r="139" spans="1:10" s="887" customFormat="1" x14ac:dyDescent="0.2">
      <c r="A139" s="988"/>
      <c r="B139" s="884" t="s">
        <v>150</v>
      </c>
      <c r="C139" s="36">
        <v>1</v>
      </c>
      <c r="D139" s="13">
        <v>36960</v>
      </c>
      <c r="E139" s="25">
        <v>35.700000000000003</v>
      </c>
      <c r="F139" s="25"/>
      <c r="G139" s="15">
        <f>E139*D139/C139</f>
        <v>1319472</v>
      </c>
      <c r="H139" s="877" t="e">
        <f>#REF!*37</f>
        <v>#REF!</v>
      </c>
      <c r="I139" s="877" t="e">
        <f t="shared" si="9"/>
        <v>#REF!</v>
      </c>
      <c r="J139" s="894"/>
    </row>
    <row r="140" spans="1:10" s="887" customFormat="1" x14ac:dyDescent="0.2">
      <c r="A140" s="989"/>
      <c r="B140" s="884" t="s">
        <v>151</v>
      </c>
      <c r="C140" s="36">
        <v>1</v>
      </c>
      <c r="D140" s="13">
        <v>13020</v>
      </c>
      <c r="E140" s="25">
        <v>56.3</v>
      </c>
      <c r="F140" s="25"/>
      <c r="G140" s="15">
        <f>E140*D140/C140</f>
        <v>733026</v>
      </c>
      <c r="H140" s="877" t="e">
        <f>#REF!*37</f>
        <v>#REF!</v>
      </c>
      <c r="I140" s="877" t="e">
        <f t="shared" si="9"/>
        <v>#REF!</v>
      </c>
      <c r="J140" s="894"/>
    </row>
    <row r="141" spans="1:10" s="887" customFormat="1" ht="45" x14ac:dyDescent="0.2">
      <c r="A141" s="44">
        <v>94</v>
      </c>
      <c r="B141" s="884" t="s">
        <v>126</v>
      </c>
      <c r="C141" s="36">
        <v>1</v>
      </c>
      <c r="D141" s="13">
        <v>19680</v>
      </c>
      <c r="E141" s="25">
        <v>237.65</v>
      </c>
      <c r="F141" s="25"/>
      <c r="G141" s="15">
        <f>E141*D141/C141</f>
        <v>4676952</v>
      </c>
      <c r="H141" s="877" t="e">
        <f>#REF!*37</f>
        <v>#REF!</v>
      </c>
      <c r="I141" s="877" t="e">
        <f t="shared" si="9"/>
        <v>#REF!</v>
      </c>
      <c r="J141" s="894"/>
    </row>
    <row r="142" spans="1:10" s="887" customFormat="1" ht="30" x14ac:dyDescent="0.2">
      <c r="A142" s="987">
        <v>95</v>
      </c>
      <c r="B142" s="884" t="s">
        <v>127</v>
      </c>
      <c r="C142" s="20"/>
      <c r="D142" s="13">
        <v>0</v>
      </c>
      <c r="E142" s="20"/>
      <c r="F142" s="20"/>
      <c r="G142" s="20"/>
      <c r="H142" s="877" t="e">
        <f>#REF!*37</f>
        <v>#REF!</v>
      </c>
      <c r="I142" s="877" t="e">
        <f t="shared" si="9"/>
        <v>#REF!</v>
      </c>
    </row>
    <row r="143" spans="1:10" s="887" customFormat="1" x14ac:dyDescent="0.2">
      <c r="A143" s="988"/>
      <c r="B143" s="884" t="s">
        <v>152</v>
      </c>
      <c r="C143" s="38">
        <v>1</v>
      </c>
      <c r="D143" s="13">
        <v>219</v>
      </c>
      <c r="E143" s="25">
        <v>382.3</v>
      </c>
      <c r="F143" s="25"/>
      <c r="G143" s="15">
        <f t="shared" ref="G143:G173" si="11">E143*D143/C143</f>
        <v>83723.7</v>
      </c>
      <c r="H143" s="877" t="e">
        <f>#REF!*37</f>
        <v>#REF!</v>
      </c>
      <c r="I143" s="877" t="e">
        <f t="shared" si="9"/>
        <v>#REF!</v>
      </c>
      <c r="J143" s="894"/>
    </row>
    <row r="144" spans="1:10" s="887" customFormat="1" x14ac:dyDescent="0.2">
      <c r="A144" s="988"/>
      <c r="B144" s="884" t="s">
        <v>153</v>
      </c>
      <c r="C144" s="38">
        <v>1</v>
      </c>
      <c r="D144" s="13">
        <v>432</v>
      </c>
      <c r="E144" s="25">
        <v>522.75</v>
      </c>
      <c r="F144" s="25"/>
      <c r="G144" s="15">
        <f t="shared" si="11"/>
        <v>225828</v>
      </c>
      <c r="H144" s="877" t="e">
        <f>#REF!*37</f>
        <v>#REF!</v>
      </c>
      <c r="I144" s="877" t="e">
        <f t="shared" si="9"/>
        <v>#REF!</v>
      </c>
      <c r="J144" s="894"/>
    </row>
    <row r="145" spans="1:10" s="887" customFormat="1" x14ac:dyDescent="0.2">
      <c r="A145" s="989"/>
      <c r="B145" s="884" t="s">
        <v>154</v>
      </c>
      <c r="C145" s="38">
        <v>1</v>
      </c>
      <c r="D145" s="13">
        <v>128</v>
      </c>
      <c r="E145" s="25">
        <v>668.8</v>
      </c>
      <c r="F145" s="25"/>
      <c r="G145" s="15">
        <f t="shared" si="11"/>
        <v>85606.399999999994</v>
      </c>
      <c r="H145" s="877" t="e">
        <f>#REF!*37</f>
        <v>#REF!</v>
      </c>
      <c r="I145" s="877" t="e">
        <f t="shared" si="9"/>
        <v>#REF!</v>
      </c>
      <c r="J145" s="894"/>
    </row>
    <row r="146" spans="1:10" s="887" customFormat="1" ht="30" x14ac:dyDescent="0.2">
      <c r="A146" s="44">
        <v>96</v>
      </c>
      <c r="B146" s="884" t="s">
        <v>131</v>
      </c>
      <c r="C146" s="38">
        <v>1</v>
      </c>
      <c r="D146" s="13">
        <v>4100</v>
      </c>
      <c r="E146" s="25">
        <v>102.7</v>
      </c>
      <c r="F146" s="25"/>
      <c r="G146" s="15">
        <f t="shared" si="11"/>
        <v>421070</v>
      </c>
      <c r="H146" s="877" t="e">
        <f>#REF!*37</f>
        <v>#REF!</v>
      </c>
      <c r="I146" s="877" t="e">
        <f t="shared" si="9"/>
        <v>#REF!</v>
      </c>
    </row>
    <row r="147" spans="1:10" s="887" customFormat="1" x14ac:dyDescent="0.2">
      <c r="A147" s="44">
        <v>97</v>
      </c>
      <c r="B147" s="884" t="s">
        <v>132</v>
      </c>
      <c r="C147" s="38">
        <v>1</v>
      </c>
      <c r="D147" s="13">
        <v>744</v>
      </c>
      <c r="E147" s="25">
        <v>96.3</v>
      </c>
      <c r="F147" s="25"/>
      <c r="G147" s="15">
        <f t="shared" si="11"/>
        <v>71647.199999999997</v>
      </c>
      <c r="H147" s="877" t="e">
        <f>#REF!*37</f>
        <v>#REF!</v>
      </c>
      <c r="I147" s="877" t="e">
        <f t="shared" si="9"/>
        <v>#REF!</v>
      </c>
      <c r="J147" s="894"/>
    </row>
    <row r="148" spans="1:10" s="887" customFormat="1" ht="30" x14ac:dyDescent="0.2">
      <c r="A148" s="44">
        <v>98</v>
      </c>
      <c r="B148" s="884" t="s">
        <v>134</v>
      </c>
      <c r="C148" s="38">
        <v>1</v>
      </c>
      <c r="D148" s="13">
        <v>37</v>
      </c>
      <c r="E148" s="25">
        <v>213.1</v>
      </c>
      <c r="F148" s="25"/>
      <c r="G148" s="15">
        <f t="shared" si="11"/>
        <v>7884.7</v>
      </c>
      <c r="H148" s="877" t="e">
        <f>#REF!*37</f>
        <v>#REF!</v>
      </c>
      <c r="I148" s="877" t="e">
        <f t="shared" si="9"/>
        <v>#REF!</v>
      </c>
    </row>
    <row r="149" spans="1:10" s="887" customFormat="1" ht="105" x14ac:dyDescent="0.2">
      <c r="A149" s="44">
        <v>99</v>
      </c>
      <c r="B149" s="884" t="s">
        <v>135</v>
      </c>
      <c r="C149" s="37">
        <v>1</v>
      </c>
      <c r="D149" s="13">
        <v>37</v>
      </c>
      <c r="E149" s="25">
        <v>24422.65</v>
      </c>
      <c r="F149" s="25"/>
      <c r="G149" s="15">
        <f t="shared" si="11"/>
        <v>903638.05</v>
      </c>
      <c r="H149" s="877" t="e">
        <f>#REF!*37</f>
        <v>#REF!</v>
      </c>
      <c r="I149" s="877" t="e">
        <f t="shared" si="9"/>
        <v>#REF!</v>
      </c>
    </row>
    <row r="150" spans="1:10" s="887" customFormat="1" ht="60" x14ac:dyDescent="0.2">
      <c r="A150" s="44">
        <v>100</v>
      </c>
      <c r="B150" s="884" t="s">
        <v>136</v>
      </c>
      <c r="C150" s="37">
        <v>1</v>
      </c>
      <c r="D150" s="13">
        <v>222</v>
      </c>
      <c r="E150" s="25">
        <v>1453.75</v>
      </c>
      <c r="F150" s="25"/>
      <c r="G150" s="15">
        <f t="shared" si="11"/>
        <v>322732.5</v>
      </c>
      <c r="H150" s="877" t="e">
        <f>#REF!*37</f>
        <v>#REF!</v>
      </c>
      <c r="I150" s="877" t="e">
        <f t="shared" si="9"/>
        <v>#REF!</v>
      </c>
    </row>
    <row r="151" spans="1:10" ht="90" x14ac:dyDescent="0.2">
      <c r="A151" s="44">
        <v>101</v>
      </c>
      <c r="B151" s="884" t="s">
        <v>137</v>
      </c>
      <c r="C151" s="37">
        <v>1</v>
      </c>
      <c r="D151" s="13">
        <v>74</v>
      </c>
      <c r="E151" s="25">
        <v>13796.3</v>
      </c>
      <c r="F151" s="25"/>
      <c r="G151" s="15">
        <f t="shared" si="11"/>
        <v>1020926.2</v>
      </c>
      <c r="H151" s="877" t="e">
        <f>#REF!*37</f>
        <v>#REF!</v>
      </c>
      <c r="I151" s="877" t="e">
        <f t="shared" si="9"/>
        <v>#REF!</v>
      </c>
    </row>
    <row r="152" spans="1:10" ht="90" x14ac:dyDescent="0.2">
      <c r="A152" s="44">
        <v>102</v>
      </c>
      <c r="B152" s="884" t="s">
        <v>138</v>
      </c>
      <c r="C152" s="37">
        <v>1</v>
      </c>
      <c r="D152" s="13">
        <v>37</v>
      </c>
      <c r="E152" s="25">
        <v>19859.400000000001</v>
      </c>
      <c r="F152" s="25"/>
      <c r="G152" s="15">
        <f t="shared" si="11"/>
        <v>734797.8</v>
      </c>
      <c r="H152" s="877" t="e">
        <f>#REF!*37</f>
        <v>#REF!</v>
      </c>
      <c r="I152" s="877" t="e">
        <f t="shared" si="9"/>
        <v>#REF!</v>
      </c>
    </row>
    <row r="153" spans="1:10" ht="45" x14ac:dyDescent="0.2">
      <c r="A153" s="44">
        <v>103</v>
      </c>
      <c r="B153" s="884" t="s">
        <v>139</v>
      </c>
      <c r="C153" s="37">
        <v>1</v>
      </c>
      <c r="D153" s="13">
        <v>707</v>
      </c>
      <c r="E153" s="25">
        <v>1995.3</v>
      </c>
      <c r="F153" s="25"/>
      <c r="G153" s="15">
        <f t="shared" si="11"/>
        <v>1410677.0999999999</v>
      </c>
      <c r="H153" s="877" t="e">
        <f>#REF!*37</f>
        <v>#REF!</v>
      </c>
      <c r="I153" s="877" t="e">
        <f t="shared" si="9"/>
        <v>#REF!</v>
      </c>
      <c r="J153" s="882"/>
    </row>
    <row r="154" spans="1:10" x14ac:dyDescent="0.2">
      <c r="A154" s="44">
        <v>104</v>
      </c>
      <c r="B154" s="884" t="s">
        <v>140</v>
      </c>
      <c r="C154" s="37">
        <v>1</v>
      </c>
      <c r="D154" s="13">
        <v>111</v>
      </c>
      <c r="E154" s="25">
        <v>178.75</v>
      </c>
      <c r="F154" s="25"/>
      <c r="G154" s="15">
        <f t="shared" si="11"/>
        <v>19841.25</v>
      </c>
      <c r="H154" s="877" t="e">
        <f>#REF!*37</f>
        <v>#REF!</v>
      </c>
      <c r="I154" s="877" t="e">
        <f t="shared" si="9"/>
        <v>#REF!</v>
      </c>
    </row>
    <row r="155" spans="1:10" s="887" customFormat="1" ht="45" x14ac:dyDescent="0.2">
      <c r="A155" s="44">
        <v>105</v>
      </c>
      <c r="B155" s="884" t="s">
        <v>171</v>
      </c>
      <c r="C155" s="19">
        <v>100</v>
      </c>
      <c r="D155" s="13">
        <v>5447.5326000000005</v>
      </c>
      <c r="E155" s="14">
        <v>13179.6</v>
      </c>
      <c r="F155" s="14"/>
      <c r="G155" s="15">
        <f t="shared" si="11"/>
        <v>717963.00654960005</v>
      </c>
    </row>
    <row r="156" spans="1:10" s="887" customFormat="1" ht="105" x14ac:dyDescent="0.2">
      <c r="A156" s="44">
        <v>106</v>
      </c>
      <c r="B156" s="884" t="s">
        <v>172</v>
      </c>
      <c r="C156" s="22">
        <v>1</v>
      </c>
      <c r="D156" s="13">
        <v>1983.6000000000001</v>
      </c>
      <c r="E156" s="14">
        <v>2180.6999999999998</v>
      </c>
      <c r="F156" s="14"/>
      <c r="G156" s="15">
        <f t="shared" si="11"/>
        <v>4325636.5199999996</v>
      </c>
    </row>
    <row r="157" spans="1:10" s="887" customFormat="1" ht="30" x14ac:dyDescent="0.2">
      <c r="A157" s="44">
        <v>107</v>
      </c>
      <c r="B157" s="884" t="s">
        <v>173</v>
      </c>
      <c r="C157" s="19">
        <v>1</v>
      </c>
      <c r="D157" s="13">
        <v>908</v>
      </c>
      <c r="E157" s="14">
        <v>2767</v>
      </c>
      <c r="F157" s="14"/>
      <c r="G157" s="15">
        <f t="shared" si="11"/>
        <v>2512436</v>
      </c>
    </row>
    <row r="158" spans="1:10" s="887" customFormat="1" x14ac:dyDescent="0.2">
      <c r="A158" s="44">
        <v>108</v>
      </c>
      <c r="B158" s="884" t="s">
        <v>174</v>
      </c>
      <c r="C158" s="19">
        <v>100</v>
      </c>
      <c r="D158" s="13">
        <v>19399.646999999997</v>
      </c>
      <c r="E158" s="25">
        <v>1212.3499999999999</v>
      </c>
      <c r="F158" s="25"/>
      <c r="G158" s="15">
        <f t="shared" si="11"/>
        <v>235191.62040449996</v>
      </c>
    </row>
    <row r="159" spans="1:10" s="887" customFormat="1" ht="30" x14ac:dyDescent="0.2">
      <c r="A159" s="44">
        <v>109</v>
      </c>
      <c r="B159" s="884" t="s">
        <v>175</v>
      </c>
      <c r="C159" s="37">
        <v>1</v>
      </c>
      <c r="D159" s="13">
        <v>369</v>
      </c>
      <c r="E159" s="25">
        <v>680.75</v>
      </c>
      <c r="F159" s="25"/>
      <c r="G159" s="15">
        <f t="shared" si="11"/>
        <v>251196.75</v>
      </c>
    </row>
    <row r="160" spans="1:10" s="887" customFormat="1" ht="45" x14ac:dyDescent="0.2">
      <c r="A160" s="44">
        <v>110</v>
      </c>
      <c r="B160" s="884" t="s">
        <v>190</v>
      </c>
      <c r="C160" s="36">
        <v>1</v>
      </c>
      <c r="D160" s="13">
        <v>111.86</v>
      </c>
      <c r="E160" s="25">
        <v>1125.2</v>
      </c>
      <c r="F160" s="25"/>
      <c r="G160" s="15">
        <f t="shared" si="11"/>
        <v>125864.872</v>
      </c>
    </row>
    <row r="161" spans="1:10" s="887" customFormat="1" x14ac:dyDescent="0.2">
      <c r="A161" s="44">
        <v>111</v>
      </c>
      <c r="B161" s="884" t="s">
        <v>176</v>
      </c>
      <c r="C161" s="19">
        <v>1</v>
      </c>
      <c r="D161" s="13">
        <v>2800</v>
      </c>
      <c r="E161" s="25">
        <v>603</v>
      </c>
      <c r="F161" s="25"/>
      <c r="G161" s="15">
        <f t="shared" si="11"/>
        <v>1688400</v>
      </c>
    </row>
    <row r="162" spans="1:10" s="887" customFormat="1" ht="45" x14ac:dyDescent="0.2">
      <c r="A162" s="44">
        <v>112</v>
      </c>
      <c r="B162" s="884" t="s">
        <v>177</v>
      </c>
      <c r="C162" s="19">
        <v>1</v>
      </c>
      <c r="D162" s="13">
        <v>9477.0586000000003</v>
      </c>
      <c r="E162" s="25">
        <v>205.4</v>
      </c>
      <c r="F162" s="25"/>
      <c r="G162" s="15">
        <f t="shared" si="11"/>
        <v>1946587.8364400002</v>
      </c>
    </row>
    <row r="163" spans="1:10" s="887" customFormat="1" x14ac:dyDescent="0.2">
      <c r="A163" s="44">
        <v>113</v>
      </c>
      <c r="B163" s="884" t="s">
        <v>178</v>
      </c>
      <c r="C163" s="12">
        <v>100</v>
      </c>
      <c r="D163" s="13">
        <v>2287.9699999999998</v>
      </c>
      <c r="E163" s="25">
        <v>18017.599999999999</v>
      </c>
      <c r="F163" s="25"/>
      <c r="G163" s="15">
        <f t="shared" si="11"/>
        <v>412237.2827199999</v>
      </c>
    </row>
    <row r="164" spans="1:10" s="887" customFormat="1" ht="60" x14ac:dyDescent="0.2">
      <c r="A164" s="44">
        <v>114</v>
      </c>
      <c r="B164" s="884" t="s">
        <v>179</v>
      </c>
      <c r="C164" s="19">
        <v>100</v>
      </c>
      <c r="D164" s="13">
        <v>5447.5326000000005</v>
      </c>
      <c r="E164" s="25">
        <v>29658.5</v>
      </c>
      <c r="F164" s="25"/>
      <c r="G164" s="15">
        <f t="shared" si="11"/>
        <v>1615656.4561709999</v>
      </c>
    </row>
    <row r="165" spans="1:10" s="887" customFormat="1" ht="60" x14ac:dyDescent="0.2">
      <c r="A165" s="44">
        <v>115</v>
      </c>
      <c r="B165" s="884" t="s">
        <v>180</v>
      </c>
      <c r="C165" s="19">
        <v>100</v>
      </c>
      <c r="D165" s="13">
        <v>385.13000000000005</v>
      </c>
      <c r="E165" s="25">
        <v>19146.849999999999</v>
      </c>
      <c r="F165" s="25"/>
      <c r="G165" s="15">
        <f t="shared" si="11"/>
        <v>73740.263405000005</v>
      </c>
    </row>
    <row r="166" spans="1:10" s="887" customFormat="1" ht="30" x14ac:dyDescent="0.2">
      <c r="A166" s="44">
        <v>116</v>
      </c>
      <c r="B166" s="884" t="s">
        <v>181</v>
      </c>
      <c r="C166" s="36">
        <v>1</v>
      </c>
      <c r="D166" s="13">
        <v>2922.31</v>
      </c>
      <c r="E166" s="25">
        <v>39.6</v>
      </c>
      <c r="F166" s="25"/>
      <c r="G166" s="15">
        <f t="shared" si="11"/>
        <v>115723.476</v>
      </c>
    </row>
    <row r="167" spans="1:10" s="887" customFormat="1" x14ac:dyDescent="0.2">
      <c r="A167" s="44">
        <v>117</v>
      </c>
      <c r="B167" s="884" t="s">
        <v>183</v>
      </c>
      <c r="C167" s="38">
        <v>1</v>
      </c>
      <c r="D167" s="13">
        <v>596</v>
      </c>
      <c r="E167" s="25">
        <v>178.75</v>
      </c>
      <c r="F167" s="25"/>
      <c r="G167" s="15">
        <f t="shared" si="11"/>
        <v>106535</v>
      </c>
      <c r="J167" s="894"/>
    </row>
    <row r="168" spans="1:10" s="887" customFormat="1" ht="60.75" x14ac:dyDescent="0.2">
      <c r="A168" s="44">
        <v>118</v>
      </c>
      <c r="B168" s="884" t="s">
        <v>184</v>
      </c>
      <c r="C168" s="37">
        <v>1</v>
      </c>
      <c r="D168" s="13">
        <v>5</v>
      </c>
      <c r="E168" s="25">
        <v>5616.25</v>
      </c>
      <c r="F168" s="25"/>
      <c r="G168" s="15">
        <f t="shared" si="11"/>
        <v>28081.25</v>
      </c>
    </row>
    <row r="169" spans="1:10" s="887" customFormat="1" ht="60.75" x14ac:dyDescent="0.2">
      <c r="A169" s="44">
        <v>119</v>
      </c>
      <c r="B169" s="884" t="s">
        <v>185</v>
      </c>
      <c r="C169" s="37">
        <v>1</v>
      </c>
      <c r="D169" s="13">
        <v>29</v>
      </c>
      <c r="E169" s="25">
        <v>1453.75</v>
      </c>
      <c r="F169" s="25"/>
      <c r="G169" s="15">
        <f t="shared" si="11"/>
        <v>42158.75</v>
      </c>
    </row>
    <row r="170" spans="1:10" s="887" customFormat="1" ht="45" x14ac:dyDescent="0.2">
      <c r="A170" s="44">
        <v>120</v>
      </c>
      <c r="B170" s="884" t="s">
        <v>186</v>
      </c>
      <c r="C170" s="38">
        <v>1</v>
      </c>
      <c r="D170" s="13">
        <v>34</v>
      </c>
      <c r="E170" s="25">
        <v>11398.45</v>
      </c>
      <c r="F170" s="25"/>
      <c r="G170" s="15">
        <f t="shared" si="11"/>
        <v>387547.30000000005</v>
      </c>
    </row>
    <row r="171" spans="1:10" s="887" customFormat="1" x14ac:dyDescent="0.2">
      <c r="A171" s="120">
        <v>121</v>
      </c>
      <c r="B171" s="905" t="s">
        <v>58</v>
      </c>
      <c r="C171" s="12">
        <v>1000</v>
      </c>
      <c r="D171" s="13">
        <v>58871.790000000008</v>
      </c>
      <c r="E171" s="25">
        <v>10533.6</v>
      </c>
      <c r="F171" s="25"/>
      <c r="G171" s="15">
        <f t="shared" si="11"/>
        <v>620131.88714400004</v>
      </c>
    </row>
    <row r="172" spans="1:10" s="887" customFormat="1" ht="30" x14ac:dyDescent="0.2">
      <c r="A172" s="120">
        <v>122</v>
      </c>
      <c r="B172" s="905" t="s">
        <v>194</v>
      </c>
      <c r="C172" s="12">
        <v>1000</v>
      </c>
      <c r="D172" s="13">
        <v>58871.790000000008</v>
      </c>
      <c r="E172" s="25">
        <v>1437.5</v>
      </c>
      <c r="F172" s="25"/>
      <c r="G172" s="15">
        <f t="shared" si="11"/>
        <v>84628.19812500001</v>
      </c>
    </row>
    <row r="173" spans="1:10" s="887" customFormat="1" ht="30" x14ac:dyDescent="0.2">
      <c r="A173" s="993">
        <v>123</v>
      </c>
      <c r="B173" s="905" t="s">
        <v>195</v>
      </c>
      <c r="C173" s="12">
        <v>1000</v>
      </c>
      <c r="D173" s="13">
        <v>14550.010000000002</v>
      </c>
      <c r="E173" s="25">
        <v>5033.7</v>
      </c>
      <c r="F173" s="25"/>
      <c r="G173" s="15">
        <f t="shared" si="11"/>
        <v>73240.385337000014</v>
      </c>
    </row>
    <row r="174" spans="1:10" s="887" customFormat="1" x14ac:dyDescent="0.2">
      <c r="A174" s="994"/>
      <c r="B174" s="905" t="s">
        <v>196</v>
      </c>
      <c r="C174" s="43"/>
      <c r="D174" s="13">
        <v>0</v>
      </c>
      <c r="E174" s="43"/>
      <c r="F174" s="43"/>
      <c r="G174" s="43"/>
    </row>
    <row r="175" spans="1:10" s="887" customFormat="1" x14ac:dyDescent="0.2">
      <c r="A175" s="994"/>
      <c r="B175" s="905" t="s">
        <v>197</v>
      </c>
      <c r="C175" s="19">
        <v>100</v>
      </c>
      <c r="D175" s="13">
        <v>2500</v>
      </c>
      <c r="E175" s="14">
        <v>6512.05</v>
      </c>
      <c r="F175" s="14"/>
      <c r="G175" s="15">
        <f>E175*D175/C175</f>
        <v>162801.25</v>
      </c>
    </row>
    <row r="176" spans="1:10" s="887" customFormat="1" x14ac:dyDescent="0.2">
      <c r="A176" s="995"/>
      <c r="B176" s="905" t="s">
        <v>198</v>
      </c>
      <c r="C176" s="19">
        <v>100</v>
      </c>
      <c r="D176" s="13">
        <v>3876</v>
      </c>
      <c r="E176" s="14">
        <v>7363.45</v>
      </c>
      <c r="F176" s="14"/>
      <c r="G176" s="15">
        <f>E176*D176/C176</f>
        <v>285407.32199999999</v>
      </c>
    </row>
    <row r="177" spans="1:10" s="887" customFormat="1" x14ac:dyDescent="0.2">
      <c r="A177" s="993">
        <v>124</v>
      </c>
      <c r="B177" s="905" t="s">
        <v>199</v>
      </c>
      <c r="C177" s="43"/>
      <c r="D177" s="13">
        <v>0</v>
      </c>
      <c r="E177" s="43"/>
      <c r="F177" s="43"/>
      <c r="G177" s="43"/>
    </row>
    <row r="178" spans="1:10" s="887" customFormat="1" x14ac:dyDescent="0.2">
      <c r="A178" s="994"/>
      <c r="B178" s="905" t="s">
        <v>200</v>
      </c>
      <c r="C178" s="12">
        <v>100</v>
      </c>
      <c r="D178" s="13">
        <v>856.25</v>
      </c>
      <c r="E178" s="13">
        <v>49016.9</v>
      </c>
      <c r="F178" s="13"/>
      <c r="G178" s="15">
        <f>E178*D178/C178</f>
        <v>419707.20624999999</v>
      </c>
    </row>
    <row r="179" spans="1:10" s="887" customFormat="1" x14ac:dyDescent="0.2">
      <c r="A179" s="995"/>
      <c r="B179" s="905" t="s">
        <v>201</v>
      </c>
      <c r="C179" s="12">
        <v>100</v>
      </c>
      <c r="D179" s="13">
        <v>1327.53</v>
      </c>
      <c r="E179" s="13">
        <v>51301.8</v>
      </c>
      <c r="F179" s="13"/>
      <c r="G179" s="15">
        <f>E179*D179/C179</f>
        <v>681046.78554000007</v>
      </c>
    </row>
    <row r="180" spans="1:10" s="887" customFormat="1" ht="30" x14ac:dyDescent="0.2">
      <c r="A180" s="120">
        <v>125</v>
      </c>
      <c r="B180" s="905" t="s">
        <v>202</v>
      </c>
      <c r="C180" s="36">
        <v>1</v>
      </c>
      <c r="D180" s="13">
        <v>637.6</v>
      </c>
      <c r="E180" s="14">
        <v>17.3</v>
      </c>
      <c r="F180" s="14"/>
      <c r="G180" s="15">
        <f>E180*D180/C180</f>
        <v>11030.480000000001</v>
      </c>
    </row>
    <row r="181" spans="1:10" s="887" customFormat="1" x14ac:dyDescent="0.2">
      <c r="A181" s="120">
        <v>126</v>
      </c>
      <c r="B181" s="905" t="s">
        <v>203</v>
      </c>
      <c r="C181" s="19">
        <v>100</v>
      </c>
      <c r="D181" s="13">
        <v>318.8</v>
      </c>
      <c r="E181" s="25">
        <v>1539.8</v>
      </c>
      <c r="F181" s="25"/>
      <c r="G181" s="15">
        <f>E181*D181/C181</f>
        <v>4908.8823999999995</v>
      </c>
    </row>
    <row r="182" spans="1:10" s="887" customFormat="1" ht="45.75" x14ac:dyDescent="0.2">
      <c r="A182" s="118">
        <v>127</v>
      </c>
      <c r="B182" s="884" t="s">
        <v>204</v>
      </c>
      <c r="C182" s="12">
        <v>1000</v>
      </c>
      <c r="D182" s="13">
        <v>46483.393100000008</v>
      </c>
      <c r="E182" s="14">
        <v>15824.15</v>
      </c>
      <c r="F182" s="14"/>
      <c r="G182" s="15">
        <f>E182*D182/C182</f>
        <v>735560.18492336513</v>
      </c>
      <c r="H182" s="894">
        <f>SUM(G182:G184)</f>
        <v>1507963.2006953652</v>
      </c>
      <c r="I182" s="887">
        <v>31715324</v>
      </c>
      <c r="J182" s="877">
        <f>I182-H182</f>
        <v>30207360.799304634</v>
      </c>
    </row>
    <row r="183" spans="1:10" s="887" customFormat="1" ht="75" x14ac:dyDescent="0.2">
      <c r="A183" s="44">
        <v>128</v>
      </c>
      <c r="B183" s="884" t="s">
        <v>85</v>
      </c>
      <c r="C183" s="20"/>
      <c r="D183" s="13">
        <v>0</v>
      </c>
      <c r="E183" s="20"/>
      <c r="F183" s="20"/>
      <c r="G183" s="20"/>
    </row>
    <row r="184" spans="1:10" s="887" customFormat="1" x14ac:dyDescent="0.2">
      <c r="A184" s="44">
        <v>129</v>
      </c>
      <c r="B184" s="883" t="s">
        <v>206</v>
      </c>
      <c r="C184" s="12">
        <v>100</v>
      </c>
      <c r="D184" s="13">
        <v>11277.602800000002</v>
      </c>
      <c r="E184" s="25">
        <v>6849</v>
      </c>
      <c r="F184" s="25"/>
      <c r="G184" s="15">
        <f t="shared" ref="G184:G194" si="12">E184*D184/C184</f>
        <v>772403.01577200007</v>
      </c>
    </row>
    <row r="185" spans="1:10" ht="45.75" x14ac:dyDescent="0.2">
      <c r="A185" s="118">
        <v>130</v>
      </c>
      <c r="B185" s="884" t="s">
        <v>301</v>
      </c>
      <c r="C185" s="12">
        <v>1000</v>
      </c>
      <c r="D185" s="13">
        <v>72531.663749999992</v>
      </c>
      <c r="E185" s="14">
        <v>15824.15</v>
      </c>
      <c r="F185" s="14"/>
      <c r="G185" s="15">
        <f t="shared" si="12"/>
        <v>1147751.9269295624</v>
      </c>
      <c r="H185" s="882">
        <f>SUM(G185:G221)</f>
        <v>80212234.679585844</v>
      </c>
    </row>
    <row r="186" spans="1:10" x14ac:dyDescent="0.2">
      <c r="A186" s="118">
        <v>131</v>
      </c>
      <c r="B186" s="884" t="s">
        <v>302</v>
      </c>
      <c r="C186" s="19">
        <v>1</v>
      </c>
      <c r="D186" s="13">
        <v>88776.1875</v>
      </c>
      <c r="E186" s="25">
        <v>12.55</v>
      </c>
      <c r="F186" s="25"/>
      <c r="G186" s="15">
        <f t="shared" si="12"/>
        <v>1114141.153125</v>
      </c>
    </row>
    <row r="187" spans="1:10" ht="30" x14ac:dyDescent="0.2">
      <c r="A187" s="44">
        <v>132</v>
      </c>
      <c r="B187" s="884" t="s">
        <v>303</v>
      </c>
      <c r="C187" s="12">
        <v>100</v>
      </c>
      <c r="D187" s="13">
        <v>47794.11</v>
      </c>
      <c r="E187" s="14">
        <v>35830.6</v>
      </c>
      <c r="F187" s="14"/>
      <c r="G187" s="15">
        <f t="shared" si="12"/>
        <v>17124916.377659999</v>
      </c>
    </row>
    <row r="188" spans="1:10" s="887" customFormat="1" ht="135.75" x14ac:dyDescent="0.2">
      <c r="A188" s="122">
        <v>133</v>
      </c>
      <c r="B188" s="884" t="s">
        <v>304</v>
      </c>
      <c r="C188" s="12">
        <v>1</v>
      </c>
      <c r="D188" s="13">
        <v>21724.43</v>
      </c>
      <c r="E188" s="14">
        <v>741.85</v>
      </c>
      <c r="F188" s="14"/>
      <c r="G188" s="15">
        <f t="shared" si="12"/>
        <v>16116268.395500001</v>
      </c>
    </row>
    <row r="189" spans="1:10" s="887" customFormat="1" ht="120" x14ac:dyDescent="0.2">
      <c r="A189" s="44">
        <v>134</v>
      </c>
      <c r="B189" s="884" t="s">
        <v>99</v>
      </c>
      <c r="C189" s="19">
        <v>1</v>
      </c>
      <c r="D189" s="13">
        <v>3276</v>
      </c>
      <c r="E189" s="14">
        <v>2180.6999999999998</v>
      </c>
      <c r="F189" s="14"/>
      <c r="G189" s="15">
        <f t="shared" si="12"/>
        <v>7143973.1999999993</v>
      </c>
    </row>
    <row r="190" spans="1:10" s="887" customFormat="1" ht="60" x14ac:dyDescent="0.2">
      <c r="A190" s="44">
        <v>135</v>
      </c>
      <c r="B190" s="884" t="s">
        <v>305</v>
      </c>
      <c r="C190" s="19">
        <v>1</v>
      </c>
      <c r="D190" s="13">
        <v>3822</v>
      </c>
      <c r="E190" s="14">
        <v>638.85</v>
      </c>
      <c r="F190" s="14"/>
      <c r="G190" s="15">
        <f t="shared" si="12"/>
        <v>2441684.7000000002</v>
      </c>
    </row>
    <row r="191" spans="1:10" s="887" customFormat="1" ht="45" x14ac:dyDescent="0.2">
      <c r="A191" s="118">
        <v>136</v>
      </c>
      <c r="B191" s="884" t="s">
        <v>102</v>
      </c>
      <c r="C191" s="19">
        <v>100</v>
      </c>
      <c r="D191" s="13">
        <v>33854.84375</v>
      </c>
      <c r="E191" s="14">
        <v>13179.6</v>
      </c>
      <c r="F191" s="14"/>
      <c r="G191" s="15">
        <f t="shared" si="12"/>
        <v>4461932.9868750004</v>
      </c>
    </row>
    <row r="192" spans="1:10" s="887" customFormat="1" ht="75" x14ac:dyDescent="0.2">
      <c r="A192" s="118">
        <v>137</v>
      </c>
      <c r="B192" s="884" t="s">
        <v>191</v>
      </c>
      <c r="C192" s="19">
        <v>100</v>
      </c>
      <c r="D192" s="13">
        <v>22325.37125</v>
      </c>
      <c r="E192" s="25">
        <v>29658.5</v>
      </c>
      <c r="F192" s="25"/>
      <c r="G192" s="15">
        <f t="shared" si="12"/>
        <v>6621370.2321812501</v>
      </c>
    </row>
    <row r="193" spans="1:7" s="887" customFormat="1" ht="60" x14ac:dyDescent="0.2">
      <c r="A193" s="118">
        <v>138</v>
      </c>
      <c r="B193" s="884" t="s">
        <v>180</v>
      </c>
      <c r="C193" s="19">
        <v>100</v>
      </c>
      <c r="D193" s="13">
        <v>14054.039999999999</v>
      </c>
      <c r="E193" s="25">
        <v>19146.849999999999</v>
      </c>
      <c r="F193" s="25"/>
      <c r="G193" s="15">
        <f t="shared" si="12"/>
        <v>2690905.95774</v>
      </c>
    </row>
    <row r="194" spans="1:7" s="887" customFormat="1" ht="45" x14ac:dyDescent="0.2">
      <c r="A194" s="118">
        <v>139</v>
      </c>
      <c r="B194" s="884" t="s">
        <v>192</v>
      </c>
      <c r="C194" s="36">
        <v>1</v>
      </c>
      <c r="D194" s="13">
        <v>22750</v>
      </c>
      <c r="E194" s="25">
        <v>39.6</v>
      </c>
      <c r="F194" s="25"/>
      <c r="G194" s="15">
        <f t="shared" si="12"/>
        <v>900900</v>
      </c>
    </row>
    <row r="195" spans="1:7" s="887" customFormat="1" ht="30" x14ac:dyDescent="0.2">
      <c r="A195" s="44">
        <v>140</v>
      </c>
      <c r="B195" s="876" t="s">
        <v>106</v>
      </c>
      <c r="C195" s="20"/>
      <c r="D195" s="13">
        <v>0</v>
      </c>
      <c r="E195" s="20"/>
      <c r="F195" s="20"/>
      <c r="G195" s="20"/>
    </row>
    <row r="196" spans="1:7" s="887" customFormat="1" ht="30" x14ac:dyDescent="0.2">
      <c r="A196" s="44">
        <v>141</v>
      </c>
      <c r="B196" s="884" t="s">
        <v>162</v>
      </c>
      <c r="C196" s="19">
        <v>100</v>
      </c>
      <c r="D196" s="13">
        <v>21116.55</v>
      </c>
      <c r="E196" s="25">
        <v>5264.65</v>
      </c>
      <c r="F196" s="25"/>
      <c r="G196" s="15">
        <f t="shared" ref="G196:G202" si="13">E196*D196/C196</f>
        <v>1111712.449575</v>
      </c>
    </row>
    <row r="197" spans="1:7" s="887" customFormat="1" x14ac:dyDescent="0.2">
      <c r="A197" s="44">
        <v>142</v>
      </c>
      <c r="B197" s="884" t="s">
        <v>306</v>
      </c>
      <c r="C197" s="37">
        <v>1</v>
      </c>
      <c r="D197" s="13">
        <v>182</v>
      </c>
      <c r="E197" s="25">
        <v>656.85</v>
      </c>
      <c r="F197" s="25"/>
      <c r="G197" s="15">
        <f t="shared" si="13"/>
        <v>119546.7</v>
      </c>
    </row>
    <row r="198" spans="1:7" s="887" customFormat="1" ht="30" x14ac:dyDescent="0.2">
      <c r="A198" s="44">
        <v>143</v>
      </c>
      <c r="B198" s="884" t="s">
        <v>308</v>
      </c>
      <c r="C198" s="38">
        <v>1</v>
      </c>
      <c r="D198" s="13">
        <v>91</v>
      </c>
      <c r="E198" s="25">
        <v>4105.05</v>
      </c>
      <c r="F198" s="25"/>
      <c r="G198" s="15">
        <f t="shared" si="13"/>
        <v>373559.55</v>
      </c>
    </row>
    <row r="199" spans="1:7" s="887" customFormat="1" ht="30" x14ac:dyDescent="0.2">
      <c r="A199" s="44">
        <v>144</v>
      </c>
      <c r="B199" s="884" t="s">
        <v>309</v>
      </c>
      <c r="C199" s="38">
        <v>1</v>
      </c>
      <c r="D199" s="13">
        <v>273</v>
      </c>
      <c r="E199" s="25">
        <v>463.15</v>
      </c>
      <c r="F199" s="25"/>
      <c r="G199" s="15">
        <f t="shared" si="13"/>
        <v>126439.95</v>
      </c>
    </row>
    <row r="200" spans="1:7" s="887" customFormat="1" x14ac:dyDescent="0.2">
      <c r="A200" s="44">
        <v>145</v>
      </c>
      <c r="B200" s="884" t="s">
        <v>310</v>
      </c>
      <c r="C200" s="38">
        <v>1</v>
      </c>
      <c r="D200" s="13">
        <v>364</v>
      </c>
      <c r="E200" s="25">
        <v>1639.2</v>
      </c>
      <c r="F200" s="25"/>
      <c r="G200" s="15">
        <f t="shared" si="13"/>
        <v>596668.80000000005</v>
      </c>
    </row>
    <row r="201" spans="1:7" s="887" customFormat="1" ht="30" x14ac:dyDescent="0.2">
      <c r="A201" s="44">
        <v>146</v>
      </c>
      <c r="B201" s="884" t="s">
        <v>311</v>
      </c>
      <c r="C201" s="38">
        <v>1</v>
      </c>
      <c r="D201" s="13">
        <v>91</v>
      </c>
      <c r="E201" s="25">
        <v>8069.2</v>
      </c>
      <c r="F201" s="25"/>
      <c r="G201" s="15">
        <f t="shared" si="13"/>
        <v>734297.2</v>
      </c>
    </row>
    <row r="202" spans="1:7" s="887" customFormat="1" x14ac:dyDescent="0.2">
      <c r="A202" s="44">
        <v>147</v>
      </c>
      <c r="B202" s="884" t="s">
        <v>312</v>
      </c>
      <c r="C202" s="37">
        <v>1</v>
      </c>
      <c r="D202" s="13">
        <v>364</v>
      </c>
      <c r="E202" s="25">
        <v>2374.25</v>
      </c>
      <c r="F202" s="25"/>
      <c r="G202" s="15">
        <f t="shared" si="13"/>
        <v>864227</v>
      </c>
    </row>
    <row r="203" spans="1:7" s="887" customFormat="1" ht="90" x14ac:dyDescent="0.2">
      <c r="A203" s="44">
        <v>148</v>
      </c>
      <c r="B203" s="884" t="s">
        <v>313</v>
      </c>
      <c r="C203" s="20"/>
      <c r="D203" s="13">
        <v>0</v>
      </c>
      <c r="E203" s="20"/>
      <c r="F203" s="20"/>
      <c r="G203" s="20"/>
    </row>
    <row r="204" spans="1:7" s="887" customFormat="1" x14ac:dyDescent="0.2">
      <c r="A204" s="44" t="s">
        <v>60</v>
      </c>
      <c r="B204" s="884" t="s">
        <v>314</v>
      </c>
      <c r="C204" s="36">
        <v>1</v>
      </c>
      <c r="D204" s="13">
        <v>9100</v>
      </c>
      <c r="E204" s="25">
        <v>62.95</v>
      </c>
      <c r="F204" s="25"/>
      <c r="G204" s="15">
        <f>E204*D204/C204</f>
        <v>572845</v>
      </c>
    </row>
    <row r="205" spans="1:7" s="887" customFormat="1" x14ac:dyDescent="0.2">
      <c r="A205" s="44" t="s">
        <v>37</v>
      </c>
      <c r="B205" s="884" t="s">
        <v>315</v>
      </c>
      <c r="C205" s="36">
        <v>1</v>
      </c>
      <c r="D205" s="13">
        <v>4550</v>
      </c>
      <c r="E205" s="25">
        <v>87.1</v>
      </c>
      <c r="F205" s="25"/>
      <c r="G205" s="15">
        <f>E205*D205/C205</f>
        <v>396305</v>
      </c>
    </row>
    <row r="206" spans="1:7" s="887" customFormat="1" ht="30" x14ac:dyDescent="0.2">
      <c r="A206" s="44">
        <v>149</v>
      </c>
      <c r="B206" s="884" t="s">
        <v>316</v>
      </c>
      <c r="C206" s="38">
        <v>1</v>
      </c>
      <c r="D206" s="13">
        <v>91</v>
      </c>
      <c r="E206" s="25">
        <v>1457.7</v>
      </c>
      <c r="F206" s="25"/>
      <c r="G206" s="15">
        <f>E206*D206/C206</f>
        <v>132650.70000000001</v>
      </c>
    </row>
    <row r="207" spans="1:7" s="887" customFormat="1" ht="30" x14ac:dyDescent="0.2">
      <c r="A207" s="44">
        <v>150</v>
      </c>
      <c r="B207" s="884" t="s">
        <v>317</v>
      </c>
      <c r="C207" s="38">
        <v>1</v>
      </c>
      <c r="D207" s="13">
        <v>91</v>
      </c>
      <c r="E207" s="25">
        <v>15209.1</v>
      </c>
      <c r="F207" s="25"/>
      <c r="G207" s="15">
        <f>E207*D207/C207</f>
        <v>1384028.1</v>
      </c>
    </row>
    <row r="208" spans="1:7" s="887" customFormat="1" x14ac:dyDescent="0.2">
      <c r="A208" s="987">
        <v>151</v>
      </c>
      <c r="B208" s="884" t="s">
        <v>318</v>
      </c>
      <c r="C208" s="25"/>
      <c r="D208" s="13">
        <v>0</v>
      </c>
      <c r="E208" s="25"/>
      <c r="F208" s="25"/>
      <c r="G208" s="25"/>
    </row>
    <row r="209" spans="1:10" s="887" customFormat="1" x14ac:dyDescent="0.2">
      <c r="A209" s="988"/>
      <c r="B209" s="884" t="s">
        <v>319</v>
      </c>
      <c r="C209" s="38">
        <v>1</v>
      </c>
      <c r="D209" s="13">
        <v>91</v>
      </c>
      <c r="E209" s="25">
        <v>1380</v>
      </c>
      <c r="F209" s="25"/>
      <c r="G209" s="15">
        <f t="shared" ref="G209:G253" si="14">E209*D209/C209</f>
        <v>125580</v>
      </c>
    </row>
    <row r="210" spans="1:10" s="887" customFormat="1" x14ac:dyDescent="0.2">
      <c r="A210" s="988"/>
      <c r="B210" s="884" t="s">
        <v>320</v>
      </c>
      <c r="C210" s="38">
        <v>1</v>
      </c>
      <c r="D210" s="13">
        <v>91</v>
      </c>
      <c r="E210" s="25">
        <v>1610</v>
      </c>
      <c r="F210" s="25"/>
      <c r="G210" s="15">
        <f t="shared" si="14"/>
        <v>146510</v>
      </c>
    </row>
    <row r="211" spans="1:10" s="887" customFormat="1" x14ac:dyDescent="0.2">
      <c r="A211" s="989"/>
      <c r="B211" s="884" t="s">
        <v>321</v>
      </c>
      <c r="C211" s="38">
        <v>1</v>
      </c>
      <c r="D211" s="13">
        <v>91</v>
      </c>
      <c r="E211" s="25">
        <v>1035</v>
      </c>
      <c r="F211" s="25"/>
      <c r="G211" s="15">
        <f t="shared" si="14"/>
        <v>94185</v>
      </c>
    </row>
    <row r="212" spans="1:10" s="887" customFormat="1" x14ac:dyDescent="0.2">
      <c r="A212" s="44">
        <v>152</v>
      </c>
      <c r="B212" s="884" t="s">
        <v>322</v>
      </c>
      <c r="C212" s="38">
        <v>1</v>
      </c>
      <c r="D212" s="13">
        <v>91</v>
      </c>
      <c r="E212" s="25">
        <v>1999.2</v>
      </c>
      <c r="F212" s="25"/>
      <c r="G212" s="15">
        <f t="shared" si="14"/>
        <v>181927.2</v>
      </c>
    </row>
    <row r="213" spans="1:10" s="887" customFormat="1" x14ac:dyDescent="0.2">
      <c r="A213" s="44">
        <v>153</v>
      </c>
      <c r="B213" s="884" t="s">
        <v>133</v>
      </c>
      <c r="C213" s="38">
        <v>1</v>
      </c>
      <c r="D213" s="13">
        <v>256</v>
      </c>
      <c r="E213" s="25">
        <v>204.7</v>
      </c>
      <c r="F213" s="25"/>
      <c r="G213" s="15">
        <f t="shared" si="14"/>
        <v>52403.199999999997</v>
      </c>
      <c r="H213" s="877" t="e">
        <f>#REF!*37</f>
        <v>#REF!</v>
      </c>
      <c r="I213" s="877" t="e">
        <f>D213-H213</f>
        <v>#REF!</v>
      </c>
      <c r="J213" s="894"/>
    </row>
    <row r="214" spans="1:10" s="887" customFormat="1" x14ac:dyDescent="0.2">
      <c r="A214" s="44">
        <v>154</v>
      </c>
      <c r="B214" s="884" t="s">
        <v>155</v>
      </c>
      <c r="C214" s="38">
        <v>1</v>
      </c>
      <c r="D214" s="13">
        <v>182</v>
      </c>
      <c r="E214" s="25">
        <v>213.1</v>
      </c>
      <c r="F214" s="25"/>
      <c r="G214" s="15">
        <f t="shared" si="14"/>
        <v>38784.199999999997</v>
      </c>
    </row>
    <row r="215" spans="1:10" s="887" customFormat="1" ht="90" x14ac:dyDescent="0.2">
      <c r="A215" s="44">
        <v>155</v>
      </c>
      <c r="B215" s="884" t="s">
        <v>163</v>
      </c>
      <c r="C215" s="37">
        <v>1</v>
      </c>
      <c r="D215" s="13">
        <v>91</v>
      </c>
      <c r="E215" s="25">
        <v>24422.65</v>
      </c>
      <c r="F215" s="25"/>
      <c r="G215" s="15">
        <f t="shared" si="14"/>
        <v>2222461.15</v>
      </c>
    </row>
    <row r="216" spans="1:10" s="887" customFormat="1" ht="60.75" x14ac:dyDescent="0.2">
      <c r="A216" s="44">
        <v>156</v>
      </c>
      <c r="B216" s="884" t="s">
        <v>184</v>
      </c>
      <c r="C216" s="37">
        <v>1</v>
      </c>
      <c r="D216" s="13">
        <v>91</v>
      </c>
      <c r="E216" s="25">
        <v>5616.25</v>
      </c>
      <c r="F216" s="25"/>
      <c r="G216" s="15">
        <f t="shared" si="14"/>
        <v>511078.75</v>
      </c>
    </row>
    <row r="217" spans="1:10" s="887" customFormat="1" ht="60.75" x14ac:dyDescent="0.2">
      <c r="A217" s="44">
        <v>157</v>
      </c>
      <c r="B217" s="884" t="s">
        <v>185</v>
      </c>
      <c r="C217" s="37">
        <v>1</v>
      </c>
      <c r="D217" s="13">
        <v>364</v>
      </c>
      <c r="E217" s="25">
        <v>1453.75</v>
      </c>
      <c r="F217" s="25"/>
      <c r="G217" s="15">
        <f t="shared" si="14"/>
        <v>529165</v>
      </c>
    </row>
    <row r="218" spans="1:10" s="887" customFormat="1" x14ac:dyDescent="0.2">
      <c r="A218" s="44">
        <v>158</v>
      </c>
      <c r="B218" s="884" t="s">
        <v>323</v>
      </c>
      <c r="C218" s="38">
        <v>1</v>
      </c>
      <c r="D218" s="13">
        <v>91</v>
      </c>
      <c r="E218" s="25">
        <v>83.75</v>
      </c>
      <c r="F218" s="25"/>
      <c r="G218" s="15">
        <f t="shared" si="14"/>
        <v>7621.25</v>
      </c>
    </row>
    <row r="219" spans="1:10" s="887" customFormat="1" ht="45" x14ac:dyDescent="0.2">
      <c r="A219" s="44">
        <v>159</v>
      </c>
      <c r="B219" s="884" t="s">
        <v>324</v>
      </c>
      <c r="C219" s="38">
        <v>1</v>
      </c>
      <c r="D219" s="13">
        <v>91</v>
      </c>
      <c r="E219" s="25">
        <v>10815.4</v>
      </c>
      <c r="F219" s="25"/>
      <c r="G219" s="15">
        <f t="shared" si="14"/>
        <v>984201.4</v>
      </c>
    </row>
    <row r="220" spans="1:10" s="887" customFormat="1" ht="45" x14ac:dyDescent="0.2">
      <c r="A220" s="44">
        <v>160</v>
      </c>
      <c r="B220" s="884" t="s">
        <v>325</v>
      </c>
      <c r="C220" s="38">
        <v>1</v>
      </c>
      <c r="D220" s="13">
        <v>91</v>
      </c>
      <c r="E220" s="25">
        <v>663.65</v>
      </c>
      <c r="F220" s="25"/>
      <c r="G220" s="15">
        <f t="shared" si="14"/>
        <v>60392.15</v>
      </c>
    </row>
    <row r="221" spans="1:10" ht="30" x14ac:dyDescent="0.2">
      <c r="A221" s="44">
        <v>161</v>
      </c>
      <c r="B221" s="884" t="s">
        <v>326</v>
      </c>
      <c r="C221" s="38">
        <v>1</v>
      </c>
      <c r="D221" s="13">
        <v>91</v>
      </c>
      <c r="E221" s="25">
        <v>99800</v>
      </c>
      <c r="F221" s="25"/>
      <c r="G221" s="15">
        <f t="shared" si="14"/>
        <v>9081800</v>
      </c>
    </row>
    <row r="222" spans="1:10" s="891" customFormat="1" x14ac:dyDescent="0.2">
      <c r="A222" s="44">
        <v>162</v>
      </c>
      <c r="B222" s="888" t="s">
        <v>210</v>
      </c>
      <c r="C222" s="910">
        <v>1</v>
      </c>
      <c r="D222" s="13">
        <v>25</v>
      </c>
      <c r="E222" s="911">
        <v>71344</v>
      </c>
      <c r="F222" s="911"/>
      <c r="G222" s="105">
        <f t="shared" si="14"/>
        <v>1783600</v>
      </c>
    </row>
    <row r="223" spans="1:10" s="891" customFormat="1" x14ac:dyDescent="0.2">
      <c r="A223" s="44">
        <v>163</v>
      </c>
      <c r="B223" s="888" t="s">
        <v>211</v>
      </c>
      <c r="C223" s="910">
        <v>1</v>
      </c>
      <c r="D223" s="13">
        <v>700</v>
      </c>
      <c r="E223" s="911">
        <v>71680</v>
      </c>
      <c r="F223" s="911"/>
      <c r="G223" s="15">
        <f t="shared" si="14"/>
        <v>50176000</v>
      </c>
    </row>
    <row r="224" spans="1:10" s="891" customFormat="1" x14ac:dyDescent="0.2">
      <c r="A224" s="44">
        <v>164</v>
      </c>
      <c r="B224" s="888" t="s">
        <v>212</v>
      </c>
      <c r="C224" s="910">
        <v>1</v>
      </c>
      <c r="D224" s="13">
        <v>840</v>
      </c>
      <c r="E224" s="911">
        <v>5488</v>
      </c>
      <c r="F224" s="911"/>
      <c r="G224" s="15">
        <f t="shared" si="14"/>
        <v>4609920</v>
      </c>
    </row>
    <row r="225" spans="1:10" s="891" customFormat="1" x14ac:dyDescent="0.2">
      <c r="A225" s="44">
        <v>165</v>
      </c>
      <c r="B225" s="888" t="s">
        <v>213</v>
      </c>
      <c r="C225" s="910">
        <v>1</v>
      </c>
      <c r="D225" s="13">
        <v>1760</v>
      </c>
      <c r="E225" s="911">
        <v>8333</v>
      </c>
      <c r="F225" s="911"/>
      <c r="G225" s="15">
        <f t="shared" si="14"/>
        <v>14666080</v>
      </c>
    </row>
    <row r="226" spans="1:10" s="891" customFormat="1" x14ac:dyDescent="0.2">
      <c r="A226" s="44">
        <v>166</v>
      </c>
      <c r="B226" s="888" t="s">
        <v>214</v>
      </c>
      <c r="C226" s="910">
        <v>1</v>
      </c>
      <c r="D226" s="13">
        <v>1530</v>
      </c>
      <c r="E226" s="911">
        <v>4250</v>
      </c>
      <c r="F226" s="911"/>
      <c r="G226" s="15">
        <f t="shared" si="14"/>
        <v>6502500</v>
      </c>
    </row>
    <row r="227" spans="1:10" s="891" customFormat="1" x14ac:dyDescent="0.2">
      <c r="A227" s="44">
        <v>167</v>
      </c>
      <c r="B227" s="888" t="s">
        <v>483</v>
      </c>
      <c r="C227" s="910">
        <v>1</v>
      </c>
      <c r="D227" s="13">
        <v>1200</v>
      </c>
      <c r="E227" s="911">
        <v>609</v>
      </c>
      <c r="F227" s="911"/>
      <c r="G227" s="15">
        <f t="shared" si="14"/>
        <v>730800</v>
      </c>
    </row>
    <row r="228" spans="1:10" s="891" customFormat="1" x14ac:dyDescent="0.2">
      <c r="A228" s="44">
        <v>168</v>
      </c>
      <c r="B228" s="888" t="s">
        <v>216</v>
      </c>
      <c r="C228" s="910">
        <v>1</v>
      </c>
      <c r="D228" s="13">
        <f>65+2350</f>
        <v>2415</v>
      </c>
      <c r="E228" s="911">
        <v>1797</v>
      </c>
      <c r="F228" s="911"/>
      <c r="G228" s="15">
        <f t="shared" si="14"/>
        <v>4339755</v>
      </c>
    </row>
    <row r="229" spans="1:10" s="891" customFormat="1" x14ac:dyDescent="0.2">
      <c r="A229" s="44">
        <v>169</v>
      </c>
      <c r="B229" s="888" t="s">
        <v>217</v>
      </c>
      <c r="C229" s="910">
        <v>1</v>
      </c>
      <c r="D229" s="13">
        <v>1000</v>
      </c>
      <c r="E229" s="911">
        <v>599</v>
      </c>
      <c r="F229" s="911"/>
      <c r="G229" s="15">
        <f t="shared" si="14"/>
        <v>599000</v>
      </c>
      <c r="I229" s="891">
        <f>3390*245</f>
        <v>830550</v>
      </c>
      <c r="J229" s="891">
        <f>3390*246</f>
        <v>833940</v>
      </c>
    </row>
    <row r="230" spans="1:10" s="891" customFormat="1" x14ac:dyDescent="0.2">
      <c r="A230" s="44">
        <v>170</v>
      </c>
      <c r="B230" s="888" t="s">
        <v>218</v>
      </c>
      <c r="C230" s="910">
        <v>1</v>
      </c>
      <c r="D230" s="13">
        <v>700</v>
      </c>
      <c r="E230" s="911">
        <v>358</v>
      </c>
      <c r="F230" s="911"/>
      <c r="G230" s="15">
        <f t="shared" si="14"/>
        <v>250600</v>
      </c>
    </row>
    <row r="231" spans="1:10" s="891" customFormat="1" x14ac:dyDescent="0.2">
      <c r="A231" s="44">
        <v>171</v>
      </c>
      <c r="B231" s="888" t="s">
        <v>219</v>
      </c>
      <c r="C231" s="910">
        <v>1</v>
      </c>
      <c r="D231" s="13">
        <v>500</v>
      </c>
      <c r="E231" s="911">
        <v>208</v>
      </c>
      <c r="F231" s="911"/>
      <c r="G231" s="15">
        <f t="shared" si="14"/>
        <v>104000</v>
      </c>
    </row>
    <row r="232" spans="1:10" s="891" customFormat="1" x14ac:dyDescent="0.2">
      <c r="A232" s="44">
        <v>172</v>
      </c>
      <c r="B232" s="888" t="s">
        <v>220</v>
      </c>
      <c r="C232" s="910">
        <v>1</v>
      </c>
      <c r="D232" s="13">
        <v>500</v>
      </c>
      <c r="E232" s="911">
        <v>184</v>
      </c>
      <c r="F232" s="911"/>
      <c r="G232" s="15">
        <f t="shared" si="14"/>
        <v>92000</v>
      </c>
    </row>
    <row r="233" spans="1:10" s="891" customFormat="1" x14ac:dyDescent="0.2">
      <c r="A233" s="44">
        <v>173</v>
      </c>
      <c r="B233" s="888" t="s">
        <v>221</v>
      </c>
      <c r="C233" s="910">
        <v>1</v>
      </c>
      <c r="D233" s="13">
        <v>200</v>
      </c>
      <c r="E233" s="911">
        <v>49</v>
      </c>
      <c r="F233" s="911"/>
      <c r="G233" s="15">
        <f t="shared" si="14"/>
        <v>9800</v>
      </c>
    </row>
    <row r="234" spans="1:10" s="891" customFormat="1" x14ac:dyDescent="0.2">
      <c r="A234" s="44">
        <v>174</v>
      </c>
      <c r="B234" s="888" t="s">
        <v>222</v>
      </c>
      <c r="C234" s="910">
        <v>1</v>
      </c>
      <c r="D234" s="13">
        <v>150</v>
      </c>
      <c r="E234" s="911">
        <v>3935</v>
      </c>
      <c r="F234" s="911"/>
      <c r="G234" s="15">
        <f t="shared" si="14"/>
        <v>590250</v>
      </c>
    </row>
    <row r="235" spans="1:10" s="891" customFormat="1" x14ac:dyDescent="0.2">
      <c r="A235" s="44">
        <v>175</v>
      </c>
      <c r="B235" s="888" t="s">
        <v>223</v>
      </c>
      <c r="C235" s="912">
        <v>1</v>
      </c>
      <c r="D235" s="13">
        <v>1870</v>
      </c>
      <c r="E235" s="911">
        <v>399</v>
      </c>
      <c r="F235" s="911"/>
      <c r="G235" s="15">
        <f t="shared" si="14"/>
        <v>746130</v>
      </c>
    </row>
    <row r="236" spans="1:10" s="891" customFormat="1" x14ac:dyDescent="0.2">
      <c r="A236" s="44">
        <v>176</v>
      </c>
      <c r="B236" s="888" t="s">
        <v>224</v>
      </c>
      <c r="C236" s="910">
        <v>1</v>
      </c>
      <c r="D236" s="13">
        <f>58200+3390</f>
        <v>61590</v>
      </c>
      <c r="E236" s="911">
        <v>245</v>
      </c>
      <c r="F236" s="911"/>
      <c r="G236" s="15">
        <f t="shared" si="14"/>
        <v>15089550</v>
      </c>
      <c r="H236" s="891">
        <f>SUM(G222:G236)</f>
        <v>100289985</v>
      </c>
    </row>
    <row r="237" spans="1:10" s="891" customFormat="1" x14ac:dyDescent="0.2">
      <c r="A237" s="44">
        <v>177</v>
      </c>
      <c r="B237" s="888" t="s">
        <v>225</v>
      </c>
      <c r="C237" s="910">
        <v>1</v>
      </c>
      <c r="D237" s="13">
        <v>2</v>
      </c>
      <c r="E237" s="911">
        <v>2189000</v>
      </c>
      <c r="F237" s="911"/>
      <c r="G237" s="15">
        <f t="shared" si="14"/>
        <v>4378000</v>
      </c>
      <c r="H237" s="913">
        <f>SUM(G237:G249)</f>
        <v>43272829</v>
      </c>
    </row>
    <row r="238" spans="1:10" s="891" customFormat="1" x14ac:dyDescent="0.2">
      <c r="A238" s="44">
        <v>178</v>
      </c>
      <c r="B238" s="888" t="s">
        <v>226</v>
      </c>
      <c r="C238" s="910">
        <v>1</v>
      </c>
      <c r="D238" s="13">
        <v>5</v>
      </c>
      <c r="E238" s="911">
        <v>506760</v>
      </c>
      <c r="F238" s="911"/>
      <c r="G238" s="15">
        <f t="shared" si="14"/>
        <v>2533800</v>
      </c>
    </row>
    <row r="239" spans="1:10" s="891" customFormat="1" x14ac:dyDescent="0.2">
      <c r="A239" s="44">
        <v>179</v>
      </c>
      <c r="B239" s="888" t="s">
        <v>227</v>
      </c>
      <c r="C239" s="910">
        <v>1</v>
      </c>
      <c r="D239" s="13">
        <v>5</v>
      </c>
      <c r="E239" s="911">
        <v>400567</v>
      </c>
      <c r="F239" s="911"/>
      <c r="G239" s="15">
        <f t="shared" si="14"/>
        <v>2002835</v>
      </c>
    </row>
    <row r="240" spans="1:10" s="891" customFormat="1" x14ac:dyDescent="0.2">
      <c r="A240" s="44">
        <v>180</v>
      </c>
      <c r="B240" s="888" t="s">
        <v>228</v>
      </c>
      <c r="C240" s="910">
        <v>1</v>
      </c>
      <c r="D240" s="13">
        <v>46</v>
      </c>
      <c r="E240" s="911">
        <v>286340</v>
      </c>
      <c r="F240" s="911"/>
      <c r="G240" s="15">
        <f t="shared" si="14"/>
        <v>13171640</v>
      </c>
    </row>
    <row r="241" spans="1:9" s="891" customFormat="1" x14ac:dyDescent="0.2">
      <c r="A241" s="44">
        <v>181</v>
      </c>
      <c r="B241" s="888" t="s">
        <v>229</v>
      </c>
      <c r="C241" s="910">
        <v>1</v>
      </c>
      <c r="D241" s="13">
        <v>60</v>
      </c>
      <c r="E241" s="911">
        <v>24290</v>
      </c>
      <c r="F241" s="911"/>
      <c r="G241" s="15">
        <f t="shared" si="14"/>
        <v>1457400</v>
      </c>
    </row>
    <row r="242" spans="1:9" s="891" customFormat="1" x14ac:dyDescent="0.2">
      <c r="A242" s="44">
        <v>182</v>
      </c>
      <c r="B242" s="888" t="s">
        <v>230</v>
      </c>
      <c r="C242" s="910">
        <v>1</v>
      </c>
      <c r="D242" s="13">
        <v>1283</v>
      </c>
      <c r="E242" s="911">
        <v>198</v>
      </c>
      <c r="F242" s="911"/>
      <c r="G242" s="15">
        <f t="shared" si="14"/>
        <v>254034</v>
      </c>
    </row>
    <row r="243" spans="1:9" s="891" customFormat="1" x14ac:dyDescent="0.2">
      <c r="A243" s="44">
        <v>183</v>
      </c>
      <c r="B243" s="888" t="s">
        <v>231</v>
      </c>
      <c r="C243" s="910">
        <v>1</v>
      </c>
      <c r="D243" s="13">
        <f>33+150</f>
        <v>183</v>
      </c>
      <c r="E243" s="911">
        <v>18250</v>
      </c>
      <c r="F243" s="911"/>
      <c r="G243" s="15">
        <f t="shared" si="14"/>
        <v>3339750</v>
      </c>
      <c r="H243" s="891">
        <f>155000/198</f>
        <v>782.82828282828279</v>
      </c>
      <c r="I243" s="891">
        <f>500+783</f>
        <v>1283</v>
      </c>
    </row>
    <row r="244" spans="1:9" s="891" customFormat="1" x14ac:dyDescent="0.2">
      <c r="A244" s="44">
        <v>184</v>
      </c>
      <c r="B244" s="888" t="s">
        <v>232</v>
      </c>
      <c r="C244" s="910">
        <v>1</v>
      </c>
      <c r="D244" s="13">
        <v>50</v>
      </c>
      <c r="E244" s="911">
        <v>4770</v>
      </c>
      <c r="F244" s="911"/>
      <c r="G244" s="15">
        <f t="shared" si="14"/>
        <v>238500</v>
      </c>
    </row>
    <row r="245" spans="1:9" s="891" customFormat="1" x14ac:dyDescent="0.2">
      <c r="A245" s="44">
        <v>185</v>
      </c>
      <c r="B245" s="888" t="s">
        <v>233</v>
      </c>
      <c r="C245" s="910">
        <v>1</v>
      </c>
      <c r="D245" s="13">
        <v>50</v>
      </c>
      <c r="E245" s="911">
        <v>10900</v>
      </c>
      <c r="F245" s="911"/>
      <c r="G245" s="15">
        <f t="shared" si="14"/>
        <v>545000</v>
      </c>
    </row>
    <row r="246" spans="1:9" s="891" customFormat="1" x14ac:dyDescent="0.2">
      <c r="A246" s="44">
        <v>186</v>
      </c>
      <c r="B246" s="888" t="s">
        <v>484</v>
      </c>
      <c r="C246" s="910">
        <v>1</v>
      </c>
      <c r="D246" s="13">
        <v>527</v>
      </c>
      <c r="E246" s="911">
        <v>23650</v>
      </c>
      <c r="F246" s="911"/>
      <c r="G246" s="15">
        <f t="shared" si="14"/>
        <v>12463550</v>
      </c>
    </row>
    <row r="247" spans="1:9" s="891" customFormat="1" ht="30" x14ac:dyDescent="0.2">
      <c r="A247" s="44">
        <v>187</v>
      </c>
      <c r="B247" s="888" t="s">
        <v>235</v>
      </c>
      <c r="C247" s="910">
        <v>1</v>
      </c>
      <c r="D247" s="13">
        <v>200</v>
      </c>
      <c r="E247" s="911">
        <v>3378.5</v>
      </c>
      <c r="F247" s="911"/>
      <c r="G247" s="15">
        <f t="shared" si="14"/>
        <v>675700</v>
      </c>
    </row>
    <row r="248" spans="1:9" s="891" customFormat="1" ht="45" x14ac:dyDescent="0.2">
      <c r="A248" s="44">
        <v>188</v>
      </c>
      <c r="B248" s="888" t="s">
        <v>236</v>
      </c>
      <c r="C248" s="910">
        <v>1</v>
      </c>
      <c r="D248" s="13">
        <v>200</v>
      </c>
      <c r="E248" s="911">
        <v>6949.8</v>
      </c>
      <c r="F248" s="911"/>
      <c r="G248" s="15">
        <f t="shared" si="14"/>
        <v>1389960</v>
      </c>
    </row>
    <row r="249" spans="1:9" s="891" customFormat="1" ht="30" x14ac:dyDescent="0.2">
      <c r="A249" s="44">
        <v>189</v>
      </c>
      <c r="B249" s="888" t="s">
        <v>237</v>
      </c>
      <c r="C249" s="910">
        <v>1</v>
      </c>
      <c r="D249" s="13">
        <v>200</v>
      </c>
      <c r="E249" s="911">
        <v>4113.3</v>
      </c>
      <c r="F249" s="911"/>
      <c r="G249" s="15">
        <f t="shared" si="14"/>
        <v>822660</v>
      </c>
    </row>
    <row r="250" spans="1:9" s="891" customFormat="1" x14ac:dyDescent="0.2">
      <c r="A250" s="44">
        <v>190</v>
      </c>
      <c r="B250" s="888" t="s">
        <v>238</v>
      </c>
      <c r="C250" s="910">
        <v>1</v>
      </c>
      <c r="D250" s="13">
        <f>1300+5000</f>
        <v>6300</v>
      </c>
      <c r="E250" s="911">
        <v>975</v>
      </c>
      <c r="F250" s="911"/>
      <c r="G250" s="15">
        <f t="shared" si="14"/>
        <v>6142500</v>
      </c>
    </row>
    <row r="251" spans="1:9" s="891" customFormat="1" x14ac:dyDescent="0.2">
      <c r="A251" s="44">
        <v>191</v>
      </c>
      <c r="B251" s="888" t="s">
        <v>239</v>
      </c>
      <c r="C251" s="910">
        <v>1</v>
      </c>
      <c r="D251" s="13">
        <v>50</v>
      </c>
      <c r="E251" s="911">
        <v>48900</v>
      </c>
      <c r="F251" s="911"/>
      <c r="G251" s="15">
        <f t="shared" si="14"/>
        <v>2445000</v>
      </c>
    </row>
    <row r="252" spans="1:9" s="891" customFormat="1" x14ac:dyDescent="0.2">
      <c r="A252" s="44">
        <v>192</v>
      </c>
      <c r="B252" s="888" t="s">
        <v>240</v>
      </c>
      <c r="C252" s="910">
        <v>1</v>
      </c>
      <c r="D252" s="13">
        <v>17</v>
      </c>
      <c r="E252" s="911">
        <v>31300</v>
      </c>
      <c r="F252" s="911"/>
      <c r="G252" s="15">
        <f t="shared" si="14"/>
        <v>532100</v>
      </c>
    </row>
    <row r="253" spans="1:9" s="891" customFormat="1" x14ac:dyDescent="0.2">
      <c r="A253" s="44">
        <v>193</v>
      </c>
      <c r="B253" s="888" t="s">
        <v>242</v>
      </c>
      <c r="C253" s="910">
        <v>1</v>
      </c>
      <c r="D253" s="13">
        <f>28+80</f>
        <v>108</v>
      </c>
      <c r="E253" s="911">
        <v>10530</v>
      </c>
      <c r="F253" s="911"/>
      <c r="G253" s="15">
        <f t="shared" si="14"/>
        <v>1137240</v>
      </c>
    </row>
    <row r="254" spans="1:9" s="891" customFormat="1" x14ac:dyDescent="0.2">
      <c r="A254" s="44">
        <v>194</v>
      </c>
      <c r="B254" s="888" t="s">
        <v>482</v>
      </c>
      <c r="C254" s="910">
        <v>1</v>
      </c>
      <c r="D254" s="13">
        <v>0</v>
      </c>
      <c r="E254" s="911">
        <v>16263340</v>
      </c>
      <c r="F254" s="911"/>
      <c r="G254" s="15">
        <f t="shared" ref="G254:G258" si="15">E254</f>
        <v>16263340</v>
      </c>
    </row>
    <row r="255" spans="1:9" s="891" customFormat="1" x14ac:dyDescent="0.2">
      <c r="A255" s="44">
        <v>195</v>
      </c>
      <c r="B255" s="888" t="s">
        <v>481</v>
      </c>
      <c r="C255" s="910">
        <v>1</v>
      </c>
      <c r="D255" s="13">
        <v>0</v>
      </c>
      <c r="E255" s="911">
        <v>5598490</v>
      </c>
      <c r="F255" s="911"/>
      <c r="G255" s="15">
        <f>E255</f>
        <v>5598490</v>
      </c>
    </row>
    <row r="256" spans="1:9" s="891" customFormat="1" x14ac:dyDescent="0.2">
      <c r="A256" s="44">
        <v>196</v>
      </c>
      <c r="B256" s="888" t="s">
        <v>480</v>
      </c>
      <c r="C256" s="910">
        <v>1</v>
      </c>
      <c r="D256" s="13">
        <v>0</v>
      </c>
      <c r="E256" s="911">
        <v>1034832</v>
      </c>
      <c r="F256" s="911"/>
      <c r="G256" s="15">
        <f t="shared" si="15"/>
        <v>1034832</v>
      </c>
    </row>
    <row r="257" spans="1:9" s="891" customFormat="1" x14ac:dyDescent="0.2">
      <c r="A257" s="44">
        <v>197</v>
      </c>
      <c r="B257" s="888" t="s">
        <v>478</v>
      </c>
      <c r="C257" s="910">
        <v>1</v>
      </c>
      <c r="D257" s="13">
        <v>0</v>
      </c>
      <c r="E257" s="914">
        <v>8064000</v>
      </c>
      <c r="F257" s="914"/>
      <c r="G257" s="15">
        <f t="shared" si="15"/>
        <v>8064000</v>
      </c>
    </row>
    <row r="258" spans="1:9" s="891" customFormat="1" x14ac:dyDescent="0.2">
      <c r="A258" s="44">
        <v>198</v>
      </c>
      <c r="B258" s="888" t="s">
        <v>479</v>
      </c>
      <c r="C258" s="910">
        <v>1</v>
      </c>
      <c r="D258" s="13">
        <v>0</v>
      </c>
      <c r="E258" s="914">
        <v>42000000</v>
      </c>
      <c r="F258" s="914"/>
      <c r="G258" s="15">
        <f t="shared" si="15"/>
        <v>42000000</v>
      </c>
    </row>
    <row r="259" spans="1:9" s="891" customFormat="1" x14ac:dyDescent="0.2">
      <c r="A259" s="44">
        <v>199</v>
      </c>
      <c r="B259" s="888" t="s">
        <v>269</v>
      </c>
      <c r="C259" s="915">
        <v>1</v>
      </c>
      <c r="D259" s="13">
        <v>2</v>
      </c>
      <c r="E259" s="911">
        <v>2375000</v>
      </c>
      <c r="F259" s="911"/>
      <c r="G259" s="15">
        <f t="shared" ref="G259:G279" si="16">E259*D259/C259</f>
        <v>4750000</v>
      </c>
      <c r="H259" s="913">
        <f>SUM(G259:G267)</f>
        <v>7856248</v>
      </c>
      <c r="I259" s="891">
        <v>14594316</v>
      </c>
    </row>
    <row r="260" spans="1:9" s="891" customFormat="1" x14ac:dyDescent="0.2">
      <c r="A260" s="44">
        <v>200</v>
      </c>
      <c r="B260" s="888" t="s">
        <v>263</v>
      </c>
      <c r="C260" s="915">
        <v>1</v>
      </c>
      <c r="D260" s="13">
        <v>2</v>
      </c>
      <c r="E260" s="911">
        <v>904422</v>
      </c>
      <c r="F260" s="911"/>
      <c r="G260" s="15">
        <f t="shared" si="16"/>
        <v>1808844</v>
      </c>
      <c r="I260" s="918">
        <f>I259-H259</f>
        <v>6738068</v>
      </c>
    </row>
    <row r="261" spans="1:9" s="891" customFormat="1" x14ac:dyDescent="0.2">
      <c r="A261" s="44">
        <v>201</v>
      </c>
      <c r="B261" s="888" t="s">
        <v>264</v>
      </c>
      <c r="C261" s="915">
        <v>1</v>
      </c>
      <c r="D261" s="13">
        <v>7</v>
      </c>
      <c r="E261" s="911">
        <v>24290</v>
      </c>
      <c r="F261" s="911"/>
      <c r="G261" s="15">
        <f t="shared" si="16"/>
        <v>170030</v>
      </c>
    </row>
    <row r="262" spans="1:9" s="891" customFormat="1" x14ac:dyDescent="0.2">
      <c r="A262" s="44">
        <v>202</v>
      </c>
      <c r="B262" s="888" t="s">
        <v>250</v>
      </c>
      <c r="C262" s="915">
        <v>1</v>
      </c>
      <c r="D262" s="13">
        <v>6</v>
      </c>
      <c r="E262" s="911">
        <v>15786</v>
      </c>
      <c r="F262" s="911"/>
      <c r="G262" s="15">
        <f t="shared" si="16"/>
        <v>94716</v>
      </c>
    </row>
    <row r="263" spans="1:9" s="891" customFormat="1" x14ac:dyDescent="0.2">
      <c r="A263" s="44">
        <v>203</v>
      </c>
      <c r="B263" s="888" t="s">
        <v>251</v>
      </c>
      <c r="C263" s="915">
        <v>1</v>
      </c>
      <c r="D263" s="13">
        <v>12</v>
      </c>
      <c r="E263" s="911">
        <v>33000</v>
      </c>
      <c r="F263" s="911"/>
      <c r="G263" s="15">
        <f t="shared" si="16"/>
        <v>396000</v>
      </c>
    </row>
    <row r="264" spans="1:9" s="891" customFormat="1" x14ac:dyDescent="0.2">
      <c r="A264" s="44">
        <v>204</v>
      </c>
      <c r="B264" s="888" t="s">
        <v>254</v>
      </c>
      <c r="C264" s="915">
        <v>1</v>
      </c>
      <c r="D264" s="13">
        <v>9</v>
      </c>
      <c r="E264" s="911">
        <v>35200</v>
      </c>
      <c r="F264" s="911"/>
      <c r="G264" s="15">
        <f t="shared" si="16"/>
        <v>316800</v>
      </c>
    </row>
    <row r="265" spans="1:9" s="891" customFormat="1" x14ac:dyDescent="0.2">
      <c r="A265" s="44">
        <v>205</v>
      </c>
      <c r="B265" s="888" t="s">
        <v>257</v>
      </c>
      <c r="C265" s="915">
        <v>1</v>
      </c>
      <c r="D265" s="13">
        <v>14</v>
      </c>
      <c r="E265" s="911">
        <v>3591</v>
      </c>
      <c r="F265" s="911"/>
      <c r="G265" s="15">
        <f t="shared" si="16"/>
        <v>50274</v>
      </c>
    </row>
    <row r="266" spans="1:9" s="891" customFormat="1" x14ac:dyDescent="0.2">
      <c r="A266" s="44">
        <v>206</v>
      </c>
      <c r="B266" s="888" t="s">
        <v>258</v>
      </c>
      <c r="C266" s="915">
        <v>1</v>
      </c>
      <c r="D266" s="13">
        <v>58</v>
      </c>
      <c r="E266" s="911">
        <v>1498</v>
      </c>
      <c r="F266" s="911"/>
      <c r="G266" s="15">
        <f t="shared" si="16"/>
        <v>86884</v>
      </c>
    </row>
    <row r="267" spans="1:9" s="891" customFormat="1" x14ac:dyDescent="0.2">
      <c r="A267" s="44">
        <v>207</v>
      </c>
      <c r="B267" s="888" t="s">
        <v>259</v>
      </c>
      <c r="C267" s="912">
        <v>1</v>
      </c>
      <c r="D267" s="13">
        <v>420</v>
      </c>
      <c r="E267" s="911">
        <v>435</v>
      </c>
      <c r="F267" s="911"/>
      <c r="G267" s="15">
        <f t="shared" si="16"/>
        <v>182700</v>
      </c>
    </row>
    <row r="268" spans="1:9" s="891" customFormat="1" ht="60" x14ac:dyDescent="0.2">
      <c r="A268" s="44">
        <v>208</v>
      </c>
      <c r="B268" s="888" t="s">
        <v>472</v>
      </c>
      <c r="C268" s="919">
        <v>100</v>
      </c>
      <c r="D268" s="13">
        <v>49390</v>
      </c>
      <c r="E268" s="921">
        <v>69347.899999999994</v>
      </c>
      <c r="F268" s="921"/>
      <c r="G268" s="15">
        <f t="shared" si="16"/>
        <v>34250927.809999995</v>
      </c>
      <c r="I268" s="891" t="e">
        <f>#REF!+#REF!</f>
        <v>#REF!</v>
      </c>
    </row>
    <row r="269" spans="1:9" s="891" customFormat="1" ht="45" x14ac:dyDescent="0.2">
      <c r="A269" s="44">
        <v>209</v>
      </c>
      <c r="B269" s="888" t="s">
        <v>270</v>
      </c>
      <c r="C269" s="922">
        <v>1000</v>
      </c>
      <c r="D269" s="13">
        <v>2062.9820000000004</v>
      </c>
      <c r="E269" s="921">
        <v>15824.15</v>
      </c>
      <c r="F269" s="921"/>
      <c r="G269" s="15">
        <f t="shared" si="16"/>
        <v>32644.936615300008</v>
      </c>
      <c r="I269" s="891" t="e">
        <f>I268-240554556</f>
        <v>#REF!</v>
      </c>
    </row>
    <row r="270" spans="1:9" s="891" customFormat="1" ht="90" x14ac:dyDescent="0.2">
      <c r="A270" s="44">
        <v>210</v>
      </c>
      <c r="B270" s="888" t="s">
        <v>275</v>
      </c>
      <c r="C270" s="889">
        <v>1</v>
      </c>
      <c r="D270" s="13">
        <v>6650</v>
      </c>
      <c r="E270" s="921">
        <v>1985.95</v>
      </c>
      <c r="F270" s="921"/>
      <c r="G270" s="15">
        <f t="shared" si="16"/>
        <v>13206567.5</v>
      </c>
    </row>
    <row r="271" spans="1:9" s="891" customFormat="1" ht="45" x14ac:dyDescent="0.2">
      <c r="A271" s="44">
        <v>211</v>
      </c>
      <c r="B271" s="888" t="s">
        <v>276</v>
      </c>
      <c r="C271" s="919">
        <v>1</v>
      </c>
      <c r="D271" s="13">
        <v>14250</v>
      </c>
      <c r="E271" s="921">
        <v>234.95</v>
      </c>
      <c r="F271" s="921"/>
      <c r="G271" s="15">
        <f t="shared" si="16"/>
        <v>3348037.5</v>
      </c>
    </row>
    <row r="272" spans="1:9" s="891" customFormat="1" ht="45" x14ac:dyDescent="0.2">
      <c r="A272" s="44">
        <v>212</v>
      </c>
      <c r="B272" s="888" t="s">
        <v>277</v>
      </c>
      <c r="C272" s="919">
        <v>1</v>
      </c>
      <c r="D272" s="13">
        <v>28500</v>
      </c>
      <c r="E272" s="921">
        <v>56.3</v>
      </c>
      <c r="F272" s="921"/>
      <c r="G272" s="15">
        <f t="shared" si="16"/>
        <v>1604550</v>
      </c>
      <c r="H272" s="913">
        <f>SUM(G268:G272)</f>
        <v>52442727.746615298</v>
      </c>
    </row>
    <row r="273" spans="1:7" s="891" customFormat="1" ht="195.75" x14ac:dyDescent="0.2">
      <c r="A273" s="44">
        <v>213</v>
      </c>
      <c r="B273" s="925" t="s">
        <v>473</v>
      </c>
      <c r="C273" s="37">
        <v>1</v>
      </c>
      <c r="D273" s="13">
        <v>37</v>
      </c>
      <c r="E273" s="56">
        <v>4350150</v>
      </c>
      <c r="F273" s="56"/>
      <c r="G273" s="15">
        <f t="shared" si="16"/>
        <v>160955550</v>
      </c>
    </row>
    <row r="274" spans="1:7" s="891" customFormat="1" ht="240.75" x14ac:dyDescent="0.2">
      <c r="A274" s="44">
        <v>214</v>
      </c>
      <c r="B274" s="888" t="s">
        <v>474</v>
      </c>
      <c r="C274" s="37">
        <v>1</v>
      </c>
      <c r="D274" s="13">
        <v>8</v>
      </c>
      <c r="E274" s="911">
        <v>3886124</v>
      </c>
      <c r="F274" s="911"/>
      <c r="G274" s="15">
        <f t="shared" si="16"/>
        <v>31088992</v>
      </c>
    </row>
    <row r="275" spans="1:7" s="891" customFormat="1" ht="255" x14ac:dyDescent="0.2">
      <c r="A275" s="44">
        <v>215</v>
      </c>
      <c r="B275" s="888" t="s">
        <v>338</v>
      </c>
      <c r="C275" s="111">
        <v>1</v>
      </c>
      <c r="D275" s="13">
        <v>6</v>
      </c>
      <c r="E275" s="926">
        <v>4140119</v>
      </c>
      <c r="F275" s="926"/>
      <c r="G275" s="15">
        <f t="shared" si="16"/>
        <v>24840714</v>
      </c>
    </row>
    <row r="276" spans="1:7" s="891" customFormat="1" ht="256.5" x14ac:dyDescent="0.2">
      <c r="A276" s="44">
        <v>216</v>
      </c>
      <c r="B276" s="888" t="s">
        <v>475</v>
      </c>
      <c r="C276" s="37">
        <v>1</v>
      </c>
      <c r="D276" s="13">
        <v>1</v>
      </c>
      <c r="E276" s="59">
        <v>8178639</v>
      </c>
      <c r="F276" s="59"/>
      <c r="G276" s="15">
        <f t="shared" si="16"/>
        <v>8178639</v>
      </c>
    </row>
    <row r="277" spans="1:7" s="891" customFormat="1" ht="280.14999999999998" customHeight="1" x14ac:dyDescent="0.2">
      <c r="A277" s="44">
        <v>217</v>
      </c>
      <c r="B277" s="876" t="s">
        <v>476</v>
      </c>
      <c r="C277" s="37">
        <v>1</v>
      </c>
      <c r="D277" s="13">
        <v>8</v>
      </c>
      <c r="E277" s="59">
        <v>13004544</v>
      </c>
      <c r="F277" s="59"/>
      <c r="G277" s="15">
        <f t="shared" si="16"/>
        <v>104036352</v>
      </c>
    </row>
    <row r="278" spans="1:7" s="891" customFormat="1" ht="45" x14ac:dyDescent="0.2">
      <c r="A278" s="44">
        <v>218</v>
      </c>
      <c r="B278" s="888" t="s">
        <v>299</v>
      </c>
      <c r="C278" s="37">
        <v>1</v>
      </c>
      <c r="D278" s="13">
        <v>4</v>
      </c>
      <c r="E278" s="59">
        <v>1472223</v>
      </c>
      <c r="F278" s="59"/>
      <c r="G278" s="15">
        <f t="shared" si="16"/>
        <v>5888892</v>
      </c>
    </row>
    <row r="279" spans="1:7" s="891" customFormat="1" ht="45" x14ac:dyDescent="0.2">
      <c r="A279" s="44">
        <v>219</v>
      </c>
      <c r="B279" s="888" t="s">
        <v>297</v>
      </c>
      <c r="C279" s="37">
        <v>1</v>
      </c>
      <c r="D279" s="13">
        <v>1</v>
      </c>
      <c r="E279" s="59">
        <v>1315342</v>
      </c>
      <c r="F279" s="59"/>
      <c r="G279" s="15">
        <f t="shared" si="16"/>
        <v>1315342</v>
      </c>
    </row>
    <row r="280" spans="1:7" s="891" customFormat="1" ht="30" x14ac:dyDescent="0.2">
      <c r="A280" s="44">
        <v>220</v>
      </c>
      <c r="B280" s="888" t="s">
        <v>390</v>
      </c>
      <c r="C280" s="49" t="s">
        <v>278</v>
      </c>
      <c r="D280" s="13">
        <v>8140</v>
      </c>
      <c r="E280" s="49">
        <v>864.05</v>
      </c>
      <c r="F280" s="49"/>
      <c r="G280" s="15">
        <f>E280*D280</f>
        <v>7033367</v>
      </c>
    </row>
    <row r="281" spans="1:7" s="891" customFormat="1" ht="30" x14ac:dyDescent="0.2">
      <c r="A281" s="44">
        <v>221</v>
      </c>
      <c r="B281" s="888" t="s">
        <v>279</v>
      </c>
      <c r="C281" s="37">
        <v>1</v>
      </c>
      <c r="D281" s="13">
        <v>1628</v>
      </c>
      <c r="E281" s="49">
        <v>80</v>
      </c>
      <c r="F281" s="49"/>
      <c r="G281" s="15">
        <f>E281*D281/C281</f>
        <v>130240</v>
      </c>
    </row>
    <row r="282" spans="1:7" s="891" customFormat="1" ht="30" x14ac:dyDescent="0.2">
      <c r="A282" s="44">
        <v>222</v>
      </c>
      <c r="B282" s="888" t="s">
        <v>280</v>
      </c>
      <c r="C282" s="927" t="s">
        <v>281</v>
      </c>
      <c r="D282" s="13">
        <v>37</v>
      </c>
      <c r="E282" s="49">
        <v>232.8</v>
      </c>
      <c r="F282" s="49"/>
      <c r="G282" s="15">
        <f>E282*D282</f>
        <v>8613.6</v>
      </c>
    </row>
    <row r="283" spans="1:7" s="891" customFormat="1" ht="45" x14ac:dyDescent="0.2">
      <c r="A283" s="44">
        <v>223</v>
      </c>
      <c r="B283" s="888" t="s">
        <v>282</v>
      </c>
      <c r="C283" s="49" t="s">
        <v>278</v>
      </c>
      <c r="D283" s="13">
        <v>2590</v>
      </c>
      <c r="E283" s="49">
        <v>5371</v>
      </c>
      <c r="F283" s="49"/>
      <c r="G283" s="15">
        <f>E283*D283</f>
        <v>13910890</v>
      </c>
    </row>
    <row r="284" spans="1:7" s="891" customFormat="1" ht="30" x14ac:dyDescent="0.2">
      <c r="A284" s="44">
        <v>224</v>
      </c>
      <c r="B284" s="888" t="s">
        <v>283</v>
      </c>
      <c r="C284" s="37">
        <v>1</v>
      </c>
      <c r="D284" s="13">
        <v>74</v>
      </c>
      <c r="E284" s="49">
        <v>35582</v>
      </c>
      <c r="F284" s="49"/>
      <c r="G284" s="15">
        <f>E284*D284/C284</f>
        <v>2633068</v>
      </c>
    </row>
    <row r="285" spans="1:7" s="891" customFormat="1" ht="60" x14ac:dyDescent="0.2">
      <c r="A285" s="44">
        <v>225</v>
      </c>
      <c r="B285" s="888" t="s">
        <v>284</v>
      </c>
      <c r="C285" s="49" t="s">
        <v>278</v>
      </c>
      <c r="D285" s="13">
        <v>4440</v>
      </c>
      <c r="E285" s="49">
        <v>3866.45</v>
      </c>
      <c r="F285" s="49"/>
      <c r="G285" s="15">
        <f>E285*D285</f>
        <v>17167038</v>
      </c>
    </row>
    <row r="286" spans="1:7" s="891" customFormat="1" ht="45" x14ac:dyDescent="0.2">
      <c r="A286" s="44">
        <v>226</v>
      </c>
      <c r="B286" s="888" t="s">
        <v>285</v>
      </c>
      <c r="C286" s="49" t="s">
        <v>278</v>
      </c>
      <c r="D286" s="13">
        <v>740</v>
      </c>
      <c r="E286" s="49">
        <v>3583</v>
      </c>
      <c r="F286" s="49"/>
      <c r="G286" s="15">
        <f>E286*D286</f>
        <v>2651420</v>
      </c>
    </row>
    <row r="287" spans="1:7" s="891" customFormat="1" ht="60" x14ac:dyDescent="0.2">
      <c r="A287" s="44">
        <v>227</v>
      </c>
      <c r="B287" s="888" t="s">
        <v>286</v>
      </c>
      <c r="C287" s="49" t="s">
        <v>278</v>
      </c>
      <c r="D287" s="13">
        <v>370</v>
      </c>
      <c r="E287" s="49">
        <v>3735.5</v>
      </c>
      <c r="F287" s="49"/>
      <c r="G287" s="15">
        <f>E287*D287</f>
        <v>1382135</v>
      </c>
    </row>
    <row r="288" spans="1:7" s="891" customFormat="1" ht="30" x14ac:dyDescent="0.2">
      <c r="A288" s="44">
        <v>228</v>
      </c>
      <c r="B288" s="888" t="s">
        <v>287</v>
      </c>
      <c r="C288" s="37">
        <v>1</v>
      </c>
      <c r="D288" s="13">
        <v>148</v>
      </c>
      <c r="E288" s="49">
        <v>1148</v>
      </c>
      <c r="F288" s="49"/>
      <c r="G288" s="15">
        <f>E288*D288/C288</f>
        <v>169904</v>
      </c>
    </row>
    <row r="289" spans="1:8" s="891" customFormat="1" x14ac:dyDescent="0.2">
      <c r="A289" s="44">
        <v>229</v>
      </c>
      <c r="B289" s="888" t="s">
        <v>288</v>
      </c>
      <c r="C289" s="49" t="s">
        <v>289</v>
      </c>
      <c r="D289" s="13">
        <v>6520.88</v>
      </c>
      <c r="E289" s="49">
        <v>186.65</v>
      </c>
      <c r="F289" s="49"/>
      <c r="G289" s="15">
        <f>E289*D289</f>
        <v>1217122.2520000001</v>
      </c>
    </row>
    <row r="290" spans="1:8" s="891" customFormat="1" ht="30" x14ac:dyDescent="0.2">
      <c r="A290" s="44">
        <v>230</v>
      </c>
      <c r="B290" s="888" t="s">
        <v>387</v>
      </c>
      <c r="C290" s="49" t="s">
        <v>290</v>
      </c>
      <c r="D290" s="13">
        <v>2664</v>
      </c>
      <c r="E290" s="49">
        <v>3253.1</v>
      </c>
      <c r="F290" s="49"/>
      <c r="G290" s="15">
        <f>E290*D290</f>
        <v>8666258.4000000004</v>
      </c>
    </row>
    <row r="291" spans="1:8" s="891" customFormat="1" ht="30" x14ac:dyDescent="0.2">
      <c r="A291" s="44">
        <v>231</v>
      </c>
      <c r="B291" s="888" t="s">
        <v>291</v>
      </c>
      <c r="C291" s="49" t="s">
        <v>278</v>
      </c>
      <c r="D291" s="13">
        <v>1850</v>
      </c>
      <c r="E291" s="49">
        <v>924.05</v>
      </c>
      <c r="F291" s="49"/>
      <c r="G291" s="15">
        <f>E291*D291</f>
        <v>1709492.5</v>
      </c>
    </row>
    <row r="292" spans="1:8" s="891" customFormat="1" ht="45" x14ac:dyDescent="0.2">
      <c r="A292" s="44">
        <v>232</v>
      </c>
      <c r="B292" s="888" t="s">
        <v>292</v>
      </c>
      <c r="C292" s="922">
        <v>1000</v>
      </c>
      <c r="D292" s="13">
        <v>118400</v>
      </c>
      <c r="E292" s="49">
        <v>11293.9</v>
      </c>
      <c r="F292" s="49"/>
      <c r="G292" s="15">
        <f>E292*D292/C292</f>
        <v>1337197.76</v>
      </c>
    </row>
    <row r="293" spans="1:8" s="891" customFormat="1" ht="60" x14ac:dyDescent="0.2">
      <c r="A293" s="44">
        <v>233</v>
      </c>
      <c r="B293" s="888" t="s">
        <v>294</v>
      </c>
      <c r="C293" s="49" t="s">
        <v>295</v>
      </c>
      <c r="D293" s="13">
        <v>14800</v>
      </c>
      <c r="E293" s="49">
        <v>3565</v>
      </c>
      <c r="F293" s="49"/>
      <c r="G293" s="15">
        <f>E293*D293</f>
        <v>52762000</v>
      </c>
    </row>
    <row r="294" spans="1:8" s="891" customFormat="1" ht="60" x14ac:dyDescent="0.2">
      <c r="A294" s="44">
        <v>234</v>
      </c>
      <c r="B294" s="888" t="s">
        <v>296</v>
      </c>
      <c r="C294" s="49" t="s">
        <v>295</v>
      </c>
      <c r="D294" s="13">
        <v>555</v>
      </c>
      <c r="E294" s="49">
        <v>500.3</v>
      </c>
      <c r="F294" s="49"/>
      <c r="G294" s="15">
        <f>E294*D294</f>
        <v>277666.5</v>
      </c>
      <c r="H294" s="913">
        <f>SUM(G280:G294)</f>
        <v>111056413.01199999</v>
      </c>
    </row>
    <row r="295" spans="1:8" s="891" customFormat="1" ht="195" x14ac:dyDescent="0.2">
      <c r="A295" s="44">
        <v>235</v>
      </c>
      <c r="B295" s="888" t="s">
        <v>300</v>
      </c>
      <c r="C295" s="37">
        <v>1</v>
      </c>
      <c r="D295" s="13">
        <v>87</v>
      </c>
      <c r="E295" s="911">
        <v>1950150</v>
      </c>
      <c r="F295" s="911"/>
      <c r="G295" s="15">
        <f t="shared" ref="G295:G303" si="17">E295*D295/C295</f>
        <v>169663050</v>
      </c>
    </row>
    <row r="296" spans="1:8" s="891" customFormat="1" x14ac:dyDescent="0.2">
      <c r="A296" s="44">
        <v>236</v>
      </c>
      <c r="B296" s="876" t="s">
        <v>339</v>
      </c>
      <c r="C296" s="37">
        <v>1</v>
      </c>
      <c r="D296" s="13">
        <v>1</v>
      </c>
      <c r="E296" s="65">
        <v>1829000</v>
      </c>
      <c r="F296" s="65"/>
      <c r="G296" s="15">
        <f t="shared" si="17"/>
        <v>1829000</v>
      </c>
    </row>
    <row r="297" spans="1:8" s="891" customFormat="1" ht="90" x14ac:dyDescent="0.2">
      <c r="A297" s="44">
        <v>237</v>
      </c>
      <c r="B297" s="876" t="s">
        <v>340</v>
      </c>
      <c r="C297" s="37">
        <v>1</v>
      </c>
      <c r="D297" s="13">
        <v>1</v>
      </c>
      <c r="E297" s="65">
        <v>4250000</v>
      </c>
      <c r="F297" s="65"/>
      <c r="G297" s="15">
        <f t="shared" si="17"/>
        <v>4250000</v>
      </c>
    </row>
    <row r="298" spans="1:8" s="891" customFormat="1" ht="75" x14ac:dyDescent="0.2">
      <c r="A298" s="44">
        <v>238</v>
      </c>
      <c r="B298" s="876" t="s">
        <v>341</v>
      </c>
      <c r="C298" s="37">
        <v>1</v>
      </c>
      <c r="D298" s="13">
        <v>1</v>
      </c>
      <c r="E298" s="49">
        <v>1475000</v>
      </c>
      <c r="F298" s="49"/>
      <c r="G298" s="15">
        <f t="shared" si="17"/>
        <v>1475000</v>
      </c>
    </row>
    <row r="299" spans="1:8" s="891" customFormat="1" ht="45" x14ac:dyDescent="0.2">
      <c r="A299" s="44">
        <v>239</v>
      </c>
      <c r="B299" s="876" t="s">
        <v>342</v>
      </c>
      <c r="C299" s="37">
        <v>1</v>
      </c>
      <c r="D299" s="13">
        <v>4</v>
      </c>
      <c r="E299" s="49">
        <v>129800</v>
      </c>
      <c r="F299" s="49"/>
      <c r="G299" s="15">
        <f t="shared" si="17"/>
        <v>519200</v>
      </c>
    </row>
    <row r="300" spans="1:8" s="891" customFormat="1" ht="90" x14ac:dyDescent="0.2">
      <c r="A300" s="44">
        <v>240</v>
      </c>
      <c r="B300" s="876" t="s">
        <v>343</v>
      </c>
      <c r="C300" s="37">
        <v>1</v>
      </c>
      <c r="D300" s="13">
        <v>2</v>
      </c>
      <c r="E300" s="49">
        <v>850000</v>
      </c>
      <c r="F300" s="49"/>
      <c r="G300" s="15">
        <f t="shared" si="17"/>
        <v>1700000</v>
      </c>
    </row>
    <row r="301" spans="1:8" s="891" customFormat="1" ht="210.75" x14ac:dyDescent="0.2">
      <c r="A301" s="44">
        <v>241</v>
      </c>
      <c r="B301" s="888" t="s">
        <v>477</v>
      </c>
      <c r="C301" s="37">
        <v>1</v>
      </c>
      <c r="D301" s="13">
        <v>6</v>
      </c>
      <c r="E301" s="66">
        <v>5061387.5</v>
      </c>
      <c r="F301" s="66"/>
      <c r="G301" s="15">
        <f t="shared" si="17"/>
        <v>30368325</v>
      </c>
    </row>
    <row r="302" spans="1:8" s="891" customFormat="1" ht="210" x14ac:dyDescent="0.2">
      <c r="A302" s="44">
        <v>242</v>
      </c>
      <c r="B302" s="888" t="s">
        <v>426</v>
      </c>
      <c r="C302" s="37">
        <v>1</v>
      </c>
      <c r="D302" s="13">
        <v>7</v>
      </c>
      <c r="E302" s="66">
        <v>4116450</v>
      </c>
      <c r="F302" s="66"/>
      <c r="G302" s="15">
        <f t="shared" si="17"/>
        <v>28815150</v>
      </c>
    </row>
    <row r="303" spans="1:8" s="891" customFormat="1" ht="210" x14ac:dyDescent="0.2">
      <c r="A303" s="44">
        <v>243</v>
      </c>
      <c r="B303" s="888" t="s">
        <v>427</v>
      </c>
      <c r="C303" s="37">
        <v>1</v>
      </c>
      <c r="D303" s="13">
        <v>1</v>
      </c>
      <c r="E303" s="66">
        <v>8787425</v>
      </c>
      <c r="F303" s="66"/>
      <c r="G303" s="15">
        <f t="shared" si="17"/>
        <v>8787425</v>
      </c>
    </row>
    <row r="304" spans="1:8" s="887" customFormat="1" x14ac:dyDescent="0.2">
      <c r="A304" s="44">
        <v>244</v>
      </c>
      <c r="B304" s="876" t="s">
        <v>429</v>
      </c>
      <c r="C304" s="22" t="s">
        <v>347</v>
      </c>
      <c r="D304" s="13">
        <v>0</v>
      </c>
      <c r="E304" s="30"/>
      <c r="F304" s="30"/>
      <c r="G304" s="15">
        <v>1300000</v>
      </c>
    </row>
    <row r="305" spans="1:15" s="887" customFormat="1" x14ac:dyDescent="0.2">
      <c r="A305" s="44">
        <v>245</v>
      </c>
      <c r="B305" s="876" t="s">
        <v>428</v>
      </c>
      <c r="C305" s="22" t="s">
        <v>347</v>
      </c>
      <c r="D305" s="13">
        <v>0</v>
      </c>
      <c r="E305" s="30"/>
      <c r="F305" s="30"/>
      <c r="G305" s="15">
        <v>700000</v>
      </c>
    </row>
    <row r="306" spans="1:15" s="887" customFormat="1" x14ac:dyDescent="0.2">
      <c r="A306" s="44">
        <v>246</v>
      </c>
      <c r="B306" s="876" t="s">
        <v>432</v>
      </c>
      <c r="C306" s="22" t="s">
        <v>347</v>
      </c>
      <c r="D306" s="13">
        <v>0</v>
      </c>
      <c r="E306" s="30"/>
      <c r="F306" s="30"/>
      <c r="G306" s="15">
        <v>500000</v>
      </c>
    </row>
    <row r="307" spans="1:15" s="887" customFormat="1" x14ac:dyDescent="0.2">
      <c r="A307" s="44">
        <v>247</v>
      </c>
      <c r="B307" s="876" t="s">
        <v>430</v>
      </c>
      <c r="C307" s="22" t="s">
        <v>347</v>
      </c>
      <c r="D307" s="13">
        <v>0</v>
      </c>
      <c r="E307" s="30"/>
      <c r="F307" s="30"/>
      <c r="G307" s="15">
        <v>500000</v>
      </c>
    </row>
    <row r="308" spans="1:15" s="887" customFormat="1" x14ac:dyDescent="0.2">
      <c r="A308" s="44">
        <v>248</v>
      </c>
      <c r="B308" s="876" t="s">
        <v>431</v>
      </c>
      <c r="C308" s="22" t="s">
        <v>347</v>
      </c>
      <c r="D308" s="13">
        <v>0</v>
      </c>
      <c r="E308" s="30"/>
      <c r="F308" s="30"/>
      <c r="G308" s="15">
        <v>500000</v>
      </c>
    </row>
    <row r="309" spans="1:15" s="887" customFormat="1" x14ac:dyDescent="0.2">
      <c r="A309" s="44">
        <v>249</v>
      </c>
      <c r="B309" s="884" t="s">
        <v>433</v>
      </c>
      <c r="C309" s="22" t="s">
        <v>347</v>
      </c>
      <c r="D309" s="13">
        <v>0</v>
      </c>
      <c r="E309" s="30"/>
      <c r="F309" s="30"/>
      <c r="G309" s="15">
        <v>250000</v>
      </c>
    </row>
    <row r="310" spans="1:15" s="887" customFormat="1" x14ac:dyDescent="0.2">
      <c r="A310" s="44">
        <v>250</v>
      </c>
      <c r="B310" s="884" t="s">
        <v>434</v>
      </c>
      <c r="C310" s="22" t="s">
        <v>347</v>
      </c>
      <c r="D310" s="13">
        <v>0</v>
      </c>
      <c r="E310" s="30"/>
      <c r="F310" s="30"/>
      <c r="G310" s="15">
        <v>250000</v>
      </c>
    </row>
    <row r="311" spans="1:15" s="887" customFormat="1" x14ac:dyDescent="0.2">
      <c r="A311" s="44">
        <v>251</v>
      </c>
      <c r="B311" s="884" t="s">
        <v>354</v>
      </c>
      <c r="C311" s="22" t="s">
        <v>347</v>
      </c>
      <c r="D311" s="13">
        <v>5</v>
      </c>
      <c r="E311" s="40">
        <v>100000</v>
      </c>
      <c r="F311" s="40"/>
      <c r="G311" s="15">
        <v>500000</v>
      </c>
    </row>
    <row r="312" spans="1:15" s="887" customFormat="1" ht="15.75" x14ac:dyDescent="0.2">
      <c r="A312" s="44">
        <v>252</v>
      </c>
      <c r="B312" s="928" t="s">
        <v>355</v>
      </c>
      <c r="C312" s="22" t="s">
        <v>347</v>
      </c>
      <c r="D312" s="13">
        <v>1</v>
      </c>
      <c r="E312" s="30"/>
      <c r="F312" s="30"/>
      <c r="G312" s="15">
        <v>1500000</v>
      </c>
    </row>
    <row r="313" spans="1:15" s="887" customFormat="1" ht="15.75" x14ac:dyDescent="0.2">
      <c r="A313" s="44">
        <v>253</v>
      </c>
      <c r="B313" s="928" t="s">
        <v>356</v>
      </c>
      <c r="C313" s="22" t="s">
        <v>347</v>
      </c>
      <c r="D313" s="13">
        <v>3</v>
      </c>
      <c r="E313" s="40">
        <v>500000</v>
      </c>
      <c r="F313" s="40"/>
      <c r="G313" s="15">
        <v>1500000</v>
      </c>
    </row>
    <row r="314" spans="1:15" s="887" customFormat="1" ht="15.75" x14ac:dyDescent="0.2">
      <c r="A314" s="44">
        <v>254</v>
      </c>
      <c r="B314" s="928" t="s">
        <v>357</v>
      </c>
      <c r="C314" s="22" t="s">
        <v>347</v>
      </c>
      <c r="D314" s="13">
        <v>1</v>
      </c>
      <c r="E314" s="30"/>
      <c r="F314" s="30"/>
      <c r="G314" s="15">
        <v>500000</v>
      </c>
    </row>
    <row r="315" spans="1:15" x14ac:dyDescent="0.2">
      <c r="A315" s="44">
        <v>255</v>
      </c>
      <c r="B315" s="884" t="s">
        <v>435</v>
      </c>
      <c r="C315" s="22" t="s">
        <v>347</v>
      </c>
      <c r="D315" s="13">
        <v>1</v>
      </c>
      <c r="E315" s="30"/>
      <c r="F315" s="30"/>
      <c r="G315" s="15">
        <v>125000</v>
      </c>
    </row>
    <row r="316" spans="1:15" x14ac:dyDescent="0.2">
      <c r="A316" s="44">
        <v>256</v>
      </c>
      <c r="B316" s="884" t="s">
        <v>436</v>
      </c>
      <c r="C316" s="22" t="s">
        <v>347</v>
      </c>
      <c r="D316" s="13">
        <v>1</v>
      </c>
      <c r="E316" s="30"/>
      <c r="F316" s="30"/>
      <c r="G316" s="15">
        <v>100000</v>
      </c>
      <c r="M316" s="891"/>
      <c r="N316" s="891"/>
      <c r="O316" s="891">
        <f>M316+N316</f>
        <v>0</v>
      </c>
    </row>
    <row r="317" spans="1:15" x14ac:dyDescent="0.2">
      <c r="A317" s="44">
        <v>257</v>
      </c>
      <c r="B317" s="884" t="s">
        <v>437</v>
      </c>
      <c r="C317" s="22" t="s">
        <v>347</v>
      </c>
      <c r="D317" s="13">
        <v>1</v>
      </c>
      <c r="E317" s="30"/>
      <c r="F317" s="30"/>
      <c r="G317" s="15">
        <v>100000</v>
      </c>
      <c r="M317" s="891">
        <v>187601.82</v>
      </c>
      <c r="N317" s="891">
        <v>40000</v>
      </c>
      <c r="O317" s="891">
        <f t="shared" ref="O317:O325" si="18">M317+N317</f>
        <v>227601.82</v>
      </c>
    </row>
    <row r="318" spans="1:15" x14ac:dyDescent="0.2">
      <c r="A318" s="44">
        <v>258</v>
      </c>
      <c r="B318" s="884" t="s">
        <v>438</v>
      </c>
      <c r="C318" s="22" t="s">
        <v>347</v>
      </c>
      <c r="D318" s="13">
        <v>1</v>
      </c>
      <c r="E318" s="30"/>
      <c r="F318" s="30"/>
      <c r="G318" s="15">
        <v>175000</v>
      </c>
      <c r="M318" s="891">
        <v>101544.2</v>
      </c>
      <c r="N318" s="891">
        <v>40000</v>
      </c>
      <c r="O318" s="891">
        <f t="shared" si="18"/>
        <v>141544.20000000001</v>
      </c>
    </row>
    <row r="319" spans="1:15" x14ac:dyDescent="0.2">
      <c r="A319" s="44">
        <v>259</v>
      </c>
      <c r="B319" s="884" t="s">
        <v>439</v>
      </c>
      <c r="C319" s="22" t="s">
        <v>347</v>
      </c>
      <c r="D319" s="13">
        <v>1</v>
      </c>
      <c r="E319" s="30"/>
      <c r="F319" s="30"/>
      <c r="G319" s="15">
        <v>500000</v>
      </c>
      <c r="H319" s="882">
        <f>SUM(G304:G319)</f>
        <v>9000000</v>
      </c>
      <c r="M319" s="891">
        <v>134924</v>
      </c>
      <c r="N319" s="891">
        <v>40000</v>
      </c>
      <c r="O319" s="891">
        <f t="shared" si="18"/>
        <v>174924</v>
      </c>
    </row>
    <row r="320" spans="1:15" x14ac:dyDescent="0.2">
      <c r="B320" s="930"/>
      <c r="M320" s="891">
        <v>207719.6</v>
      </c>
      <c r="N320" s="891">
        <v>40000</v>
      </c>
      <c r="O320" s="891">
        <f t="shared" si="18"/>
        <v>247719.6</v>
      </c>
    </row>
    <row r="321" spans="1:15" x14ac:dyDescent="0.2">
      <c r="B321" s="930"/>
      <c r="M321" s="891">
        <v>274993.59999999998</v>
      </c>
      <c r="N321" s="891">
        <v>156780</v>
      </c>
      <c r="O321" s="891">
        <f t="shared" si="18"/>
        <v>431773.6</v>
      </c>
    </row>
    <row r="322" spans="1:15" x14ac:dyDescent="0.2">
      <c r="B322" s="930"/>
      <c r="E322" s="933" t="s">
        <v>415</v>
      </c>
      <c r="G322" s="934">
        <f>SUM(G4:G319)</f>
        <v>2262037920.5902777</v>
      </c>
      <c r="M322" s="891">
        <v>141014</v>
      </c>
      <c r="N322" s="891">
        <v>40000</v>
      </c>
      <c r="O322" s="891">
        <f t="shared" si="18"/>
        <v>181014</v>
      </c>
    </row>
    <row r="323" spans="1:15" x14ac:dyDescent="0.2">
      <c r="G323" s="936"/>
      <c r="M323" s="891">
        <v>301093.59999999998</v>
      </c>
      <c r="N323" s="891">
        <v>156780</v>
      </c>
      <c r="O323" s="891">
        <f t="shared" si="18"/>
        <v>457873.6</v>
      </c>
    </row>
    <row r="324" spans="1:15" x14ac:dyDescent="0.2">
      <c r="E324" s="933" t="s">
        <v>416</v>
      </c>
      <c r="G324" s="934">
        <v>2279229198.29</v>
      </c>
      <c r="M324" s="891">
        <v>143304</v>
      </c>
      <c r="N324" s="891">
        <v>40000</v>
      </c>
      <c r="O324" s="891">
        <f t="shared" si="18"/>
        <v>183304</v>
      </c>
    </row>
    <row r="325" spans="1:15" x14ac:dyDescent="0.2">
      <c r="G325" s="936"/>
      <c r="M325" s="891">
        <v>1426668.4</v>
      </c>
      <c r="N325" s="891">
        <v>156780</v>
      </c>
      <c r="O325" s="891">
        <f t="shared" si="18"/>
        <v>1583448.4</v>
      </c>
    </row>
    <row r="326" spans="1:15" ht="15.75" x14ac:dyDescent="0.25">
      <c r="E326" s="933" t="s">
        <v>417</v>
      </c>
      <c r="G326" s="937">
        <f>G322-G324</f>
        <v>-17191277.69972229</v>
      </c>
      <c r="H326" s="870">
        <f>16069459</f>
        <v>16069459</v>
      </c>
      <c r="M326" s="891"/>
      <c r="N326" s="891"/>
      <c r="O326" s="891">
        <f>SUM(O316:O325)</f>
        <v>3629203.2199999997</v>
      </c>
    </row>
    <row r="327" spans="1:15" x14ac:dyDescent="0.2">
      <c r="H327" s="870">
        <v>4726644</v>
      </c>
    </row>
    <row r="328" spans="1:15" x14ac:dyDescent="0.2">
      <c r="G328" s="933">
        <f>G326+H328+H329+H330+J329+J333+I328+I329</f>
        <v>6363.3002777099609</v>
      </c>
      <c r="H328" s="870">
        <f>H326-H327</f>
        <v>11342815</v>
      </c>
      <c r="I328" s="870">
        <v>2000000</v>
      </c>
    </row>
    <row r="329" spans="1:15" x14ac:dyDescent="0.2">
      <c r="H329" s="891">
        <v>3629203</v>
      </c>
      <c r="I329" s="870">
        <v>225000</v>
      </c>
    </row>
    <row r="330" spans="1:15" x14ac:dyDescent="0.2">
      <c r="H330" s="870">
        <v>623</v>
      </c>
    </row>
    <row r="331" spans="1:15" x14ac:dyDescent="0.2">
      <c r="A331" s="870"/>
      <c r="B331" s="938"/>
      <c r="C331" s="870"/>
      <c r="D331" s="870"/>
      <c r="E331" s="870"/>
      <c r="F331" s="870"/>
      <c r="G331" s="870"/>
      <c r="H331" s="933">
        <f>SUM(H328:H330)</f>
        <v>14972641</v>
      </c>
      <c r="K331" s="877">
        <f>K330+L352</f>
        <v>0</v>
      </c>
    </row>
    <row r="333" spans="1:15" x14ac:dyDescent="0.2">
      <c r="A333" s="870"/>
      <c r="B333" s="938"/>
      <c r="C333" s="870"/>
      <c r="D333" s="870"/>
      <c r="E333" s="870"/>
      <c r="F333" s="870"/>
      <c r="G333" s="870"/>
      <c r="M333" s="877"/>
    </row>
  </sheetData>
  <mergeCells count="13">
    <mergeCell ref="A208:A211"/>
    <mergeCell ref="A1:G1"/>
    <mergeCell ref="A108:A110"/>
    <mergeCell ref="A134:A137"/>
    <mergeCell ref="A138:A140"/>
    <mergeCell ref="A142:A145"/>
    <mergeCell ref="A173:A176"/>
    <mergeCell ref="A177:A179"/>
    <mergeCell ref="A2:G2"/>
    <mergeCell ref="A6:A21"/>
    <mergeCell ref="A22:A26"/>
    <mergeCell ref="A33:A35"/>
    <mergeCell ref="A44:A53"/>
  </mergeCells>
  <printOptions horizontalCentered="1"/>
  <pageMargins left="0.39370078740157483" right="7.874015748031496E-2" top="0.27559055118110237" bottom="0.11811023622047245" header="0.31496062992125984" footer="0.31496062992125984"/>
  <pageSetup paperSize="9" scale="74" orientation="landscape" r:id="rId1"/>
  <rowBreaks count="1" manualBreakCount="1">
    <brk id="39" max="2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85E4-0057-4132-ABC8-33E3D2A607ED}">
  <sheetPr>
    <pageSetUpPr fitToPage="1"/>
  </sheetPr>
  <dimension ref="A1:O334"/>
  <sheetViews>
    <sheetView view="pageBreakPreview" zoomScale="70" zoomScaleNormal="70" zoomScaleSheetLayoutView="70" workbookViewId="0">
      <pane xSplit="3" ySplit="4" topLeftCell="D305" activePane="bottomRight" state="frozen"/>
      <selection activeCell="H7" sqref="H7"/>
      <selection pane="topRight" activeCell="H7" sqref="H7"/>
      <selection pane="bottomLeft" activeCell="H7" sqref="H7"/>
      <selection pane="bottomRight" activeCell="H7" sqref="H7"/>
    </sheetView>
  </sheetViews>
  <sheetFormatPr defaultColWidth="9.140625" defaultRowHeight="15" x14ac:dyDescent="0.2"/>
  <cols>
    <col min="1" max="1" width="4.85546875" style="929" bestFit="1" customWidth="1"/>
    <col min="2" max="2" width="93.7109375" style="935" customWidth="1"/>
    <col min="3" max="3" width="17.5703125" style="931" customWidth="1"/>
    <col min="4" max="4" width="17.140625" style="933" bestFit="1" customWidth="1"/>
    <col min="5" max="6" width="19.140625" style="933" customWidth="1"/>
    <col min="7" max="7" width="21.85546875" style="933" customWidth="1"/>
    <col min="8" max="12" width="18.7109375" style="870" bestFit="1" customWidth="1"/>
    <col min="13" max="13" width="16.140625" style="870" bestFit="1" customWidth="1"/>
    <col min="14" max="14" width="8.7109375" style="870" bestFit="1" customWidth="1"/>
    <col min="15" max="15" width="13.7109375" style="870" bestFit="1" customWidth="1"/>
    <col min="16" max="16384" width="9.140625" style="870"/>
  </cols>
  <sheetData>
    <row r="1" spans="1:9" customFormat="1" ht="20.25" x14ac:dyDescent="0.25">
      <c r="A1" s="996" t="s">
        <v>488</v>
      </c>
      <c r="B1" s="996"/>
      <c r="C1" s="996"/>
      <c r="D1" s="996"/>
      <c r="E1" s="996"/>
      <c r="F1" s="996"/>
      <c r="G1" s="996"/>
    </row>
    <row r="2" spans="1:9" ht="18" x14ac:dyDescent="0.2">
      <c r="A2" s="1001" t="s">
        <v>1</v>
      </c>
      <c r="B2" s="1001"/>
      <c r="C2" s="1001"/>
      <c r="D2" s="1001"/>
      <c r="E2" s="1001"/>
      <c r="F2" s="1001"/>
      <c r="G2" s="1001"/>
    </row>
    <row r="3" spans="1:9" ht="18" x14ac:dyDescent="0.2">
      <c r="A3" s="998" t="s">
        <v>2</v>
      </c>
      <c r="B3" s="999" t="s">
        <v>3</v>
      </c>
      <c r="C3" s="999" t="s">
        <v>4</v>
      </c>
      <c r="D3" s="1000" t="s">
        <v>5</v>
      </c>
      <c r="E3" s="1003" t="s">
        <v>489</v>
      </c>
      <c r="F3" s="1003"/>
      <c r="G3" s="1002" t="s">
        <v>487</v>
      </c>
    </row>
    <row r="4" spans="1:9" ht="31.5" x14ac:dyDescent="0.2">
      <c r="A4" s="998"/>
      <c r="B4" s="999"/>
      <c r="C4" s="999"/>
      <c r="D4" s="1000"/>
      <c r="E4" s="940" t="s">
        <v>485</v>
      </c>
      <c r="F4" s="940" t="s">
        <v>486</v>
      </c>
      <c r="G4" s="1002"/>
    </row>
    <row r="5" spans="1:9" ht="45" x14ac:dyDescent="0.2">
      <c r="A5" s="116">
        <v>1</v>
      </c>
      <c r="B5" s="876" t="s">
        <v>8</v>
      </c>
      <c r="C5" s="12">
        <v>1000</v>
      </c>
      <c r="D5" s="13">
        <v>69775243.960000008</v>
      </c>
      <c r="E5" s="14"/>
      <c r="F5" s="14"/>
      <c r="G5" s="15"/>
      <c r="I5" s="877" t="e">
        <f>#REF!-I97</f>
        <v>#REF!</v>
      </c>
    </row>
    <row r="6" spans="1:9" ht="30" x14ac:dyDescent="0.2">
      <c r="A6" s="116">
        <v>2</v>
      </c>
      <c r="B6" s="876" t="s">
        <v>9</v>
      </c>
      <c r="C6" s="12">
        <v>1000</v>
      </c>
      <c r="D6" s="13">
        <v>26864727.169999998</v>
      </c>
      <c r="E6" s="14"/>
      <c r="F6" s="14"/>
      <c r="G6" s="15"/>
    </row>
    <row r="7" spans="1:9" ht="30" x14ac:dyDescent="0.2">
      <c r="A7" s="984">
        <v>3</v>
      </c>
      <c r="B7" s="876" t="s">
        <v>10</v>
      </c>
      <c r="C7" s="33"/>
      <c r="D7" s="13">
        <v>0</v>
      </c>
      <c r="E7" s="14"/>
      <c r="F7" s="14"/>
      <c r="G7" s="14"/>
    </row>
    <row r="8" spans="1:9" x14ac:dyDescent="0.2">
      <c r="A8" s="985"/>
      <c r="B8" s="878" t="s">
        <v>11</v>
      </c>
      <c r="C8" s="12">
        <v>1000</v>
      </c>
      <c r="D8" s="13">
        <v>546147.5</v>
      </c>
      <c r="E8" s="14"/>
      <c r="F8" s="14"/>
      <c r="G8" s="15"/>
    </row>
    <row r="9" spans="1:9" x14ac:dyDescent="0.2">
      <c r="A9" s="985"/>
      <c r="B9" s="876" t="s">
        <v>144</v>
      </c>
      <c r="C9" s="12">
        <v>1000</v>
      </c>
      <c r="D9" s="13">
        <v>989635</v>
      </c>
      <c r="E9" s="14"/>
      <c r="F9" s="14"/>
      <c r="G9" s="15"/>
    </row>
    <row r="10" spans="1:9" x14ac:dyDescent="0.2">
      <c r="A10" s="985"/>
      <c r="B10" s="876" t="s">
        <v>455</v>
      </c>
      <c r="C10" s="12">
        <v>1000</v>
      </c>
      <c r="D10" s="13">
        <v>275885.29000000004</v>
      </c>
      <c r="E10" s="14"/>
      <c r="F10" s="14"/>
      <c r="G10" s="15"/>
    </row>
    <row r="11" spans="1:9" x14ac:dyDescent="0.2">
      <c r="A11" s="985"/>
      <c r="B11" s="876" t="s">
        <v>456</v>
      </c>
      <c r="C11" s="12">
        <v>1000</v>
      </c>
      <c r="D11" s="13">
        <v>62477.500000000007</v>
      </c>
      <c r="E11" s="14"/>
      <c r="F11" s="14"/>
      <c r="G11" s="15"/>
    </row>
    <row r="12" spans="1:9" x14ac:dyDescent="0.2">
      <c r="A12" s="985"/>
      <c r="B12" s="876" t="s">
        <v>457</v>
      </c>
      <c r="C12" s="12">
        <v>1000</v>
      </c>
      <c r="D12" s="13">
        <v>549295</v>
      </c>
      <c r="E12" s="14"/>
      <c r="F12" s="14"/>
      <c r="G12" s="15"/>
    </row>
    <row r="13" spans="1:9" x14ac:dyDescent="0.2">
      <c r="A13" s="985"/>
      <c r="B13" s="876" t="s">
        <v>458</v>
      </c>
      <c r="C13" s="12">
        <v>1000</v>
      </c>
      <c r="D13" s="13">
        <v>555572.5</v>
      </c>
      <c r="E13" s="39"/>
      <c r="F13" s="39"/>
      <c r="G13" s="15"/>
    </row>
    <row r="14" spans="1:9" x14ac:dyDescent="0.2">
      <c r="A14" s="985"/>
      <c r="B14" s="876" t="s">
        <v>459</v>
      </c>
      <c r="C14" s="12">
        <v>1000</v>
      </c>
      <c r="D14" s="13">
        <v>18740</v>
      </c>
      <c r="E14" s="14"/>
      <c r="F14" s="14"/>
      <c r="G14" s="15"/>
    </row>
    <row r="15" spans="1:9" x14ac:dyDescent="0.2">
      <c r="A15" s="985"/>
      <c r="B15" s="876" t="s">
        <v>460</v>
      </c>
      <c r="C15" s="12">
        <v>1000</v>
      </c>
      <c r="D15" s="13">
        <v>53390</v>
      </c>
      <c r="E15" s="33"/>
      <c r="F15" s="33"/>
      <c r="G15" s="15"/>
    </row>
    <row r="16" spans="1:9" x14ac:dyDescent="0.2">
      <c r="A16" s="985"/>
      <c r="B16" s="876" t="s">
        <v>461</v>
      </c>
      <c r="C16" s="12">
        <v>1000</v>
      </c>
      <c r="D16" s="13">
        <v>75040</v>
      </c>
      <c r="E16" s="39"/>
      <c r="F16" s="39"/>
      <c r="G16" s="15"/>
    </row>
    <row r="17" spans="1:8" x14ac:dyDescent="0.2">
      <c r="A17" s="985"/>
      <c r="B17" s="876" t="s">
        <v>462</v>
      </c>
      <c r="C17" s="12">
        <v>1000</v>
      </c>
      <c r="D17" s="13">
        <v>98265.75</v>
      </c>
      <c r="E17" s="14"/>
      <c r="F17" s="14"/>
      <c r="G17" s="15"/>
    </row>
    <row r="18" spans="1:8" x14ac:dyDescent="0.2">
      <c r="A18" s="985"/>
      <c r="B18" s="876" t="s">
        <v>463</v>
      </c>
      <c r="C18" s="12">
        <v>1000</v>
      </c>
      <c r="D18" s="13">
        <v>187560</v>
      </c>
      <c r="E18" s="33"/>
      <c r="F18" s="33"/>
      <c r="G18" s="15"/>
    </row>
    <row r="19" spans="1:8" x14ac:dyDescent="0.2">
      <c r="A19" s="985"/>
      <c r="B19" s="876" t="s">
        <v>464</v>
      </c>
      <c r="C19" s="12">
        <v>1000</v>
      </c>
      <c r="D19" s="13">
        <v>54772.5</v>
      </c>
      <c r="E19" s="14"/>
      <c r="F19" s="14"/>
      <c r="G19" s="15"/>
    </row>
    <row r="20" spans="1:8" x14ac:dyDescent="0.2">
      <c r="A20" s="985"/>
      <c r="B20" s="876" t="s">
        <v>465</v>
      </c>
      <c r="C20" s="12">
        <v>1000</v>
      </c>
      <c r="D20" s="13">
        <v>125720</v>
      </c>
      <c r="E20" s="14"/>
      <c r="F20" s="14"/>
      <c r="G20" s="15"/>
    </row>
    <row r="21" spans="1:8" x14ac:dyDescent="0.2">
      <c r="A21" s="985"/>
      <c r="B21" s="879" t="s">
        <v>466</v>
      </c>
      <c r="C21" s="12">
        <v>1000</v>
      </c>
      <c r="D21" s="13">
        <v>70367.5</v>
      </c>
      <c r="E21" s="14"/>
      <c r="F21" s="14"/>
      <c r="G21" s="15"/>
    </row>
    <row r="22" spans="1:8" x14ac:dyDescent="0.2">
      <c r="A22" s="986"/>
      <c r="B22" s="876" t="s">
        <v>467</v>
      </c>
      <c r="C22" s="12">
        <v>1000</v>
      </c>
      <c r="D22" s="13">
        <v>4869.33</v>
      </c>
      <c r="E22" s="14"/>
      <c r="F22" s="14"/>
      <c r="G22" s="15"/>
    </row>
    <row r="23" spans="1:8" ht="21" customHeight="1" x14ac:dyDescent="0.2">
      <c r="A23" s="984">
        <v>4</v>
      </c>
      <c r="B23" s="879" t="s">
        <v>157</v>
      </c>
      <c r="C23" s="12">
        <v>1000</v>
      </c>
      <c r="D23" s="13">
        <v>0</v>
      </c>
      <c r="E23" s="13"/>
      <c r="F23" s="13"/>
      <c r="G23" s="13"/>
    </row>
    <row r="24" spans="1:8" x14ac:dyDescent="0.2">
      <c r="A24" s="985"/>
      <c r="B24" s="876" t="s">
        <v>468</v>
      </c>
      <c r="C24" s="12">
        <v>1000</v>
      </c>
      <c r="D24" s="13">
        <v>140702.28500000003</v>
      </c>
      <c r="E24" s="13"/>
      <c r="F24" s="13"/>
      <c r="G24" s="15"/>
    </row>
    <row r="25" spans="1:8" x14ac:dyDescent="0.2">
      <c r="A25" s="985"/>
      <c r="B25" s="879" t="s">
        <v>469</v>
      </c>
      <c r="C25" s="12">
        <v>1000</v>
      </c>
      <c r="D25" s="13">
        <v>1887045.5</v>
      </c>
      <c r="E25" s="14"/>
      <c r="F25" s="14"/>
      <c r="G25" s="15"/>
    </row>
    <row r="26" spans="1:8" x14ac:dyDescent="0.2">
      <c r="A26" s="985"/>
      <c r="B26" s="876" t="s">
        <v>455</v>
      </c>
      <c r="C26" s="12">
        <v>1000</v>
      </c>
      <c r="D26" s="13">
        <v>97969.465000000011</v>
      </c>
      <c r="E26" s="13"/>
      <c r="F26" s="13"/>
      <c r="G26" s="15"/>
    </row>
    <row r="27" spans="1:8" x14ac:dyDescent="0.2">
      <c r="A27" s="986"/>
      <c r="B27" s="876" t="s">
        <v>470</v>
      </c>
      <c r="C27" s="12">
        <v>1000</v>
      </c>
      <c r="D27" s="13">
        <v>159193.80000000005</v>
      </c>
      <c r="E27" s="13"/>
      <c r="F27" s="13"/>
      <c r="G27" s="15"/>
    </row>
    <row r="28" spans="1:8" x14ac:dyDescent="0.2">
      <c r="A28" s="116">
        <v>5</v>
      </c>
      <c r="B28" s="881" t="s">
        <v>490</v>
      </c>
      <c r="C28" s="12">
        <v>1000</v>
      </c>
      <c r="D28" s="13">
        <v>1340460.5752499998</v>
      </c>
      <c r="E28" s="13"/>
      <c r="F28" s="13"/>
      <c r="G28" s="15"/>
      <c r="H28" s="882"/>
    </row>
    <row r="29" spans="1:8" ht="30" x14ac:dyDescent="0.2">
      <c r="A29" s="116">
        <v>6</v>
      </c>
      <c r="B29" s="876" t="s">
        <v>189</v>
      </c>
      <c r="C29" s="37">
        <v>1</v>
      </c>
      <c r="D29" s="13">
        <v>1254</v>
      </c>
      <c r="E29" s="39"/>
      <c r="F29" s="39"/>
      <c r="G29" s="15"/>
    </row>
    <row r="30" spans="1:8" ht="45" x14ac:dyDescent="0.2">
      <c r="A30" s="116">
        <v>7</v>
      </c>
      <c r="B30" s="876" t="s">
        <v>17</v>
      </c>
      <c r="C30" s="18">
        <v>1</v>
      </c>
      <c r="D30" s="13">
        <v>1740</v>
      </c>
      <c r="E30" s="14"/>
      <c r="F30" s="14"/>
      <c r="G30" s="15"/>
    </row>
    <row r="31" spans="1:8" x14ac:dyDescent="0.2">
      <c r="A31" s="116">
        <v>8</v>
      </c>
      <c r="B31" s="883" t="s">
        <v>18</v>
      </c>
      <c r="C31" s="19">
        <v>1000</v>
      </c>
      <c r="D31" s="13">
        <v>6885050</v>
      </c>
      <c r="E31" s="14"/>
      <c r="F31" s="14"/>
      <c r="G31" s="15"/>
    </row>
    <row r="32" spans="1:8" ht="30" x14ac:dyDescent="0.2">
      <c r="A32" s="116">
        <v>9</v>
      </c>
      <c r="B32" s="876" t="s">
        <v>327</v>
      </c>
      <c r="C32" s="37">
        <v>1</v>
      </c>
      <c r="D32" s="13">
        <v>5</v>
      </c>
      <c r="E32" s="13"/>
      <c r="F32" s="13"/>
      <c r="G32" s="15"/>
    </row>
    <row r="33" spans="1:10" ht="45" x14ac:dyDescent="0.2">
      <c r="A33" s="117">
        <v>10</v>
      </c>
      <c r="B33" s="884" t="s">
        <v>19</v>
      </c>
      <c r="C33" s="12">
        <v>1000</v>
      </c>
      <c r="D33" s="13">
        <v>1617</v>
      </c>
      <c r="E33" s="21"/>
      <c r="F33" s="21"/>
      <c r="G33" s="15"/>
    </row>
    <row r="34" spans="1:10" s="152" customFormat="1" ht="30" x14ac:dyDescent="0.2">
      <c r="A34" s="987">
        <v>11</v>
      </c>
      <c r="B34" s="884" t="s">
        <v>20</v>
      </c>
      <c r="C34" s="12">
        <v>100</v>
      </c>
      <c r="D34" s="13">
        <v>0</v>
      </c>
      <c r="E34" s="13"/>
      <c r="F34" s="13"/>
      <c r="G34" s="13"/>
      <c r="H34" s="877" t="e">
        <f>#REF!*37</f>
        <v>#REF!</v>
      </c>
    </row>
    <row r="35" spans="1:10" s="152" customFormat="1" x14ac:dyDescent="0.2">
      <c r="A35" s="988"/>
      <c r="B35" s="884" t="s">
        <v>21</v>
      </c>
      <c r="C35" s="12">
        <v>100</v>
      </c>
      <c r="D35" s="13">
        <v>41070.554165017595</v>
      </c>
      <c r="E35" s="21"/>
      <c r="F35" s="21"/>
      <c r="G35" s="15"/>
      <c r="H35" s="877"/>
      <c r="I35" s="885">
        <f>SUM(D35:D35)</f>
        <v>41070.554165017595</v>
      </c>
      <c r="J35" s="886">
        <v>23362466.852632541</v>
      </c>
    </row>
    <row r="36" spans="1:10" x14ac:dyDescent="0.2">
      <c r="A36" s="989"/>
      <c r="B36" s="884" t="s">
        <v>107</v>
      </c>
      <c r="C36" s="12">
        <v>100</v>
      </c>
      <c r="D36" s="13">
        <v>12898.728125000001</v>
      </c>
      <c r="E36" s="14"/>
      <c r="F36" s="14"/>
      <c r="G36" s="15"/>
      <c r="I36" s="882">
        <f>SUM(D36:D36)</f>
        <v>12898.728125000001</v>
      </c>
    </row>
    <row r="37" spans="1:10" s="152" customFormat="1" x14ac:dyDescent="0.2">
      <c r="A37" s="44">
        <v>12</v>
      </c>
      <c r="B37" s="884" t="s">
        <v>22</v>
      </c>
      <c r="C37" s="12">
        <v>100</v>
      </c>
      <c r="D37" s="13">
        <v>58371.555499999995</v>
      </c>
      <c r="E37" s="21"/>
      <c r="F37" s="21"/>
      <c r="G37" s="15"/>
      <c r="H37" s="877" t="e">
        <f>#REF!*37</f>
        <v>#REF!</v>
      </c>
      <c r="I37" s="885"/>
    </row>
    <row r="38" spans="1:10" s="152" customFormat="1" ht="30" x14ac:dyDescent="0.2">
      <c r="A38" s="44">
        <v>13</v>
      </c>
      <c r="B38" s="884" t="s">
        <v>23</v>
      </c>
      <c r="C38" s="19">
        <v>100</v>
      </c>
      <c r="D38" s="13">
        <v>643.5</v>
      </c>
      <c r="E38" s="14"/>
      <c r="F38" s="14"/>
      <c r="G38" s="15"/>
    </row>
    <row r="39" spans="1:10" s="887" customFormat="1" ht="45" x14ac:dyDescent="0.2">
      <c r="A39" s="44">
        <v>14</v>
      </c>
      <c r="B39" s="884" t="s">
        <v>92</v>
      </c>
      <c r="C39" s="19">
        <v>100</v>
      </c>
      <c r="D39" s="13">
        <v>11220.609375</v>
      </c>
      <c r="E39" s="14"/>
      <c r="F39" s="14"/>
      <c r="G39" s="15"/>
      <c r="H39" s="877" t="e">
        <f>#REF!*37</f>
        <v>#REF!</v>
      </c>
      <c r="I39" s="877"/>
    </row>
    <row r="40" spans="1:10" s="891" customFormat="1" ht="30" x14ac:dyDescent="0.2">
      <c r="A40" s="124">
        <v>15</v>
      </c>
      <c r="B40" s="888" t="s">
        <v>272</v>
      </c>
      <c r="C40" s="889">
        <v>100</v>
      </c>
      <c r="D40" s="13">
        <v>427.5</v>
      </c>
      <c r="E40" s="14"/>
      <c r="F40" s="14"/>
      <c r="G40" s="15"/>
    </row>
    <row r="41" spans="1:10" x14ac:dyDescent="0.2">
      <c r="A41" s="117">
        <v>16</v>
      </c>
      <c r="B41" s="884" t="s">
        <v>24</v>
      </c>
      <c r="C41" s="12">
        <v>100</v>
      </c>
      <c r="D41" s="13">
        <v>1348.1015625</v>
      </c>
      <c r="E41" s="21"/>
      <c r="F41" s="21"/>
      <c r="G41" s="15"/>
    </row>
    <row r="42" spans="1:10" x14ac:dyDescent="0.2">
      <c r="A42" s="117">
        <v>17</v>
      </c>
      <c r="B42" s="884" t="s">
        <v>25</v>
      </c>
      <c r="C42" s="19">
        <v>100</v>
      </c>
      <c r="D42" s="13">
        <v>3805.7250000000004</v>
      </c>
      <c r="E42" s="21"/>
      <c r="F42" s="21"/>
      <c r="G42" s="15"/>
    </row>
    <row r="43" spans="1:10" ht="30" x14ac:dyDescent="0.2">
      <c r="A43" s="117">
        <v>18</v>
      </c>
      <c r="B43" s="884" t="s">
        <v>115</v>
      </c>
      <c r="C43" s="19">
        <v>100</v>
      </c>
      <c r="D43" s="13">
        <v>61675.404300000002</v>
      </c>
      <c r="E43" s="21"/>
      <c r="F43" s="21"/>
      <c r="G43" s="15"/>
      <c r="H43" s="877" t="e">
        <f>#REF!*37</f>
        <v>#REF!</v>
      </c>
      <c r="I43" s="882"/>
    </row>
    <row r="44" spans="1:10" x14ac:dyDescent="0.2">
      <c r="A44" s="117">
        <v>19</v>
      </c>
      <c r="B44" s="884" t="s">
        <v>27</v>
      </c>
      <c r="C44" s="24">
        <v>1</v>
      </c>
      <c r="D44" s="13">
        <v>8250</v>
      </c>
      <c r="E44" s="21"/>
      <c r="F44" s="21"/>
      <c r="G44" s="15"/>
    </row>
    <row r="45" spans="1:10" s="152" customFormat="1" ht="60.75" x14ac:dyDescent="0.2">
      <c r="A45" s="987">
        <v>20</v>
      </c>
      <c r="B45" s="892" t="s">
        <v>36</v>
      </c>
      <c r="C45" s="23"/>
      <c r="D45" s="13">
        <v>0</v>
      </c>
      <c r="E45" s="23"/>
      <c r="F45" s="23"/>
      <c r="G45" s="23"/>
    </row>
    <row r="46" spans="1:10" x14ac:dyDescent="0.2">
      <c r="A46" s="988"/>
      <c r="B46" s="884" t="s">
        <v>29</v>
      </c>
      <c r="C46" s="12">
        <v>100</v>
      </c>
      <c r="D46" s="13">
        <v>70.784999999999997</v>
      </c>
      <c r="E46" s="21"/>
      <c r="F46" s="21"/>
      <c r="G46" s="15"/>
    </row>
    <row r="47" spans="1:10" x14ac:dyDescent="0.2">
      <c r="A47" s="988"/>
      <c r="B47" s="884" t="s">
        <v>38</v>
      </c>
      <c r="C47" s="12">
        <v>100</v>
      </c>
      <c r="D47" s="13">
        <v>5036.5815499999999</v>
      </c>
      <c r="E47" s="13"/>
      <c r="F47" s="13"/>
      <c r="G47" s="15"/>
      <c r="H47" s="877" t="e">
        <f>#REF!*37</f>
        <v>#REF!</v>
      </c>
      <c r="I47" s="877" t="e">
        <f>D47-H47</f>
        <v>#REF!</v>
      </c>
      <c r="J47" s="882"/>
    </row>
    <row r="48" spans="1:10" x14ac:dyDescent="0.2">
      <c r="A48" s="988"/>
      <c r="B48" s="884" t="s">
        <v>61</v>
      </c>
      <c r="C48" s="12">
        <v>100</v>
      </c>
      <c r="D48" s="13">
        <v>30772.144598416897</v>
      </c>
      <c r="E48" s="13"/>
      <c r="F48" s="13"/>
      <c r="G48" s="15"/>
      <c r="H48" s="877" t="e">
        <f>#REF!*37</f>
        <v>#REF!</v>
      </c>
      <c r="I48" s="877" t="e">
        <f>D48-H48</f>
        <v>#REF!</v>
      </c>
      <c r="J48" s="882"/>
    </row>
    <row r="49" spans="1:10" s="887" customFormat="1" x14ac:dyDescent="0.2">
      <c r="A49" s="988"/>
      <c r="B49" s="884" t="s">
        <v>62</v>
      </c>
      <c r="C49" s="12">
        <v>100</v>
      </c>
      <c r="D49" s="13">
        <v>106108.05618023523</v>
      </c>
      <c r="E49" s="13"/>
      <c r="F49" s="13"/>
      <c r="G49" s="15"/>
      <c r="H49" s="894"/>
    </row>
    <row r="50" spans="1:10" s="887" customFormat="1" x14ac:dyDescent="0.2">
      <c r="A50" s="988"/>
      <c r="B50" s="884" t="s">
        <v>64</v>
      </c>
      <c r="C50" s="12">
        <v>100</v>
      </c>
      <c r="D50" s="13">
        <v>2183.8000000000002</v>
      </c>
      <c r="E50" s="13"/>
      <c r="F50" s="13"/>
      <c r="G50" s="15"/>
    </row>
    <row r="51" spans="1:10" s="887" customFormat="1" x14ac:dyDescent="0.2">
      <c r="A51" s="988"/>
      <c r="B51" s="884" t="s">
        <v>65</v>
      </c>
      <c r="C51" s="12">
        <v>100</v>
      </c>
      <c r="D51" s="13">
        <v>268.5</v>
      </c>
      <c r="E51" s="13"/>
      <c r="F51" s="13"/>
      <c r="G51" s="15"/>
    </row>
    <row r="52" spans="1:10" x14ac:dyDescent="0.2">
      <c r="A52" s="988"/>
      <c r="B52" s="884" t="s">
        <v>141</v>
      </c>
      <c r="C52" s="12">
        <v>100</v>
      </c>
      <c r="D52" s="13">
        <v>24736.495222999998</v>
      </c>
      <c r="E52" s="13"/>
      <c r="F52" s="13"/>
      <c r="G52" s="15"/>
      <c r="H52" s="877" t="e">
        <f>#REF!*37</f>
        <v>#REF!</v>
      </c>
      <c r="I52" s="877" t="e">
        <f>D52-H52</f>
        <v>#REF!</v>
      </c>
      <c r="J52" s="882">
        <f>SUM(G186:G222)</f>
        <v>0</v>
      </c>
    </row>
    <row r="53" spans="1:10" x14ac:dyDescent="0.2">
      <c r="A53" s="988"/>
      <c r="B53" s="884" t="s">
        <v>143</v>
      </c>
      <c r="C53" s="12">
        <v>100</v>
      </c>
      <c r="D53" s="13">
        <v>1234.2670312499999</v>
      </c>
      <c r="E53" s="13"/>
      <c r="F53" s="13"/>
      <c r="G53" s="15"/>
      <c r="H53" s="877" t="e">
        <f>#REF!*37</f>
        <v>#REF!</v>
      </c>
      <c r="I53" s="877" t="e">
        <f>D53-H53</f>
        <v>#REF!</v>
      </c>
      <c r="J53" s="882"/>
    </row>
    <row r="54" spans="1:10" s="887" customFormat="1" x14ac:dyDescent="0.2">
      <c r="A54" s="989"/>
      <c r="B54" s="884" t="s">
        <v>207</v>
      </c>
      <c r="C54" s="12">
        <v>100</v>
      </c>
      <c r="D54" s="13">
        <v>15224.763780000005</v>
      </c>
      <c r="E54" s="13"/>
      <c r="F54" s="13"/>
      <c r="G54" s="15"/>
    </row>
    <row r="55" spans="1:10" s="152" customFormat="1" x14ac:dyDescent="0.2">
      <c r="A55" s="118">
        <v>21</v>
      </c>
      <c r="B55" s="892" t="s">
        <v>30</v>
      </c>
      <c r="C55" s="12">
        <v>1</v>
      </c>
      <c r="D55" s="13">
        <v>786.04000000000008</v>
      </c>
      <c r="E55" s="25"/>
      <c r="F55" s="25"/>
      <c r="G55" s="15"/>
    </row>
    <row r="56" spans="1:10" s="152" customFormat="1" ht="30" x14ac:dyDescent="0.2">
      <c r="A56" s="118">
        <v>22</v>
      </c>
      <c r="B56" s="892" t="s">
        <v>31</v>
      </c>
      <c r="C56" s="26">
        <v>100</v>
      </c>
      <c r="D56" s="13">
        <v>1796.0099999999998</v>
      </c>
      <c r="E56" s="25"/>
      <c r="F56" s="25"/>
      <c r="G56" s="15"/>
    </row>
    <row r="57" spans="1:10" s="152" customFormat="1" x14ac:dyDescent="0.2">
      <c r="A57" s="44">
        <v>23</v>
      </c>
      <c r="B57" s="892" t="s">
        <v>32</v>
      </c>
      <c r="C57" s="24">
        <v>1</v>
      </c>
      <c r="D57" s="13">
        <v>457</v>
      </c>
      <c r="E57" s="25"/>
      <c r="F57" s="25"/>
      <c r="G57" s="15"/>
    </row>
    <row r="58" spans="1:10" s="152" customFormat="1" x14ac:dyDescent="0.2">
      <c r="A58" s="44">
        <v>24</v>
      </c>
      <c r="B58" s="892" t="s">
        <v>33</v>
      </c>
      <c r="C58" s="27">
        <v>1</v>
      </c>
      <c r="D58" s="13">
        <v>457</v>
      </c>
      <c r="E58" s="25"/>
      <c r="F58" s="25"/>
      <c r="G58" s="15"/>
    </row>
    <row r="59" spans="1:10" s="152" customFormat="1" x14ac:dyDescent="0.2">
      <c r="A59" s="44">
        <v>25</v>
      </c>
      <c r="B59" s="892" t="s">
        <v>34</v>
      </c>
      <c r="C59" s="19">
        <v>100</v>
      </c>
      <c r="D59" s="13">
        <v>1599.5</v>
      </c>
      <c r="E59" s="25"/>
      <c r="F59" s="25"/>
      <c r="G59" s="15"/>
    </row>
    <row r="60" spans="1:10" s="152" customFormat="1" x14ac:dyDescent="0.2">
      <c r="A60" s="44">
        <v>26</v>
      </c>
      <c r="B60" s="892" t="s">
        <v>35</v>
      </c>
      <c r="C60" s="24">
        <v>1</v>
      </c>
      <c r="D60" s="13">
        <v>4570</v>
      </c>
      <c r="E60" s="25"/>
      <c r="F60" s="25"/>
      <c r="G60" s="15"/>
    </row>
    <row r="61" spans="1:10" s="152" customFormat="1" ht="30" x14ac:dyDescent="0.2">
      <c r="A61" s="118">
        <v>27</v>
      </c>
      <c r="B61" s="884" t="s">
        <v>328</v>
      </c>
      <c r="C61" s="179">
        <v>1000</v>
      </c>
      <c r="D61" s="13">
        <v>245</v>
      </c>
      <c r="E61" s="25"/>
      <c r="F61" s="25"/>
      <c r="G61" s="15"/>
    </row>
    <row r="62" spans="1:10" s="152" customFormat="1" ht="30" x14ac:dyDescent="0.2">
      <c r="A62" s="118">
        <v>28</v>
      </c>
      <c r="B62" s="884" t="s">
        <v>329</v>
      </c>
      <c r="C62" s="895">
        <v>100</v>
      </c>
      <c r="D62" s="13">
        <v>367.5</v>
      </c>
      <c r="E62" s="25"/>
      <c r="F62" s="25"/>
      <c r="G62" s="15"/>
    </row>
    <row r="63" spans="1:10" s="152" customFormat="1" ht="60" x14ac:dyDescent="0.2">
      <c r="A63" s="44">
        <v>29</v>
      </c>
      <c r="B63" s="884" t="s">
        <v>330</v>
      </c>
      <c r="C63" s="896">
        <v>1</v>
      </c>
      <c r="D63" s="13">
        <v>560</v>
      </c>
      <c r="E63" s="25"/>
      <c r="F63" s="25"/>
      <c r="G63" s="15"/>
    </row>
    <row r="64" spans="1:10" s="152" customFormat="1" ht="45" x14ac:dyDescent="0.2">
      <c r="A64" s="44">
        <v>30</v>
      </c>
      <c r="B64" s="884" t="s">
        <v>331</v>
      </c>
      <c r="C64" s="895">
        <v>100</v>
      </c>
      <c r="D64" s="13">
        <v>323.40000000000003</v>
      </c>
      <c r="E64" s="25"/>
      <c r="F64" s="25"/>
      <c r="G64" s="15"/>
    </row>
    <row r="65" spans="1:11" x14ac:dyDescent="0.2">
      <c r="A65" s="117">
        <v>31</v>
      </c>
      <c r="B65" s="897" t="s">
        <v>333</v>
      </c>
      <c r="C65" s="898">
        <v>100</v>
      </c>
      <c r="D65" s="13">
        <v>1823.0675000000001</v>
      </c>
      <c r="E65" s="25"/>
      <c r="F65" s="25"/>
      <c r="G65" s="15"/>
    </row>
    <row r="66" spans="1:11" ht="45" x14ac:dyDescent="0.2">
      <c r="A66" s="117">
        <v>32</v>
      </c>
      <c r="B66" s="897" t="s">
        <v>57</v>
      </c>
      <c r="C66" s="12">
        <v>100</v>
      </c>
      <c r="D66" s="13">
        <v>4635</v>
      </c>
      <c r="E66" s="25"/>
      <c r="F66" s="25"/>
      <c r="G66" s="15"/>
      <c r="I66" s="882"/>
    </row>
    <row r="67" spans="1:11" ht="30" x14ac:dyDescent="0.2">
      <c r="A67" s="117">
        <v>33</v>
      </c>
      <c r="B67" s="897" t="s">
        <v>336</v>
      </c>
      <c r="C67" s="12">
        <v>100</v>
      </c>
      <c r="D67" s="13">
        <v>13340.27</v>
      </c>
      <c r="E67" s="25"/>
      <c r="F67" s="25"/>
      <c r="G67" s="15"/>
    </row>
    <row r="68" spans="1:11" s="887" customFormat="1" ht="60" x14ac:dyDescent="0.2">
      <c r="A68" s="118">
        <v>34</v>
      </c>
      <c r="B68" s="884" t="s">
        <v>39</v>
      </c>
      <c r="C68" s="12">
        <v>1000</v>
      </c>
      <c r="D68" s="13">
        <v>588089.4261981172</v>
      </c>
      <c r="E68" s="14"/>
      <c r="F68" s="14"/>
      <c r="G68" s="15"/>
      <c r="H68" s="894">
        <f>SUM(G68:G182)</f>
        <v>0</v>
      </c>
      <c r="J68" s="886">
        <v>63826446.624435835</v>
      </c>
      <c r="K68" s="894"/>
    </row>
    <row r="69" spans="1:11" s="887" customFormat="1" ht="66" customHeight="1" x14ac:dyDescent="0.2">
      <c r="A69" s="122">
        <v>35</v>
      </c>
      <c r="B69" s="884" t="s">
        <v>98</v>
      </c>
      <c r="C69" s="29">
        <v>100</v>
      </c>
      <c r="D69" s="13">
        <v>1015459.2095243642</v>
      </c>
      <c r="E69" s="14"/>
      <c r="F69" s="14"/>
      <c r="G69" s="15"/>
      <c r="H69" s="877" t="e">
        <f>#REF!*37</f>
        <v>#REF!</v>
      </c>
      <c r="I69" s="877"/>
    </row>
    <row r="70" spans="1:11" ht="82.15" customHeight="1" x14ac:dyDescent="0.2">
      <c r="A70" s="44">
        <v>36</v>
      </c>
      <c r="B70" s="884" t="s">
        <v>41</v>
      </c>
      <c r="C70" s="12"/>
      <c r="D70" s="13">
        <v>0</v>
      </c>
      <c r="E70" s="893"/>
      <c r="F70" s="893"/>
      <c r="G70" s="893"/>
    </row>
    <row r="71" spans="1:11" ht="60" x14ac:dyDescent="0.2">
      <c r="A71" s="44" t="s">
        <v>42</v>
      </c>
      <c r="B71" s="884" t="s">
        <v>43</v>
      </c>
      <c r="C71" s="12">
        <v>1</v>
      </c>
      <c r="D71" s="13">
        <v>174842.05310147052</v>
      </c>
      <c r="E71" s="14"/>
      <c r="F71" s="14"/>
      <c r="G71" s="15"/>
      <c r="H71" s="882"/>
    </row>
    <row r="72" spans="1:11" ht="60" x14ac:dyDescent="0.2">
      <c r="A72" s="44" t="s">
        <v>44</v>
      </c>
      <c r="B72" s="884" t="s">
        <v>45</v>
      </c>
      <c r="C72" s="12">
        <v>1</v>
      </c>
      <c r="D72" s="13">
        <v>77484.511800000007</v>
      </c>
      <c r="E72" s="14"/>
      <c r="F72" s="14"/>
      <c r="G72" s="15"/>
      <c r="H72" s="882"/>
    </row>
    <row r="73" spans="1:11" ht="30" x14ac:dyDescent="0.2">
      <c r="A73" s="44">
        <v>37</v>
      </c>
      <c r="B73" s="902" t="s">
        <v>71</v>
      </c>
      <c r="C73" s="31">
        <v>1</v>
      </c>
      <c r="D73" s="13">
        <v>6423.48</v>
      </c>
      <c r="E73" s="14"/>
      <c r="F73" s="14"/>
      <c r="G73" s="15"/>
      <c r="H73" s="882"/>
    </row>
    <row r="74" spans="1:11" ht="30" x14ac:dyDescent="0.2">
      <c r="A74" s="44">
        <v>38</v>
      </c>
      <c r="B74" s="884" t="s">
        <v>46</v>
      </c>
      <c r="C74" s="19">
        <v>100</v>
      </c>
      <c r="D74" s="13">
        <v>99728.813576470522</v>
      </c>
      <c r="E74" s="25"/>
      <c r="F74" s="25"/>
      <c r="G74" s="15"/>
      <c r="H74" s="882"/>
    </row>
    <row r="75" spans="1:11" s="887" customFormat="1" ht="30" x14ac:dyDescent="0.2">
      <c r="A75" s="44">
        <v>39</v>
      </c>
      <c r="B75" s="884" t="s">
        <v>111</v>
      </c>
      <c r="C75" s="36">
        <v>1</v>
      </c>
      <c r="D75" s="13">
        <v>11417</v>
      </c>
      <c r="E75" s="25"/>
      <c r="F75" s="25"/>
      <c r="G75" s="15"/>
      <c r="H75" s="877" t="e">
        <f>#REF!*37</f>
        <v>#REF!</v>
      </c>
      <c r="I75" s="877"/>
    </row>
    <row r="76" spans="1:11" s="887" customFormat="1" x14ac:dyDescent="0.2">
      <c r="A76" s="121">
        <v>40</v>
      </c>
      <c r="B76" s="904" t="s">
        <v>87</v>
      </c>
      <c r="C76" s="36">
        <v>1</v>
      </c>
      <c r="D76" s="13">
        <v>48</v>
      </c>
      <c r="E76" s="33"/>
      <c r="F76" s="33"/>
      <c r="G76" s="15"/>
    </row>
    <row r="77" spans="1:11" ht="30" x14ac:dyDescent="0.2">
      <c r="A77" s="44">
        <v>41</v>
      </c>
      <c r="B77" s="884" t="s">
        <v>47</v>
      </c>
      <c r="C77" s="31">
        <v>1</v>
      </c>
      <c r="D77" s="13">
        <v>169.5</v>
      </c>
      <c r="E77" s="25"/>
      <c r="F77" s="25"/>
      <c r="G77" s="15"/>
    </row>
    <row r="78" spans="1:11" ht="75" x14ac:dyDescent="0.2">
      <c r="A78" s="44">
        <v>41</v>
      </c>
      <c r="B78" s="884" t="s">
        <v>164</v>
      </c>
      <c r="C78" s="36">
        <v>1</v>
      </c>
      <c r="D78" s="13">
        <v>624</v>
      </c>
      <c r="E78" s="13"/>
      <c r="F78" s="13"/>
      <c r="G78" s="15"/>
    </row>
    <row r="79" spans="1:11" s="887" customFormat="1" ht="90" x14ac:dyDescent="0.2">
      <c r="A79" s="44">
        <v>43</v>
      </c>
      <c r="B79" s="897" t="s">
        <v>422</v>
      </c>
      <c r="C79" s="12">
        <v>100</v>
      </c>
      <c r="D79" s="13">
        <v>4715</v>
      </c>
      <c r="E79" s="14"/>
      <c r="F79" s="14"/>
      <c r="G79" s="15"/>
      <c r="H79" s="894"/>
    </row>
    <row r="80" spans="1:11" s="887" customFormat="1" ht="75" x14ac:dyDescent="0.2">
      <c r="A80" s="44">
        <v>44</v>
      </c>
      <c r="B80" s="897" t="s">
        <v>423</v>
      </c>
      <c r="C80" s="12">
        <v>100</v>
      </c>
      <c r="D80" s="13">
        <v>2615</v>
      </c>
      <c r="E80" s="14"/>
      <c r="F80" s="14"/>
      <c r="G80" s="15"/>
    </row>
    <row r="81" spans="1:12" s="887" customFormat="1" ht="30" x14ac:dyDescent="0.2">
      <c r="A81" s="44">
        <v>45</v>
      </c>
      <c r="B81" s="897" t="s">
        <v>50</v>
      </c>
      <c r="C81" s="31">
        <v>1</v>
      </c>
      <c r="D81" s="13">
        <v>700</v>
      </c>
      <c r="E81" s="14"/>
      <c r="F81" s="14"/>
      <c r="G81" s="15"/>
    </row>
    <row r="82" spans="1:12" s="887" customFormat="1" ht="75" x14ac:dyDescent="0.2">
      <c r="A82" s="44">
        <v>46</v>
      </c>
      <c r="B82" s="897" t="s">
        <v>392</v>
      </c>
      <c r="C82" s="19"/>
      <c r="D82" s="13">
        <v>0</v>
      </c>
      <c r="E82" s="14"/>
      <c r="F82" s="14"/>
      <c r="G82" s="14"/>
    </row>
    <row r="83" spans="1:12" s="887" customFormat="1" ht="30" x14ac:dyDescent="0.2">
      <c r="A83" s="44" t="s">
        <v>51</v>
      </c>
      <c r="B83" s="897" t="s">
        <v>52</v>
      </c>
      <c r="C83" s="19">
        <v>100</v>
      </c>
      <c r="D83" s="13">
        <v>5230</v>
      </c>
      <c r="E83" s="25"/>
      <c r="F83" s="25"/>
      <c r="G83" s="15"/>
    </row>
    <row r="84" spans="1:12" s="887" customFormat="1" ht="30" x14ac:dyDescent="0.2">
      <c r="A84" s="44" t="s">
        <v>53</v>
      </c>
      <c r="B84" s="897" t="s">
        <v>54</v>
      </c>
      <c r="C84" s="19">
        <v>100</v>
      </c>
      <c r="D84" s="13">
        <v>5230</v>
      </c>
      <c r="E84" s="25"/>
      <c r="F84" s="25"/>
      <c r="G84" s="15"/>
    </row>
    <row r="85" spans="1:12" s="887" customFormat="1" ht="30" x14ac:dyDescent="0.2">
      <c r="A85" s="44" t="s">
        <v>55</v>
      </c>
      <c r="B85" s="897" t="s">
        <v>56</v>
      </c>
      <c r="C85" s="19">
        <v>100</v>
      </c>
      <c r="D85" s="13">
        <v>5230</v>
      </c>
      <c r="E85" s="25"/>
      <c r="F85" s="25"/>
      <c r="G85" s="15"/>
    </row>
    <row r="86" spans="1:12" s="887" customFormat="1" x14ac:dyDescent="0.2">
      <c r="A86" s="120">
        <v>47</v>
      </c>
      <c r="B86" s="905" t="s">
        <v>419</v>
      </c>
      <c r="C86" s="12">
        <v>1000</v>
      </c>
      <c r="D86" s="13">
        <v>123165</v>
      </c>
      <c r="E86" s="25"/>
      <c r="F86" s="25"/>
      <c r="G86" s="15"/>
    </row>
    <row r="87" spans="1:12" s="887" customFormat="1" x14ac:dyDescent="0.2">
      <c r="A87" s="121">
        <v>48</v>
      </c>
      <c r="B87" s="884" t="s">
        <v>88</v>
      </c>
      <c r="C87" s="19">
        <v>100</v>
      </c>
      <c r="D87" s="13">
        <v>15594.5</v>
      </c>
      <c r="E87" s="25"/>
      <c r="F87" s="25"/>
      <c r="G87" s="15"/>
    </row>
    <row r="88" spans="1:12" s="887" customFormat="1" x14ac:dyDescent="0.2">
      <c r="A88" s="121">
        <v>49</v>
      </c>
      <c r="B88" s="904" t="s">
        <v>168</v>
      </c>
      <c r="C88" s="12">
        <v>100</v>
      </c>
      <c r="D88" s="13">
        <v>2100</v>
      </c>
      <c r="E88" s="13"/>
      <c r="F88" s="13"/>
      <c r="G88" s="15"/>
    </row>
    <row r="89" spans="1:12" s="887" customFormat="1" ht="75" x14ac:dyDescent="0.2">
      <c r="A89" s="121">
        <v>50</v>
      </c>
      <c r="B89" s="904" t="s">
        <v>169</v>
      </c>
      <c r="C89" s="19">
        <v>100</v>
      </c>
      <c r="D89" s="13">
        <v>2800</v>
      </c>
      <c r="E89" s="40"/>
      <c r="F89" s="40"/>
      <c r="G89" s="15"/>
    </row>
    <row r="90" spans="1:12" s="887" customFormat="1" ht="30" x14ac:dyDescent="0.2">
      <c r="A90" s="121">
        <v>51</v>
      </c>
      <c r="B90" s="904" t="s">
        <v>165</v>
      </c>
      <c r="C90" s="35" t="s">
        <v>166</v>
      </c>
      <c r="D90" s="13">
        <v>304.64</v>
      </c>
      <c r="E90" s="33"/>
      <c r="F90" s="33"/>
      <c r="G90" s="15"/>
    </row>
    <row r="91" spans="1:12" s="887" customFormat="1" ht="45" x14ac:dyDescent="0.2">
      <c r="A91" s="44">
        <v>52</v>
      </c>
      <c r="B91" s="884" t="s">
        <v>385</v>
      </c>
      <c r="C91" s="12">
        <v>1</v>
      </c>
      <c r="D91" s="13">
        <v>202.95000000000002</v>
      </c>
      <c r="E91" s="25"/>
      <c r="F91" s="25"/>
      <c r="G91" s="15"/>
    </row>
    <row r="92" spans="1:12" s="887" customFormat="1" x14ac:dyDescent="0.2">
      <c r="A92" s="121">
        <v>53</v>
      </c>
      <c r="B92" s="906" t="s">
        <v>424</v>
      </c>
      <c r="C92" s="29">
        <v>1</v>
      </c>
      <c r="D92" s="13">
        <v>-26974.04</v>
      </c>
      <c r="E92" s="30"/>
      <c r="F92" s="30"/>
      <c r="G92" s="15"/>
      <c r="L92" s="877">
        <f>I93-H93</f>
        <v>208561226</v>
      </c>
    </row>
    <row r="93" spans="1:12" s="887" customFormat="1" x14ac:dyDescent="0.2">
      <c r="A93" s="121">
        <v>54</v>
      </c>
      <c r="B93" s="906" t="s">
        <v>425</v>
      </c>
      <c r="C93" s="405">
        <v>100</v>
      </c>
      <c r="D93" s="13">
        <v>-1823.07</v>
      </c>
      <c r="E93" s="30"/>
      <c r="F93" s="30"/>
      <c r="G93" s="15"/>
      <c r="H93" s="894">
        <f>SUM(G65:G93)</f>
        <v>0</v>
      </c>
      <c r="I93" s="886">
        <v>208561226</v>
      </c>
      <c r="J93" s="877">
        <f>I93-H93</f>
        <v>208561226</v>
      </c>
      <c r="L93" s="877">
        <f>L92+M97</f>
        <v>298172488</v>
      </c>
    </row>
    <row r="94" spans="1:12" s="887" customFormat="1" x14ac:dyDescent="0.2">
      <c r="A94" s="118">
        <v>55</v>
      </c>
      <c r="B94" s="884" t="s">
        <v>66</v>
      </c>
      <c r="C94" s="12">
        <v>1000</v>
      </c>
      <c r="D94" s="13">
        <v>333466.16890399996</v>
      </c>
      <c r="E94" s="14"/>
      <c r="F94" s="14"/>
      <c r="G94" s="15"/>
      <c r="H94" s="894"/>
      <c r="J94" s="886">
        <v>36383456.567040272</v>
      </c>
    </row>
    <row r="95" spans="1:12" s="887" customFormat="1" ht="30" x14ac:dyDescent="0.2">
      <c r="A95" s="44">
        <v>56</v>
      </c>
      <c r="B95" s="884" t="s">
        <v>70</v>
      </c>
      <c r="C95" s="12">
        <v>100</v>
      </c>
      <c r="D95" s="13">
        <v>13799.150000000001</v>
      </c>
      <c r="E95" s="25"/>
      <c r="F95" s="25"/>
      <c r="G95" s="15"/>
      <c r="H95" s="894"/>
    </row>
    <row r="96" spans="1:12" s="887" customFormat="1" x14ac:dyDescent="0.2">
      <c r="A96" s="44">
        <v>57</v>
      </c>
      <c r="B96" s="907" t="s">
        <v>72</v>
      </c>
      <c r="C96" s="34">
        <v>1</v>
      </c>
      <c r="D96" s="13">
        <v>1670</v>
      </c>
      <c r="E96" s="14"/>
      <c r="F96" s="14"/>
      <c r="G96" s="15"/>
    </row>
    <row r="97" spans="1:13" s="887" customFormat="1" x14ac:dyDescent="0.2">
      <c r="A97" s="117">
        <v>58</v>
      </c>
      <c r="B97" s="884" t="s">
        <v>158</v>
      </c>
      <c r="C97" s="12">
        <v>100</v>
      </c>
      <c r="D97" s="13">
        <v>93240</v>
      </c>
      <c r="E97" s="25"/>
      <c r="F97" s="25"/>
      <c r="G97" s="15"/>
      <c r="H97" s="886">
        <v>89611262</v>
      </c>
      <c r="I97" s="894">
        <f>SUM(G97:G111)</f>
        <v>0</v>
      </c>
      <c r="J97" s="877">
        <f>I97-H97</f>
        <v>-89611262</v>
      </c>
      <c r="M97" s="877">
        <f>H97-I97</f>
        <v>89611262</v>
      </c>
    </row>
    <row r="98" spans="1:13" s="887" customFormat="1" ht="30" x14ac:dyDescent="0.2">
      <c r="A98" s="118">
        <v>59</v>
      </c>
      <c r="B98" s="884" t="s">
        <v>159</v>
      </c>
      <c r="C98" s="12">
        <v>100</v>
      </c>
      <c r="D98" s="13">
        <v>126000</v>
      </c>
      <c r="E98" s="25"/>
      <c r="F98" s="25"/>
      <c r="G98" s="15"/>
      <c r="K98" s="877">
        <f>J97+J93</f>
        <v>118949964</v>
      </c>
    </row>
    <row r="99" spans="1:13" s="887" customFormat="1" ht="30" x14ac:dyDescent="0.2">
      <c r="A99" s="118">
        <v>60</v>
      </c>
      <c r="B99" s="884" t="s">
        <v>75</v>
      </c>
      <c r="C99" s="12">
        <v>100</v>
      </c>
      <c r="D99" s="13">
        <v>50517.799999999988</v>
      </c>
      <c r="E99" s="25"/>
      <c r="F99" s="25"/>
      <c r="G99" s="15"/>
    </row>
    <row r="100" spans="1:13" s="887" customFormat="1" x14ac:dyDescent="0.2">
      <c r="A100" s="44">
        <v>61</v>
      </c>
      <c r="B100" s="883" t="s">
        <v>76</v>
      </c>
      <c r="C100" s="19">
        <v>100</v>
      </c>
      <c r="D100" s="13">
        <v>94646.546860000017</v>
      </c>
      <c r="E100" s="25"/>
      <c r="F100" s="25"/>
      <c r="G100" s="15"/>
    </row>
    <row r="101" spans="1:13" s="887" customFormat="1" x14ac:dyDescent="0.2">
      <c r="A101" s="44">
        <v>62</v>
      </c>
      <c r="B101" s="883" t="s">
        <v>77</v>
      </c>
      <c r="C101" s="19">
        <v>100</v>
      </c>
      <c r="D101" s="13">
        <v>15600.14</v>
      </c>
      <c r="E101" s="25"/>
      <c r="F101" s="25"/>
      <c r="G101" s="15"/>
    </row>
    <row r="102" spans="1:13" s="887" customFormat="1" x14ac:dyDescent="0.2">
      <c r="A102" s="118">
        <v>63</v>
      </c>
      <c r="B102" s="884" t="s">
        <v>78</v>
      </c>
      <c r="C102" s="12">
        <v>100</v>
      </c>
      <c r="D102" s="13">
        <v>32048.504830399994</v>
      </c>
      <c r="E102" s="25"/>
      <c r="F102" s="25"/>
      <c r="G102" s="15"/>
    </row>
    <row r="103" spans="1:13" s="887" customFormat="1" x14ac:dyDescent="0.2">
      <c r="A103" s="118">
        <v>64</v>
      </c>
      <c r="B103" s="884" t="s">
        <v>79</v>
      </c>
      <c r="C103" s="12">
        <v>100</v>
      </c>
      <c r="D103" s="13">
        <v>32048.504830399994</v>
      </c>
      <c r="E103" s="25"/>
      <c r="F103" s="25"/>
      <c r="G103" s="15"/>
    </row>
    <row r="104" spans="1:13" s="887" customFormat="1" x14ac:dyDescent="0.2">
      <c r="A104" s="118">
        <v>65</v>
      </c>
      <c r="B104" s="884" t="s">
        <v>80</v>
      </c>
      <c r="C104" s="12">
        <v>100</v>
      </c>
      <c r="D104" s="13">
        <v>5305.0890000000009</v>
      </c>
      <c r="E104" s="25"/>
      <c r="F104" s="25"/>
      <c r="G104" s="15"/>
    </row>
    <row r="105" spans="1:13" s="887" customFormat="1" x14ac:dyDescent="0.2">
      <c r="A105" s="118">
        <v>66</v>
      </c>
      <c r="B105" s="884" t="s">
        <v>81</v>
      </c>
      <c r="C105" s="12">
        <v>100</v>
      </c>
      <c r="D105" s="13">
        <v>5305.0890000000009</v>
      </c>
      <c r="E105" s="25"/>
      <c r="F105" s="25"/>
      <c r="G105" s="15"/>
    </row>
    <row r="106" spans="1:13" s="887" customFormat="1" x14ac:dyDescent="0.2">
      <c r="A106" s="118">
        <v>67</v>
      </c>
      <c r="B106" s="884" t="s">
        <v>82</v>
      </c>
      <c r="C106" s="12">
        <v>100</v>
      </c>
      <c r="D106" s="13">
        <v>97109.842880000026</v>
      </c>
      <c r="E106" s="25"/>
      <c r="F106" s="25"/>
      <c r="G106" s="15"/>
    </row>
    <row r="107" spans="1:13" s="887" customFormat="1" x14ac:dyDescent="0.2">
      <c r="A107" s="118">
        <v>68</v>
      </c>
      <c r="B107" s="884" t="s">
        <v>83</v>
      </c>
      <c r="C107" s="12">
        <v>100</v>
      </c>
      <c r="D107" s="13">
        <v>15372.419999999998</v>
      </c>
      <c r="E107" s="25"/>
      <c r="F107" s="25"/>
      <c r="G107" s="15"/>
    </row>
    <row r="108" spans="1:13" s="887" customFormat="1" ht="45" x14ac:dyDescent="0.2">
      <c r="A108" s="118">
        <v>69</v>
      </c>
      <c r="B108" s="908" t="s">
        <v>84</v>
      </c>
      <c r="C108" s="12">
        <v>100</v>
      </c>
      <c r="D108" s="13">
        <v>364527.73397300002</v>
      </c>
      <c r="E108" s="25"/>
      <c r="F108" s="25"/>
      <c r="G108" s="15"/>
    </row>
    <row r="109" spans="1:13" s="887" customFormat="1" x14ac:dyDescent="0.2">
      <c r="A109" s="990">
        <v>70</v>
      </c>
      <c r="B109" s="883" t="s">
        <v>334</v>
      </c>
      <c r="C109" s="12"/>
      <c r="D109" s="13">
        <v>0</v>
      </c>
      <c r="E109" s="12"/>
      <c r="F109" s="12"/>
      <c r="G109" s="15"/>
    </row>
    <row r="110" spans="1:13" s="887" customFormat="1" x14ac:dyDescent="0.2">
      <c r="A110" s="991"/>
      <c r="B110" s="883" t="s">
        <v>337</v>
      </c>
      <c r="C110" s="29">
        <v>1</v>
      </c>
      <c r="D110" s="13">
        <v>2535</v>
      </c>
      <c r="E110" s="25"/>
      <c r="F110" s="25"/>
      <c r="G110" s="15"/>
    </row>
    <row r="111" spans="1:13" s="887" customFormat="1" x14ac:dyDescent="0.2">
      <c r="A111" s="992"/>
      <c r="B111" s="883" t="s">
        <v>335</v>
      </c>
      <c r="C111" s="12">
        <v>100</v>
      </c>
      <c r="D111" s="13">
        <v>1819.13</v>
      </c>
      <c r="E111" s="25"/>
      <c r="F111" s="25"/>
      <c r="G111" s="15"/>
      <c r="H111" s="894">
        <f>SUM(G112:G155)</f>
        <v>0</v>
      </c>
      <c r="I111" s="886">
        <f>1364663*37</f>
        <v>50492531</v>
      </c>
    </row>
    <row r="112" spans="1:13" s="887" customFormat="1" ht="45" x14ac:dyDescent="0.2">
      <c r="A112" s="118">
        <v>71</v>
      </c>
      <c r="B112" s="884" t="s">
        <v>90</v>
      </c>
      <c r="C112" s="12">
        <v>1000</v>
      </c>
      <c r="D112" s="13">
        <v>20161.000607832604</v>
      </c>
      <c r="E112" s="14"/>
      <c r="F112" s="14"/>
      <c r="G112" s="15"/>
      <c r="H112" s="877" t="e">
        <f>#REF!*37</f>
        <v>#REF!</v>
      </c>
      <c r="I112" s="877" t="e">
        <f>D112-H112</f>
        <v>#REF!</v>
      </c>
      <c r="J112" s="894">
        <f>SUM(G112:G155)</f>
        <v>0</v>
      </c>
    </row>
    <row r="113" spans="1:10" s="887" customFormat="1" ht="75" x14ac:dyDescent="0.2">
      <c r="A113" s="118">
        <v>72</v>
      </c>
      <c r="B113" s="908" t="s">
        <v>91</v>
      </c>
      <c r="C113" s="19">
        <v>1</v>
      </c>
      <c r="D113" s="13">
        <v>18814.5</v>
      </c>
      <c r="E113" s="25"/>
      <c r="F113" s="25"/>
      <c r="G113" s="15"/>
      <c r="H113" s="877" t="e">
        <f>#REF!*37</f>
        <v>#REF!</v>
      </c>
      <c r="I113" s="877" t="e">
        <f t="shared" ref="I113:I155" si="0">D113-H113</f>
        <v>#REF!</v>
      </c>
    </row>
    <row r="114" spans="1:10" s="887" customFormat="1" ht="45" x14ac:dyDescent="0.2">
      <c r="A114" s="44">
        <v>73</v>
      </c>
      <c r="B114" s="884" t="s">
        <v>93</v>
      </c>
      <c r="C114" s="19">
        <v>100</v>
      </c>
      <c r="D114" s="13">
        <v>13211.49</v>
      </c>
      <c r="E114" s="14"/>
      <c r="F114" s="14"/>
      <c r="G114" s="15"/>
      <c r="H114" s="877" t="e">
        <f>#REF!*37</f>
        <v>#REF!</v>
      </c>
      <c r="I114" s="877"/>
    </row>
    <row r="115" spans="1:10" s="887" customFormat="1" x14ac:dyDescent="0.2">
      <c r="A115" s="44">
        <v>74</v>
      </c>
      <c r="B115" s="884" t="s">
        <v>94</v>
      </c>
      <c r="C115" s="12">
        <v>1000</v>
      </c>
      <c r="D115" s="13">
        <v>37224.369999999995</v>
      </c>
      <c r="E115" s="14"/>
      <c r="F115" s="14"/>
      <c r="G115" s="15"/>
      <c r="H115" s="877" t="e">
        <f>#REF!*37</f>
        <v>#REF!</v>
      </c>
      <c r="I115" s="877"/>
    </row>
    <row r="116" spans="1:10" s="887" customFormat="1" ht="30" x14ac:dyDescent="0.2">
      <c r="A116" s="44">
        <v>75</v>
      </c>
      <c r="B116" s="884" t="s">
        <v>95</v>
      </c>
      <c r="C116" s="12">
        <v>100</v>
      </c>
      <c r="D116" s="13">
        <v>10763.3</v>
      </c>
      <c r="E116" s="14"/>
      <c r="F116" s="14"/>
      <c r="G116" s="15"/>
      <c r="H116" s="877" t="e">
        <f>#REF!*37</f>
        <v>#REF!</v>
      </c>
      <c r="I116" s="877" t="e">
        <f t="shared" si="0"/>
        <v>#REF!</v>
      </c>
    </row>
    <row r="117" spans="1:10" s="887" customFormat="1" ht="90.75" x14ac:dyDescent="0.2">
      <c r="A117" s="44">
        <v>76</v>
      </c>
      <c r="B117" s="884" t="s">
        <v>41</v>
      </c>
      <c r="C117" s="20"/>
      <c r="D117" s="13">
        <v>0</v>
      </c>
      <c r="E117" s="13"/>
      <c r="F117" s="13"/>
      <c r="G117" s="13"/>
      <c r="H117" s="877" t="e">
        <f>#REF!*37</f>
        <v>#REF!</v>
      </c>
      <c r="I117" s="877" t="e">
        <f t="shared" si="0"/>
        <v>#REF!</v>
      </c>
    </row>
    <row r="118" spans="1:10" s="887" customFormat="1" ht="60" x14ac:dyDescent="0.2">
      <c r="A118" s="44" t="s">
        <v>42</v>
      </c>
      <c r="B118" s="884" t="s">
        <v>96</v>
      </c>
      <c r="C118" s="12">
        <v>1</v>
      </c>
      <c r="D118" s="13">
        <v>5704.1345999999994</v>
      </c>
      <c r="E118" s="14"/>
      <c r="F118" s="14"/>
      <c r="G118" s="15"/>
      <c r="H118" s="877" t="e">
        <f>#REF!*37</f>
        <v>#REF!</v>
      </c>
      <c r="I118" s="877" t="e">
        <f t="shared" si="0"/>
        <v>#REF!</v>
      </c>
    </row>
    <row r="119" spans="1:10" s="887" customFormat="1" ht="60" x14ac:dyDescent="0.2">
      <c r="A119" s="44" t="s">
        <v>44</v>
      </c>
      <c r="B119" s="884" t="s">
        <v>97</v>
      </c>
      <c r="C119" s="12">
        <v>1</v>
      </c>
      <c r="D119" s="13">
        <v>681.08906249999995</v>
      </c>
      <c r="E119" s="14"/>
      <c r="F119" s="14"/>
      <c r="G119" s="15"/>
      <c r="H119" s="877" t="e">
        <f>#REF!*37</f>
        <v>#REF!</v>
      </c>
      <c r="I119" s="877" t="e">
        <f t="shared" si="0"/>
        <v>#REF!</v>
      </c>
    </row>
    <row r="120" spans="1:10" s="887" customFormat="1" ht="129.6" customHeight="1" x14ac:dyDescent="0.2">
      <c r="A120" s="44">
        <v>77</v>
      </c>
      <c r="B120" s="884" t="s">
        <v>99</v>
      </c>
      <c r="C120" s="19">
        <v>1</v>
      </c>
      <c r="D120" s="13">
        <v>1184</v>
      </c>
      <c r="E120" s="14"/>
      <c r="F120" s="14"/>
      <c r="G120" s="15"/>
      <c r="H120" s="877" t="e">
        <f>#REF!*37</f>
        <v>#REF!</v>
      </c>
      <c r="I120" s="877" t="e">
        <f t="shared" si="0"/>
        <v>#REF!</v>
      </c>
    </row>
    <row r="121" spans="1:10" s="887" customFormat="1" ht="45" x14ac:dyDescent="0.2">
      <c r="A121" s="44">
        <v>78</v>
      </c>
      <c r="B121" s="884" t="s">
        <v>100</v>
      </c>
      <c r="C121" s="19">
        <v>1</v>
      </c>
      <c r="D121" s="13">
        <v>5302</v>
      </c>
      <c r="E121" s="14"/>
      <c r="F121" s="14"/>
      <c r="G121" s="15"/>
      <c r="H121" s="877" t="e">
        <f>#REF!*37</f>
        <v>#REF!</v>
      </c>
      <c r="I121" s="877"/>
    </row>
    <row r="122" spans="1:10" s="887" customFormat="1" ht="30" x14ac:dyDescent="0.2">
      <c r="A122" s="44">
        <v>79</v>
      </c>
      <c r="B122" s="884" t="s">
        <v>101</v>
      </c>
      <c r="C122" s="19">
        <v>1</v>
      </c>
      <c r="D122" s="13">
        <v>1813</v>
      </c>
      <c r="E122" s="14"/>
      <c r="F122" s="14"/>
      <c r="G122" s="15"/>
      <c r="H122" s="877" t="e">
        <f>#REF!*37</f>
        <v>#REF!</v>
      </c>
      <c r="I122" s="877" t="e">
        <f t="shared" si="0"/>
        <v>#REF!</v>
      </c>
    </row>
    <row r="123" spans="1:10" s="887" customFormat="1" ht="45" x14ac:dyDescent="0.2">
      <c r="A123" s="44">
        <v>80</v>
      </c>
      <c r="B123" s="884" t="s">
        <v>102</v>
      </c>
      <c r="C123" s="19">
        <v>100</v>
      </c>
      <c r="D123" s="13">
        <v>3535.8125</v>
      </c>
      <c r="E123" s="14"/>
      <c r="F123" s="14"/>
      <c r="G123" s="15"/>
      <c r="H123" s="877" t="e">
        <f>#REF!*37</f>
        <v>#REF!</v>
      </c>
      <c r="I123" s="877" t="e">
        <f t="shared" si="0"/>
        <v>#REF!</v>
      </c>
    </row>
    <row r="124" spans="1:10" s="887" customFormat="1" x14ac:dyDescent="0.2">
      <c r="A124" s="44">
        <v>81</v>
      </c>
      <c r="B124" s="884" t="s">
        <v>103</v>
      </c>
      <c r="C124" s="19">
        <v>1</v>
      </c>
      <c r="D124" s="13">
        <v>43350.188849999999</v>
      </c>
      <c r="E124" s="14"/>
      <c r="F124" s="14"/>
      <c r="G124" s="15"/>
      <c r="H124" s="877" t="e">
        <f>#REF!*37</f>
        <v>#REF!</v>
      </c>
      <c r="I124" s="877"/>
    </row>
    <row r="125" spans="1:10" s="887" customFormat="1" x14ac:dyDescent="0.2">
      <c r="A125" s="44">
        <v>82</v>
      </c>
      <c r="B125" s="884" t="s">
        <v>104</v>
      </c>
      <c r="C125" s="12">
        <v>100</v>
      </c>
      <c r="D125" s="13">
        <v>8934.8274999999994</v>
      </c>
      <c r="E125" s="25"/>
      <c r="F125" s="25"/>
      <c r="G125" s="15"/>
      <c r="H125" s="877" t="e">
        <f>#REF!*37</f>
        <v>#REF!</v>
      </c>
      <c r="I125" s="877"/>
    </row>
    <row r="126" spans="1:10" s="887" customFormat="1" ht="30" x14ac:dyDescent="0.2">
      <c r="A126" s="44">
        <v>83</v>
      </c>
      <c r="B126" s="884" t="s">
        <v>105</v>
      </c>
      <c r="C126" s="12">
        <v>100</v>
      </c>
      <c r="D126" s="13">
        <v>10919.7875</v>
      </c>
      <c r="E126" s="25"/>
      <c r="F126" s="25"/>
      <c r="G126" s="15"/>
      <c r="H126" s="877" t="e">
        <f>#REF!*37</f>
        <v>#REF!</v>
      </c>
      <c r="I126" s="877"/>
    </row>
    <row r="127" spans="1:10" s="887" customFormat="1" x14ac:dyDescent="0.2">
      <c r="A127" s="44">
        <v>84</v>
      </c>
      <c r="B127" s="884" t="s">
        <v>108</v>
      </c>
      <c r="C127" s="19">
        <v>100</v>
      </c>
      <c r="D127" s="13">
        <v>140437.41625000001</v>
      </c>
      <c r="E127" s="25"/>
      <c r="F127" s="25"/>
      <c r="G127" s="15"/>
      <c r="H127" s="877" t="e">
        <f>#REF!*37</f>
        <v>#REF!</v>
      </c>
      <c r="I127" s="877" t="e">
        <f t="shared" si="0"/>
        <v>#REF!</v>
      </c>
      <c r="J127" s="894"/>
    </row>
    <row r="128" spans="1:10" s="887" customFormat="1" ht="30" x14ac:dyDescent="0.2">
      <c r="A128" s="44">
        <v>85</v>
      </c>
      <c r="B128" s="884" t="s">
        <v>109</v>
      </c>
      <c r="C128" s="19">
        <v>100</v>
      </c>
      <c r="D128" s="13">
        <v>4237.2400000000007</v>
      </c>
      <c r="E128" s="25"/>
      <c r="F128" s="25"/>
      <c r="G128" s="15"/>
      <c r="H128" s="877" t="e">
        <f>#REF!*37</f>
        <v>#REF!</v>
      </c>
      <c r="I128" s="877" t="e">
        <f t="shared" si="0"/>
        <v>#REF!</v>
      </c>
    </row>
    <row r="129" spans="1:10" s="887" customFormat="1" ht="45" x14ac:dyDescent="0.2">
      <c r="A129" s="44">
        <v>86</v>
      </c>
      <c r="B129" s="884" t="s">
        <v>110</v>
      </c>
      <c r="C129" s="19">
        <v>100</v>
      </c>
      <c r="D129" s="13">
        <v>83405.59</v>
      </c>
      <c r="E129" s="25"/>
      <c r="F129" s="25"/>
      <c r="G129" s="15"/>
      <c r="H129" s="877" t="e">
        <f>#REF!*37</f>
        <v>#REF!</v>
      </c>
      <c r="I129" s="877" t="e">
        <f t="shared" si="0"/>
        <v>#REF!</v>
      </c>
      <c r="J129" s="894"/>
    </row>
    <row r="130" spans="1:10" s="887" customFormat="1" x14ac:dyDescent="0.2">
      <c r="A130" s="44">
        <v>87</v>
      </c>
      <c r="B130" s="884" t="s">
        <v>112</v>
      </c>
      <c r="C130" s="37">
        <v>1</v>
      </c>
      <c r="D130" s="13">
        <v>658</v>
      </c>
      <c r="E130" s="25"/>
      <c r="F130" s="25"/>
      <c r="G130" s="15"/>
      <c r="H130" s="877" t="e">
        <f>#REF!*37</f>
        <v>#REF!</v>
      </c>
      <c r="I130" s="877" t="e">
        <f t="shared" si="0"/>
        <v>#REF!</v>
      </c>
      <c r="J130" s="894"/>
    </row>
    <row r="131" spans="1:10" s="887" customFormat="1" x14ac:dyDescent="0.2">
      <c r="A131" s="44">
        <v>88</v>
      </c>
      <c r="B131" s="884" t="s">
        <v>113</v>
      </c>
      <c r="C131" s="37">
        <v>1</v>
      </c>
      <c r="D131" s="13">
        <v>154</v>
      </c>
      <c r="E131" s="25"/>
      <c r="F131" s="25"/>
      <c r="G131" s="15"/>
      <c r="H131" s="877" t="e">
        <f>#REF!*37</f>
        <v>#REF!</v>
      </c>
      <c r="I131" s="877" t="e">
        <f t="shared" si="0"/>
        <v>#REF!</v>
      </c>
      <c r="J131" s="894"/>
    </row>
    <row r="132" spans="1:10" s="887" customFormat="1" x14ac:dyDescent="0.2">
      <c r="A132" s="44">
        <v>89</v>
      </c>
      <c r="B132" s="884" t="s">
        <v>114</v>
      </c>
      <c r="C132" s="19">
        <v>100</v>
      </c>
      <c r="D132" s="13">
        <v>118808.22750000001</v>
      </c>
      <c r="E132" s="25"/>
      <c r="F132" s="25"/>
      <c r="G132" s="15"/>
      <c r="H132" s="877" t="e">
        <f>#REF!*37</f>
        <v>#REF!</v>
      </c>
      <c r="I132" s="877" t="e">
        <f t="shared" si="0"/>
        <v>#REF!</v>
      </c>
      <c r="J132" s="894"/>
    </row>
    <row r="133" spans="1:10" s="887" customFormat="1" x14ac:dyDescent="0.2">
      <c r="A133" s="44">
        <v>90</v>
      </c>
      <c r="B133" s="884" t="s">
        <v>116</v>
      </c>
      <c r="C133" s="19">
        <v>100</v>
      </c>
      <c r="D133" s="13">
        <v>12309</v>
      </c>
      <c r="E133" s="25"/>
      <c r="F133" s="25"/>
      <c r="G133" s="15"/>
      <c r="H133" s="877" t="e">
        <f>#REF!*37</f>
        <v>#REF!</v>
      </c>
      <c r="I133" s="877" t="e">
        <f t="shared" si="0"/>
        <v>#REF!</v>
      </c>
      <c r="J133" s="894"/>
    </row>
    <row r="134" spans="1:10" s="887" customFormat="1" ht="45" x14ac:dyDescent="0.2">
      <c r="A134" s="44">
        <v>91</v>
      </c>
      <c r="B134" s="876" t="s">
        <v>117</v>
      </c>
      <c r="C134" s="29">
        <v>100</v>
      </c>
      <c r="D134" s="13">
        <v>12393.472738818833</v>
      </c>
      <c r="E134" s="14"/>
      <c r="F134" s="14"/>
      <c r="G134" s="15"/>
      <c r="H134" s="877" t="e">
        <f>#REF!*37</f>
        <v>#REF!</v>
      </c>
      <c r="I134" s="877" t="e">
        <f t="shared" si="0"/>
        <v>#REF!</v>
      </c>
    </row>
    <row r="135" spans="1:10" s="887" customFormat="1" ht="30" x14ac:dyDescent="0.2">
      <c r="A135" s="987">
        <v>92</v>
      </c>
      <c r="B135" s="884" t="s">
        <v>118</v>
      </c>
      <c r="C135" s="20"/>
      <c r="D135" s="13">
        <v>0</v>
      </c>
      <c r="E135" s="20"/>
      <c r="F135" s="20"/>
      <c r="G135" s="20"/>
      <c r="H135" s="877" t="e">
        <f>#REF!*37</f>
        <v>#REF!</v>
      </c>
      <c r="I135" s="877" t="e">
        <f t="shared" si="0"/>
        <v>#REF!</v>
      </c>
    </row>
    <row r="136" spans="1:10" s="887" customFormat="1" x14ac:dyDescent="0.2">
      <c r="A136" s="988"/>
      <c r="B136" s="884" t="s">
        <v>148</v>
      </c>
      <c r="C136" s="36">
        <v>1</v>
      </c>
      <c r="D136" s="13">
        <v>12520</v>
      </c>
      <c r="E136" s="25"/>
      <c r="F136" s="25"/>
      <c r="G136" s="15"/>
      <c r="H136" s="877" t="e">
        <f>#REF!*37</f>
        <v>#REF!</v>
      </c>
      <c r="I136" s="877" t="e">
        <f t="shared" si="0"/>
        <v>#REF!</v>
      </c>
      <c r="J136" s="894"/>
    </row>
    <row r="137" spans="1:10" s="887" customFormat="1" x14ac:dyDescent="0.2">
      <c r="A137" s="988"/>
      <c r="B137" s="884" t="s">
        <v>149</v>
      </c>
      <c r="C137" s="36">
        <v>1</v>
      </c>
      <c r="D137" s="13">
        <v>6560</v>
      </c>
      <c r="E137" s="25"/>
      <c r="F137" s="25"/>
      <c r="G137" s="15"/>
      <c r="H137" s="877" t="e">
        <f>#REF!*37</f>
        <v>#REF!</v>
      </c>
      <c r="I137" s="877" t="e">
        <f t="shared" si="0"/>
        <v>#REF!</v>
      </c>
      <c r="J137" s="894"/>
    </row>
    <row r="138" spans="1:10" s="887" customFormat="1" x14ac:dyDescent="0.2">
      <c r="A138" s="989"/>
      <c r="B138" s="884" t="s">
        <v>471</v>
      </c>
      <c r="C138" s="36">
        <v>1</v>
      </c>
      <c r="D138" s="13">
        <v>555</v>
      </c>
      <c r="E138" s="25"/>
      <c r="F138" s="25"/>
      <c r="G138" s="15"/>
      <c r="H138" s="877" t="e">
        <f>#REF!*37</f>
        <v>#REF!</v>
      </c>
      <c r="I138" s="877" t="e">
        <f t="shared" si="0"/>
        <v>#REF!</v>
      </c>
    </row>
    <row r="139" spans="1:10" s="887" customFormat="1" ht="60" x14ac:dyDescent="0.2">
      <c r="A139" s="987">
        <v>93</v>
      </c>
      <c r="B139" s="884" t="s">
        <v>123</v>
      </c>
      <c r="C139" s="20"/>
      <c r="D139" s="13">
        <v>0</v>
      </c>
      <c r="E139" s="20"/>
      <c r="F139" s="20"/>
      <c r="G139" s="20"/>
      <c r="H139" s="877" t="e">
        <f>#REF!*37</f>
        <v>#REF!</v>
      </c>
      <c r="I139" s="877" t="e">
        <f t="shared" si="0"/>
        <v>#REF!</v>
      </c>
    </row>
    <row r="140" spans="1:10" s="887" customFormat="1" x14ac:dyDescent="0.2">
      <c r="A140" s="988"/>
      <c r="B140" s="884" t="s">
        <v>150</v>
      </c>
      <c r="C140" s="36">
        <v>1</v>
      </c>
      <c r="D140" s="13">
        <v>36960</v>
      </c>
      <c r="E140" s="25"/>
      <c r="F140" s="25"/>
      <c r="G140" s="15"/>
      <c r="H140" s="877" t="e">
        <f>#REF!*37</f>
        <v>#REF!</v>
      </c>
      <c r="I140" s="877" t="e">
        <f t="shared" si="0"/>
        <v>#REF!</v>
      </c>
      <c r="J140" s="894"/>
    </row>
    <row r="141" spans="1:10" s="887" customFormat="1" x14ac:dyDescent="0.2">
      <c r="A141" s="989"/>
      <c r="B141" s="884" t="s">
        <v>151</v>
      </c>
      <c r="C141" s="36">
        <v>1</v>
      </c>
      <c r="D141" s="13">
        <v>13020</v>
      </c>
      <c r="E141" s="25"/>
      <c r="F141" s="25"/>
      <c r="G141" s="15"/>
      <c r="H141" s="877" t="e">
        <f>#REF!*37</f>
        <v>#REF!</v>
      </c>
      <c r="I141" s="877" t="e">
        <f t="shared" si="0"/>
        <v>#REF!</v>
      </c>
      <c r="J141" s="894"/>
    </row>
    <row r="142" spans="1:10" s="887" customFormat="1" ht="45" x14ac:dyDescent="0.2">
      <c r="A142" s="44">
        <v>94</v>
      </c>
      <c r="B142" s="884" t="s">
        <v>126</v>
      </c>
      <c r="C142" s="36">
        <v>1</v>
      </c>
      <c r="D142" s="13">
        <v>19680</v>
      </c>
      <c r="E142" s="25"/>
      <c r="F142" s="25"/>
      <c r="G142" s="15"/>
      <c r="H142" s="877" t="e">
        <f>#REF!*37</f>
        <v>#REF!</v>
      </c>
      <c r="I142" s="877" t="e">
        <f t="shared" si="0"/>
        <v>#REF!</v>
      </c>
      <c r="J142" s="894"/>
    </row>
    <row r="143" spans="1:10" s="887" customFormat="1" ht="45" x14ac:dyDescent="0.2">
      <c r="A143" s="987">
        <v>95</v>
      </c>
      <c r="B143" s="884" t="s">
        <v>127</v>
      </c>
      <c r="C143" s="20"/>
      <c r="D143" s="13">
        <v>0</v>
      </c>
      <c r="E143" s="20"/>
      <c r="F143" s="20"/>
      <c r="G143" s="20"/>
      <c r="H143" s="877" t="e">
        <f>#REF!*37</f>
        <v>#REF!</v>
      </c>
      <c r="I143" s="877" t="e">
        <f t="shared" si="0"/>
        <v>#REF!</v>
      </c>
    </row>
    <row r="144" spans="1:10" s="887" customFormat="1" x14ac:dyDescent="0.2">
      <c r="A144" s="988"/>
      <c r="B144" s="884" t="s">
        <v>152</v>
      </c>
      <c r="C144" s="38">
        <v>1</v>
      </c>
      <c r="D144" s="13">
        <v>219</v>
      </c>
      <c r="E144" s="25"/>
      <c r="F144" s="25"/>
      <c r="G144" s="15"/>
      <c r="H144" s="877" t="e">
        <f>#REF!*37</f>
        <v>#REF!</v>
      </c>
      <c r="I144" s="877" t="e">
        <f t="shared" si="0"/>
        <v>#REF!</v>
      </c>
      <c r="J144" s="894"/>
    </row>
    <row r="145" spans="1:10" s="887" customFormat="1" x14ac:dyDescent="0.2">
      <c r="A145" s="988"/>
      <c r="B145" s="884" t="s">
        <v>153</v>
      </c>
      <c r="C145" s="38">
        <v>1</v>
      </c>
      <c r="D145" s="13">
        <v>432</v>
      </c>
      <c r="E145" s="25"/>
      <c r="F145" s="25"/>
      <c r="G145" s="15"/>
      <c r="H145" s="877" t="e">
        <f>#REF!*37</f>
        <v>#REF!</v>
      </c>
      <c r="I145" s="877" t="e">
        <f t="shared" si="0"/>
        <v>#REF!</v>
      </c>
      <c r="J145" s="894"/>
    </row>
    <row r="146" spans="1:10" s="887" customFormat="1" x14ac:dyDescent="0.2">
      <c r="A146" s="989"/>
      <c r="B146" s="884" t="s">
        <v>154</v>
      </c>
      <c r="C146" s="38">
        <v>1</v>
      </c>
      <c r="D146" s="13">
        <v>128</v>
      </c>
      <c r="E146" s="25"/>
      <c r="F146" s="25"/>
      <c r="G146" s="15"/>
      <c r="H146" s="877" t="e">
        <f>#REF!*37</f>
        <v>#REF!</v>
      </c>
      <c r="I146" s="877" t="e">
        <f t="shared" si="0"/>
        <v>#REF!</v>
      </c>
      <c r="J146" s="894"/>
    </row>
    <row r="147" spans="1:10" s="887" customFormat="1" ht="30" x14ac:dyDescent="0.2">
      <c r="A147" s="44">
        <v>96</v>
      </c>
      <c r="B147" s="884" t="s">
        <v>131</v>
      </c>
      <c r="C147" s="38">
        <v>1</v>
      </c>
      <c r="D147" s="13">
        <v>4100</v>
      </c>
      <c r="E147" s="25"/>
      <c r="F147" s="25"/>
      <c r="G147" s="15"/>
      <c r="H147" s="877" t="e">
        <f>#REF!*37</f>
        <v>#REF!</v>
      </c>
      <c r="I147" s="877" t="e">
        <f t="shared" si="0"/>
        <v>#REF!</v>
      </c>
    </row>
    <row r="148" spans="1:10" s="887" customFormat="1" x14ac:dyDescent="0.2">
      <c r="A148" s="44">
        <v>97</v>
      </c>
      <c r="B148" s="884" t="s">
        <v>132</v>
      </c>
      <c r="C148" s="38">
        <v>1</v>
      </c>
      <c r="D148" s="13">
        <v>744</v>
      </c>
      <c r="E148" s="25"/>
      <c r="F148" s="25"/>
      <c r="G148" s="15"/>
      <c r="H148" s="877" t="e">
        <f>#REF!*37</f>
        <v>#REF!</v>
      </c>
      <c r="I148" s="877" t="e">
        <f t="shared" si="0"/>
        <v>#REF!</v>
      </c>
      <c r="J148" s="894"/>
    </row>
    <row r="149" spans="1:10" s="887" customFormat="1" ht="30" x14ac:dyDescent="0.2">
      <c r="A149" s="44">
        <v>98</v>
      </c>
      <c r="B149" s="884" t="s">
        <v>134</v>
      </c>
      <c r="C149" s="38">
        <v>1</v>
      </c>
      <c r="D149" s="13">
        <v>37</v>
      </c>
      <c r="E149" s="25"/>
      <c r="F149" s="25"/>
      <c r="G149" s="15"/>
      <c r="H149" s="877" t="e">
        <f>#REF!*37</f>
        <v>#REF!</v>
      </c>
      <c r="I149" s="877" t="e">
        <f t="shared" si="0"/>
        <v>#REF!</v>
      </c>
    </row>
    <row r="150" spans="1:10" s="887" customFormat="1" ht="105" x14ac:dyDescent="0.2">
      <c r="A150" s="44">
        <v>99</v>
      </c>
      <c r="B150" s="884" t="s">
        <v>135</v>
      </c>
      <c r="C150" s="37">
        <v>1</v>
      </c>
      <c r="D150" s="13">
        <v>37</v>
      </c>
      <c r="E150" s="25"/>
      <c r="F150" s="25"/>
      <c r="G150" s="15"/>
      <c r="H150" s="877" t="e">
        <f>#REF!*37</f>
        <v>#REF!</v>
      </c>
      <c r="I150" s="877" t="e">
        <f t="shared" si="0"/>
        <v>#REF!</v>
      </c>
    </row>
    <row r="151" spans="1:10" s="887" customFormat="1" ht="60" x14ac:dyDescent="0.2">
      <c r="A151" s="44">
        <v>100</v>
      </c>
      <c r="B151" s="884" t="s">
        <v>136</v>
      </c>
      <c r="C151" s="37">
        <v>1</v>
      </c>
      <c r="D151" s="13">
        <v>222</v>
      </c>
      <c r="E151" s="25"/>
      <c r="F151" s="25"/>
      <c r="G151" s="15"/>
      <c r="H151" s="877" t="e">
        <f>#REF!*37</f>
        <v>#REF!</v>
      </c>
      <c r="I151" s="877" t="e">
        <f t="shared" si="0"/>
        <v>#REF!</v>
      </c>
    </row>
    <row r="152" spans="1:10" ht="105" x14ac:dyDescent="0.2">
      <c r="A152" s="44">
        <v>101</v>
      </c>
      <c r="B152" s="884" t="s">
        <v>137</v>
      </c>
      <c r="C152" s="37">
        <v>1</v>
      </c>
      <c r="D152" s="13">
        <v>74</v>
      </c>
      <c r="E152" s="25"/>
      <c r="F152" s="25"/>
      <c r="G152" s="15"/>
      <c r="H152" s="877" t="e">
        <f>#REF!*37</f>
        <v>#REF!</v>
      </c>
      <c r="I152" s="877" t="e">
        <f t="shared" si="0"/>
        <v>#REF!</v>
      </c>
    </row>
    <row r="153" spans="1:10" ht="96" customHeight="1" x14ac:dyDescent="0.2">
      <c r="A153" s="44">
        <v>102</v>
      </c>
      <c r="B153" s="884" t="s">
        <v>138</v>
      </c>
      <c r="C153" s="37">
        <v>1</v>
      </c>
      <c r="D153" s="13">
        <v>37</v>
      </c>
      <c r="E153" s="25"/>
      <c r="F153" s="25"/>
      <c r="G153" s="15"/>
      <c r="H153" s="877" t="e">
        <f>#REF!*37</f>
        <v>#REF!</v>
      </c>
      <c r="I153" s="877" t="e">
        <f t="shared" si="0"/>
        <v>#REF!</v>
      </c>
    </row>
    <row r="154" spans="1:10" ht="45" x14ac:dyDescent="0.2">
      <c r="A154" s="44">
        <v>103</v>
      </c>
      <c r="B154" s="884" t="s">
        <v>139</v>
      </c>
      <c r="C154" s="37">
        <v>1</v>
      </c>
      <c r="D154" s="13">
        <v>707</v>
      </c>
      <c r="E154" s="25"/>
      <c r="F154" s="25"/>
      <c r="G154" s="15"/>
      <c r="H154" s="877" t="e">
        <f>#REF!*37</f>
        <v>#REF!</v>
      </c>
      <c r="I154" s="877" t="e">
        <f t="shared" si="0"/>
        <v>#REF!</v>
      </c>
      <c r="J154" s="882"/>
    </row>
    <row r="155" spans="1:10" x14ac:dyDescent="0.2">
      <c r="A155" s="44">
        <v>104</v>
      </c>
      <c r="B155" s="884" t="s">
        <v>140</v>
      </c>
      <c r="C155" s="37">
        <v>1</v>
      </c>
      <c r="D155" s="13">
        <v>111</v>
      </c>
      <c r="E155" s="25"/>
      <c r="F155" s="25"/>
      <c r="G155" s="15"/>
      <c r="H155" s="877" t="e">
        <f>#REF!*37</f>
        <v>#REF!</v>
      </c>
      <c r="I155" s="877" t="e">
        <f t="shared" si="0"/>
        <v>#REF!</v>
      </c>
    </row>
    <row r="156" spans="1:10" s="887" customFormat="1" ht="50.45" customHeight="1" x14ac:dyDescent="0.2">
      <c r="A156" s="44">
        <v>105</v>
      </c>
      <c r="B156" s="884" t="s">
        <v>171</v>
      </c>
      <c r="C156" s="19">
        <v>100</v>
      </c>
      <c r="D156" s="13">
        <v>5447.5326000000005</v>
      </c>
      <c r="E156" s="14"/>
      <c r="F156" s="14"/>
      <c r="G156" s="15"/>
    </row>
    <row r="157" spans="1:10" s="887" customFormat="1" ht="120" x14ac:dyDescent="0.2">
      <c r="A157" s="44">
        <v>106</v>
      </c>
      <c r="B157" s="884" t="s">
        <v>172</v>
      </c>
      <c r="C157" s="22">
        <v>1</v>
      </c>
      <c r="D157" s="13">
        <v>1983.6000000000001</v>
      </c>
      <c r="E157" s="14"/>
      <c r="F157" s="14"/>
      <c r="G157" s="15"/>
    </row>
    <row r="158" spans="1:10" s="887" customFormat="1" ht="30" x14ac:dyDescent="0.2">
      <c r="A158" s="44">
        <v>107</v>
      </c>
      <c r="B158" s="884" t="s">
        <v>173</v>
      </c>
      <c r="C158" s="19">
        <v>1</v>
      </c>
      <c r="D158" s="13">
        <v>908</v>
      </c>
      <c r="E158" s="14"/>
      <c r="F158" s="14"/>
      <c r="G158" s="15"/>
    </row>
    <row r="159" spans="1:10" s="887" customFormat="1" x14ac:dyDescent="0.2">
      <c r="A159" s="44">
        <v>108</v>
      </c>
      <c r="B159" s="884" t="s">
        <v>174</v>
      </c>
      <c r="C159" s="19">
        <v>100</v>
      </c>
      <c r="D159" s="13">
        <v>19399.646999999997</v>
      </c>
      <c r="E159" s="25"/>
      <c r="F159" s="25"/>
      <c r="G159" s="15"/>
    </row>
    <row r="160" spans="1:10" s="887" customFormat="1" ht="30" x14ac:dyDescent="0.2">
      <c r="A160" s="44">
        <v>109</v>
      </c>
      <c r="B160" s="884" t="s">
        <v>175</v>
      </c>
      <c r="C160" s="37">
        <v>1</v>
      </c>
      <c r="D160" s="13">
        <v>369</v>
      </c>
      <c r="E160" s="25"/>
      <c r="F160" s="25"/>
      <c r="G160" s="15"/>
    </row>
    <row r="161" spans="1:10" s="887" customFormat="1" ht="60" x14ac:dyDescent="0.2">
      <c r="A161" s="44">
        <v>110</v>
      </c>
      <c r="B161" s="884" t="s">
        <v>190</v>
      </c>
      <c r="C161" s="36">
        <v>1</v>
      </c>
      <c r="D161" s="13">
        <v>111.86</v>
      </c>
      <c r="E161" s="25"/>
      <c r="F161" s="25"/>
      <c r="G161" s="15"/>
    </row>
    <row r="162" spans="1:10" s="887" customFormat="1" x14ac:dyDescent="0.2">
      <c r="A162" s="44">
        <v>111</v>
      </c>
      <c r="B162" s="884" t="s">
        <v>176</v>
      </c>
      <c r="C162" s="19">
        <v>1</v>
      </c>
      <c r="D162" s="13">
        <v>2800</v>
      </c>
      <c r="E162" s="25"/>
      <c r="F162" s="25"/>
      <c r="G162" s="15"/>
    </row>
    <row r="163" spans="1:10" s="887" customFormat="1" ht="45" x14ac:dyDescent="0.2">
      <c r="A163" s="44">
        <v>112</v>
      </c>
      <c r="B163" s="884" t="s">
        <v>177</v>
      </c>
      <c r="C163" s="19">
        <v>1</v>
      </c>
      <c r="D163" s="13">
        <v>9477.0586000000003</v>
      </c>
      <c r="E163" s="25"/>
      <c r="F163" s="25"/>
      <c r="G163" s="15"/>
    </row>
    <row r="164" spans="1:10" s="887" customFormat="1" x14ac:dyDescent="0.2">
      <c r="A164" s="44">
        <v>113</v>
      </c>
      <c r="B164" s="884" t="s">
        <v>178</v>
      </c>
      <c r="C164" s="12">
        <v>100</v>
      </c>
      <c r="D164" s="13">
        <v>2287.9699999999998</v>
      </c>
      <c r="E164" s="25"/>
      <c r="F164" s="25"/>
      <c r="G164" s="15"/>
    </row>
    <row r="165" spans="1:10" s="887" customFormat="1" ht="60" x14ac:dyDescent="0.2">
      <c r="A165" s="44">
        <v>114</v>
      </c>
      <c r="B165" s="884" t="s">
        <v>179</v>
      </c>
      <c r="C165" s="19">
        <v>100</v>
      </c>
      <c r="D165" s="13">
        <v>5447.5326000000005</v>
      </c>
      <c r="E165" s="25"/>
      <c r="F165" s="25"/>
      <c r="G165" s="15"/>
    </row>
    <row r="166" spans="1:10" s="887" customFormat="1" ht="60" x14ac:dyDescent="0.2">
      <c r="A166" s="44">
        <v>115</v>
      </c>
      <c r="B166" s="884" t="s">
        <v>180</v>
      </c>
      <c r="C166" s="19">
        <v>100</v>
      </c>
      <c r="D166" s="13">
        <v>385.13000000000005</v>
      </c>
      <c r="E166" s="25"/>
      <c r="F166" s="25"/>
      <c r="G166" s="15"/>
    </row>
    <row r="167" spans="1:10" s="887" customFormat="1" ht="30" x14ac:dyDescent="0.2">
      <c r="A167" s="44">
        <v>116</v>
      </c>
      <c r="B167" s="884" t="s">
        <v>181</v>
      </c>
      <c r="C167" s="36">
        <v>1</v>
      </c>
      <c r="D167" s="13">
        <v>2922.31</v>
      </c>
      <c r="E167" s="25"/>
      <c r="F167" s="25"/>
      <c r="G167" s="15"/>
    </row>
    <row r="168" spans="1:10" s="887" customFormat="1" x14ac:dyDescent="0.2">
      <c r="A168" s="44">
        <v>117</v>
      </c>
      <c r="B168" s="884" t="s">
        <v>183</v>
      </c>
      <c r="C168" s="38">
        <v>1</v>
      </c>
      <c r="D168" s="13">
        <v>596</v>
      </c>
      <c r="E168" s="25"/>
      <c r="F168" s="25"/>
      <c r="G168" s="15"/>
      <c r="J168" s="894"/>
    </row>
    <row r="169" spans="1:10" s="887" customFormat="1" ht="60.75" x14ac:dyDescent="0.2">
      <c r="A169" s="44">
        <v>118</v>
      </c>
      <c r="B169" s="884" t="s">
        <v>184</v>
      </c>
      <c r="C169" s="37">
        <v>1</v>
      </c>
      <c r="D169" s="13">
        <v>5</v>
      </c>
      <c r="E169" s="25"/>
      <c r="F169" s="25"/>
      <c r="G169" s="15"/>
    </row>
    <row r="170" spans="1:10" s="887" customFormat="1" ht="60.75" x14ac:dyDescent="0.2">
      <c r="A170" s="44">
        <v>119</v>
      </c>
      <c r="B170" s="884" t="s">
        <v>185</v>
      </c>
      <c r="C170" s="37">
        <v>1</v>
      </c>
      <c r="D170" s="13">
        <v>29</v>
      </c>
      <c r="E170" s="25"/>
      <c r="F170" s="25"/>
      <c r="G170" s="15"/>
    </row>
    <row r="171" spans="1:10" s="887" customFormat="1" ht="45" x14ac:dyDescent="0.2">
      <c r="A171" s="44">
        <v>120</v>
      </c>
      <c r="B171" s="884" t="s">
        <v>186</v>
      </c>
      <c r="C171" s="38">
        <v>1</v>
      </c>
      <c r="D171" s="13">
        <v>34</v>
      </c>
      <c r="E171" s="25"/>
      <c r="F171" s="25"/>
      <c r="G171" s="15"/>
    </row>
    <row r="172" spans="1:10" s="887" customFormat="1" x14ac:dyDescent="0.2">
      <c r="A172" s="120">
        <v>121</v>
      </c>
      <c r="B172" s="905" t="s">
        <v>58</v>
      </c>
      <c r="C172" s="12">
        <v>1000</v>
      </c>
      <c r="D172" s="13">
        <v>58871.790000000008</v>
      </c>
      <c r="E172" s="25"/>
      <c r="F172" s="25"/>
      <c r="G172" s="15"/>
    </row>
    <row r="173" spans="1:10" s="887" customFormat="1" ht="45" x14ac:dyDescent="0.2">
      <c r="A173" s="120">
        <v>122</v>
      </c>
      <c r="B173" s="905" t="s">
        <v>194</v>
      </c>
      <c r="C173" s="12">
        <v>1000</v>
      </c>
      <c r="D173" s="13">
        <v>58871.790000000008</v>
      </c>
      <c r="E173" s="25"/>
      <c r="F173" s="25"/>
      <c r="G173" s="15"/>
    </row>
    <row r="174" spans="1:10" s="887" customFormat="1" ht="30" x14ac:dyDescent="0.2">
      <c r="A174" s="993">
        <v>123</v>
      </c>
      <c r="B174" s="905" t="s">
        <v>195</v>
      </c>
      <c r="C174" s="12">
        <v>1000</v>
      </c>
      <c r="D174" s="13">
        <v>14550.010000000002</v>
      </c>
      <c r="E174" s="25"/>
      <c r="F174" s="25"/>
      <c r="G174" s="15"/>
    </row>
    <row r="175" spans="1:10" s="887" customFormat="1" x14ac:dyDescent="0.2">
      <c r="A175" s="994"/>
      <c r="B175" s="905" t="s">
        <v>196</v>
      </c>
      <c r="C175" s="43"/>
      <c r="D175" s="13">
        <v>0</v>
      </c>
      <c r="E175" s="43"/>
      <c r="F175" s="43"/>
      <c r="G175" s="43"/>
    </row>
    <row r="176" spans="1:10" s="887" customFormat="1" x14ac:dyDescent="0.2">
      <c r="A176" s="994"/>
      <c r="B176" s="905" t="s">
        <v>197</v>
      </c>
      <c r="C176" s="19">
        <v>100</v>
      </c>
      <c r="D176" s="13">
        <v>2500</v>
      </c>
      <c r="E176" s="14"/>
      <c r="F176" s="14"/>
      <c r="G176" s="15"/>
    </row>
    <row r="177" spans="1:10" s="887" customFormat="1" x14ac:dyDescent="0.2">
      <c r="A177" s="995"/>
      <c r="B177" s="905" t="s">
        <v>198</v>
      </c>
      <c r="C177" s="19">
        <v>100</v>
      </c>
      <c r="D177" s="13">
        <v>3876</v>
      </c>
      <c r="E177" s="14"/>
      <c r="F177" s="14"/>
      <c r="G177" s="15"/>
    </row>
    <row r="178" spans="1:10" s="887" customFormat="1" x14ac:dyDescent="0.2">
      <c r="A178" s="993">
        <v>124</v>
      </c>
      <c r="B178" s="905" t="s">
        <v>199</v>
      </c>
      <c r="C178" s="43"/>
      <c r="D178" s="13">
        <v>0</v>
      </c>
      <c r="E178" s="43"/>
      <c r="F178" s="43"/>
      <c r="G178" s="43"/>
    </row>
    <row r="179" spans="1:10" s="887" customFormat="1" x14ac:dyDescent="0.2">
      <c r="A179" s="994"/>
      <c r="B179" s="905" t="s">
        <v>200</v>
      </c>
      <c r="C179" s="12">
        <v>100</v>
      </c>
      <c r="D179" s="13">
        <v>856.25</v>
      </c>
      <c r="E179" s="13"/>
      <c r="F179" s="13"/>
      <c r="G179" s="15"/>
    </row>
    <row r="180" spans="1:10" s="887" customFormat="1" x14ac:dyDescent="0.2">
      <c r="A180" s="995"/>
      <c r="B180" s="905" t="s">
        <v>201</v>
      </c>
      <c r="C180" s="12">
        <v>100</v>
      </c>
      <c r="D180" s="13">
        <v>1327.53</v>
      </c>
      <c r="E180" s="13"/>
      <c r="F180" s="13"/>
      <c r="G180" s="15"/>
    </row>
    <row r="181" spans="1:10" s="887" customFormat="1" ht="30" x14ac:dyDescent="0.2">
      <c r="A181" s="120">
        <v>125</v>
      </c>
      <c r="B181" s="905" t="s">
        <v>202</v>
      </c>
      <c r="C181" s="36">
        <v>1</v>
      </c>
      <c r="D181" s="13">
        <v>637.6</v>
      </c>
      <c r="E181" s="14"/>
      <c r="F181" s="14"/>
      <c r="G181" s="15"/>
    </row>
    <row r="182" spans="1:10" s="887" customFormat="1" x14ac:dyDescent="0.2">
      <c r="A182" s="120">
        <v>126</v>
      </c>
      <c r="B182" s="905" t="s">
        <v>203</v>
      </c>
      <c r="C182" s="19">
        <v>100</v>
      </c>
      <c r="D182" s="13">
        <v>318.8</v>
      </c>
      <c r="E182" s="25"/>
      <c r="F182" s="25"/>
      <c r="G182" s="15"/>
    </row>
    <row r="183" spans="1:10" s="887" customFormat="1" ht="45.75" x14ac:dyDescent="0.2">
      <c r="A183" s="118">
        <v>127</v>
      </c>
      <c r="B183" s="884" t="s">
        <v>204</v>
      </c>
      <c r="C183" s="12">
        <v>1000</v>
      </c>
      <c r="D183" s="13">
        <v>46483.393100000008</v>
      </c>
      <c r="E183" s="14"/>
      <c r="F183" s="14"/>
      <c r="G183" s="15"/>
      <c r="H183" s="894">
        <f>SUM(G183:G185)</f>
        <v>0</v>
      </c>
      <c r="I183" s="887">
        <v>31715324</v>
      </c>
      <c r="J183" s="877">
        <f>I183-H183</f>
        <v>31715324</v>
      </c>
    </row>
    <row r="184" spans="1:10" s="887" customFormat="1" ht="75" x14ac:dyDescent="0.2">
      <c r="A184" s="44">
        <v>128</v>
      </c>
      <c r="B184" s="884" t="s">
        <v>85</v>
      </c>
      <c r="C184" s="20"/>
      <c r="D184" s="13">
        <v>0</v>
      </c>
      <c r="E184" s="20"/>
      <c r="F184" s="20"/>
      <c r="G184" s="20"/>
    </row>
    <row r="185" spans="1:10" s="887" customFormat="1" x14ac:dyDescent="0.2">
      <c r="A185" s="44">
        <v>129</v>
      </c>
      <c r="B185" s="883" t="s">
        <v>206</v>
      </c>
      <c r="C185" s="12">
        <v>100</v>
      </c>
      <c r="D185" s="13">
        <v>11277.602800000002</v>
      </c>
      <c r="E185" s="25"/>
      <c r="F185" s="25"/>
      <c r="G185" s="15"/>
    </row>
    <row r="186" spans="1:10" ht="45.75" x14ac:dyDescent="0.2">
      <c r="A186" s="118">
        <v>130</v>
      </c>
      <c r="B186" s="884" t="s">
        <v>301</v>
      </c>
      <c r="C186" s="12">
        <v>1000</v>
      </c>
      <c r="D186" s="13">
        <v>72531.663749999992</v>
      </c>
      <c r="E186" s="14"/>
      <c r="F186" s="14"/>
      <c r="G186" s="15"/>
      <c r="H186" s="882">
        <f>SUM(G186:G222)</f>
        <v>0</v>
      </c>
    </row>
    <row r="187" spans="1:10" x14ac:dyDescent="0.2">
      <c r="A187" s="118">
        <v>131</v>
      </c>
      <c r="B187" s="884" t="s">
        <v>302</v>
      </c>
      <c r="C187" s="19">
        <v>1</v>
      </c>
      <c r="D187" s="13">
        <v>88776.1875</v>
      </c>
      <c r="E187" s="25"/>
      <c r="F187" s="25"/>
      <c r="G187" s="15"/>
    </row>
    <row r="188" spans="1:10" ht="30" x14ac:dyDescent="0.2">
      <c r="A188" s="44">
        <v>132</v>
      </c>
      <c r="B188" s="884" t="s">
        <v>303</v>
      </c>
      <c r="C188" s="12">
        <v>100</v>
      </c>
      <c r="D188" s="13">
        <v>47794.11</v>
      </c>
      <c r="E188" s="14"/>
      <c r="F188" s="14"/>
      <c r="G188" s="15"/>
    </row>
    <row r="189" spans="1:10" s="887" customFormat="1" ht="143.44999999999999" customHeight="1" x14ac:dyDescent="0.2">
      <c r="A189" s="122">
        <v>133</v>
      </c>
      <c r="B189" s="884" t="s">
        <v>304</v>
      </c>
      <c r="C189" s="12">
        <v>1</v>
      </c>
      <c r="D189" s="13">
        <v>21724.43</v>
      </c>
      <c r="E189" s="14"/>
      <c r="F189" s="14"/>
      <c r="G189" s="15"/>
    </row>
    <row r="190" spans="1:10" s="887" customFormat="1" ht="126" customHeight="1" x14ac:dyDescent="0.2">
      <c r="A190" s="44">
        <v>134</v>
      </c>
      <c r="B190" s="884" t="s">
        <v>99</v>
      </c>
      <c r="C190" s="19">
        <v>1</v>
      </c>
      <c r="D190" s="13">
        <v>3276</v>
      </c>
      <c r="E190" s="14"/>
      <c r="F190" s="14"/>
      <c r="G190" s="15"/>
    </row>
    <row r="191" spans="1:10" s="887" customFormat="1" ht="66.599999999999994" customHeight="1" x14ac:dyDescent="0.2">
      <c r="A191" s="44">
        <v>135</v>
      </c>
      <c r="B191" s="884" t="s">
        <v>305</v>
      </c>
      <c r="C191" s="19">
        <v>1</v>
      </c>
      <c r="D191" s="13">
        <v>3822</v>
      </c>
      <c r="E191" s="14"/>
      <c r="F191" s="14"/>
      <c r="G191" s="15"/>
    </row>
    <row r="192" spans="1:10" s="887" customFormat="1" ht="45" x14ac:dyDescent="0.2">
      <c r="A192" s="118">
        <v>136</v>
      </c>
      <c r="B192" s="884" t="s">
        <v>102</v>
      </c>
      <c r="C192" s="19">
        <v>100</v>
      </c>
      <c r="D192" s="13">
        <v>33854.84375</v>
      </c>
      <c r="E192" s="14"/>
      <c r="F192" s="14"/>
      <c r="G192" s="15"/>
    </row>
    <row r="193" spans="1:7" s="887" customFormat="1" ht="81" customHeight="1" x14ac:dyDescent="0.2">
      <c r="A193" s="118">
        <v>137</v>
      </c>
      <c r="B193" s="884" t="s">
        <v>179</v>
      </c>
      <c r="C193" s="19">
        <v>100</v>
      </c>
      <c r="D193" s="13">
        <v>22325.37125</v>
      </c>
      <c r="E193" s="25"/>
      <c r="F193" s="25"/>
      <c r="G193" s="15"/>
    </row>
    <row r="194" spans="1:7" s="887" customFormat="1" ht="63.6" customHeight="1" x14ac:dyDescent="0.2">
      <c r="A194" s="118">
        <v>138</v>
      </c>
      <c r="B194" s="884" t="s">
        <v>180</v>
      </c>
      <c r="C194" s="19">
        <v>100</v>
      </c>
      <c r="D194" s="13">
        <v>14054.039999999999</v>
      </c>
      <c r="E194" s="25"/>
      <c r="F194" s="25"/>
      <c r="G194" s="15"/>
    </row>
    <row r="195" spans="1:7" s="887" customFormat="1" ht="30" x14ac:dyDescent="0.2">
      <c r="A195" s="118">
        <v>139</v>
      </c>
      <c r="B195" s="884" t="s">
        <v>491</v>
      </c>
      <c r="C195" s="36">
        <v>1</v>
      </c>
      <c r="D195" s="13">
        <v>22750</v>
      </c>
      <c r="E195" s="25"/>
      <c r="F195" s="25"/>
      <c r="G195" s="15"/>
    </row>
    <row r="196" spans="1:7" s="887" customFormat="1" ht="30" x14ac:dyDescent="0.2">
      <c r="A196" s="44">
        <v>140</v>
      </c>
      <c r="B196" s="876" t="s">
        <v>106</v>
      </c>
      <c r="C196" s="20"/>
      <c r="D196" s="13">
        <v>0</v>
      </c>
      <c r="E196" s="20"/>
      <c r="F196" s="20"/>
      <c r="G196" s="20"/>
    </row>
    <row r="197" spans="1:7" s="887" customFormat="1" ht="30" x14ac:dyDescent="0.2">
      <c r="A197" s="44">
        <v>141</v>
      </c>
      <c r="B197" s="884" t="s">
        <v>162</v>
      </c>
      <c r="C197" s="19">
        <v>100</v>
      </c>
      <c r="D197" s="13">
        <v>21116.55</v>
      </c>
      <c r="E197" s="25"/>
      <c r="F197" s="25"/>
      <c r="G197" s="15"/>
    </row>
    <row r="198" spans="1:7" s="887" customFormat="1" x14ac:dyDescent="0.2">
      <c r="A198" s="44">
        <v>142</v>
      </c>
      <c r="B198" s="884" t="s">
        <v>306</v>
      </c>
      <c r="C198" s="37">
        <v>1</v>
      </c>
      <c r="D198" s="13">
        <v>182</v>
      </c>
      <c r="E198" s="25"/>
      <c r="F198" s="25"/>
      <c r="G198" s="15"/>
    </row>
    <row r="199" spans="1:7" s="887" customFormat="1" ht="30" x14ac:dyDescent="0.2">
      <c r="A199" s="44">
        <v>143</v>
      </c>
      <c r="B199" s="884" t="s">
        <v>308</v>
      </c>
      <c r="C199" s="38">
        <v>1</v>
      </c>
      <c r="D199" s="13">
        <v>91</v>
      </c>
      <c r="E199" s="25"/>
      <c r="F199" s="25"/>
      <c r="G199" s="15"/>
    </row>
    <row r="200" spans="1:7" s="887" customFormat="1" x14ac:dyDescent="0.2">
      <c r="A200" s="44">
        <v>144</v>
      </c>
      <c r="B200" s="884" t="s">
        <v>492</v>
      </c>
      <c r="C200" s="38">
        <v>1</v>
      </c>
      <c r="D200" s="13">
        <v>273</v>
      </c>
      <c r="E200" s="25"/>
      <c r="F200" s="25"/>
      <c r="G200" s="15"/>
    </row>
    <row r="201" spans="1:7" s="887" customFormat="1" x14ac:dyDescent="0.2">
      <c r="A201" s="44">
        <v>145</v>
      </c>
      <c r="B201" s="884" t="s">
        <v>310</v>
      </c>
      <c r="C201" s="38">
        <v>1</v>
      </c>
      <c r="D201" s="13">
        <v>364</v>
      </c>
      <c r="E201" s="25"/>
      <c r="F201" s="25"/>
      <c r="G201" s="15"/>
    </row>
    <row r="202" spans="1:7" s="887" customFormat="1" ht="30" x14ac:dyDescent="0.2">
      <c r="A202" s="44">
        <v>146</v>
      </c>
      <c r="B202" s="884" t="s">
        <v>311</v>
      </c>
      <c r="C202" s="38">
        <v>1</v>
      </c>
      <c r="D202" s="13">
        <v>91</v>
      </c>
      <c r="E202" s="25"/>
      <c r="F202" s="25"/>
      <c r="G202" s="15"/>
    </row>
    <row r="203" spans="1:7" s="887" customFormat="1" ht="30" x14ac:dyDescent="0.2">
      <c r="A203" s="44">
        <v>147</v>
      </c>
      <c r="B203" s="884" t="s">
        <v>312</v>
      </c>
      <c r="C203" s="37">
        <v>1</v>
      </c>
      <c r="D203" s="13">
        <v>364</v>
      </c>
      <c r="E203" s="25"/>
      <c r="F203" s="25"/>
      <c r="G203" s="15"/>
    </row>
    <row r="204" spans="1:7" s="887" customFormat="1" ht="81" customHeight="1" x14ac:dyDescent="0.2">
      <c r="A204" s="44">
        <v>148</v>
      </c>
      <c r="B204" s="884" t="s">
        <v>493</v>
      </c>
      <c r="C204" s="20"/>
      <c r="D204" s="13">
        <v>0</v>
      </c>
      <c r="E204" s="20"/>
      <c r="F204" s="20"/>
      <c r="G204" s="20"/>
    </row>
    <row r="205" spans="1:7" s="887" customFormat="1" x14ac:dyDescent="0.2">
      <c r="A205" s="44" t="s">
        <v>60</v>
      </c>
      <c r="B205" s="884" t="s">
        <v>314</v>
      </c>
      <c r="C205" s="36">
        <v>1</v>
      </c>
      <c r="D205" s="13">
        <v>9100</v>
      </c>
      <c r="E205" s="25"/>
      <c r="F205" s="25"/>
      <c r="G205" s="15"/>
    </row>
    <row r="206" spans="1:7" s="887" customFormat="1" x14ac:dyDescent="0.2">
      <c r="A206" s="44" t="s">
        <v>37</v>
      </c>
      <c r="B206" s="884" t="s">
        <v>315</v>
      </c>
      <c r="C206" s="36">
        <v>1</v>
      </c>
      <c r="D206" s="13">
        <v>4550</v>
      </c>
      <c r="E206" s="25"/>
      <c r="F206" s="25"/>
      <c r="G206" s="15"/>
    </row>
    <row r="207" spans="1:7" s="887" customFormat="1" ht="30" x14ac:dyDescent="0.2">
      <c r="A207" s="44">
        <v>149</v>
      </c>
      <c r="B207" s="884" t="s">
        <v>316</v>
      </c>
      <c r="C207" s="38">
        <v>1</v>
      </c>
      <c r="D207" s="13">
        <v>91</v>
      </c>
      <c r="E207" s="25"/>
      <c r="F207" s="25"/>
      <c r="G207" s="15"/>
    </row>
    <row r="208" spans="1:7" s="887" customFormat="1" ht="30" x14ac:dyDescent="0.2">
      <c r="A208" s="44">
        <v>150</v>
      </c>
      <c r="B208" s="884" t="s">
        <v>317</v>
      </c>
      <c r="C208" s="38">
        <v>1</v>
      </c>
      <c r="D208" s="13">
        <v>91</v>
      </c>
      <c r="E208" s="25"/>
      <c r="F208" s="25"/>
      <c r="G208" s="15"/>
    </row>
    <row r="209" spans="1:10" s="887" customFormat="1" x14ac:dyDescent="0.2">
      <c r="A209" s="987">
        <v>151</v>
      </c>
      <c r="B209" s="884" t="s">
        <v>318</v>
      </c>
      <c r="C209" s="25"/>
      <c r="D209" s="13">
        <v>0</v>
      </c>
      <c r="E209" s="25"/>
      <c r="F209" s="25"/>
      <c r="G209" s="25"/>
    </row>
    <row r="210" spans="1:10" s="887" customFormat="1" x14ac:dyDescent="0.2">
      <c r="A210" s="988"/>
      <c r="B210" s="884" t="s">
        <v>319</v>
      </c>
      <c r="C210" s="38">
        <v>1</v>
      </c>
      <c r="D210" s="13">
        <v>91</v>
      </c>
      <c r="E210" s="25"/>
      <c r="F210" s="25"/>
      <c r="G210" s="15"/>
    </row>
    <row r="211" spans="1:10" s="887" customFormat="1" x14ac:dyDescent="0.2">
      <c r="A211" s="988"/>
      <c r="B211" s="884" t="s">
        <v>320</v>
      </c>
      <c r="C211" s="38">
        <v>1</v>
      </c>
      <c r="D211" s="13">
        <v>91</v>
      </c>
      <c r="E211" s="25"/>
      <c r="F211" s="25"/>
      <c r="G211" s="15"/>
    </row>
    <row r="212" spans="1:10" s="887" customFormat="1" x14ac:dyDescent="0.2">
      <c r="A212" s="989"/>
      <c r="B212" s="884" t="s">
        <v>321</v>
      </c>
      <c r="C212" s="38">
        <v>1</v>
      </c>
      <c r="D212" s="13">
        <v>91</v>
      </c>
      <c r="E212" s="25"/>
      <c r="F212" s="25"/>
      <c r="G212" s="15"/>
    </row>
    <row r="213" spans="1:10" s="887" customFormat="1" x14ac:dyDescent="0.2">
      <c r="A213" s="44">
        <v>152</v>
      </c>
      <c r="B213" s="884" t="s">
        <v>322</v>
      </c>
      <c r="C213" s="38">
        <v>1</v>
      </c>
      <c r="D213" s="13">
        <v>91</v>
      </c>
      <c r="E213" s="25"/>
      <c r="F213" s="25"/>
      <c r="G213" s="15"/>
    </row>
    <row r="214" spans="1:10" s="887" customFormat="1" x14ac:dyDescent="0.2">
      <c r="A214" s="44">
        <v>153</v>
      </c>
      <c r="B214" s="884" t="s">
        <v>133</v>
      </c>
      <c r="C214" s="38">
        <v>1</v>
      </c>
      <c r="D214" s="13">
        <v>256</v>
      </c>
      <c r="E214" s="25"/>
      <c r="F214" s="25"/>
      <c r="G214" s="15"/>
      <c r="H214" s="877" t="e">
        <f>#REF!*37</f>
        <v>#REF!</v>
      </c>
      <c r="I214" s="877" t="e">
        <f>D214-H214</f>
        <v>#REF!</v>
      </c>
      <c r="J214" s="894"/>
    </row>
    <row r="215" spans="1:10" s="887" customFormat="1" x14ac:dyDescent="0.2">
      <c r="A215" s="44">
        <v>154</v>
      </c>
      <c r="B215" s="884" t="s">
        <v>155</v>
      </c>
      <c r="C215" s="38">
        <v>1</v>
      </c>
      <c r="D215" s="13">
        <v>182</v>
      </c>
      <c r="E215" s="25"/>
      <c r="F215" s="25"/>
      <c r="G215" s="15"/>
    </row>
    <row r="216" spans="1:10" s="887" customFormat="1" ht="90" x14ac:dyDescent="0.2">
      <c r="A216" s="44">
        <v>155</v>
      </c>
      <c r="B216" s="884" t="s">
        <v>163</v>
      </c>
      <c r="C216" s="37">
        <v>1</v>
      </c>
      <c r="D216" s="13">
        <v>91</v>
      </c>
      <c r="E216" s="25"/>
      <c r="F216" s="25"/>
      <c r="G216" s="15"/>
    </row>
    <row r="217" spans="1:10" s="887" customFormat="1" ht="63" customHeight="1" x14ac:dyDescent="0.2">
      <c r="A217" s="44">
        <v>156</v>
      </c>
      <c r="B217" s="884" t="s">
        <v>184</v>
      </c>
      <c r="C217" s="37">
        <v>1</v>
      </c>
      <c r="D217" s="13">
        <v>91</v>
      </c>
      <c r="E217" s="25"/>
      <c r="F217" s="25"/>
      <c r="G217" s="15"/>
    </row>
    <row r="218" spans="1:10" s="887" customFormat="1" ht="62.45" customHeight="1" x14ac:dyDescent="0.2">
      <c r="A218" s="44">
        <v>157</v>
      </c>
      <c r="B218" s="884" t="s">
        <v>185</v>
      </c>
      <c r="C218" s="37">
        <v>1</v>
      </c>
      <c r="D218" s="13">
        <v>364</v>
      </c>
      <c r="E218" s="25"/>
      <c r="F218" s="25"/>
      <c r="G218" s="15"/>
    </row>
    <row r="219" spans="1:10" s="887" customFormat="1" ht="30" x14ac:dyDescent="0.2">
      <c r="A219" s="44">
        <v>158</v>
      </c>
      <c r="B219" s="884" t="s">
        <v>323</v>
      </c>
      <c r="C219" s="38">
        <v>1</v>
      </c>
      <c r="D219" s="13">
        <v>91</v>
      </c>
      <c r="E219" s="25"/>
      <c r="F219" s="25"/>
      <c r="G219" s="15"/>
    </row>
    <row r="220" spans="1:10" s="887" customFormat="1" ht="45" x14ac:dyDescent="0.2">
      <c r="A220" s="44">
        <v>159</v>
      </c>
      <c r="B220" s="884" t="s">
        <v>324</v>
      </c>
      <c r="C220" s="38">
        <v>1</v>
      </c>
      <c r="D220" s="13">
        <v>91</v>
      </c>
      <c r="E220" s="25"/>
      <c r="F220" s="25"/>
      <c r="G220" s="15"/>
    </row>
    <row r="221" spans="1:10" s="887" customFormat="1" ht="45" x14ac:dyDescent="0.2">
      <c r="A221" s="44">
        <v>160</v>
      </c>
      <c r="B221" s="884" t="s">
        <v>325</v>
      </c>
      <c r="C221" s="38">
        <v>1</v>
      </c>
      <c r="D221" s="13">
        <v>91</v>
      </c>
      <c r="E221" s="25"/>
      <c r="F221" s="25"/>
      <c r="G221" s="15"/>
    </row>
    <row r="222" spans="1:10" ht="30" x14ac:dyDescent="0.2">
      <c r="A222" s="44">
        <v>161</v>
      </c>
      <c r="B222" s="884" t="s">
        <v>326</v>
      </c>
      <c r="C222" s="38">
        <v>1</v>
      </c>
      <c r="D222" s="13">
        <v>91</v>
      </c>
      <c r="E222" s="25"/>
      <c r="F222" s="25"/>
      <c r="G222" s="15"/>
    </row>
    <row r="223" spans="1:10" s="891" customFormat="1" x14ac:dyDescent="0.2">
      <c r="A223" s="44">
        <v>162</v>
      </c>
      <c r="B223" s="888" t="s">
        <v>210</v>
      </c>
      <c r="C223" s="910">
        <v>1</v>
      </c>
      <c r="D223" s="13">
        <v>25</v>
      </c>
      <c r="E223" s="911"/>
      <c r="F223" s="911"/>
      <c r="G223" s="105"/>
    </row>
    <row r="224" spans="1:10" s="891" customFormat="1" x14ac:dyDescent="0.2">
      <c r="A224" s="44">
        <v>163</v>
      </c>
      <c r="B224" s="888" t="s">
        <v>211</v>
      </c>
      <c r="C224" s="910">
        <v>1</v>
      </c>
      <c r="D224" s="13">
        <v>700</v>
      </c>
      <c r="E224" s="911"/>
      <c r="F224" s="911"/>
      <c r="G224" s="15"/>
    </row>
    <row r="225" spans="1:10" s="891" customFormat="1" x14ac:dyDescent="0.2">
      <c r="A225" s="44">
        <v>164</v>
      </c>
      <c r="B225" s="888" t="s">
        <v>212</v>
      </c>
      <c r="C225" s="910">
        <v>1</v>
      </c>
      <c r="D225" s="13">
        <v>840</v>
      </c>
      <c r="E225" s="911"/>
      <c r="F225" s="911"/>
      <c r="G225" s="15"/>
    </row>
    <row r="226" spans="1:10" s="891" customFormat="1" x14ac:dyDescent="0.2">
      <c r="A226" s="44">
        <v>165</v>
      </c>
      <c r="B226" s="888" t="s">
        <v>213</v>
      </c>
      <c r="C226" s="910">
        <v>1</v>
      </c>
      <c r="D226" s="13">
        <v>1760</v>
      </c>
      <c r="E226" s="911"/>
      <c r="F226" s="911"/>
      <c r="G226" s="15"/>
    </row>
    <row r="227" spans="1:10" s="891" customFormat="1" x14ac:dyDescent="0.2">
      <c r="A227" s="44">
        <v>166</v>
      </c>
      <c r="B227" s="888" t="s">
        <v>214</v>
      </c>
      <c r="C227" s="910">
        <v>1</v>
      </c>
      <c r="D227" s="13">
        <v>1530</v>
      </c>
      <c r="E227" s="911"/>
      <c r="F227" s="911"/>
      <c r="G227" s="15"/>
    </row>
    <row r="228" spans="1:10" s="891" customFormat="1" x14ac:dyDescent="0.2">
      <c r="A228" s="44">
        <v>167</v>
      </c>
      <c r="B228" s="888" t="s">
        <v>483</v>
      </c>
      <c r="C228" s="910">
        <v>1</v>
      </c>
      <c r="D228" s="13">
        <v>1200</v>
      </c>
      <c r="E228" s="911"/>
      <c r="F228" s="911"/>
      <c r="G228" s="15"/>
    </row>
    <row r="229" spans="1:10" s="891" customFormat="1" x14ac:dyDescent="0.2">
      <c r="A229" s="44">
        <v>168</v>
      </c>
      <c r="B229" s="888" t="s">
        <v>216</v>
      </c>
      <c r="C229" s="910">
        <v>1</v>
      </c>
      <c r="D229" s="13">
        <f>65+2350</f>
        <v>2415</v>
      </c>
      <c r="E229" s="911"/>
      <c r="F229" s="911"/>
      <c r="G229" s="15"/>
    </row>
    <row r="230" spans="1:10" s="891" customFormat="1" x14ac:dyDescent="0.2">
      <c r="A230" s="44">
        <v>169</v>
      </c>
      <c r="B230" s="888" t="s">
        <v>217</v>
      </c>
      <c r="C230" s="910">
        <v>1</v>
      </c>
      <c r="D230" s="13">
        <v>1000</v>
      </c>
      <c r="E230" s="911"/>
      <c r="F230" s="911"/>
      <c r="G230" s="15"/>
      <c r="I230" s="891">
        <f>3390*245</f>
        <v>830550</v>
      </c>
      <c r="J230" s="891">
        <f>3390*246</f>
        <v>833940</v>
      </c>
    </row>
    <row r="231" spans="1:10" s="891" customFormat="1" x14ac:dyDescent="0.2">
      <c r="A231" s="44">
        <v>170</v>
      </c>
      <c r="B231" s="888" t="s">
        <v>218</v>
      </c>
      <c r="C231" s="910">
        <v>1</v>
      </c>
      <c r="D231" s="13">
        <v>700</v>
      </c>
      <c r="E231" s="911"/>
      <c r="F231" s="911"/>
      <c r="G231" s="15"/>
    </row>
    <row r="232" spans="1:10" s="891" customFormat="1" x14ac:dyDescent="0.2">
      <c r="A232" s="44">
        <v>171</v>
      </c>
      <c r="B232" s="888" t="s">
        <v>219</v>
      </c>
      <c r="C232" s="910">
        <v>1</v>
      </c>
      <c r="D232" s="13">
        <v>500</v>
      </c>
      <c r="E232" s="911"/>
      <c r="F232" s="911"/>
      <c r="G232" s="15"/>
    </row>
    <row r="233" spans="1:10" s="891" customFormat="1" x14ac:dyDescent="0.2">
      <c r="A233" s="44">
        <v>172</v>
      </c>
      <c r="B233" s="888" t="s">
        <v>220</v>
      </c>
      <c r="C233" s="910">
        <v>1</v>
      </c>
      <c r="D233" s="13">
        <v>500</v>
      </c>
      <c r="E233" s="911"/>
      <c r="F233" s="911"/>
      <c r="G233" s="15"/>
    </row>
    <row r="234" spans="1:10" s="891" customFormat="1" x14ac:dyDescent="0.2">
      <c r="A234" s="44">
        <v>173</v>
      </c>
      <c r="B234" s="888" t="s">
        <v>221</v>
      </c>
      <c r="C234" s="910">
        <v>1</v>
      </c>
      <c r="D234" s="13">
        <v>200</v>
      </c>
      <c r="E234" s="911"/>
      <c r="F234" s="911"/>
      <c r="G234" s="15"/>
    </row>
    <row r="235" spans="1:10" s="891" customFormat="1" x14ac:dyDescent="0.2">
      <c r="A235" s="44">
        <v>174</v>
      </c>
      <c r="B235" s="888" t="s">
        <v>222</v>
      </c>
      <c r="C235" s="910">
        <v>1</v>
      </c>
      <c r="D235" s="13">
        <v>150</v>
      </c>
      <c r="E235" s="911"/>
      <c r="F235" s="911"/>
      <c r="G235" s="15"/>
    </row>
    <row r="236" spans="1:10" s="891" customFormat="1" x14ac:dyDescent="0.2">
      <c r="A236" s="44">
        <v>175</v>
      </c>
      <c r="B236" s="888" t="s">
        <v>223</v>
      </c>
      <c r="C236" s="912">
        <v>1</v>
      </c>
      <c r="D236" s="13">
        <v>1870</v>
      </c>
      <c r="E236" s="911"/>
      <c r="F236" s="911"/>
      <c r="G236" s="15"/>
    </row>
    <row r="237" spans="1:10" s="891" customFormat="1" x14ac:dyDescent="0.2">
      <c r="A237" s="44">
        <v>176</v>
      </c>
      <c r="B237" s="888" t="s">
        <v>224</v>
      </c>
      <c r="C237" s="910">
        <v>1</v>
      </c>
      <c r="D237" s="13">
        <f>58200+3390</f>
        <v>61590</v>
      </c>
      <c r="E237" s="911"/>
      <c r="F237" s="911"/>
      <c r="G237" s="15"/>
      <c r="H237" s="891">
        <f>SUM(G223:G237)</f>
        <v>0</v>
      </c>
    </row>
    <row r="238" spans="1:10" s="891" customFormat="1" x14ac:dyDescent="0.2">
      <c r="A238" s="44">
        <v>177</v>
      </c>
      <c r="B238" s="888" t="s">
        <v>225</v>
      </c>
      <c r="C238" s="910">
        <v>1</v>
      </c>
      <c r="D238" s="13">
        <v>2</v>
      </c>
      <c r="E238" s="911"/>
      <c r="F238" s="911"/>
      <c r="G238" s="15"/>
      <c r="H238" s="913">
        <f>SUM(G238:G250)</f>
        <v>0</v>
      </c>
    </row>
    <row r="239" spans="1:10" s="891" customFormat="1" x14ac:dyDescent="0.2">
      <c r="A239" s="44">
        <v>178</v>
      </c>
      <c r="B239" s="888" t="s">
        <v>226</v>
      </c>
      <c r="C239" s="910">
        <v>1</v>
      </c>
      <c r="D239" s="13">
        <v>5</v>
      </c>
      <c r="E239" s="911"/>
      <c r="F239" s="911"/>
      <c r="G239" s="15"/>
    </row>
    <row r="240" spans="1:10" s="891" customFormat="1" x14ac:dyDescent="0.2">
      <c r="A240" s="44">
        <v>179</v>
      </c>
      <c r="B240" s="888" t="s">
        <v>227</v>
      </c>
      <c r="C240" s="910">
        <v>1</v>
      </c>
      <c r="D240" s="13">
        <v>5</v>
      </c>
      <c r="E240" s="911"/>
      <c r="F240" s="911"/>
      <c r="G240" s="15"/>
    </row>
    <row r="241" spans="1:9" s="891" customFormat="1" x14ac:dyDescent="0.2">
      <c r="A241" s="44">
        <v>180</v>
      </c>
      <c r="B241" s="888" t="s">
        <v>228</v>
      </c>
      <c r="C241" s="910">
        <v>1</v>
      </c>
      <c r="D241" s="13">
        <v>46</v>
      </c>
      <c r="E241" s="911"/>
      <c r="F241" s="911"/>
      <c r="G241" s="15"/>
    </row>
    <row r="242" spans="1:9" s="891" customFormat="1" x14ac:dyDescent="0.2">
      <c r="A242" s="44">
        <v>181</v>
      </c>
      <c r="B242" s="888" t="s">
        <v>229</v>
      </c>
      <c r="C242" s="910">
        <v>1</v>
      </c>
      <c r="D242" s="13">
        <v>60</v>
      </c>
      <c r="E242" s="911"/>
      <c r="F242" s="911"/>
      <c r="G242" s="15"/>
    </row>
    <row r="243" spans="1:9" s="891" customFormat="1" x14ac:dyDescent="0.2">
      <c r="A243" s="44">
        <v>182</v>
      </c>
      <c r="B243" s="888" t="s">
        <v>230</v>
      </c>
      <c r="C243" s="910">
        <v>1</v>
      </c>
      <c r="D243" s="13">
        <v>1283</v>
      </c>
      <c r="E243" s="911"/>
      <c r="F243" s="911"/>
      <c r="G243" s="15"/>
    </row>
    <row r="244" spans="1:9" s="891" customFormat="1" x14ac:dyDescent="0.2">
      <c r="A244" s="44">
        <v>183</v>
      </c>
      <c r="B244" s="888" t="s">
        <v>231</v>
      </c>
      <c r="C244" s="910">
        <v>1</v>
      </c>
      <c r="D244" s="13">
        <f>33+150</f>
        <v>183</v>
      </c>
      <c r="E244" s="911"/>
      <c r="F244" s="911"/>
      <c r="G244" s="15"/>
      <c r="H244" s="891">
        <f>155000/198</f>
        <v>782.82828282828279</v>
      </c>
      <c r="I244" s="891">
        <f>500+783</f>
        <v>1283</v>
      </c>
    </row>
    <row r="245" spans="1:9" s="891" customFormat="1" x14ac:dyDescent="0.2">
      <c r="A245" s="44">
        <v>184</v>
      </c>
      <c r="B245" s="888" t="s">
        <v>232</v>
      </c>
      <c r="C245" s="910">
        <v>1</v>
      </c>
      <c r="D245" s="13">
        <v>50</v>
      </c>
      <c r="E245" s="911"/>
      <c r="F245" s="911"/>
      <c r="G245" s="15"/>
    </row>
    <row r="246" spans="1:9" s="891" customFormat="1" x14ac:dyDescent="0.2">
      <c r="A246" s="44">
        <v>185</v>
      </c>
      <c r="B246" s="888" t="s">
        <v>233</v>
      </c>
      <c r="C246" s="910">
        <v>1</v>
      </c>
      <c r="D246" s="13">
        <v>50</v>
      </c>
      <c r="E246" s="911"/>
      <c r="F246" s="911"/>
      <c r="G246" s="15"/>
    </row>
    <row r="247" spans="1:9" s="891" customFormat="1" x14ac:dyDescent="0.2">
      <c r="A247" s="44">
        <v>186</v>
      </c>
      <c r="B247" s="888" t="s">
        <v>484</v>
      </c>
      <c r="C247" s="910">
        <v>1</v>
      </c>
      <c r="D247" s="13">
        <v>527</v>
      </c>
      <c r="E247" s="911"/>
      <c r="F247" s="911"/>
      <c r="G247" s="15"/>
    </row>
    <row r="248" spans="1:9" s="891" customFormat="1" ht="30" x14ac:dyDescent="0.2">
      <c r="A248" s="44">
        <v>187</v>
      </c>
      <c r="B248" s="888" t="s">
        <v>235</v>
      </c>
      <c r="C248" s="910">
        <v>1</v>
      </c>
      <c r="D248" s="13">
        <v>200</v>
      </c>
      <c r="E248" s="911"/>
      <c r="F248" s="911"/>
      <c r="G248" s="15"/>
    </row>
    <row r="249" spans="1:9" s="891" customFormat="1" ht="45" x14ac:dyDescent="0.2">
      <c r="A249" s="44">
        <v>188</v>
      </c>
      <c r="B249" s="888" t="s">
        <v>236</v>
      </c>
      <c r="C249" s="910">
        <v>1</v>
      </c>
      <c r="D249" s="13">
        <v>200</v>
      </c>
      <c r="E249" s="911"/>
      <c r="F249" s="911"/>
      <c r="G249" s="15"/>
    </row>
    <row r="250" spans="1:9" s="891" customFormat="1" ht="30" x14ac:dyDescent="0.2">
      <c r="A250" s="44">
        <v>189</v>
      </c>
      <c r="B250" s="888" t="s">
        <v>237</v>
      </c>
      <c r="C250" s="910">
        <v>1</v>
      </c>
      <c r="D250" s="13">
        <v>200</v>
      </c>
      <c r="E250" s="911"/>
      <c r="F250" s="911"/>
      <c r="G250" s="15"/>
    </row>
    <row r="251" spans="1:9" s="891" customFormat="1" x14ac:dyDescent="0.2">
      <c r="A251" s="44">
        <v>190</v>
      </c>
      <c r="B251" s="888" t="s">
        <v>238</v>
      </c>
      <c r="C251" s="910">
        <v>1</v>
      </c>
      <c r="D251" s="13">
        <f>1300+5000</f>
        <v>6300</v>
      </c>
      <c r="E251" s="911"/>
      <c r="F251" s="911"/>
      <c r="G251" s="15"/>
    </row>
    <row r="252" spans="1:9" s="891" customFormat="1" x14ac:dyDescent="0.2">
      <c r="A252" s="44">
        <v>191</v>
      </c>
      <c r="B252" s="888" t="s">
        <v>239</v>
      </c>
      <c r="C252" s="910">
        <v>1</v>
      </c>
      <c r="D252" s="13">
        <v>50</v>
      </c>
      <c r="E252" s="911"/>
      <c r="F252" s="911"/>
      <c r="G252" s="15"/>
    </row>
    <row r="253" spans="1:9" s="891" customFormat="1" x14ac:dyDescent="0.2">
      <c r="A253" s="44">
        <v>192</v>
      </c>
      <c r="B253" s="888" t="s">
        <v>240</v>
      </c>
      <c r="C253" s="910">
        <v>1</v>
      </c>
      <c r="D253" s="13">
        <v>17</v>
      </c>
      <c r="E253" s="911"/>
      <c r="F253" s="911"/>
      <c r="G253" s="15"/>
    </row>
    <row r="254" spans="1:9" s="891" customFormat="1" x14ac:dyDescent="0.2">
      <c r="A254" s="44">
        <v>193</v>
      </c>
      <c r="B254" s="888" t="s">
        <v>242</v>
      </c>
      <c r="C254" s="910">
        <v>1</v>
      </c>
      <c r="D254" s="13">
        <f>28+80</f>
        <v>108</v>
      </c>
      <c r="E254" s="911"/>
      <c r="F254" s="911"/>
      <c r="G254" s="15"/>
    </row>
    <row r="255" spans="1:9" s="891" customFormat="1" x14ac:dyDescent="0.2">
      <c r="A255" s="44">
        <v>194</v>
      </c>
      <c r="B255" s="888" t="s">
        <v>482</v>
      </c>
      <c r="C255" s="910">
        <v>1</v>
      </c>
      <c r="D255" s="13">
        <v>0</v>
      </c>
      <c r="E255" s="911"/>
      <c r="F255" s="911"/>
      <c r="G255" s="15"/>
    </row>
    <row r="256" spans="1:9" s="891" customFormat="1" x14ac:dyDescent="0.2">
      <c r="A256" s="44">
        <v>195</v>
      </c>
      <c r="B256" s="888" t="s">
        <v>481</v>
      </c>
      <c r="C256" s="910">
        <v>1</v>
      </c>
      <c r="D256" s="13">
        <v>0</v>
      </c>
      <c r="E256" s="911"/>
      <c r="F256" s="911"/>
      <c r="G256" s="15"/>
    </row>
    <row r="257" spans="1:9" s="891" customFormat="1" x14ac:dyDescent="0.2">
      <c r="A257" s="44">
        <v>196</v>
      </c>
      <c r="B257" s="888" t="s">
        <v>480</v>
      </c>
      <c r="C257" s="910">
        <v>1</v>
      </c>
      <c r="D257" s="13">
        <v>0</v>
      </c>
      <c r="E257" s="911"/>
      <c r="F257" s="911"/>
      <c r="G257" s="15"/>
    </row>
    <row r="258" spans="1:9" s="891" customFormat="1" x14ac:dyDescent="0.2">
      <c r="A258" s="44">
        <v>197</v>
      </c>
      <c r="B258" s="888" t="s">
        <v>478</v>
      </c>
      <c r="C258" s="910">
        <v>1</v>
      </c>
      <c r="D258" s="13">
        <v>0</v>
      </c>
      <c r="E258" s="914"/>
      <c r="F258" s="914"/>
      <c r="G258" s="15"/>
    </row>
    <row r="259" spans="1:9" s="891" customFormat="1" x14ac:dyDescent="0.2">
      <c r="A259" s="44">
        <v>198</v>
      </c>
      <c r="B259" s="888" t="s">
        <v>479</v>
      </c>
      <c r="C259" s="910">
        <v>1</v>
      </c>
      <c r="D259" s="13">
        <v>0</v>
      </c>
      <c r="E259" s="914"/>
      <c r="F259" s="914"/>
      <c r="G259" s="15"/>
    </row>
    <row r="260" spans="1:9" s="891" customFormat="1" x14ac:dyDescent="0.2">
      <c r="A260" s="44">
        <v>199</v>
      </c>
      <c r="B260" s="888" t="s">
        <v>269</v>
      </c>
      <c r="C260" s="915">
        <v>1</v>
      </c>
      <c r="D260" s="13">
        <v>2</v>
      </c>
      <c r="E260" s="911"/>
      <c r="F260" s="911"/>
      <c r="G260" s="15"/>
      <c r="H260" s="913">
        <f>SUM(G260:G268)</f>
        <v>0</v>
      </c>
      <c r="I260" s="891">
        <v>14594316</v>
      </c>
    </row>
    <row r="261" spans="1:9" s="891" customFormat="1" x14ac:dyDescent="0.2">
      <c r="A261" s="44">
        <v>200</v>
      </c>
      <c r="B261" s="888" t="s">
        <v>263</v>
      </c>
      <c r="C261" s="915">
        <v>1</v>
      </c>
      <c r="D261" s="13">
        <v>2</v>
      </c>
      <c r="E261" s="911"/>
      <c r="F261" s="911"/>
      <c r="G261" s="15"/>
      <c r="I261" s="918">
        <f>I260-H260</f>
        <v>14594316</v>
      </c>
    </row>
    <row r="262" spans="1:9" s="891" customFormat="1" x14ac:dyDescent="0.2">
      <c r="A262" s="44">
        <v>201</v>
      </c>
      <c r="B262" s="888" t="s">
        <v>264</v>
      </c>
      <c r="C262" s="915">
        <v>1</v>
      </c>
      <c r="D262" s="13">
        <v>7</v>
      </c>
      <c r="E262" s="911"/>
      <c r="F262" s="911"/>
      <c r="G262" s="15"/>
    </row>
    <row r="263" spans="1:9" s="891" customFormat="1" x14ac:dyDescent="0.2">
      <c r="A263" s="44">
        <v>202</v>
      </c>
      <c r="B263" s="888" t="s">
        <v>250</v>
      </c>
      <c r="C263" s="915">
        <v>1</v>
      </c>
      <c r="D263" s="13">
        <v>6</v>
      </c>
      <c r="E263" s="911"/>
      <c r="F263" s="911"/>
      <c r="G263" s="15"/>
    </row>
    <row r="264" spans="1:9" s="891" customFormat="1" x14ac:dyDescent="0.2">
      <c r="A264" s="44">
        <v>203</v>
      </c>
      <c r="B264" s="888" t="s">
        <v>251</v>
      </c>
      <c r="C264" s="915">
        <v>1</v>
      </c>
      <c r="D264" s="13">
        <v>12</v>
      </c>
      <c r="E264" s="911"/>
      <c r="F264" s="911"/>
      <c r="G264" s="15"/>
    </row>
    <row r="265" spans="1:9" s="891" customFormat="1" x14ac:dyDescent="0.2">
      <c r="A265" s="44">
        <v>204</v>
      </c>
      <c r="B265" s="888" t="s">
        <v>254</v>
      </c>
      <c r="C265" s="915">
        <v>1</v>
      </c>
      <c r="D265" s="13">
        <v>9</v>
      </c>
      <c r="E265" s="911"/>
      <c r="F265" s="911"/>
      <c r="G265" s="15"/>
    </row>
    <row r="266" spans="1:9" s="891" customFormat="1" x14ac:dyDescent="0.2">
      <c r="A266" s="44">
        <v>205</v>
      </c>
      <c r="B266" s="888" t="s">
        <v>257</v>
      </c>
      <c r="C266" s="915">
        <v>1</v>
      </c>
      <c r="D266" s="13">
        <v>14</v>
      </c>
      <c r="E266" s="911"/>
      <c r="F266" s="911"/>
      <c r="G266" s="15"/>
    </row>
    <row r="267" spans="1:9" s="891" customFormat="1" x14ac:dyDescent="0.2">
      <c r="A267" s="44">
        <v>206</v>
      </c>
      <c r="B267" s="888" t="s">
        <v>258</v>
      </c>
      <c r="C267" s="915">
        <v>1</v>
      </c>
      <c r="D267" s="13">
        <v>58</v>
      </c>
      <c r="E267" s="911"/>
      <c r="F267" s="911"/>
      <c r="G267" s="15"/>
    </row>
    <row r="268" spans="1:9" s="891" customFormat="1" x14ac:dyDescent="0.2">
      <c r="A268" s="44">
        <v>207</v>
      </c>
      <c r="B268" s="888" t="s">
        <v>259</v>
      </c>
      <c r="C268" s="912">
        <v>1</v>
      </c>
      <c r="D268" s="13">
        <v>420</v>
      </c>
      <c r="E268" s="911"/>
      <c r="F268" s="911"/>
      <c r="G268" s="15"/>
    </row>
    <row r="269" spans="1:9" s="891" customFormat="1" ht="75" x14ac:dyDescent="0.2">
      <c r="A269" s="44">
        <v>208</v>
      </c>
      <c r="B269" s="888" t="s">
        <v>472</v>
      </c>
      <c r="C269" s="919">
        <v>100</v>
      </c>
      <c r="D269" s="13">
        <v>49390</v>
      </c>
      <c r="E269" s="921"/>
      <c r="F269" s="921"/>
      <c r="G269" s="15"/>
      <c r="I269" s="891" t="e">
        <f>#REF!+#REF!</f>
        <v>#REF!</v>
      </c>
    </row>
    <row r="270" spans="1:9" s="891" customFormat="1" ht="45" x14ac:dyDescent="0.2">
      <c r="A270" s="44">
        <v>209</v>
      </c>
      <c r="B270" s="888" t="s">
        <v>270</v>
      </c>
      <c r="C270" s="922">
        <v>1000</v>
      </c>
      <c r="D270" s="13">
        <v>2062.9820000000004</v>
      </c>
      <c r="E270" s="921"/>
      <c r="F270" s="921"/>
      <c r="G270" s="15"/>
      <c r="I270" s="891" t="e">
        <f>I269-240554556</f>
        <v>#REF!</v>
      </c>
    </row>
    <row r="271" spans="1:9" s="891" customFormat="1" ht="98.45" customHeight="1" x14ac:dyDescent="0.2">
      <c r="A271" s="44">
        <v>210</v>
      </c>
      <c r="B271" s="888" t="s">
        <v>275</v>
      </c>
      <c r="C271" s="889">
        <v>1</v>
      </c>
      <c r="D271" s="13">
        <v>6650</v>
      </c>
      <c r="E271" s="921"/>
      <c r="F271" s="921"/>
      <c r="G271" s="15"/>
    </row>
    <row r="272" spans="1:9" s="891" customFormat="1" ht="46.9" customHeight="1" x14ac:dyDescent="0.2">
      <c r="A272" s="44">
        <v>211</v>
      </c>
      <c r="B272" s="888" t="s">
        <v>276</v>
      </c>
      <c r="C272" s="919">
        <v>1</v>
      </c>
      <c r="D272" s="13">
        <v>14250</v>
      </c>
      <c r="E272" s="921"/>
      <c r="F272" s="921"/>
      <c r="G272" s="15"/>
    </row>
    <row r="273" spans="1:8" s="891" customFormat="1" ht="46.9" customHeight="1" x14ac:dyDescent="0.2">
      <c r="A273" s="44">
        <v>212</v>
      </c>
      <c r="B273" s="888" t="s">
        <v>277</v>
      </c>
      <c r="C273" s="919">
        <v>1</v>
      </c>
      <c r="D273" s="13">
        <v>28500</v>
      </c>
      <c r="E273" s="921"/>
      <c r="F273" s="921"/>
      <c r="G273" s="15"/>
      <c r="H273" s="913">
        <f>SUM(G269:G273)</f>
        <v>0</v>
      </c>
    </row>
    <row r="274" spans="1:8" s="891" customFormat="1" ht="210.75" x14ac:dyDescent="0.2">
      <c r="A274" s="44">
        <v>213</v>
      </c>
      <c r="B274" s="925" t="s">
        <v>473</v>
      </c>
      <c r="C274" s="37">
        <v>1</v>
      </c>
      <c r="D274" s="13">
        <v>37</v>
      </c>
      <c r="E274" s="56"/>
      <c r="F274" s="56"/>
      <c r="G274" s="15"/>
    </row>
    <row r="275" spans="1:8" s="891" customFormat="1" ht="267.60000000000002" customHeight="1" x14ac:dyDescent="0.2">
      <c r="A275" s="44">
        <v>214</v>
      </c>
      <c r="B275" s="888" t="s">
        <v>474</v>
      </c>
      <c r="C275" s="37">
        <v>1</v>
      </c>
      <c r="D275" s="13">
        <v>8</v>
      </c>
      <c r="E275" s="911"/>
      <c r="F275" s="911"/>
      <c r="G275" s="15"/>
    </row>
    <row r="276" spans="1:8" s="891" customFormat="1" ht="281.45" customHeight="1" x14ac:dyDescent="0.2">
      <c r="A276" s="44">
        <v>215</v>
      </c>
      <c r="B276" s="888" t="s">
        <v>494</v>
      </c>
      <c r="C276" s="111">
        <v>1</v>
      </c>
      <c r="D276" s="13">
        <v>6</v>
      </c>
      <c r="E276" s="926"/>
      <c r="F276" s="926"/>
      <c r="G276" s="15"/>
    </row>
    <row r="277" spans="1:8" s="891" customFormat="1" ht="271.5" x14ac:dyDescent="0.2">
      <c r="A277" s="44">
        <v>216</v>
      </c>
      <c r="B277" s="888" t="s">
        <v>475</v>
      </c>
      <c r="C277" s="37">
        <v>1</v>
      </c>
      <c r="D277" s="13">
        <v>1</v>
      </c>
      <c r="E277" s="59"/>
      <c r="F277" s="59"/>
      <c r="G277" s="15"/>
    </row>
    <row r="278" spans="1:8" s="891" customFormat="1" ht="285.75" x14ac:dyDescent="0.2">
      <c r="A278" s="44">
        <v>217</v>
      </c>
      <c r="B278" s="876" t="s">
        <v>476</v>
      </c>
      <c r="C278" s="37">
        <v>1</v>
      </c>
      <c r="D278" s="13">
        <v>8</v>
      </c>
      <c r="E278" s="59"/>
      <c r="F278" s="59"/>
      <c r="G278" s="15"/>
    </row>
    <row r="279" spans="1:8" s="891" customFormat="1" ht="48.6" customHeight="1" x14ac:dyDescent="0.2">
      <c r="A279" s="44">
        <v>218</v>
      </c>
      <c r="B279" s="888" t="s">
        <v>299</v>
      </c>
      <c r="C279" s="37">
        <v>1</v>
      </c>
      <c r="D279" s="13">
        <v>4</v>
      </c>
      <c r="E279" s="59"/>
      <c r="F279" s="59"/>
      <c r="G279" s="15"/>
    </row>
    <row r="280" spans="1:8" s="891" customFormat="1" ht="48.6" customHeight="1" x14ac:dyDescent="0.2">
      <c r="A280" s="44">
        <v>219</v>
      </c>
      <c r="B280" s="888" t="s">
        <v>297</v>
      </c>
      <c r="C280" s="37">
        <v>1</v>
      </c>
      <c r="D280" s="13">
        <v>1</v>
      </c>
      <c r="E280" s="59"/>
      <c r="F280" s="59"/>
      <c r="G280" s="15"/>
    </row>
    <row r="281" spans="1:8" s="891" customFormat="1" ht="30" x14ac:dyDescent="0.2">
      <c r="A281" s="44">
        <v>220</v>
      </c>
      <c r="B281" s="888" t="s">
        <v>390</v>
      </c>
      <c r="C281" s="49" t="s">
        <v>278</v>
      </c>
      <c r="D281" s="13">
        <v>8140</v>
      </c>
      <c r="E281" s="49"/>
      <c r="F281" s="49"/>
      <c r="G281" s="15"/>
    </row>
    <row r="282" spans="1:8" s="891" customFormat="1" ht="30" x14ac:dyDescent="0.2">
      <c r="A282" s="44">
        <v>221</v>
      </c>
      <c r="B282" s="888" t="s">
        <v>279</v>
      </c>
      <c r="C282" s="37">
        <v>1</v>
      </c>
      <c r="D282" s="13">
        <v>1628</v>
      </c>
      <c r="E282" s="49"/>
      <c r="F282" s="49"/>
      <c r="G282" s="15"/>
    </row>
    <row r="283" spans="1:8" s="891" customFormat="1" ht="30" x14ac:dyDescent="0.2">
      <c r="A283" s="44">
        <v>222</v>
      </c>
      <c r="B283" s="888" t="s">
        <v>280</v>
      </c>
      <c r="C283" s="927" t="s">
        <v>281</v>
      </c>
      <c r="D283" s="13">
        <v>37</v>
      </c>
      <c r="E283" s="49"/>
      <c r="F283" s="49"/>
      <c r="G283" s="15"/>
    </row>
    <row r="284" spans="1:8" s="891" customFormat="1" ht="45" x14ac:dyDescent="0.2">
      <c r="A284" s="44">
        <v>223</v>
      </c>
      <c r="B284" s="888" t="s">
        <v>282</v>
      </c>
      <c r="C284" s="49" t="s">
        <v>278</v>
      </c>
      <c r="D284" s="13">
        <v>2590</v>
      </c>
      <c r="E284" s="49"/>
      <c r="F284" s="49"/>
      <c r="G284" s="15"/>
    </row>
    <row r="285" spans="1:8" s="891" customFormat="1" ht="30" x14ac:dyDescent="0.2">
      <c r="A285" s="44">
        <v>224</v>
      </c>
      <c r="B285" s="888" t="s">
        <v>283</v>
      </c>
      <c r="C285" s="37">
        <v>1</v>
      </c>
      <c r="D285" s="13">
        <v>74</v>
      </c>
      <c r="E285" s="49"/>
      <c r="F285" s="49"/>
      <c r="G285" s="15"/>
    </row>
    <row r="286" spans="1:8" s="891" customFormat="1" ht="60" x14ac:dyDescent="0.2">
      <c r="A286" s="44">
        <v>225</v>
      </c>
      <c r="B286" s="888" t="s">
        <v>284</v>
      </c>
      <c r="C286" s="49" t="s">
        <v>278</v>
      </c>
      <c r="D286" s="13">
        <v>4440</v>
      </c>
      <c r="E286" s="49"/>
      <c r="F286" s="49"/>
      <c r="G286" s="15"/>
    </row>
    <row r="287" spans="1:8" s="891" customFormat="1" ht="45" x14ac:dyDescent="0.2">
      <c r="A287" s="44">
        <v>226</v>
      </c>
      <c r="B287" s="888" t="s">
        <v>285</v>
      </c>
      <c r="C287" s="49" t="s">
        <v>278</v>
      </c>
      <c r="D287" s="13">
        <v>740</v>
      </c>
      <c r="E287" s="49"/>
      <c r="F287" s="49"/>
      <c r="G287" s="15"/>
    </row>
    <row r="288" spans="1:8" s="891" customFormat="1" ht="60" x14ac:dyDescent="0.2">
      <c r="A288" s="44">
        <v>227</v>
      </c>
      <c r="B288" s="888" t="s">
        <v>286</v>
      </c>
      <c r="C288" s="49" t="s">
        <v>278</v>
      </c>
      <c r="D288" s="13">
        <v>370</v>
      </c>
      <c r="E288" s="49"/>
      <c r="F288" s="49"/>
      <c r="G288" s="15"/>
    </row>
    <row r="289" spans="1:8" s="891" customFormat="1" ht="30" x14ac:dyDescent="0.2">
      <c r="A289" s="44">
        <v>228</v>
      </c>
      <c r="B289" s="888" t="s">
        <v>287</v>
      </c>
      <c r="C289" s="37">
        <v>1</v>
      </c>
      <c r="D289" s="13">
        <v>148</v>
      </c>
      <c r="E289" s="49"/>
      <c r="F289" s="49"/>
      <c r="G289" s="15"/>
    </row>
    <row r="290" spans="1:8" s="891" customFormat="1" x14ac:dyDescent="0.2">
      <c r="A290" s="44">
        <v>229</v>
      </c>
      <c r="B290" s="888" t="s">
        <v>288</v>
      </c>
      <c r="C290" s="49" t="s">
        <v>289</v>
      </c>
      <c r="D290" s="13">
        <v>6520.88</v>
      </c>
      <c r="E290" s="49"/>
      <c r="F290" s="49"/>
      <c r="G290" s="15"/>
    </row>
    <row r="291" spans="1:8" s="891" customFormat="1" ht="30" x14ac:dyDescent="0.2">
      <c r="A291" s="44">
        <v>230</v>
      </c>
      <c r="B291" s="888" t="s">
        <v>387</v>
      </c>
      <c r="C291" s="49" t="s">
        <v>290</v>
      </c>
      <c r="D291" s="13">
        <v>2664</v>
      </c>
      <c r="E291" s="49"/>
      <c r="F291" s="49"/>
      <c r="G291" s="15"/>
    </row>
    <row r="292" spans="1:8" s="891" customFormat="1" ht="33.6" customHeight="1" x14ac:dyDescent="0.2">
      <c r="A292" s="44">
        <v>231</v>
      </c>
      <c r="B292" s="888" t="s">
        <v>291</v>
      </c>
      <c r="C292" s="49" t="s">
        <v>278</v>
      </c>
      <c r="D292" s="13">
        <v>1850</v>
      </c>
      <c r="E292" s="49"/>
      <c r="F292" s="49"/>
      <c r="G292" s="15"/>
    </row>
    <row r="293" spans="1:8" s="891" customFormat="1" ht="51.6" customHeight="1" x14ac:dyDescent="0.2">
      <c r="A293" s="44">
        <v>232</v>
      </c>
      <c r="B293" s="888" t="s">
        <v>292</v>
      </c>
      <c r="C293" s="922">
        <v>1000</v>
      </c>
      <c r="D293" s="13">
        <v>118400</v>
      </c>
      <c r="E293" s="49"/>
      <c r="F293" s="49"/>
      <c r="G293" s="15"/>
    </row>
    <row r="294" spans="1:8" s="891" customFormat="1" ht="64.150000000000006" customHeight="1" x14ac:dyDescent="0.2">
      <c r="A294" s="44">
        <v>233</v>
      </c>
      <c r="B294" s="888" t="s">
        <v>294</v>
      </c>
      <c r="C294" s="49" t="s">
        <v>295</v>
      </c>
      <c r="D294" s="13">
        <v>14800</v>
      </c>
      <c r="E294" s="49"/>
      <c r="F294" s="49"/>
      <c r="G294" s="15"/>
    </row>
    <row r="295" spans="1:8" s="891" customFormat="1" ht="66" customHeight="1" x14ac:dyDescent="0.2">
      <c r="A295" s="44">
        <v>234</v>
      </c>
      <c r="B295" s="888" t="s">
        <v>296</v>
      </c>
      <c r="C295" s="49" t="s">
        <v>295</v>
      </c>
      <c r="D295" s="13">
        <v>555</v>
      </c>
      <c r="E295" s="49"/>
      <c r="F295" s="49"/>
      <c r="G295" s="15"/>
      <c r="H295" s="913">
        <f>SUM(G281:G295)</f>
        <v>0</v>
      </c>
    </row>
    <row r="296" spans="1:8" s="891" customFormat="1" ht="220.15" customHeight="1" x14ac:dyDescent="0.2">
      <c r="A296" s="44">
        <v>235</v>
      </c>
      <c r="B296" s="888" t="s">
        <v>497</v>
      </c>
      <c r="C296" s="37">
        <v>1</v>
      </c>
      <c r="D296" s="13">
        <v>87</v>
      </c>
      <c r="E296" s="911"/>
      <c r="F296" s="911"/>
      <c r="G296" s="15"/>
    </row>
    <row r="297" spans="1:8" s="891" customFormat="1" ht="30" x14ac:dyDescent="0.2">
      <c r="A297" s="44">
        <v>236</v>
      </c>
      <c r="B297" s="876" t="s">
        <v>339</v>
      </c>
      <c r="C297" s="37">
        <v>1</v>
      </c>
      <c r="D297" s="13">
        <v>1</v>
      </c>
      <c r="E297" s="65"/>
      <c r="F297" s="65"/>
      <c r="G297" s="15"/>
    </row>
    <row r="298" spans="1:8" s="891" customFormat="1" ht="97.9" customHeight="1" x14ac:dyDescent="0.2">
      <c r="A298" s="44">
        <v>237</v>
      </c>
      <c r="B298" s="876" t="s">
        <v>340</v>
      </c>
      <c r="C298" s="37">
        <v>1</v>
      </c>
      <c r="D298" s="13">
        <v>1</v>
      </c>
      <c r="E298" s="65"/>
      <c r="F298" s="65"/>
      <c r="G298" s="15"/>
    </row>
    <row r="299" spans="1:8" s="891" customFormat="1" ht="80.45" customHeight="1" x14ac:dyDescent="0.2">
      <c r="A299" s="44">
        <v>238</v>
      </c>
      <c r="B299" s="876" t="s">
        <v>341</v>
      </c>
      <c r="C299" s="37">
        <v>1</v>
      </c>
      <c r="D299" s="13">
        <v>1</v>
      </c>
      <c r="E299" s="49"/>
      <c r="F299" s="49"/>
      <c r="G299" s="15"/>
    </row>
    <row r="300" spans="1:8" s="891" customFormat="1" ht="50.45" customHeight="1" x14ac:dyDescent="0.2">
      <c r="A300" s="44">
        <v>239</v>
      </c>
      <c r="B300" s="876" t="s">
        <v>342</v>
      </c>
      <c r="C300" s="37">
        <v>1</v>
      </c>
      <c r="D300" s="13">
        <v>4</v>
      </c>
      <c r="E300" s="49"/>
      <c r="F300" s="49"/>
      <c r="G300" s="15"/>
    </row>
    <row r="301" spans="1:8" s="891" customFormat="1" ht="102.6" customHeight="1" x14ac:dyDescent="0.2">
      <c r="A301" s="44">
        <v>240</v>
      </c>
      <c r="B301" s="876" t="s">
        <v>343</v>
      </c>
      <c r="C301" s="37">
        <v>1</v>
      </c>
      <c r="D301" s="13">
        <v>2</v>
      </c>
      <c r="E301" s="49"/>
      <c r="F301" s="49"/>
      <c r="G301" s="15"/>
    </row>
    <row r="302" spans="1:8" s="891" customFormat="1" ht="229.15" customHeight="1" x14ac:dyDescent="0.2">
      <c r="A302" s="44">
        <v>241</v>
      </c>
      <c r="B302" s="888" t="s">
        <v>477</v>
      </c>
      <c r="C302" s="37">
        <v>1</v>
      </c>
      <c r="D302" s="13">
        <v>6</v>
      </c>
      <c r="E302" s="66"/>
      <c r="F302" s="66"/>
      <c r="G302" s="15"/>
    </row>
    <row r="303" spans="1:8" s="891" customFormat="1" ht="222" customHeight="1" x14ac:dyDescent="0.2">
      <c r="A303" s="44">
        <v>242</v>
      </c>
      <c r="B303" s="888" t="s">
        <v>495</v>
      </c>
      <c r="C303" s="37">
        <v>1</v>
      </c>
      <c r="D303" s="13">
        <v>7</v>
      </c>
      <c r="E303" s="66"/>
      <c r="F303" s="66"/>
      <c r="G303" s="15"/>
    </row>
    <row r="304" spans="1:8" s="891" customFormat="1" ht="220.15" customHeight="1" x14ac:dyDescent="0.2">
      <c r="A304" s="44">
        <v>243</v>
      </c>
      <c r="B304" s="888" t="s">
        <v>496</v>
      </c>
      <c r="C304" s="37">
        <v>1</v>
      </c>
      <c r="D304" s="13">
        <v>1</v>
      </c>
      <c r="E304" s="66"/>
      <c r="F304" s="66"/>
      <c r="G304" s="15"/>
    </row>
    <row r="305" spans="1:15" s="887" customFormat="1" x14ac:dyDescent="0.2">
      <c r="A305" s="44">
        <v>244</v>
      </c>
      <c r="B305" s="876" t="s">
        <v>429</v>
      </c>
      <c r="C305" s="22" t="s">
        <v>347</v>
      </c>
      <c r="D305" s="13">
        <v>0</v>
      </c>
      <c r="E305" s="30"/>
      <c r="F305" s="30"/>
      <c r="G305" s="15"/>
    </row>
    <row r="306" spans="1:15" s="887" customFormat="1" x14ac:dyDescent="0.2">
      <c r="A306" s="44">
        <v>245</v>
      </c>
      <c r="B306" s="876" t="s">
        <v>428</v>
      </c>
      <c r="C306" s="22" t="s">
        <v>347</v>
      </c>
      <c r="D306" s="13">
        <v>0</v>
      </c>
      <c r="E306" s="30"/>
      <c r="F306" s="30"/>
      <c r="G306" s="15"/>
    </row>
    <row r="307" spans="1:15" s="887" customFormat="1" x14ac:dyDescent="0.2">
      <c r="A307" s="44">
        <v>246</v>
      </c>
      <c r="B307" s="876" t="s">
        <v>432</v>
      </c>
      <c r="C307" s="22" t="s">
        <v>347</v>
      </c>
      <c r="D307" s="13">
        <v>0</v>
      </c>
      <c r="E307" s="30"/>
      <c r="F307" s="30"/>
      <c r="G307" s="15"/>
    </row>
    <row r="308" spans="1:15" s="887" customFormat="1" x14ac:dyDescent="0.2">
      <c r="A308" s="44">
        <v>247</v>
      </c>
      <c r="B308" s="876" t="s">
        <v>430</v>
      </c>
      <c r="C308" s="22" t="s">
        <v>347</v>
      </c>
      <c r="D308" s="13">
        <v>0</v>
      </c>
      <c r="E308" s="30"/>
      <c r="F308" s="30"/>
      <c r="G308" s="15"/>
    </row>
    <row r="309" spans="1:15" s="887" customFormat="1" x14ac:dyDescent="0.2">
      <c r="A309" s="44">
        <v>248</v>
      </c>
      <c r="B309" s="876" t="s">
        <v>431</v>
      </c>
      <c r="C309" s="22" t="s">
        <v>347</v>
      </c>
      <c r="D309" s="13">
        <v>0</v>
      </c>
      <c r="E309" s="30"/>
      <c r="F309" s="30"/>
      <c r="G309" s="15"/>
    </row>
    <row r="310" spans="1:15" s="887" customFormat="1" x14ac:dyDescent="0.2">
      <c r="A310" s="44">
        <v>249</v>
      </c>
      <c r="B310" s="884" t="s">
        <v>433</v>
      </c>
      <c r="C310" s="22" t="s">
        <v>347</v>
      </c>
      <c r="D310" s="13">
        <v>0</v>
      </c>
      <c r="E310" s="30"/>
      <c r="F310" s="30"/>
      <c r="G310" s="15"/>
    </row>
    <row r="311" spans="1:15" s="887" customFormat="1" x14ac:dyDescent="0.2">
      <c r="A311" s="44">
        <v>250</v>
      </c>
      <c r="B311" s="884" t="s">
        <v>434</v>
      </c>
      <c r="C311" s="22" t="s">
        <v>347</v>
      </c>
      <c r="D311" s="13">
        <v>0</v>
      </c>
      <c r="E311" s="30"/>
      <c r="F311" s="30"/>
      <c r="G311" s="15"/>
    </row>
    <row r="312" spans="1:15" s="887" customFormat="1" x14ac:dyDescent="0.2">
      <c r="A312" s="44">
        <v>251</v>
      </c>
      <c r="B312" s="884" t="s">
        <v>354</v>
      </c>
      <c r="C312" s="22" t="s">
        <v>347</v>
      </c>
      <c r="D312" s="13">
        <v>5</v>
      </c>
      <c r="E312" s="40"/>
      <c r="F312" s="40"/>
      <c r="G312" s="15"/>
    </row>
    <row r="313" spans="1:15" s="887" customFormat="1" ht="15.75" x14ac:dyDescent="0.2">
      <c r="A313" s="44">
        <v>252</v>
      </c>
      <c r="B313" s="928" t="s">
        <v>355</v>
      </c>
      <c r="C313" s="22" t="s">
        <v>347</v>
      </c>
      <c r="D313" s="13">
        <v>1</v>
      </c>
      <c r="E313" s="30"/>
      <c r="F313" s="30"/>
      <c r="G313" s="15"/>
    </row>
    <row r="314" spans="1:15" s="887" customFormat="1" ht="15.75" x14ac:dyDescent="0.2">
      <c r="A314" s="44">
        <v>253</v>
      </c>
      <c r="B314" s="928" t="s">
        <v>356</v>
      </c>
      <c r="C314" s="22" t="s">
        <v>347</v>
      </c>
      <c r="D314" s="13">
        <v>3</v>
      </c>
      <c r="E314" s="40"/>
      <c r="F314" s="40"/>
      <c r="G314" s="15"/>
    </row>
    <row r="315" spans="1:15" s="887" customFormat="1" ht="15.75" x14ac:dyDescent="0.2">
      <c r="A315" s="44">
        <v>254</v>
      </c>
      <c r="B315" s="928" t="s">
        <v>357</v>
      </c>
      <c r="C315" s="22" t="s">
        <v>347</v>
      </c>
      <c r="D315" s="13">
        <v>1</v>
      </c>
      <c r="E315" s="30"/>
      <c r="F315" s="30"/>
      <c r="G315" s="15"/>
    </row>
    <row r="316" spans="1:15" x14ac:dyDescent="0.2">
      <c r="A316" s="44">
        <v>255</v>
      </c>
      <c r="B316" s="884" t="s">
        <v>435</v>
      </c>
      <c r="C316" s="22" t="s">
        <v>347</v>
      </c>
      <c r="D316" s="13">
        <v>1</v>
      </c>
      <c r="E316" s="30"/>
      <c r="F316" s="30"/>
      <c r="G316" s="15"/>
    </row>
    <row r="317" spans="1:15" x14ac:dyDescent="0.2">
      <c r="A317" s="44">
        <v>256</v>
      </c>
      <c r="B317" s="884" t="s">
        <v>436</v>
      </c>
      <c r="C317" s="22" t="s">
        <v>347</v>
      </c>
      <c r="D317" s="13">
        <v>1</v>
      </c>
      <c r="E317" s="30"/>
      <c r="F317" s="30"/>
      <c r="G317" s="15"/>
      <c r="M317" s="891"/>
      <c r="N317" s="891"/>
      <c r="O317" s="891">
        <f>M317+N317</f>
        <v>0</v>
      </c>
    </row>
    <row r="318" spans="1:15" x14ac:dyDescent="0.2">
      <c r="A318" s="44">
        <v>257</v>
      </c>
      <c r="B318" s="884" t="s">
        <v>437</v>
      </c>
      <c r="C318" s="22" t="s">
        <v>347</v>
      </c>
      <c r="D318" s="13">
        <v>1</v>
      </c>
      <c r="E318" s="30"/>
      <c r="F318" s="30"/>
      <c r="G318" s="15"/>
      <c r="M318" s="891">
        <v>187601.82</v>
      </c>
      <c r="N318" s="891">
        <v>40000</v>
      </c>
      <c r="O318" s="891">
        <f t="shared" ref="O318:O326" si="1">M318+N318</f>
        <v>227601.82</v>
      </c>
    </row>
    <row r="319" spans="1:15" x14ac:dyDescent="0.2">
      <c r="A319" s="44">
        <v>258</v>
      </c>
      <c r="B319" s="884" t="s">
        <v>438</v>
      </c>
      <c r="C319" s="22" t="s">
        <v>347</v>
      </c>
      <c r="D319" s="13">
        <v>1</v>
      </c>
      <c r="E319" s="30"/>
      <c r="F319" s="30"/>
      <c r="G319" s="15"/>
      <c r="M319" s="891">
        <v>101544.2</v>
      </c>
      <c r="N319" s="891">
        <v>40000</v>
      </c>
      <c r="O319" s="891">
        <f t="shared" si="1"/>
        <v>141544.20000000001</v>
      </c>
    </row>
    <row r="320" spans="1:15" ht="30" x14ac:dyDescent="0.2">
      <c r="A320" s="44">
        <v>259</v>
      </c>
      <c r="B320" s="884" t="s">
        <v>439</v>
      </c>
      <c r="C320" s="22" t="s">
        <v>347</v>
      </c>
      <c r="D320" s="13">
        <v>1</v>
      </c>
      <c r="E320" s="30"/>
      <c r="F320" s="30"/>
      <c r="G320" s="15"/>
      <c r="H320" s="882">
        <f>SUM(G305:G320)</f>
        <v>0</v>
      </c>
      <c r="M320" s="891">
        <v>134924</v>
      </c>
      <c r="N320" s="891">
        <v>40000</v>
      </c>
      <c r="O320" s="891">
        <f t="shared" si="1"/>
        <v>174924</v>
      </c>
    </row>
    <row r="321" spans="1:15" ht="30.6" customHeight="1" x14ac:dyDescent="0.2">
      <c r="A321" s="997" t="s">
        <v>498</v>
      </c>
      <c r="B321" s="997"/>
      <c r="C321" s="997"/>
      <c r="D321" s="997"/>
      <c r="E321" s="903"/>
      <c r="F321" s="903"/>
      <c r="G321" s="903"/>
      <c r="M321" s="891">
        <v>207719.6</v>
      </c>
      <c r="N321" s="891">
        <v>40000</v>
      </c>
      <c r="O321" s="891">
        <f t="shared" si="1"/>
        <v>247719.6</v>
      </c>
    </row>
    <row r="322" spans="1:15" ht="15" customHeight="1" x14ac:dyDescent="0.2">
      <c r="B322" s="941"/>
      <c r="C322" s="941"/>
      <c r="M322" s="891">
        <v>274993.59999999998</v>
      </c>
      <c r="N322" s="891">
        <v>156780</v>
      </c>
      <c r="O322" s="891">
        <f t="shared" si="1"/>
        <v>431773.6</v>
      </c>
    </row>
    <row r="323" spans="1:15" x14ac:dyDescent="0.2">
      <c r="B323" s="930"/>
      <c r="E323" s="933" t="s">
        <v>415</v>
      </c>
      <c r="G323" s="934">
        <f>SUM(G5:G320)</f>
        <v>0</v>
      </c>
      <c r="M323" s="891">
        <v>141014</v>
      </c>
      <c r="N323" s="891">
        <v>40000</v>
      </c>
      <c r="O323" s="891">
        <f t="shared" si="1"/>
        <v>181014</v>
      </c>
    </row>
    <row r="324" spans="1:15" x14ac:dyDescent="0.2">
      <c r="G324" s="936"/>
      <c r="M324" s="891">
        <v>301093.59999999998</v>
      </c>
      <c r="N324" s="891">
        <v>156780</v>
      </c>
      <c r="O324" s="891">
        <f t="shared" si="1"/>
        <v>457873.6</v>
      </c>
    </row>
    <row r="325" spans="1:15" x14ac:dyDescent="0.2">
      <c r="E325" s="933" t="s">
        <v>416</v>
      </c>
      <c r="G325" s="934">
        <v>2279229198.29</v>
      </c>
      <c r="M325" s="891">
        <v>143304</v>
      </c>
      <c r="N325" s="891">
        <v>40000</v>
      </c>
      <c r="O325" s="891">
        <f t="shared" si="1"/>
        <v>183304</v>
      </c>
    </row>
    <row r="326" spans="1:15" x14ac:dyDescent="0.2">
      <c r="G326" s="936"/>
      <c r="M326" s="891">
        <v>1426668.4</v>
      </c>
      <c r="N326" s="891">
        <v>156780</v>
      </c>
      <c r="O326" s="891">
        <f t="shared" si="1"/>
        <v>1583448.4</v>
      </c>
    </row>
    <row r="327" spans="1:15" ht="15.75" x14ac:dyDescent="0.25">
      <c r="E327" s="933" t="s">
        <v>417</v>
      </c>
      <c r="G327" s="937">
        <f>G323-G325</f>
        <v>-2279229198.29</v>
      </c>
      <c r="H327" s="870">
        <f>16069459</f>
        <v>16069459</v>
      </c>
      <c r="M327" s="891"/>
      <c r="N327" s="891"/>
      <c r="O327" s="891">
        <f>SUM(O317:O326)</f>
        <v>3629203.2199999997</v>
      </c>
    </row>
    <row r="328" spans="1:15" x14ac:dyDescent="0.2">
      <c r="H328" s="870">
        <v>4726644</v>
      </c>
    </row>
    <row r="329" spans="1:15" x14ac:dyDescent="0.2">
      <c r="G329" s="933">
        <f>G327+H329+H330+H331+J330+J334+I329+I330</f>
        <v>-2262031557.29</v>
      </c>
      <c r="H329" s="870">
        <f>H327-H328</f>
        <v>11342815</v>
      </c>
      <c r="I329" s="870">
        <v>2000000</v>
      </c>
    </row>
    <row r="330" spans="1:15" x14ac:dyDescent="0.2">
      <c r="H330" s="891">
        <v>3629203</v>
      </c>
      <c r="I330" s="870">
        <v>225000</v>
      </c>
    </row>
    <row r="331" spans="1:15" x14ac:dyDescent="0.2">
      <c r="H331" s="870">
        <v>623</v>
      </c>
    </row>
    <row r="332" spans="1:15" x14ac:dyDescent="0.2">
      <c r="A332" s="870"/>
      <c r="B332" s="938"/>
      <c r="C332" s="870"/>
      <c r="D332" s="870"/>
      <c r="E332" s="870"/>
      <c r="F332" s="870"/>
      <c r="G332" s="870"/>
      <c r="H332" s="933">
        <f>SUM(H329:H331)</f>
        <v>14972641</v>
      </c>
      <c r="K332" s="877">
        <f>K331+L353</f>
        <v>0</v>
      </c>
    </row>
    <row r="334" spans="1:15" x14ac:dyDescent="0.2">
      <c r="A334" s="870"/>
      <c r="B334" s="938"/>
      <c r="C334" s="870"/>
      <c r="D334" s="870"/>
      <c r="E334" s="870"/>
      <c r="F334" s="870"/>
      <c r="G334" s="870"/>
      <c r="M334" s="877"/>
    </row>
  </sheetData>
  <mergeCells count="20">
    <mergeCell ref="A1:G1"/>
    <mergeCell ref="A2:G2"/>
    <mergeCell ref="A7:A22"/>
    <mergeCell ref="A23:A27"/>
    <mergeCell ref="A34:A36"/>
    <mergeCell ref="G3:G4"/>
    <mergeCell ref="E3:F3"/>
    <mergeCell ref="A321:D321"/>
    <mergeCell ref="A209:A212"/>
    <mergeCell ref="A3:A4"/>
    <mergeCell ref="B3:B4"/>
    <mergeCell ref="C3:C4"/>
    <mergeCell ref="D3:D4"/>
    <mergeCell ref="A174:A177"/>
    <mergeCell ref="A178:A180"/>
    <mergeCell ref="A109:A111"/>
    <mergeCell ref="A135:A138"/>
    <mergeCell ref="A139:A141"/>
    <mergeCell ref="A143:A146"/>
    <mergeCell ref="A45:A54"/>
  </mergeCells>
  <printOptions horizontalCentered="1"/>
  <pageMargins left="0.78740157480314965" right="7.874015748031496E-2" top="0.27559055118110237" bottom="1.299212598425197" header="0.31496062992125984" footer="0.51181102362204722"/>
  <pageSetup paperSize="9" scale="70" fitToHeight="0" orientation="landscape"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03B9-EEB3-4F51-9A16-91B6F1102884}">
  <sheetPr>
    <pageSetUpPr fitToPage="1"/>
  </sheetPr>
  <dimension ref="A1:O334"/>
  <sheetViews>
    <sheetView view="pageBreakPreview" zoomScale="70" zoomScaleNormal="70" zoomScaleSheetLayoutView="70" workbookViewId="0">
      <pane xSplit="3" ySplit="4" topLeftCell="D306" activePane="bottomRight" state="frozen"/>
      <selection activeCell="H7" sqref="H7"/>
      <selection pane="topRight" activeCell="H7" sqref="H7"/>
      <selection pane="bottomLeft" activeCell="H7" sqref="H7"/>
      <selection pane="bottomRight" activeCell="H7" sqref="H7"/>
    </sheetView>
  </sheetViews>
  <sheetFormatPr defaultColWidth="9.140625" defaultRowHeight="15" x14ac:dyDescent="0.2"/>
  <cols>
    <col min="1" max="1" width="4.85546875" style="929" bestFit="1" customWidth="1"/>
    <col min="2" max="2" width="93.7109375" style="935" customWidth="1"/>
    <col min="3" max="3" width="17.5703125" style="931" customWidth="1"/>
    <col min="4" max="4" width="17.140625" style="933" bestFit="1" customWidth="1"/>
    <col min="5" max="5" width="19.140625" style="933" customWidth="1"/>
    <col min="6" max="6" width="20.7109375" style="933" bestFit="1" customWidth="1"/>
    <col min="7" max="7" width="21.85546875" style="933" customWidth="1"/>
    <col min="8" max="8" width="20.7109375" style="870" bestFit="1" customWidth="1"/>
    <col min="9" max="12" width="18.7109375" style="870" bestFit="1" customWidth="1"/>
    <col min="13" max="13" width="16.140625" style="870" bestFit="1" customWidth="1"/>
    <col min="14" max="14" width="8.7109375" style="870" bestFit="1" customWidth="1"/>
    <col min="15" max="15" width="13.7109375" style="870" bestFit="1" customWidth="1"/>
    <col min="16" max="16384" width="9.140625" style="870"/>
  </cols>
  <sheetData>
    <row r="1" spans="1:9" customFormat="1" ht="20.25" x14ac:dyDescent="0.25">
      <c r="A1" s="996" t="s">
        <v>488</v>
      </c>
      <c r="B1" s="996"/>
      <c r="C1" s="996"/>
      <c r="D1" s="996"/>
      <c r="E1" s="996"/>
      <c r="F1" s="996"/>
      <c r="G1" s="996"/>
    </row>
    <row r="2" spans="1:9" ht="18" x14ac:dyDescent="0.2">
      <c r="A2" s="1001" t="s">
        <v>1</v>
      </c>
      <c r="B2" s="1001"/>
      <c r="C2" s="1001"/>
      <c r="D2" s="1001"/>
      <c r="E2" s="1001"/>
      <c r="F2" s="1001"/>
      <c r="G2" s="1001"/>
    </row>
    <row r="3" spans="1:9" ht="18" x14ac:dyDescent="0.2">
      <c r="A3" s="998" t="s">
        <v>2</v>
      </c>
      <c r="B3" s="999" t="s">
        <v>3</v>
      </c>
      <c r="C3" s="999" t="s">
        <v>4</v>
      </c>
      <c r="D3" s="1000" t="s">
        <v>5</v>
      </c>
      <c r="E3" s="1003" t="s">
        <v>489</v>
      </c>
      <c r="F3" s="1003"/>
      <c r="G3" s="1002" t="s">
        <v>487</v>
      </c>
    </row>
    <row r="4" spans="1:9" ht="31.5" x14ac:dyDescent="0.2">
      <c r="A4" s="998"/>
      <c r="B4" s="999"/>
      <c r="C4" s="999"/>
      <c r="D4" s="1000"/>
      <c r="E4" s="940" t="s">
        <v>485</v>
      </c>
      <c r="F4" s="940" t="s">
        <v>486</v>
      </c>
      <c r="G4" s="1002"/>
    </row>
    <row r="5" spans="1:9" ht="45" x14ac:dyDescent="0.2">
      <c r="A5" s="116">
        <v>1</v>
      </c>
      <c r="B5" s="876" t="s">
        <v>8</v>
      </c>
      <c r="C5" s="12">
        <v>1000</v>
      </c>
      <c r="D5" s="13">
        <v>69775243.960000008</v>
      </c>
      <c r="E5" s="14"/>
      <c r="F5" s="14"/>
      <c r="G5" s="15"/>
      <c r="H5" s="870">
        <v>323805974.645172</v>
      </c>
      <c r="I5" s="877" t="e">
        <f>#REF!-I97</f>
        <v>#REF!</v>
      </c>
    </row>
    <row r="6" spans="1:9" ht="30" x14ac:dyDescent="0.2">
      <c r="A6" s="116">
        <v>2</v>
      </c>
      <c r="B6" s="876" t="s">
        <v>9</v>
      </c>
      <c r="C6" s="12">
        <v>1000</v>
      </c>
      <c r="D6" s="13">
        <v>26864727.169999998</v>
      </c>
      <c r="E6" s="14"/>
      <c r="F6" s="14"/>
      <c r="G6" s="15"/>
      <c r="H6" s="870">
        <v>25277021.794252999</v>
      </c>
    </row>
    <row r="7" spans="1:9" ht="30" x14ac:dyDescent="0.2">
      <c r="A7" s="984">
        <v>3</v>
      </c>
      <c r="B7" s="876" t="s">
        <v>10</v>
      </c>
      <c r="C7" s="33"/>
      <c r="D7" s="13">
        <v>0</v>
      </c>
      <c r="E7" s="14"/>
      <c r="F7" s="14"/>
      <c r="G7" s="14"/>
      <c r="H7" s="870">
        <v>0</v>
      </c>
    </row>
    <row r="8" spans="1:9" x14ac:dyDescent="0.2">
      <c r="A8" s="985"/>
      <c r="B8" s="878" t="s">
        <v>11</v>
      </c>
      <c r="C8" s="12">
        <v>1000</v>
      </c>
      <c r="D8" s="13">
        <v>546147.5</v>
      </c>
      <c r="E8" s="14"/>
      <c r="F8" s="14"/>
      <c r="G8" s="15"/>
      <c r="H8" s="870">
        <v>586125.49699999997</v>
      </c>
    </row>
    <row r="9" spans="1:9" x14ac:dyDescent="0.2">
      <c r="A9" s="985"/>
      <c r="B9" s="876" t="s">
        <v>144</v>
      </c>
      <c r="C9" s="12">
        <v>1000</v>
      </c>
      <c r="D9" s="13">
        <v>989635</v>
      </c>
      <c r="E9" s="14"/>
      <c r="F9" s="14"/>
      <c r="G9" s="15"/>
      <c r="H9" s="870">
        <v>1725873.9582499999</v>
      </c>
    </row>
    <row r="10" spans="1:9" x14ac:dyDescent="0.2">
      <c r="A10" s="985"/>
      <c r="B10" s="876" t="s">
        <v>455</v>
      </c>
      <c r="C10" s="12">
        <v>1000</v>
      </c>
      <c r="D10" s="13">
        <v>275885.29000000004</v>
      </c>
      <c r="E10" s="14"/>
      <c r="F10" s="14"/>
      <c r="G10" s="15"/>
      <c r="H10" s="870">
        <v>666180.20976300002</v>
      </c>
    </row>
    <row r="11" spans="1:9" x14ac:dyDescent="0.2">
      <c r="A11" s="985"/>
      <c r="B11" s="876" t="s">
        <v>456</v>
      </c>
      <c r="C11" s="12">
        <v>1000</v>
      </c>
      <c r="D11" s="13">
        <v>62477.500000000007</v>
      </c>
      <c r="E11" s="14"/>
      <c r="F11" s="14"/>
      <c r="G11" s="15"/>
      <c r="H11" s="870">
        <v>417212.24950000003</v>
      </c>
    </row>
    <row r="12" spans="1:9" x14ac:dyDescent="0.2">
      <c r="A12" s="985"/>
      <c r="B12" s="876" t="s">
        <v>457</v>
      </c>
      <c r="C12" s="12">
        <v>1000</v>
      </c>
      <c r="D12" s="13">
        <v>549295</v>
      </c>
      <c r="E12" s="14"/>
      <c r="F12" s="14"/>
      <c r="G12" s="15"/>
      <c r="H12" s="870">
        <v>3708400.4040000001</v>
      </c>
    </row>
    <row r="13" spans="1:9" x14ac:dyDescent="0.2">
      <c r="A13" s="985"/>
      <c r="B13" s="876" t="s">
        <v>458</v>
      </c>
      <c r="C13" s="12">
        <v>1000</v>
      </c>
      <c r="D13" s="13">
        <v>555572.5</v>
      </c>
      <c r="E13" s="39"/>
      <c r="F13" s="14"/>
      <c r="G13" s="15"/>
      <c r="H13" s="870">
        <v>3750781.0619999999</v>
      </c>
    </row>
    <row r="14" spans="1:9" x14ac:dyDescent="0.2">
      <c r="A14" s="985"/>
      <c r="B14" s="876" t="s">
        <v>459</v>
      </c>
      <c r="C14" s="12">
        <v>1000</v>
      </c>
      <c r="D14" s="13">
        <v>18740</v>
      </c>
      <c r="E14" s="14"/>
      <c r="F14" s="14"/>
      <c r="G14" s="15"/>
      <c r="H14" s="870">
        <v>127893.004</v>
      </c>
    </row>
    <row r="15" spans="1:9" x14ac:dyDescent="0.2">
      <c r="A15" s="985"/>
      <c r="B15" s="876" t="s">
        <v>460</v>
      </c>
      <c r="C15" s="12">
        <v>1000</v>
      </c>
      <c r="D15" s="13">
        <v>53390</v>
      </c>
      <c r="E15" s="33"/>
      <c r="F15" s="14"/>
      <c r="G15" s="15"/>
      <c r="H15" s="870">
        <v>372203.04599999997</v>
      </c>
    </row>
    <row r="16" spans="1:9" x14ac:dyDescent="0.2">
      <c r="A16" s="985"/>
      <c r="B16" s="876" t="s">
        <v>461</v>
      </c>
      <c r="C16" s="12">
        <v>1000</v>
      </c>
      <c r="D16" s="13">
        <v>75040</v>
      </c>
      <c r="E16" s="39"/>
      <c r="F16" s="14"/>
      <c r="G16" s="15"/>
      <c r="H16" s="870">
        <v>523133.85600000003</v>
      </c>
    </row>
    <row r="17" spans="1:8" x14ac:dyDescent="0.2">
      <c r="A17" s="985"/>
      <c r="B17" s="876" t="s">
        <v>462</v>
      </c>
      <c r="C17" s="12">
        <v>1000</v>
      </c>
      <c r="D17" s="13">
        <v>98265.75</v>
      </c>
      <c r="E17" s="14"/>
      <c r="F17" s="14"/>
      <c r="G17" s="15"/>
      <c r="H17" s="870">
        <v>692262.55560000008</v>
      </c>
    </row>
    <row r="18" spans="1:8" x14ac:dyDescent="0.2">
      <c r="A18" s="985"/>
      <c r="B18" s="876" t="s">
        <v>463</v>
      </c>
      <c r="C18" s="12">
        <v>1000</v>
      </c>
      <c r="D18" s="13">
        <v>187560</v>
      </c>
      <c r="E18" s="33"/>
      <c r="F18" s="14"/>
      <c r="G18" s="15"/>
      <c r="H18" s="870">
        <v>1348856.496</v>
      </c>
    </row>
    <row r="19" spans="1:8" x14ac:dyDescent="0.2">
      <c r="A19" s="985"/>
      <c r="B19" s="876" t="s">
        <v>464</v>
      </c>
      <c r="C19" s="12">
        <v>1000</v>
      </c>
      <c r="D19" s="13">
        <v>54772.5</v>
      </c>
      <c r="E19" s="14"/>
      <c r="F19" s="14"/>
      <c r="G19" s="15"/>
      <c r="H19" s="870">
        <v>401942.51400000002</v>
      </c>
    </row>
    <row r="20" spans="1:8" x14ac:dyDescent="0.2">
      <c r="A20" s="985"/>
      <c r="B20" s="876" t="s">
        <v>465</v>
      </c>
      <c r="C20" s="12">
        <v>1000</v>
      </c>
      <c r="D20" s="13">
        <v>125720</v>
      </c>
      <c r="E20" s="14"/>
      <c r="F20" s="14"/>
      <c r="G20" s="15"/>
      <c r="H20" s="870">
        <v>931811.49600000004</v>
      </c>
    </row>
    <row r="21" spans="1:8" x14ac:dyDescent="0.2">
      <c r="A21" s="985"/>
      <c r="B21" s="879" t="s">
        <v>466</v>
      </c>
      <c r="C21" s="12">
        <v>1000</v>
      </c>
      <c r="D21" s="13">
        <v>70367.5</v>
      </c>
      <c r="E21" s="14"/>
      <c r="F21" s="14"/>
      <c r="G21" s="15"/>
      <c r="H21" s="870">
        <v>531879.7855</v>
      </c>
    </row>
    <row r="22" spans="1:8" x14ac:dyDescent="0.2">
      <c r="A22" s="986"/>
      <c r="B22" s="876" t="s">
        <v>467</v>
      </c>
      <c r="C22" s="12">
        <v>1000</v>
      </c>
      <c r="D22" s="13">
        <v>4869.33</v>
      </c>
      <c r="E22" s="14"/>
      <c r="F22" s="14"/>
      <c r="G22" s="15"/>
      <c r="H22" s="870">
        <v>38633.751153000005</v>
      </c>
    </row>
    <row r="23" spans="1:8" ht="21" customHeight="1" x14ac:dyDescent="0.2">
      <c r="A23" s="984">
        <v>4</v>
      </c>
      <c r="B23" s="879" t="s">
        <v>157</v>
      </c>
      <c r="C23" s="12">
        <v>1000</v>
      </c>
      <c r="D23" s="13">
        <v>0</v>
      </c>
      <c r="E23" s="13"/>
      <c r="F23" s="14"/>
      <c r="G23" s="13"/>
      <c r="H23" s="870">
        <v>0</v>
      </c>
    </row>
    <row r="24" spans="1:8" x14ac:dyDescent="0.2">
      <c r="A24" s="985"/>
      <c r="B24" s="876" t="s">
        <v>468</v>
      </c>
      <c r="C24" s="12">
        <v>1000</v>
      </c>
      <c r="D24" s="13">
        <v>140702.28500000003</v>
      </c>
      <c r="E24" s="13"/>
      <c r="F24" s="14"/>
      <c r="G24" s="15"/>
      <c r="H24" s="870">
        <v>1538727.2238742502</v>
      </c>
    </row>
    <row r="25" spans="1:8" x14ac:dyDescent="0.2">
      <c r="A25" s="985"/>
      <c r="B25" s="879" t="s">
        <v>469</v>
      </c>
      <c r="C25" s="12">
        <v>1000</v>
      </c>
      <c r="D25" s="13">
        <v>1887045.5</v>
      </c>
      <c r="E25" s="14"/>
      <c r="F25" s="14"/>
      <c r="G25" s="15"/>
      <c r="H25" s="870">
        <v>21902559.709399998</v>
      </c>
    </row>
    <row r="26" spans="1:8" x14ac:dyDescent="0.2">
      <c r="A26" s="985"/>
      <c r="B26" s="876" t="s">
        <v>455</v>
      </c>
      <c r="C26" s="12">
        <v>1000</v>
      </c>
      <c r="D26" s="13">
        <v>97969.465000000011</v>
      </c>
      <c r="E26" s="13"/>
      <c r="F26" s="14"/>
      <c r="G26" s="15"/>
      <c r="H26" s="870">
        <v>1268538.0236595001</v>
      </c>
    </row>
    <row r="27" spans="1:8" x14ac:dyDescent="0.2">
      <c r="A27" s="986"/>
      <c r="B27" s="876" t="s">
        <v>470</v>
      </c>
      <c r="C27" s="12">
        <v>1000</v>
      </c>
      <c r="D27" s="13">
        <v>159193.80000000005</v>
      </c>
      <c r="E27" s="13"/>
      <c r="F27" s="14"/>
      <c r="G27" s="15"/>
      <c r="H27" s="870">
        <v>2880166.0683600013</v>
      </c>
    </row>
    <row r="28" spans="1:8" x14ac:dyDescent="0.2">
      <c r="A28" s="116">
        <v>5</v>
      </c>
      <c r="B28" s="881" t="s">
        <v>490</v>
      </c>
      <c r="C28" s="12">
        <v>1000</v>
      </c>
      <c r="D28" s="13">
        <v>1340460.5752499998</v>
      </c>
      <c r="E28" s="13"/>
      <c r="F28" s="14"/>
      <c r="G28" s="15"/>
      <c r="H28" s="882">
        <v>7059937.7577266991</v>
      </c>
    </row>
    <row r="29" spans="1:8" ht="30" x14ac:dyDescent="0.2">
      <c r="A29" s="116">
        <v>6</v>
      </c>
      <c r="B29" s="876" t="s">
        <v>189</v>
      </c>
      <c r="C29" s="37">
        <v>1</v>
      </c>
      <c r="D29" s="13">
        <v>1254</v>
      </c>
      <c r="E29" s="39"/>
      <c r="F29" s="14"/>
      <c r="G29" s="15"/>
      <c r="H29" s="870">
        <v>1663054.8</v>
      </c>
    </row>
    <row r="30" spans="1:8" ht="45" x14ac:dyDescent="0.2">
      <c r="A30" s="116">
        <v>7</v>
      </c>
      <c r="B30" s="876" t="s">
        <v>17</v>
      </c>
      <c r="C30" s="18">
        <v>1</v>
      </c>
      <c r="D30" s="13">
        <v>1740</v>
      </c>
      <c r="E30" s="14"/>
      <c r="F30" s="14"/>
      <c r="G30" s="15"/>
      <c r="H30" s="870">
        <v>3367596</v>
      </c>
    </row>
    <row r="31" spans="1:8" x14ac:dyDescent="0.2">
      <c r="A31" s="116">
        <v>8</v>
      </c>
      <c r="B31" s="883" t="s">
        <v>18</v>
      </c>
      <c r="C31" s="19">
        <v>1000</v>
      </c>
      <c r="D31" s="13">
        <v>6885050</v>
      </c>
      <c r="E31" s="14"/>
      <c r="F31" s="14"/>
      <c r="G31" s="15"/>
      <c r="H31" s="870">
        <v>2590155.81</v>
      </c>
    </row>
    <row r="32" spans="1:8" ht="30" x14ac:dyDescent="0.2">
      <c r="A32" s="116">
        <v>9</v>
      </c>
      <c r="B32" s="876" t="s">
        <v>327</v>
      </c>
      <c r="C32" s="37">
        <v>1</v>
      </c>
      <c r="D32" s="13">
        <v>5</v>
      </c>
      <c r="E32" s="13"/>
      <c r="F32" s="14"/>
      <c r="G32" s="15"/>
      <c r="H32" s="870">
        <v>73150</v>
      </c>
    </row>
    <row r="33" spans="1:10" ht="45" x14ac:dyDescent="0.2">
      <c r="A33" s="117">
        <v>10</v>
      </c>
      <c r="B33" s="884" t="s">
        <v>19</v>
      </c>
      <c r="C33" s="12">
        <v>1000</v>
      </c>
      <c r="D33" s="13">
        <v>1617</v>
      </c>
      <c r="E33" s="21"/>
      <c r="F33" s="14"/>
      <c r="G33" s="15"/>
      <c r="H33" s="870">
        <v>25587.650550000002</v>
      </c>
    </row>
    <row r="34" spans="1:10" s="152" customFormat="1" ht="30" x14ac:dyDescent="0.2">
      <c r="A34" s="987">
        <v>11</v>
      </c>
      <c r="B34" s="884" t="s">
        <v>20</v>
      </c>
      <c r="C34" s="12">
        <v>100</v>
      </c>
      <c r="D34" s="13">
        <v>0</v>
      </c>
      <c r="E34" s="13"/>
      <c r="F34" s="14"/>
      <c r="G34" s="13"/>
      <c r="H34" s="877">
        <v>0</v>
      </c>
    </row>
    <row r="35" spans="1:10" s="152" customFormat="1" x14ac:dyDescent="0.2">
      <c r="A35" s="988"/>
      <c r="B35" s="884" t="s">
        <v>21</v>
      </c>
      <c r="C35" s="12">
        <v>100</v>
      </c>
      <c r="D35" s="13">
        <v>41070.554165017595</v>
      </c>
      <c r="E35" s="21"/>
      <c r="F35" s="14"/>
      <c r="G35" s="15"/>
      <c r="H35" s="877">
        <v>14249141.273673702</v>
      </c>
      <c r="I35" s="885">
        <f>SUM(D35:D35)</f>
        <v>41070.554165017595</v>
      </c>
      <c r="J35" s="886">
        <v>23362466.852632541</v>
      </c>
    </row>
    <row r="36" spans="1:10" x14ac:dyDescent="0.2">
      <c r="A36" s="989"/>
      <c r="B36" s="884" t="s">
        <v>107</v>
      </c>
      <c r="C36" s="12">
        <v>100</v>
      </c>
      <c r="D36" s="13">
        <v>12898.728125000001</v>
      </c>
      <c r="E36" s="14"/>
      <c r="F36" s="14"/>
      <c r="G36" s="15"/>
      <c r="H36" s="870">
        <v>6079931.5902718762</v>
      </c>
      <c r="I36" s="882">
        <f>SUM(D36:D36)</f>
        <v>12898.728125000001</v>
      </c>
    </row>
    <row r="37" spans="1:10" s="152" customFormat="1" x14ac:dyDescent="0.2">
      <c r="A37" s="44">
        <v>12</v>
      </c>
      <c r="B37" s="884" t="s">
        <v>22</v>
      </c>
      <c r="C37" s="12">
        <v>100</v>
      </c>
      <c r="D37" s="13">
        <v>58371.555499999995</v>
      </c>
      <c r="E37" s="21"/>
      <c r="F37" s="14"/>
      <c r="G37" s="15"/>
      <c r="H37" s="877">
        <v>19073460.28940225</v>
      </c>
      <c r="I37" s="885"/>
    </row>
    <row r="38" spans="1:10" s="152" customFormat="1" ht="30" x14ac:dyDescent="0.2">
      <c r="A38" s="44">
        <v>13</v>
      </c>
      <c r="B38" s="884" t="s">
        <v>23</v>
      </c>
      <c r="C38" s="19">
        <v>100</v>
      </c>
      <c r="D38" s="13">
        <v>643.5</v>
      </c>
      <c r="E38" s="14"/>
      <c r="F38" s="14"/>
      <c r="G38" s="15"/>
      <c r="H38" s="152">
        <v>76262.472000000009</v>
      </c>
    </row>
    <row r="39" spans="1:10" s="887" customFormat="1" ht="45" x14ac:dyDescent="0.2">
      <c r="A39" s="44">
        <v>14</v>
      </c>
      <c r="B39" s="884" t="s">
        <v>92</v>
      </c>
      <c r="C39" s="19">
        <v>100</v>
      </c>
      <c r="D39" s="13">
        <v>11220.609375</v>
      </c>
      <c r="E39" s="14"/>
      <c r="F39" s="14"/>
      <c r="G39" s="15"/>
      <c r="H39" s="877">
        <v>1285904.2755937499</v>
      </c>
      <c r="I39" s="877"/>
    </row>
    <row r="40" spans="1:10" s="891" customFormat="1" ht="30" x14ac:dyDescent="0.2">
      <c r="A40" s="124">
        <v>15</v>
      </c>
      <c r="B40" s="888" t="s">
        <v>272</v>
      </c>
      <c r="C40" s="889">
        <v>100</v>
      </c>
      <c r="D40" s="13">
        <v>427.5</v>
      </c>
      <c r="E40" s="14"/>
      <c r="F40" s="14"/>
      <c r="G40" s="15"/>
      <c r="H40" s="891">
        <v>50665.59</v>
      </c>
    </row>
    <row r="41" spans="1:10" x14ac:dyDescent="0.2">
      <c r="A41" s="117">
        <v>16</v>
      </c>
      <c r="B41" s="884" t="s">
        <v>24</v>
      </c>
      <c r="C41" s="12">
        <v>100</v>
      </c>
      <c r="D41" s="13">
        <v>1348.1015625</v>
      </c>
      <c r="E41" s="21"/>
      <c r="F41" s="14"/>
      <c r="G41" s="15"/>
      <c r="H41" s="870">
        <v>507163.89642187499</v>
      </c>
    </row>
    <row r="42" spans="1:10" x14ac:dyDescent="0.2">
      <c r="A42" s="117">
        <v>17</v>
      </c>
      <c r="B42" s="884" t="s">
        <v>25</v>
      </c>
      <c r="C42" s="19">
        <v>100</v>
      </c>
      <c r="D42" s="13">
        <v>3805.7250000000004</v>
      </c>
      <c r="E42" s="21"/>
      <c r="F42" s="14"/>
      <c r="G42" s="15"/>
      <c r="H42" s="870">
        <v>164968.6644375</v>
      </c>
    </row>
    <row r="43" spans="1:10" ht="30" x14ac:dyDescent="0.2">
      <c r="A43" s="117">
        <v>18</v>
      </c>
      <c r="B43" s="884" t="s">
        <v>115</v>
      </c>
      <c r="C43" s="19">
        <v>100</v>
      </c>
      <c r="D43" s="13">
        <v>61675.404300000002</v>
      </c>
      <c r="E43" s="21"/>
      <c r="F43" s="14"/>
      <c r="G43" s="15"/>
      <c r="H43" s="877">
        <v>4551089.7587013002</v>
      </c>
      <c r="I43" s="882"/>
    </row>
    <row r="44" spans="1:10" x14ac:dyDescent="0.2">
      <c r="A44" s="117">
        <v>19</v>
      </c>
      <c r="B44" s="884" t="s">
        <v>27</v>
      </c>
      <c r="C44" s="24">
        <v>1</v>
      </c>
      <c r="D44" s="13">
        <v>8250</v>
      </c>
      <c r="E44" s="21"/>
      <c r="F44" s="14"/>
      <c r="G44" s="15"/>
      <c r="H44" s="870">
        <v>251625</v>
      </c>
    </row>
    <row r="45" spans="1:10" s="152" customFormat="1" ht="60.75" x14ac:dyDescent="0.2">
      <c r="A45" s="987">
        <v>20</v>
      </c>
      <c r="B45" s="892" t="s">
        <v>36</v>
      </c>
      <c r="C45" s="23"/>
      <c r="D45" s="13">
        <v>0</v>
      </c>
      <c r="E45" s="23"/>
      <c r="F45" s="14"/>
      <c r="G45" s="23"/>
    </row>
    <row r="46" spans="1:10" x14ac:dyDescent="0.2">
      <c r="A46" s="988"/>
      <c r="B46" s="884" t="s">
        <v>29</v>
      </c>
      <c r="C46" s="12">
        <v>100</v>
      </c>
      <c r="D46" s="13">
        <v>70.784999999999997</v>
      </c>
      <c r="E46" s="21"/>
      <c r="F46" s="14"/>
      <c r="G46" s="15"/>
      <c r="H46" s="870">
        <v>9940.0544100000006</v>
      </c>
    </row>
    <row r="47" spans="1:10" x14ac:dyDescent="0.2">
      <c r="A47" s="988"/>
      <c r="B47" s="884" t="s">
        <v>38</v>
      </c>
      <c r="C47" s="12">
        <v>100</v>
      </c>
      <c r="D47" s="13">
        <v>5036.5815499999999</v>
      </c>
      <c r="E47" s="13"/>
      <c r="F47" s="14"/>
      <c r="G47" s="15"/>
      <c r="H47" s="877">
        <v>707267.00074029993</v>
      </c>
      <c r="I47" s="877">
        <f>D47-H47</f>
        <v>-702230.41919029993</v>
      </c>
      <c r="J47" s="882"/>
    </row>
    <row r="48" spans="1:10" x14ac:dyDescent="0.2">
      <c r="A48" s="988"/>
      <c r="B48" s="884" t="s">
        <v>61</v>
      </c>
      <c r="C48" s="12">
        <v>100</v>
      </c>
      <c r="D48" s="13">
        <v>30772.144598416897</v>
      </c>
      <c r="E48" s="13"/>
      <c r="F48" s="14"/>
      <c r="G48" s="15"/>
      <c r="H48" s="877">
        <v>4321209.177377291</v>
      </c>
      <c r="I48" s="877">
        <f>D48-H48</f>
        <v>-4290437.032778874</v>
      </c>
      <c r="J48" s="882"/>
    </row>
    <row r="49" spans="1:10" s="887" customFormat="1" x14ac:dyDescent="0.2">
      <c r="A49" s="988"/>
      <c r="B49" s="884" t="s">
        <v>62</v>
      </c>
      <c r="C49" s="12">
        <v>100</v>
      </c>
      <c r="D49" s="13">
        <v>106108.05618023523</v>
      </c>
      <c r="E49" s="13"/>
      <c r="F49" s="14"/>
      <c r="G49" s="15"/>
      <c r="H49" s="894">
        <v>14900329.897165714</v>
      </c>
    </row>
    <row r="50" spans="1:10" s="887" customFormat="1" x14ac:dyDescent="0.2">
      <c r="A50" s="988"/>
      <c r="B50" s="884" t="s">
        <v>64</v>
      </c>
      <c r="C50" s="12">
        <v>100</v>
      </c>
      <c r="D50" s="13">
        <v>2183.8000000000002</v>
      </c>
      <c r="E50" s="13"/>
      <c r="F50" s="14"/>
      <c r="G50" s="15"/>
      <c r="H50" s="887">
        <v>306662.29880000005</v>
      </c>
    </row>
    <row r="51" spans="1:10" s="887" customFormat="1" x14ac:dyDescent="0.2">
      <c r="A51" s="988"/>
      <c r="B51" s="884" t="s">
        <v>65</v>
      </c>
      <c r="C51" s="12">
        <v>100</v>
      </c>
      <c r="D51" s="13">
        <v>268.5</v>
      </c>
      <c r="E51" s="13"/>
      <c r="F51" s="14"/>
      <c r="G51" s="15"/>
      <c r="H51" s="887">
        <v>37704.381000000001</v>
      </c>
    </row>
    <row r="52" spans="1:10" x14ac:dyDescent="0.2">
      <c r="A52" s="988"/>
      <c r="B52" s="884" t="s">
        <v>141</v>
      </c>
      <c r="C52" s="12">
        <v>100</v>
      </c>
      <c r="D52" s="13">
        <v>24736.495222999998</v>
      </c>
      <c r="E52" s="13"/>
      <c r="F52" s="14"/>
      <c r="G52" s="15"/>
      <c r="H52" s="877">
        <v>3473647.0781849981</v>
      </c>
      <c r="I52" s="877">
        <f>D52-H52</f>
        <v>-3448910.5829619979</v>
      </c>
      <c r="J52" s="882">
        <f>SUM(G186:G222)</f>
        <v>0</v>
      </c>
    </row>
    <row r="53" spans="1:10" x14ac:dyDescent="0.2">
      <c r="A53" s="988"/>
      <c r="B53" s="884" t="s">
        <v>143</v>
      </c>
      <c r="C53" s="12">
        <v>100</v>
      </c>
      <c r="D53" s="13">
        <v>1234.2670312499999</v>
      </c>
      <c r="E53" s="13"/>
      <c r="F53" s="14"/>
      <c r="G53" s="15"/>
      <c r="H53" s="877">
        <v>173323.18213031252</v>
      </c>
      <c r="I53" s="877">
        <f>D53-H53</f>
        <v>-172088.91509906252</v>
      </c>
      <c r="J53" s="882"/>
    </row>
    <row r="54" spans="1:10" s="887" customFormat="1" x14ac:dyDescent="0.2">
      <c r="A54" s="989"/>
      <c r="B54" s="884" t="s">
        <v>207</v>
      </c>
      <c r="C54" s="12">
        <v>100</v>
      </c>
      <c r="D54" s="13">
        <v>15224.763780000005</v>
      </c>
      <c r="E54" s="13"/>
      <c r="F54" s="14"/>
      <c r="G54" s="15"/>
      <c r="H54" s="887">
        <v>2137952.6785702808</v>
      </c>
    </row>
    <row r="55" spans="1:10" s="152" customFormat="1" x14ac:dyDescent="0.2">
      <c r="A55" s="118">
        <v>21</v>
      </c>
      <c r="B55" s="892" t="s">
        <v>30</v>
      </c>
      <c r="C55" s="12">
        <v>1</v>
      </c>
      <c r="D55" s="13">
        <v>786.04000000000008</v>
      </c>
      <c r="E55" s="25"/>
      <c r="F55" s="14"/>
      <c r="G55" s="15"/>
      <c r="H55" s="152">
        <v>429924.5780000001</v>
      </c>
    </row>
    <row r="56" spans="1:10" s="152" customFormat="1" ht="30" x14ac:dyDescent="0.2">
      <c r="A56" s="118">
        <v>22</v>
      </c>
      <c r="B56" s="892" t="s">
        <v>31</v>
      </c>
      <c r="C56" s="26">
        <v>100</v>
      </c>
      <c r="D56" s="13">
        <v>1796.0099999999998</v>
      </c>
      <c r="E56" s="25"/>
      <c r="F56" s="14"/>
      <c r="G56" s="15"/>
      <c r="H56" s="152">
        <v>538912.55660999985</v>
      </c>
    </row>
    <row r="57" spans="1:10" s="152" customFormat="1" x14ac:dyDescent="0.2">
      <c r="A57" s="44">
        <v>23</v>
      </c>
      <c r="B57" s="892" t="s">
        <v>32</v>
      </c>
      <c r="C57" s="24">
        <v>1</v>
      </c>
      <c r="D57" s="13">
        <v>457</v>
      </c>
      <c r="E57" s="25"/>
      <c r="F57" s="14"/>
      <c r="G57" s="15"/>
      <c r="H57" s="152">
        <v>52737.8</v>
      </c>
    </row>
    <row r="58" spans="1:10" s="152" customFormat="1" x14ac:dyDescent="0.2">
      <c r="A58" s="44">
        <v>24</v>
      </c>
      <c r="B58" s="892" t="s">
        <v>33</v>
      </c>
      <c r="C58" s="27">
        <v>1</v>
      </c>
      <c r="D58" s="13">
        <v>457</v>
      </c>
      <c r="E58" s="25"/>
      <c r="F58" s="14"/>
      <c r="G58" s="15"/>
      <c r="H58" s="152">
        <v>64848.3</v>
      </c>
    </row>
    <row r="59" spans="1:10" s="152" customFormat="1" x14ac:dyDescent="0.2">
      <c r="A59" s="44">
        <v>25</v>
      </c>
      <c r="B59" s="892" t="s">
        <v>34</v>
      </c>
      <c r="C59" s="19">
        <v>100</v>
      </c>
      <c r="D59" s="13">
        <v>1599.5</v>
      </c>
      <c r="E59" s="25"/>
      <c r="F59" s="14"/>
      <c r="G59" s="15"/>
      <c r="H59" s="152">
        <v>68899.26225</v>
      </c>
    </row>
    <row r="60" spans="1:10" s="152" customFormat="1" x14ac:dyDescent="0.2">
      <c r="A60" s="44">
        <v>26</v>
      </c>
      <c r="B60" s="892" t="s">
        <v>35</v>
      </c>
      <c r="C60" s="24">
        <v>1</v>
      </c>
      <c r="D60" s="13">
        <v>4570</v>
      </c>
      <c r="E60" s="25"/>
      <c r="F60" s="14"/>
      <c r="G60" s="15"/>
      <c r="H60" s="152">
        <v>139385</v>
      </c>
    </row>
    <row r="61" spans="1:10" s="152" customFormat="1" ht="30" x14ac:dyDescent="0.2">
      <c r="A61" s="118">
        <v>27</v>
      </c>
      <c r="B61" s="884" t="s">
        <v>328</v>
      </c>
      <c r="C61" s="179">
        <v>1000</v>
      </c>
      <c r="D61" s="13">
        <v>245</v>
      </c>
      <c r="E61" s="25"/>
      <c r="F61" s="14"/>
      <c r="G61" s="15"/>
      <c r="H61" s="152">
        <v>134.00274999999999</v>
      </c>
    </row>
    <row r="62" spans="1:10" s="152" customFormat="1" ht="30" x14ac:dyDescent="0.2">
      <c r="A62" s="118">
        <v>28</v>
      </c>
      <c r="B62" s="884" t="s">
        <v>329</v>
      </c>
      <c r="C62" s="895">
        <v>100</v>
      </c>
      <c r="D62" s="13">
        <v>367.5</v>
      </c>
      <c r="E62" s="25"/>
      <c r="F62" s="14"/>
      <c r="G62" s="15"/>
      <c r="H62" s="152">
        <v>110272.4175</v>
      </c>
    </row>
    <row r="63" spans="1:10" s="152" customFormat="1" ht="60" x14ac:dyDescent="0.2">
      <c r="A63" s="44">
        <v>29</v>
      </c>
      <c r="B63" s="884" t="s">
        <v>330</v>
      </c>
      <c r="C63" s="896">
        <v>1</v>
      </c>
      <c r="D63" s="13">
        <v>560</v>
      </c>
      <c r="E63" s="25"/>
      <c r="F63" s="14"/>
      <c r="G63" s="15"/>
      <c r="H63" s="152">
        <v>64624</v>
      </c>
    </row>
    <row r="64" spans="1:10" s="152" customFormat="1" ht="45" x14ac:dyDescent="0.2">
      <c r="A64" s="44">
        <v>30</v>
      </c>
      <c r="B64" s="884" t="s">
        <v>331</v>
      </c>
      <c r="C64" s="895">
        <v>100</v>
      </c>
      <c r="D64" s="13">
        <v>323.40000000000003</v>
      </c>
      <c r="E64" s="25"/>
      <c r="F64" s="14"/>
      <c r="G64" s="15"/>
      <c r="H64" s="152">
        <v>458.90460000000007</v>
      </c>
    </row>
    <row r="65" spans="1:11" x14ac:dyDescent="0.2">
      <c r="A65" s="117">
        <v>31</v>
      </c>
      <c r="B65" s="897" t="s">
        <v>333</v>
      </c>
      <c r="C65" s="898">
        <v>100</v>
      </c>
      <c r="D65" s="13">
        <v>1823.0675000000001</v>
      </c>
      <c r="E65" s="25"/>
      <c r="F65" s="14"/>
      <c r="G65" s="15"/>
      <c r="H65" s="870">
        <v>48008.659545000002</v>
      </c>
    </row>
    <row r="66" spans="1:11" ht="45" x14ac:dyDescent="0.2">
      <c r="A66" s="117">
        <v>32</v>
      </c>
      <c r="B66" s="897" t="s">
        <v>57</v>
      </c>
      <c r="C66" s="12">
        <v>100</v>
      </c>
      <c r="D66" s="13">
        <v>4635</v>
      </c>
      <c r="E66" s="25"/>
      <c r="F66" s="14"/>
      <c r="G66" s="15"/>
      <c r="H66" s="870">
        <v>186225.03</v>
      </c>
      <c r="I66" s="882"/>
    </row>
    <row r="67" spans="1:11" ht="30" x14ac:dyDescent="0.2">
      <c r="A67" s="117">
        <v>33</v>
      </c>
      <c r="B67" s="897" t="s">
        <v>336</v>
      </c>
      <c r="C67" s="12">
        <v>100</v>
      </c>
      <c r="D67" s="13">
        <v>13340.27</v>
      </c>
      <c r="E67" s="25"/>
      <c r="F67" s="14"/>
      <c r="G67" s="15"/>
      <c r="H67" s="870">
        <v>3613398.89328</v>
      </c>
    </row>
    <row r="68" spans="1:11" s="887" customFormat="1" ht="60" x14ac:dyDescent="0.2">
      <c r="A68" s="118">
        <v>34</v>
      </c>
      <c r="B68" s="884" t="s">
        <v>39</v>
      </c>
      <c r="C68" s="12">
        <v>1000</v>
      </c>
      <c r="D68" s="13">
        <v>588089.4261981172</v>
      </c>
      <c r="E68" s="14"/>
      <c r="F68" s="14"/>
      <c r="G68" s="15"/>
      <c r="H68" s="894">
        <v>7489671.6962887421</v>
      </c>
      <c r="J68" s="886">
        <v>63826446.624435835</v>
      </c>
      <c r="K68" s="894"/>
    </row>
    <row r="69" spans="1:11" s="887" customFormat="1" ht="66" customHeight="1" x14ac:dyDescent="0.2">
      <c r="A69" s="122">
        <v>35</v>
      </c>
      <c r="B69" s="884" t="s">
        <v>98</v>
      </c>
      <c r="C69" s="29">
        <v>100</v>
      </c>
      <c r="D69" s="13">
        <v>1015459.2095243642</v>
      </c>
      <c r="E69" s="14"/>
      <c r="F69" s="14"/>
      <c r="G69" s="15"/>
      <c r="H69" s="877">
        <v>308465028.61800659</v>
      </c>
      <c r="I69" s="877"/>
    </row>
    <row r="70" spans="1:11" ht="82.15" customHeight="1" x14ac:dyDescent="0.2">
      <c r="A70" s="44">
        <v>36</v>
      </c>
      <c r="B70" s="884" t="s">
        <v>41</v>
      </c>
      <c r="C70" s="12"/>
      <c r="D70" s="13">
        <v>0</v>
      </c>
      <c r="E70" s="893"/>
      <c r="F70" s="14"/>
      <c r="G70" s="893"/>
    </row>
    <row r="71" spans="1:11" ht="60" x14ac:dyDescent="0.2">
      <c r="A71" s="44" t="s">
        <v>42</v>
      </c>
      <c r="B71" s="884" t="s">
        <v>43</v>
      </c>
      <c r="C71" s="12">
        <v>1</v>
      </c>
      <c r="D71" s="13">
        <v>174842.05310147052</v>
      </c>
      <c r="E71" s="14"/>
      <c r="F71" s="14"/>
      <c r="G71" s="15"/>
      <c r="H71" s="882">
        <v>142942120.51310721</v>
      </c>
    </row>
    <row r="72" spans="1:11" ht="60" x14ac:dyDescent="0.2">
      <c r="A72" s="44" t="s">
        <v>44</v>
      </c>
      <c r="B72" s="884" t="s">
        <v>45</v>
      </c>
      <c r="C72" s="12">
        <v>1</v>
      </c>
      <c r="D72" s="13">
        <v>77484.511800000007</v>
      </c>
      <c r="E72" s="14"/>
      <c r="F72" s="14"/>
      <c r="G72" s="15"/>
      <c r="H72" s="882">
        <v>51953365.161900006</v>
      </c>
    </row>
    <row r="73" spans="1:11" ht="30" x14ac:dyDescent="0.2">
      <c r="A73" s="44">
        <v>37</v>
      </c>
      <c r="B73" s="902" t="s">
        <v>71</v>
      </c>
      <c r="C73" s="31">
        <v>1</v>
      </c>
      <c r="D73" s="13">
        <v>6423.48</v>
      </c>
      <c r="E73" s="14"/>
      <c r="F73" s="14"/>
      <c r="G73" s="15"/>
      <c r="H73" s="882">
        <v>5199164.7119999994</v>
      </c>
    </row>
    <row r="74" spans="1:11" ht="30" x14ac:dyDescent="0.2">
      <c r="A74" s="44">
        <v>38</v>
      </c>
      <c r="B74" s="884" t="s">
        <v>46</v>
      </c>
      <c r="C74" s="19">
        <v>100</v>
      </c>
      <c r="D74" s="13">
        <v>99728.813576470522</v>
      </c>
      <c r="E74" s="25"/>
      <c r="F74" s="14"/>
      <c r="G74" s="15"/>
      <c r="H74" s="882">
        <v>1640638.7121465164</v>
      </c>
    </row>
    <row r="75" spans="1:11" s="887" customFormat="1" ht="30" x14ac:dyDescent="0.2">
      <c r="A75" s="44">
        <v>39</v>
      </c>
      <c r="B75" s="884" t="s">
        <v>111</v>
      </c>
      <c r="C75" s="36">
        <v>1</v>
      </c>
      <c r="D75" s="13">
        <v>11417</v>
      </c>
      <c r="E75" s="25"/>
      <c r="F75" s="14"/>
      <c r="G75" s="15"/>
      <c r="H75" s="877">
        <v>5878613.2999999998</v>
      </c>
      <c r="I75" s="877"/>
    </row>
    <row r="76" spans="1:11" s="887" customFormat="1" x14ac:dyDescent="0.2">
      <c r="A76" s="121">
        <v>40</v>
      </c>
      <c r="B76" s="904" t="s">
        <v>87</v>
      </c>
      <c r="C76" s="36">
        <v>1</v>
      </c>
      <c r="D76" s="13">
        <v>48</v>
      </c>
      <c r="E76" s="33"/>
      <c r="F76" s="14"/>
      <c r="G76" s="15"/>
      <c r="H76" s="887">
        <v>18180</v>
      </c>
    </row>
    <row r="77" spans="1:11" ht="30" x14ac:dyDescent="0.2">
      <c r="A77" s="44">
        <v>41</v>
      </c>
      <c r="B77" s="884" t="s">
        <v>47</v>
      </c>
      <c r="C77" s="31">
        <v>1</v>
      </c>
      <c r="D77" s="13">
        <v>169.5</v>
      </c>
      <c r="E77" s="25"/>
      <c r="F77" s="14"/>
      <c r="G77" s="15"/>
      <c r="H77" s="870">
        <v>51494.1</v>
      </c>
    </row>
    <row r="78" spans="1:11" ht="75" x14ac:dyDescent="0.2">
      <c r="A78" s="44">
        <v>41</v>
      </c>
      <c r="B78" s="884" t="s">
        <v>164</v>
      </c>
      <c r="C78" s="36">
        <v>1</v>
      </c>
      <c r="D78" s="13">
        <v>624</v>
      </c>
      <c r="E78" s="13"/>
      <c r="F78" s="14"/>
      <c r="G78" s="15"/>
      <c r="H78" s="870">
        <v>1341818.3999999999</v>
      </c>
    </row>
    <row r="79" spans="1:11" s="887" customFormat="1" ht="90" x14ac:dyDescent="0.2">
      <c r="A79" s="44">
        <v>43</v>
      </c>
      <c r="B79" s="897" t="s">
        <v>422</v>
      </c>
      <c r="C79" s="12">
        <v>100</v>
      </c>
      <c r="D79" s="13">
        <v>4715</v>
      </c>
      <c r="E79" s="14"/>
      <c r="F79" s="14"/>
      <c r="G79" s="15"/>
      <c r="H79" s="894">
        <v>471665.02500000002</v>
      </c>
    </row>
    <row r="80" spans="1:11" s="887" customFormat="1" ht="75" x14ac:dyDescent="0.2">
      <c r="A80" s="44">
        <v>44</v>
      </c>
      <c r="B80" s="897" t="s">
        <v>423</v>
      </c>
      <c r="C80" s="12">
        <v>100</v>
      </c>
      <c r="D80" s="13">
        <v>2615</v>
      </c>
      <c r="E80" s="14"/>
      <c r="F80" s="14"/>
      <c r="G80" s="15"/>
      <c r="H80" s="887">
        <v>353741.51</v>
      </c>
    </row>
    <row r="81" spans="1:12" s="887" customFormat="1" ht="30" x14ac:dyDescent="0.2">
      <c r="A81" s="44">
        <v>45</v>
      </c>
      <c r="B81" s="897" t="s">
        <v>50</v>
      </c>
      <c r="C81" s="31">
        <v>1</v>
      </c>
      <c r="D81" s="13">
        <v>700</v>
      </c>
      <c r="E81" s="14"/>
      <c r="F81" s="14"/>
      <c r="G81" s="15"/>
      <c r="H81" s="887">
        <v>44940</v>
      </c>
    </row>
    <row r="82" spans="1:12" s="887" customFormat="1" ht="75" x14ac:dyDescent="0.2">
      <c r="A82" s="44">
        <v>46</v>
      </c>
      <c r="B82" s="897" t="s">
        <v>392</v>
      </c>
      <c r="C82" s="19"/>
      <c r="D82" s="13">
        <v>0</v>
      </c>
      <c r="E82" s="14"/>
      <c r="F82" s="14"/>
      <c r="G82" s="14"/>
    </row>
    <row r="83" spans="1:12" s="887" customFormat="1" ht="30" x14ac:dyDescent="0.2">
      <c r="A83" s="44" t="s">
        <v>51</v>
      </c>
      <c r="B83" s="897" t="s">
        <v>52</v>
      </c>
      <c r="C83" s="19">
        <v>100</v>
      </c>
      <c r="D83" s="13">
        <v>5230</v>
      </c>
      <c r="E83" s="25"/>
      <c r="F83" s="14"/>
      <c r="G83" s="15"/>
      <c r="H83" s="887">
        <v>237962.38500000001</v>
      </c>
    </row>
    <row r="84" spans="1:12" s="887" customFormat="1" ht="30" x14ac:dyDescent="0.2">
      <c r="A84" s="44" t="s">
        <v>53</v>
      </c>
      <c r="B84" s="897" t="s">
        <v>54</v>
      </c>
      <c r="C84" s="19">
        <v>100</v>
      </c>
      <c r="D84" s="13">
        <v>5230</v>
      </c>
      <c r="E84" s="25"/>
      <c r="F84" s="14"/>
      <c r="G84" s="15"/>
      <c r="H84" s="887">
        <v>138043.23499999999</v>
      </c>
    </row>
    <row r="85" spans="1:12" s="887" customFormat="1" ht="30" x14ac:dyDescent="0.2">
      <c r="A85" s="44" t="s">
        <v>55</v>
      </c>
      <c r="B85" s="897" t="s">
        <v>56</v>
      </c>
      <c r="C85" s="19">
        <v>100</v>
      </c>
      <c r="D85" s="13">
        <v>5230</v>
      </c>
      <c r="E85" s="25"/>
      <c r="F85" s="14"/>
      <c r="G85" s="15"/>
      <c r="H85" s="887">
        <v>102547.22500000001</v>
      </c>
    </row>
    <row r="86" spans="1:12" s="887" customFormat="1" x14ac:dyDescent="0.2">
      <c r="A86" s="120">
        <v>47</v>
      </c>
      <c r="B86" s="905" t="s">
        <v>419</v>
      </c>
      <c r="C86" s="12">
        <v>1000</v>
      </c>
      <c r="D86" s="13">
        <v>123165</v>
      </c>
      <c r="E86" s="25"/>
      <c r="F86" s="14"/>
      <c r="G86" s="15"/>
      <c r="H86" s="887">
        <v>1297370.844</v>
      </c>
    </row>
    <row r="87" spans="1:12" s="887" customFormat="1" x14ac:dyDescent="0.2">
      <c r="A87" s="121">
        <v>48</v>
      </c>
      <c r="B87" s="884" t="s">
        <v>88</v>
      </c>
      <c r="C87" s="19">
        <v>100</v>
      </c>
      <c r="D87" s="13">
        <v>15594.5</v>
      </c>
      <c r="E87" s="25"/>
      <c r="F87" s="14"/>
      <c r="G87" s="15"/>
      <c r="H87" s="887">
        <v>756395.62800000003</v>
      </c>
    </row>
    <row r="88" spans="1:12" s="887" customFormat="1" x14ac:dyDescent="0.2">
      <c r="A88" s="121">
        <v>49</v>
      </c>
      <c r="B88" s="904" t="s">
        <v>168</v>
      </c>
      <c r="C88" s="12">
        <v>100</v>
      </c>
      <c r="D88" s="13">
        <v>2100</v>
      </c>
      <c r="E88" s="13"/>
      <c r="F88" s="14"/>
      <c r="G88" s="15"/>
      <c r="H88" s="887">
        <v>284075.40000000002</v>
      </c>
    </row>
    <row r="89" spans="1:12" s="887" customFormat="1" ht="75" x14ac:dyDescent="0.2">
      <c r="A89" s="121">
        <v>50</v>
      </c>
      <c r="B89" s="904" t="s">
        <v>169</v>
      </c>
      <c r="C89" s="19">
        <v>100</v>
      </c>
      <c r="D89" s="13">
        <v>2800</v>
      </c>
      <c r="E89" s="40"/>
      <c r="F89" s="14"/>
      <c r="G89" s="15"/>
      <c r="H89" s="887">
        <v>127398.6</v>
      </c>
    </row>
    <row r="90" spans="1:12" s="887" customFormat="1" ht="30" x14ac:dyDescent="0.2">
      <c r="A90" s="121">
        <v>51</v>
      </c>
      <c r="B90" s="904" t="s">
        <v>165</v>
      </c>
      <c r="C90" s="35" t="s">
        <v>166</v>
      </c>
      <c r="D90" s="13">
        <v>304.64</v>
      </c>
      <c r="E90" s="33"/>
      <c r="F90" s="14"/>
      <c r="G90" s="15"/>
      <c r="H90" s="887">
        <v>21934.079999999998</v>
      </c>
    </row>
    <row r="91" spans="1:12" s="887" customFormat="1" ht="45" x14ac:dyDescent="0.2">
      <c r="A91" s="44">
        <v>52</v>
      </c>
      <c r="B91" s="884" t="s">
        <v>385</v>
      </c>
      <c r="C91" s="12">
        <v>1</v>
      </c>
      <c r="D91" s="13">
        <v>202.95000000000002</v>
      </c>
      <c r="E91" s="25"/>
      <c r="F91" s="14"/>
      <c r="G91" s="15"/>
      <c r="H91" s="887">
        <v>3602808.99</v>
      </c>
    </row>
    <row r="92" spans="1:12" s="887" customFormat="1" x14ac:dyDescent="0.2">
      <c r="A92" s="121">
        <v>53</v>
      </c>
      <c r="B92" s="906" t="s">
        <v>424</v>
      </c>
      <c r="C92" s="29">
        <v>1</v>
      </c>
      <c r="D92" s="13">
        <v>-26974.04</v>
      </c>
      <c r="E92" s="30"/>
      <c r="F92" s="14"/>
      <c r="G92" s="15"/>
      <c r="H92" s="887">
        <v>-4585586.8</v>
      </c>
      <c r="L92" s="877">
        <f>I93-H93</f>
        <v>208635971.87</v>
      </c>
    </row>
    <row r="93" spans="1:12" s="887" customFormat="1" x14ac:dyDescent="0.2">
      <c r="A93" s="121">
        <v>54</v>
      </c>
      <c r="B93" s="906" t="s">
        <v>425</v>
      </c>
      <c r="C93" s="405">
        <v>100</v>
      </c>
      <c r="D93" s="13">
        <v>-1823.07</v>
      </c>
      <c r="E93" s="30"/>
      <c r="F93" s="14"/>
      <c r="G93" s="15"/>
      <c r="H93" s="894">
        <v>-74745.87</v>
      </c>
      <c r="I93" s="886">
        <v>208561226</v>
      </c>
      <c r="J93" s="877">
        <f>I93-H93</f>
        <v>208635971.87</v>
      </c>
      <c r="L93" s="877">
        <f>L92+M97</f>
        <v>212143660.67000002</v>
      </c>
    </row>
    <row r="94" spans="1:12" s="887" customFormat="1" x14ac:dyDescent="0.2">
      <c r="A94" s="118">
        <v>55</v>
      </c>
      <c r="B94" s="884" t="s">
        <v>66</v>
      </c>
      <c r="C94" s="12">
        <v>1000</v>
      </c>
      <c r="D94" s="13">
        <v>333466.16890399996</v>
      </c>
      <c r="E94" s="14"/>
      <c r="F94" s="14"/>
      <c r="G94" s="15"/>
      <c r="H94" s="894">
        <v>4014399.1277339128</v>
      </c>
      <c r="J94" s="886">
        <v>36383456.567040272</v>
      </c>
    </row>
    <row r="95" spans="1:12" s="887" customFormat="1" ht="30" x14ac:dyDescent="0.2">
      <c r="A95" s="44">
        <v>56</v>
      </c>
      <c r="B95" s="884" t="s">
        <v>70</v>
      </c>
      <c r="C95" s="12">
        <v>100</v>
      </c>
      <c r="D95" s="13">
        <v>13799.150000000001</v>
      </c>
      <c r="E95" s="25"/>
      <c r="F95" s="14"/>
      <c r="G95" s="15"/>
      <c r="H95" s="894">
        <v>4930022.3205000004</v>
      </c>
    </row>
    <row r="96" spans="1:12" s="887" customFormat="1" x14ac:dyDescent="0.2">
      <c r="A96" s="44">
        <v>57</v>
      </c>
      <c r="B96" s="907" t="s">
        <v>72</v>
      </c>
      <c r="C96" s="34">
        <v>1</v>
      </c>
      <c r="D96" s="13">
        <v>1670</v>
      </c>
      <c r="E96" s="14"/>
      <c r="F96" s="14"/>
      <c r="G96" s="15"/>
      <c r="H96" s="887">
        <v>2306270</v>
      </c>
    </row>
    <row r="97" spans="1:13" s="887" customFormat="1" x14ac:dyDescent="0.2">
      <c r="A97" s="117">
        <v>58</v>
      </c>
      <c r="B97" s="884" t="s">
        <v>158</v>
      </c>
      <c r="C97" s="12">
        <v>100</v>
      </c>
      <c r="D97" s="13">
        <v>93240</v>
      </c>
      <c r="E97" s="25"/>
      <c r="F97" s="14"/>
      <c r="G97" s="15"/>
      <c r="H97" s="886">
        <v>3507688.8</v>
      </c>
      <c r="I97" s="894">
        <f>SUM(G97:G111)</f>
        <v>0</v>
      </c>
      <c r="J97" s="877">
        <f>I97-H97</f>
        <v>-3507688.8</v>
      </c>
      <c r="M97" s="877">
        <f>H97-I97</f>
        <v>3507688.8</v>
      </c>
    </row>
    <row r="98" spans="1:13" s="887" customFormat="1" ht="30" x14ac:dyDescent="0.2">
      <c r="A98" s="118">
        <v>59</v>
      </c>
      <c r="B98" s="884" t="s">
        <v>159</v>
      </c>
      <c r="C98" s="12">
        <v>100</v>
      </c>
      <c r="D98" s="13">
        <v>126000</v>
      </c>
      <c r="E98" s="25"/>
      <c r="F98" s="14"/>
      <c r="G98" s="15"/>
      <c r="H98" s="887">
        <v>5977125</v>
      </c>
      <c r="K98" s="877">
        <f>J97+J93</f>
        <v>205128283.06999999</v>
      </c>
    </row>
    <row r="99" spans="1:13" s="887" customFormat="1" ht="30" x14ac:dyDescent="0.2">
      <c r="A99" s="118">
        <v>60</v>
      </c>
      <c r="B99" s="884" t="s">
        <v>75</v>
      </c>
      <c r="C99" s="12">
        <v>100</v>
      </c>
      <c r="D99" s="13">
        <v>50517.799999999988</v>
      </c>
      <c r="E99" s="25"/>
      <c r="F99" s="14"/>
      <c r="G99" s="15"/>
      <c r="H99" s="887">
        <v>3459964.1219999995</v>
      </c>
    </row>
    <row r="100" spans="1:13" s="887" customFormat="1" x14ac:dyDescent="0.2">
      <c r="A100" s="44">
        <v>61</v>
      </c>
      <c r="B100" s="883" t="s">
        <v>76</v>
      </c>
      <c r="C100" s="19">
        <v>100</v>
      </c>
      <c r="D100" s="13">
        <v>94646.546860000017</v>
      </c>
      <c r="E100" s="25"/>
      <c r="F100" s="14"/>
      <c r="G100" s="15"/>
      <c r="H100" s="887">
        <v>2143838.9329258604</v>
      </c>
    </row>
    <row r="101" spans="1:13" s="887" customFormat="1" x14ac:dyDescent="0.2">
      <c r="A101" s="44">
        <v>62</v>
      </c>
      <c r="B101" s="883" t="s">
        <v>77</v>
      </c>
      <c r="C101" s="19">
        <v>100</v>
      </c>
      <c r="D101" s="13">
        <v>15600.14</v>
      </c>
      <c r="E101" s="25"/>
      <c r="F101" s="14"/>
      <c r="G101" s="15"/>
      <c r="H101" s="887">
        <v>259040.3247</v>
      </c>
    </row>
    <row r="102" spans="1:13" s="887" customFormat="1" x14ac:dyDescent="0.2">
      <c r="A102" s="118">
        <v>63</v>
      </c>
      <c r="B102" s="884" t="s">
        <v>78</v>
      </c>
      <c r="C102" s="12">
        <v>100</v>
      </c>
      <c r="D102" s="13">
        <v>32048.504830399994</v>
      </c>
      <c r="E102" s="25"/>
      <c r="F102" s="14"/>
      <c r="G102" s="15"/>
      <c r="H102" s="887">
        <v>5949516.4852202842</v>
      </c>
    </row>
    <row r="103" spans="1:13" s="887" customFormat="1" x14ac:dyDescent="0.2">
      <c r="A103" s="118">
        <v>64</v>
      </c>
      <c r="B103" s="884" t="s">
        <v>79</v>
      </c>
      <c r="C103" s="12">
        <v>100</v>
      </c>
      <c r="D103" s="13">
        <v>32048.504830399994</v>
      </c>
      <c r="E103" s="25"/>
      <c r="F103" s="14"/>
      <c r="G103" s="15"/>
      <c r="H103" s="887">
        <v>5949516.4852202842</v>
      </c>
    </row>
    <row r="104" spans="1:13" s="887" customFormat="1" x14ac:dyDescent="0.2">
      <c r="A104" s="118">
        <v>65</v>
      </c>
      <c r="B104" s="884" t="s">
        <v>80</v>
      </c>
      <c r="C104" s="12">
        <v>100</v>
      </c>
      <c r="D104" s="13">
        <v>5305.0890000000009</v>
      </c>
      <c r="E104" s="25"/>
      <c r="F104" s="14"/>
      <c r="G104" s="15"/>
      <c r="H104" s="887">
        <v>955849.71566400002</v>
      </c>
    </row>
    <row r="105" spans="1:13" s="887" customFormat="1" x14ac:dyDescent="0.2">
      <c r="A105" s="118">
        <v>66</v>
      </c>
      <c r="B105" s="884" t="s">
        <v>81</v>
      </c>
      <c r="C105" s="12">
        <v>100</v>
      </c>
      <c r="D105" s="13">
        <v>5305.0890000000009</v>
      </c>
      <c r="E105" s="25"/>
      <c r="F105" s="14"/>
      <c r="G105" s="15"/>
      <c r="H105" s="887">
        <v>955849.71566400002</v>
      </c>
    </row>
    <row r="106" spans="1:13" s="887" customFormat="1" x14ac:dyDescent="0.2">
      <c r="A106" s="118">
        <v>67</v>
      </c>
      <c r="B106" s="884" t="s">
        <v>82</v>
      </c>
      <c r="C106" s="12">
        <v>100</v>
      </c>
      <c r="D106" s="13">
        <v>97109.842880000026</v>
      </c>
      <c r="E106" s="25"/>
      <c r="F106" s="14"/>
      <c r="G106" s="15"/>
      <c r="H106" s="887">
        <v>11178314.013916802</v>
      </c>
    </row>
    <row r="107" spans="1:13" s="887" customFormat="1" x14ac:dyDescent="0.2">
      <c r="A107" s="118">
        <v>68</v>
      </c>
      <c r="B107" s="884" t="s">
        <v>83</v>
      </c>
      <c r="C107" s="12">
        <v>100</v>
      </c>
      <c r="D107" s="13">
        <v>15372.419999999998</v>
      </c>
      <c r="E107" s="25"/>
      <c r="F107" s="14"/>
      <c r="G107" s="15"/>
      <c r="H107" s="887">
        <v>1624941.6560999998</v>
      </c>
    </row>
    <row r="108" spans="1:13" s="887" customFormat="1" ht="45" x14ac:dyDescent="0.2">
      <c r="A108" s="118">
        <v>69</v>
      </c>
      <c r="B108" s="908" t="s">
        <v>84</v>
      </c>
      <c r="C108" s="12">
        <v>100</v>
      </c>
      <c r="D108" s="13">
        <v>364527.73397300002</v>
      </c>
      <c r="E108" s="25"/>
      <c r="F108" s="14"/>
      <c r="G108" s="15"/>
      <c r="H108" s="887">
        <v>51189171.570892505</v>
      </c>
    </row>
    <row r="109" spans="1:13" s="887" customFormat="1" x14ac:dyDescent="0.2">
      <c r="A109" s="990">
        <v>70</v>
      </c>
      <c r="B109" s="883" t="s">
        <v>334</v>
      </c>
      <c r="C109" s="12"/>
      <c r="D109" s="13">
        <v>0</v>
      </c>
      <c r="E109" s="12"/>
      <c r="F109" s="14"/>
      <c r="G109" s="15"/>
      <c r="H109" s="887" t="s">
        <v>440</v>
      </c>
    </row>
    <row r="110" spans="1:13" s="887" customFormat="1" x14ac:dyDescent="0.2">
      <c r="A110" s="991"/>
      <c r="B110" s="883" t="s">
        <v>337</v>
      </c>
      <c r="C110" s="29">
        <v>1</v>
      </c>
      <c r="D110" s="13">
        <v>2535</v>
      </c>
      <c r="E110" s="25"/>
      <c r="F110" s="14"/>
      <c r="G110" s="15"/>
      <c r="H110" s="887">
        <v>-430950</v>
      </c>
    </row>
    <row r="111" spans="1:13" s="887" customFormat="1" x14ac:dyDescent="0.2">
      <c r="A111" s="992"/>
      <c r="B111" s="883" t="s">
        <v>335</v>
      </c>
      <c r="C111" s="12">
        <v>100</v>
      </c>
      <c r="D111" s="13">
        <v>1819.13</v>
      </c>
      <c r="E111" s="25"/>
      <c r="F111" s="14"/>
      <c r="G111" s="15"/>
      <c r="H111" s="894">
        <v>-74584.33</v>
      </c>
      <c r="I111" s="886">
        <f>1364663*37</f>
        <v>50492531</v>
      </c>
    </row>
    <row r="112" spans="1:13" s="887" customFormat="1" ht="45" x14ac:dyDescent="0.2">
      <c r="A112" s="118">
        <v>71</v>
      </c>
      <c r="B112" s="884" t="s">
        <v>90</v>
      </c>
      <c r="C112" s="12">
        <v>1000</v>
      </c>
      <c r="D112" s="13">
        <v>20161.000607832604</v>
      </c>
      <c r="E112" s="14"/>
      <c r="F112" s="14"/>
      <c r="G112" s="15"/>
      <c r="H112" s="877">
        <v>319030.6977684343</v>
      </c>
      <c r="I112" s="877">
        <f>D112-H112</f>
        <v>-298869.69716060167</v>
      </c>
      <c r="J112" s="894">
        <f>SUM(G112:G155)</f>
        <v>0</v>
      </c>
    </row>
    <row r="113" spans="1:10" s="887" customFormat="1" ht="75" x14ac:dyDescent="0.2">
      <c r="A113" s="118">
        <v>72</v>
      </c>
      <c r="B113" s="908" t="s">
        <v>91</v>
      </c>
      <c r="C113" s="19">
        <v>1</v>
      </c>
      <c r="D113" s="13">
        <v>18814.5</v>
      </c>
      <c r="E113" s="25"/>
      <c r="F113" s="14"/>
      <c r="G113" s="15"/>
      <c r="H113" s="877">
        <v>236121.97500000001</v>
      </c>
      <c r="I113" s="877">
        <f t="shared" ref="I113:I155" si="0">D113-H113</f>
        <v>-217307.47500000001</v>
      </c>
    </row>
    <row r="114" spans="1:10" s="887" customFormat="1" ht="45" x14ac:dyDescent="0.2">
      <c r="A114" s="44">
        <v>73</v>
      </c>
      <c r="B114" s="884" t="s">
        <v>93</v>
      </c>
      <c r="C114" s="19">
        <v>100</v>
      </c>
      <c r="D114" s="13">
        <v>13211.49</v>
      </c>
      <c r="E114" s="14"/>
      <c r="F114" s="14"/>
      <c r="G114" s="15"/>
      <c r="H114" s="877">
        <v>1005044.2845149999</v>
      </c>
      <c r="I114" s="877"/>
    </row>
    <row r="115" spans="1:10" s="887" customFormat="1" x14ac:dyDescent="0.2">
      <c r="A115" s="44">
        <v>74</v>
      </c>
      <c r="B115" s="884" t="s">
        <v>94</v>
      </c>
      <c r="C115" s="12">
        <v>1000</v>
      </c>
      <c r="D115" s="13">
        <v>37224.369999999995</v>
      </c>
      <c r="E115" s="14"/>
      <c r="F115" s="14"/>
      <c r="G115" s="15"/>
      <c r="H115" s="877">
        <v>280960.23866749997</v>
      </c>
      <c r="I115" s="877"/>
    </row>
    <row r="116" spans="1:10" s="887" customFormat="1" ht="30" x14ac:dyDescent="0.2">
      <c r="A116" s="44">
        <v>75</v>
      </c>
      <c r="B116" s="884" t="s">
        <v>95</v>
      </c>
      <c r="C116" s="12">
        <v>100</v>
      </c>
      <c r="D116" s="13">
        <v>10763.3</v>
      </c>
      <c r="E116" s="14"/>
      <c r="F116" s="14"/>
      <c r="G116" s="15"/>
      <c r="H116" s="877">
        <v>3856554.9697999996</v>
      </c>
      <c r="I116" s="877">
        <f t="shared" si="0"/>
        <v>-3845791.6697999998</v>
      </c>
    </row>
    <row r="117" spans="1:10" s="887" customFormat="1" ht="90.75" x14ac:dyDescent="0.2">
      <c r="A117" s="44">
        <v>76</v>
      </c>
      <c r="B117" s="884" t="s">
        <v>41</v>
      </c>
      <c r="C117" s="20"/>
      <c r="D117" s="13">
        <v>0</v>
      </c>
      <c r="E117" s="13"/>
      <c r="F117" s="14"/>
      <c r="G117" s="13"/>
      <c r="H117" s="877">
        <v>0</v>
      </c>
      <c r="I117" s="877">
        <f t="shared" si="0"/>
        <v>0</v>
      </c>
    </row>
    <row r="118" spans="1:10" s="887" customFormat="1" ht="60" x14ac:dyDescent="0.2">
      <c r="A118" s="44" t="s">
        <v>42</v>
      </c>
      <c r="B118" s="884" t="s">
        <v>96</v>
      </c>
      <c r="C118" s="12">
        <v>1</v>
      </c>
      <c r="D118" s="13">
        <v>5704.1345999999994</v>
      </c>
      <c r="E118" s="14"/>
      <c r="F118" s="14"/>
      <c r="G118" s="15"/>
      <c r="H118" s="877">
        <v>4231612.2530100001</v>
      </c>
      <c r="I118" s="877">
        <f t="shared" si="0"/>
        <v>-4225908.1184099996</v>
      </c>
    </row>
    <row r="119" spans="1:10" s="887" customFormat="1" ht="60" x14ac:dyDescent="0.2">
      <c r="A119" s="44" t="s">
        <v>44</v>
      </c>
      <c r="B119" s="884" t="s">
        <v>97</v>
      </c>
      <c r="C119" s="12">
        <v>1</v>
      </c>
      <c r="D119" s="13">
        <v>681.08906249999995</v>
      </c>
      <c r="E119" s="14"/>
      <c r="F119" s="14"/>
      <c r="G119" s="15"/>
      <c r="H119" s="877">
        <v>405247.9921875</v>
      </c>
      <c r="I119" s="877">
        <f t="shared" si="0"/>
        <v>-404566.90312500001</v>
      </c>
    </row>
    <row r="120" spans="1:10" s="887" customFormat="1" ht="129.6" customHeight="1" x14ac:dyDescent="0.2">
      <c r="A120" s="44">
        <v>77</v>
      </c>
      <c r="B120" s="884" t="s">
        <v>99</v>
      </c>
      <c r="C120" s="19">
        <v>1</v>
      </c>
      <c r="D120" s="13">
        <v>1184</v>
      </c>
      <c r="E120" s="14"/>
      <c r="F120" s="14"/>
      <c r="G120" s="15"/>
      <c r="H120" s="877">
        <v>2581948.7999999998</v>
      </c>
      <c r="I120" s="877">
        <f t="shared" si="0"/>
        <v>-2580764.7999999998</v>
      </c>
    </row>
    <row r="121" spans="1:10" s="887" customFormat="1" ht="45" x14ac:dyDescent="0.2">
      <c r="A121" s="44">
        <v>78</v>
      </c>
      <c r="B121" s="884" t="s">
        <v>100</v>
      </c>
      <c r="C121" s="19">
        <v>1</v>
      </c>
      <c r="D121" s="13">
        <v>5302</v>
      </c>
      <c r="E121" s="14"/>
      <c r="F121" s="14"/>
      <c r="G121" s="15"/>
      <c r="H121" s="877">
        <v>2423544.2000000002</v>
      </c>
      <c r="I121" s="877"/>
    </row>
    <row r="122" spans="1:10" s="887" customFormat="1" ht="30" x14ac:dyDescent="0.2">
      <c r="A122" s="44">
        <v>79</v>
      </c>
      <c r="B122" s="884" t="s">
        <v>101</v>
      </c>
      <c r="C122" s="19">
        <v>1</v>
      </c>
      <c r="D122" s="13">
        <v>1813</v>
      </c>
      <c r="E122" s="14"/>
      <c r="F122" s="14"/>
      <c r="G122" s="15"/>
      <c r="H122" s="877">
        <v>5016571</v>
      </c>
      <c r="I122" s="877">
        <f t="shared" si="0"/>
        <v>-5014758</v>
      </c>
    </row>
    <row r="123" spans="1:10" s="887" customFormat="1" ht="45" x14ac:dyDescent="0.2">
      <c r="A123" s="44">
        <v>80</v>
      </c>
      <c r="B123" s="884" t="s">
        <v>102</v>
      </c>
      <c r="C123" s="19">
        <v>100</v>
      </c>
      <c r="D123" s="13">
        <v>3535.8125</v>
      </c>
      <c r="E123" s="14"/>
      <c r="F123" s="14"/>
      <c r="G123" s="15"/>
      <c r="H123" s="877">
        <v>466005.94425000006</v>
      </c>
      <c r="I123" s="877">
        <f t="shared" si="0"/>
        <v>-462470.13175000006</v>
      </c>
    </row>
    <row r="124" spans="1:10" s="887" customFormat="1" x14ac:dyDescent="0.2">
      <c r="A124" s="44">
        <v>81</v>
      </c>
      <c r="B124" s="884" t="s">
        <v>103</v>
      </c>
      <c r="C124" s="19">
        <v>1</v>
      </c>
      <c r="D124" s="13">
        <v>43350.188849999999</v>
      </c>
      <c r="E124" s="14"/>
      <c r="F124" s="14"/>
      <c r="G124" s="15"/>
      <c r="H124" s="877">
        <v>476852.07734999998</v>
      </c>
      <c r="I124" s="877"/>
    </row>
    <row r="125" spans="1:10" s="887" customFormat="1" x14ac:dyDescent="0.2">
      <c r="A125" s="44">
        <v>82</v>
      </c>
      <c r="B125" s="884" t="s">
        <v>104</v>
      </c>
      <c r="C125" s="12">
        <v>100</v>
      </c>
      <c r="D125" s="13">
        <v>8934.8274999999994</v>
      </c>
      <c r="E125" s="25"/>
      <c r="F125" s="14"/>
      <c r="G125" s="15"/>
      <c r="H125" s="877">
        <v>356231.57242500002</v>
      </c>
      <c r="I125" s="877"/>
    </row>
    <row r="126" spans="1:10" s="887" customFormat="1" ht="30" x14ac:dyDescent="0.2">
      <c r="A126" s="44">
        <v>83</v>
      </c>
      <c r="B126" s="884" t="s">
        <v>105</v>
      </c>
      <c r="C126" s="12">
        <v>100</v>
      </c>
      <c r="D126" s="13">
        <v>10919.7875</v>
      </c>
      <c r="E126" s="25"/>
      <c r="F126" s="14"/>
      <c r="G126" s="15"/>
      <c r="H126" s="877">
        <v>1397863.83745</v>
      </c>
      <c r="I126" s="877"/>
    </row>
    <row r="127" spans="1:10" s="887" customFormat="1" x14ac:dyDescent="0.2">
      <c r="A127" s="44">
        <v>84</v>
      </c>
      <c r="B127" s="884" t="s">
        <v>108</v>
      </c>
      <c r="C127" s="19">
        <v>100</v>
      </c>
      <c r="D127" s="13">
        <v>140437.41625000001</v>
      </c>
      <c r="E127" s="25"/>
      <c r="F127" s="14"/>
      <c r="G127" s="15"/>
      <c r="H127" s="877">
        <v>6479922.8231912507</v>
      </c>
      <c r="I127" s="877">
        <f t="shared" si="0"/>
        <v>-6339485.4069412509</v>
      </c>
      <c r="J127" s="894"/>
    </row>
    <row r="128" spans="1:10" s="887" customFormat="1" ht="30" x14ac:dyDescent="0.2">
      <c r="A128" s="44">
        <v>85</v>
      </c>
      <c r="B128" s="884" t="s">
        <v>109</v>
      </c>
      <c r="C128" s="19">
        <v>100</v>
      </c>
      <c r="D128" s="13">
        <v>4237.2400000000007</v>
      </c>
      <c r="E128" s="25"/>
      <c r="F128" s="14"/>
      <c r="G128" s="15"/>
      <c r="H128" s="877">
        <v>223075.85566000003</v>
      </c>
      <c r="I128" s="877">
        <f t="shared" si="0"/>
        <v>-218838.61566000004</v>
      </c>
    </row>
    <row r="129" spans="1:10" s="887" customFormat="1" ht="45" x14ac:dyDescent="0.2">
      <c r="A129" s="44">
        <v>86</v>
      </c>
      <c r="B129" s="884" t="s">
        <v>110</v>
      </c>
      <c r="C129" s="19">
        <v>100</v>
      </c>
      <c r="D129" s="13">
        <v>83405.59</v>
      </c>
      <c r="E129" s="25"/>
      <c r="F129" s="14"/>
      <c r="G129" s="15"/>
      <c r="H129" s="877">
        <v>4180830.3071349994</v>
      </c>
      <c r="I129" s="877">
        <f t="shared" si="0"/>
        <v>-4097424.7171349996</v>
      </c>
      <c r="J129" s="894"/>
    </row>
    <row r="130" spans="1:10" s="887" customFormat="1" x14ac:dyDescent="0.2">
      <c r="A130" s="44">
        <v>87</v>
      </c>
      <c r="B130" s="884" t="s">
        <v>112</v>
      </c>
      <c r="C130" s="37">
        <v>1</v>
      </c>
      <c r="D130" s="13">
        <v>658</v>
      </c>
      <c r="E130" s="25"/>
      <c r="F130" s="14"/>
      <c r="G130" s="15"/>
      <c r="H130" s="877">
        <v>559102.6</v>
      </c>
      <c r="I130" s="877">
        <f t="shared" si="0"/>
        <v>-558444.6</v>
      </c>
      <c r="J130" s="894"/>
    </row>
    <row r="131" spans="1:10" s="887" customFormat="1" x14ac:dyDescent="0.2">
      <c r="A131" s="44">
        <v>88</v>
      </c>
      <c r="B131" s="884" t="s">
        <v>113</v>
      </c>
      <c r="C131" s="37">
        <v>1</v>
      </c>
      <c r="D131" s="13">
        <v>154</v>
      </c>
      <c r="E131" s="25"/>
      <c r="F131" s="14"/>
      <c r="G131" s="15"/>
      <c r="H131" s="877">
        <v>178586.1</v>
      </c>
      <c r="I131" s="877">
        <f t="shared" si="0"/>
        <v>-178432.1</v>
      </c>
      <c r="J131" s="894"/>
    </row>
    <row r="132" spans="1:10" s="887" customFormat="1" x14ac:dyDescent="0.2">
      <c r="A132" s="44">
        <v>89</v>
      </c>
      <c r="B132" s="884" t="s">
        <v>114</v>
      </c>
      <c r="C132" s="19">
        <v>100</v>
      </c>
      <c r="D132" s="13">
        <v>118808.22750000001</v>
      </c>
      <c r="E132" s="25"/>
      <c r="F132" s="14"/>
      <c r="G132" s="15"/>
      <c r="H132" s="877">
        <v>1839388.9781550001</v>
      </c>
      <c r="I132" s="877">
        <f t="shared" si="0"/>
        <v>-1720580.7506550001</v>
      </c>
      <c r="J132" s="894"/>
    </row>
    <row r="133" spans="1:10" s="887" customFormat="1" x14ac:dyDescent="0.2">
      <c r="A133" s="44">
        <v>90</v>
      </c>
      <c r="B133" s="884" t="s">
        <v>116</v>
      </c>
      <c r="C133" s="19">
        <v>100</v>
      </c>
      <c r="D133" s="13">
        <v>12309</v>
      </c>
      <c r="E133" s="25"/>
      <c r="F133" s="14"/>
      <c r="G133" s="15"/>
      <c r="H133" s="877">
        <v>375719.91600000003</v>
      </c>
      <c r="I133" s="877">
        <f t="shared" si="0"/>
        <v>-363410.91600000003</v>
      </c>
      <c r="J133" s="894"/>
    </row>
    <row r="134" spans="1:10" s="887" customFormat="1" ht="45" x14ac:dyDescent="0.2">
      <c r="A134" s="44">
        <v>91</v>
      </c>
      <c r="B134" s="876" t="s">
        <v>117</v>
      </c>
      <c r="C134" s="29">
        <v>100</v>
      </c>
      <c r="D134" s="13">
        <v>12393.472738818833</v>
      </c>
      <c r="E134" s="14"/>
      <c r="F134" s="14"/>
      <c r="G134" s="15"/>
      <c r="H134" s="877">
        <v>4597835.8611652907</v>
      </c>
      <c r="I134" s="877">
        <f t="shared" si="0"/>
        <v>-4585442.3884264715</v>
      </c>
    </row>
    <row r="135" spans="1:10" s="887" customFormat="1" ht="30" x14ac:dyDescent="0.2">
      <c r="A135" s="987">
        <v>92</v>
      </c>
      <c r="B135" s="884" t="s">
        <v>118</v>
      </c>
      <c r="C135" s="20"/>
      <c r="D135" s="13">
        <v>0</v>
      </c>
      <c r="E135" s="20"/>
      <c r="F135" s="14"/>
      <c r="G135" s="20"/>
      <c r="H135" s="877"/>
      <c r="I135" s="877">
        <f t="shared" si="0"/>
        <v>0</v>
      </c>
    </row>
    <row r="136" spans="1:10" s="887" customFormat="1" x14ac:dyDescent="0.2">
      <c r="A136" s="988"/>
      <c r="B136" s="884" t="s">
        <v>148</v>
      </c>
      <c r="C136" s="36">
        <v>1</v>
      </c>
      <c r="D136" s="13">
        <v>12520</v>
      </c>
      <c r="E136" s="25"/>
      <c r="F136" s="14"/>
      <c r="G136" s="15"/>
      <c r="H136" s="877">
        <v>1405370</v>
      </c>
      <c r="I136" s="877">
        <f t="shared" si="0"/>
        <v>-1392850</v>
      </c>
      <c r="J136" s="894"/>
    </row>
    <row r="137" spans="1:10" s="887" customFormat="1" x14ac:dyDescent="0.2">
      <c r="A137" s="988"/>
      <c r="B137" s="884" t="s">
        <v>149</v>
      </c>
      <c r="C137" s="36">
        <v>1</v>
      </c>
      <c r="D137" s="13">
        <v>6560</v>
      </c>
      <c r="E137" s="25"/>
      <c r="F137" s="14"/>
      <c r="G137" s="15"/>
      <c r="H137" s="877">
        <v>876416</v>
      </c>
      <c r="I137" s="877">
        <f t="shared" si="0"/>
        <v>-869856</v>
      </c>
      <c r="J137" s="894"/>
    </row>
    <row r="138" spans="1:10" s="887" customFormat="1" x14ac:dyDescent="0.2">
      <c r="A138" s="989"/>
      <c r="B138" s="884" t="s">
        <v>471</v>
      </c>
      <c r="C138" s="36">
        <v>1</v>
      </c>
      <c r="D138" s="13">
        <v>555</v>
      </c>
      <c r="E138" s="25"/>
      <c r="F138" s="14"/>
      <c r="G138" s="15"/>
      <c r="H138" s="877">
        <v>128510.25</v>
      </c>
      <c r="I138" s="877">
        <f t="shared" si="0"/>
        <v>-127955.25</v>
      </c>
    </row>
    <row r="139" spans="1:10" s="887" customFormat="1" ht="60" x14ac:dyDescent="0.2">
      <c r="A139" s="987">
        <v>93</v>
      </c>
      <c r="B139" s="884" t="s">
        <v>123</v>
      </c>
      <c r="C139" s="20"/>
      <c r="D139" s="13">
        <v>0</v>
      </c>
      <c r="E139" s="20"/>
      <c r="F139" s="14"/>
      <c r="G139" s="20"/>
      <c r="H139" s="877"/>
      <c r="I139" s="877">
        <f t="shared" si="0"/>
        <v>0</v>
      </c>
    </row>
    <row r="140" spans="1:10" s="887" customFormat="1" x14ac:dyDescent="0.2">
      <c r="A140" s="988"/>
      <c r="B140" s="884" t="s">
        <v>150</v>
      </c>
      <c r="C140" s="36">
        <v>1</v>
      </c>
      <c r="D140" s="13">
        <v>36960</v>
      </c>
      <c r="E140" s="25"/>
      <c r="F140" s="14"/>
      <c r="G140" s="15"/>
      <c r="H140" s="877">
        <v>1319472</v>
      </c>
      <c r="I140" s="877">
        <f t="shared" si="0"/>
        <v>-1282512</v>
      </c>
      <c r="J140" s="894"/>
    </row>
    <row r="141" spans="1:10" s="887" customFormat="1" x14ac:dyDescent="0.2">
      <c r="A141" s="989"/>
      <c r="B141" s="884" t="s">
        <v>151</v>
      </c>
      <c r="C141" s="36">
        <v>1</v>
      </c>
      <c r="D141" s="13">
        <v>13020</v>
      </c>
      <c r="E141" s="25"/>
      <c r="F141" s="14"/>
      <c r="G141" s="15"/>
      <c r="H141" s="877">
        <v>733026</v>
      </c>
      <c r="I141" s="877">
        <f t="shared" si="0"/>
        <v>-720006</v>
      </c>
      <c r="J141" s="894"/>
    </row>
    <row r="142" spans="1:10" s="887" customFormat="1" ht="45" x14ac:dyDescent="0.2">
      <c r="A142" s="44">
        <v>94</v>
      </c>
      <c r="B142" s="884" t="s">
        <v>126</v>
      </c>
      <c r="C142" s="36">
        <v>1</v>
      </c>
      <c r="D142" s="13">
        <v>19680</v>
      </c>
      <c r="E142" s="25"/>
      <c r="F142" s="14"/>
      <c r="G142" s="15"/>
      <c r="H142" s="877">
        <v>4676952</v>
      </c>
      <c r="I142" s="877">
        <f t="shared" si="0"/>
        <v>-4657272</v>
      </c>
      <c r="J142" s="894"/>
    </row>
    <row r="143" spans="1:10" s="887" customFormat="1" ht="45" x14ac:dyDescent="0.2">
      <c r="A143" s="987">
        <v>95</v>
      </c>
      <c r="B143" s="884" t="s">
        <v>127</v>
      </c>
      <c r="C143" s="20"/>
      <c r="D143" s="13">
        <v>0</v>
      </c>
      <c r="E143" s="20"/>
      <c r="F143" s="14"/>
      <c r="G143" s="20"/>
      <c r="H143" s="877"/>
      <c r="I143" s="877">
        <f t="shared" si="0"/>
        <v>0</v>
      </c>
    </row>
    <row r="144" spans="1:10" s="887" customFormat="1" x14ac:dyDescent="0.2">
      <c r="A144" s="988"/>
      <c r="B144" s="884" t="s">
        <v>152</v>
      </c>
      <c r="C144" s="38">
        <v>1</v>
      </c>
      <c r="D144" s="13">
        <v>219</v>
      </c>
      <c r="E144" s="25"/>
      <c r="F144" s="14"/>
      <c r="G144" s="15"/>
      <c r="H144" s="877">
        <v>83723.7</v>
      </c>
      <c r="I144" s="877">
        <f t="shared" si="0"/>
        <v>-83504.7</v>
      </c>
      <c r="J144" s="894"/>
    </row>
    <row r="145" spans="1:10" s="887" customFormat="1" x14ac:dyDescent="0.2">
      <c r="A145" s="988"/>
      <c r="B145" s="884" t="s">
        <v>153</v>
      </c>
      <c r="C145" s="38">
        <v>1</v>
      </c>
      <c r="D145" s="13">
        <v>432</v>
      </c>
      <c r="E145" s="25"/>
      <c r="F145" s="14"/>
      <c r="G145" s="15"/>
      <c r="H145" s="877">
        <v>225828</v>
      </c>
      <c r="I145" s="877">
        <f t="shared" si="0"/>
        <v>-225396</v>
      </c>
      <c r="J145" s="894"/>
    </row>
    <row r="146" spans="1:10" s="887" customFormat="1" x14ac:dyDescent="0.2">
      <c r="A146" s="989"/>
      <c r="B146" s="884" t="s">
        <v>154</v>
      </c>
      <c r="C146" s="38">
        <v>1</v>
      </c>
      <c r="D146" s="13">
        <v>128</v>
      </c>
      <c r="E146" s="25"/>
      <c r="F146" s="14"/>
      <c r="G146" s="15"/>
      <c r="H146" s="877">
        <v>85606.399999999994</v>
      </c>
      <c r="I146" s="877">
        <f t="shared" si="0"/>
        <v>-85478.399999999994</v>
      </c>
      <c r="J146" s="894"/>
    </row>
    <row r="147" spans="1:10" s="887" customFormat="1" ht="30" x14ac:dyDescent="0.2">
      <c r="A147" s="44">
        <v>96</v>
      </c>
      <c r="B147" s="884" t="s">
        <v>131</v>
      </c>
      <c r="C147" s="38">
        <v>1</v>
      </c>
      <c r="D147" s="13">
        <v>4100</v>
      </c>
      <c r="E147" s="25"/>
      <c r="F147" s="14"/>
      <c r="G147" s="15"/>
      <c r="H147" s="877">
        <v>421070</v>
      </c>
      <c r="I147" s="877">
        <f t="shared" si="0"/>
        <v>-416970</v>
      </c>
    </row>
    <row r="148" spans="1:10" s="887" customFormat="1" x14ac:dyDescent="0.2">
      <c r="A148" s="44">
        <v>97</v>
      </c>
      <c r="B148" s="884" t="s">
        <v>132</v>
      </c>
      <c r="C148" s="38">
        <v>1</v>
      </c>
      <c r="D148" s="13">
        <v>744</v>
      </c>
      <c r="E148" s="25"/>
      <c r="F148" s="14"/>
      <c r="G148" s="15"/>
      <c r="H148" s="877">
        <v>71647.199999999997</v>
      </c>
      <c r="I148" s="877">
        <f t="shared" si="0"/>
        <v>-70903.199999999997</v>
      </c>
      <c r="J148" s="894"/>
    </row>
    <row r="149" spans="1:10" s="887" customFormat="1" ht="30" x14ac:dyDescent="0.2">
      <c r="A149" s="44">
        <v>98</v>
      </c>
      <c r="B149" s="884" t="s">
        <v>134</v>
      </c>
      <c r="C149" s="38">
        <v>1</v>
      </c>
      <c r="D149" s="13">
        <v>37</v>
      </c>
      <c r="E149" s="25"/>
      <c r="F149" s="14"/>
      <c r="G149" s="15"/>
      <c r="H149" s="877">
        <v>7884.7</v>
      </c>
      <c r="I149" s="877">
        <f t="shared" si="0"/>
        <v>-7847.7</v>
      </c>
    </row>
    <row r="150" spans="1:10" s="887" customFormat="1" ht="105" x14ac:dyDescent="0.2">
      <c r="A150" s="44">
        <v>99</v>
      </c>
      <c r="B150" s="884" t="s">
        <v>135</v>
      </c>
      <c r="C150" s="37">
        <v>1</v>
      </c>
      <c r="D150" s="13">
        <v>37</v>
      </c>
      <c r="E150" s="25"/>
      <c r="F150" s="14"/>
      <c r="G150" s="15"/>
      <c r="H150" s="877">
        <v>903638.05</v>
      </c>
      <c r="I150" s="877">
        <f t="shared" si="0"/>
        <v>-903601.05</v>
      </c>
    </row>
    <row r="151" spans="1:10" s="887" customFormat="1" ht="60" x14ac:dyDescent="0.2">
      <c r="A151" s="44">
        <v>100</v>
      </c>
      <c r="B151" s="884" t="s">
        <v>136</v>
      </c>
      <c r="C151" s="37">
        <v>1</v>
      </c>
      <c r="D151" s="13">
        <v>222</v>
      </c>
      <c r="E151" s="25"/>
      <c r="F151" s="14"/>
      <c r="G151" s="15"/>
      <c r="H151" s="877">
        <v>322732.5</v>
      </c>
      <c r="I151" s="877">
        <f t="shared" si="0"/>
        <v>-322510.5</v>
      </c>
    </row>
    <row r="152" spans="1:10" ht="105" x14ac:dyDescent="0.2">
      <c r="A152" s="44">
        <v>101</v>
      </c>
      <c r="B152" s="884" t="s">
        <v>137</v>
      </c>
      <c r="C152" s="37">
        <v>1</v>
      </c>
      <c r="D152" s="13">
        <v>74</v>
      </c>
      <c r="E152" s="25"/>
      <c r="F152" s="14"/>
      <c r="G152" s="15"/>
      <c r="H152" s="877">
        <v>1020926.2</v>
      </c>
      <c r="I152" s="877">
        <f t="shared" si="0"/>
        <v>-1020852.2</v>
      </c>
    </row>
    <row r="153" spans="1:10" ht="96" customHeight="1" x14ac:dyDescent="0.2">
      <c r="A153" s="44">
        <v>102</v>
      </c>
      <c r="B153" s="884" t="s">
        <v>138</v>
      </c>
      <c r="C153" s="37">
        <v>1</v>
      </c>
      <c r="D153" s="13">
        <v>37</v>
      </c>
      <c r="E153" s="25"/>
      <c r="F153" s="14"/>
      <c r="G153" s="15"/>
      <c r="H153" s="877">
        <v>734797.8</v>
      </c>
      <c r="I153" s="877">
        <f t="shared" si="0"/>
        <v>-734760.8</v>
      </c>
    </row>
    <row r="154" spans="1:10" ht="45" x14ac:dyDescent="0.2">
      <c r="A154" s="44">
        <v>103</v>
      </c>
      <c r="B154" s="884" t="s">
        <v>139</v>
      </c>
      <c r="C154" s="37">
        <v>1</v>
      </c>
      <c r="D154" s="13">
        <v>707</v>
      </c>
      <c r="E154" s="25"/>
      <c r="F154" s="14"/>
      <c r="G154" s="15"/>
      <c r="H154" s="877">
        <v>1410677.0999999999</v>
      </c>
      <c r="I154" s="877">
        <f t="shared" si="0"/>
        <v>-1409970.0999999999</v>
      </c>
      <c r="J154" s="882"/>
    </row>
    <row r="155" spans="1:10" x14ac:dyDescent="0.2">
      <c r="A155" s="44">
        <v>104</v>
      </c>
      <c r="B155" s="884" t="s">
        <v>140</v>
      </c>
      <c r="C155" s="37">
        <v>1</v>
      </c>
      <c r="D155" s="13">
        <v>111</v>
      </c>
      <c r="E155" s="25"/>
      <c r="F155" s="14"/>
      <c r="G155" s="15"/>
      <c r="H155" s="877">
        <v>19841.25</v>
      </c>
      <c r="I155" s="877">
        <f t="shared" si="0"/>
        <v>-19730.25</v>
      </c>
    </row>
    <row r="156" spans="1:10" s="887" customFormat="1" ht="50.45" customHeight="1" x14ac:dyDescent="0.2">
      <c r="A156" s="44">
        <v>105</v>
      </c>
      <c r="B156" s="884" t="s">
        <v>171</v>
      </c>
      <c r="C156" s="19">
        <v>100</v>
      </c>
      <c r="D156" s="13">
        <v>5447.5326000000005</v>
      </c>
      <c r="E156" s="14"/>
      <c r="F156" s="14"/>
      <c r="G156" s="15"/>
      <c r="H156" s="887">
        <v>717963.00654960005</v>
      </c>
    </row>
    <row r="157" spans="1:10" s="887" customFormat="1" ht="120" x14ac:dyDescent="0.2">
      <c r="A157" s="44">
        <v>106</v>
      </c>
      <c r="B157" s="884" t="s">
        <v>172</v>
      </c>
      <c r="C157" s="22">
        <v>1</v>
      </c>
      <c r="D157" s="13">
        <v>1983.6000000000001</v>
      </c>
      <c r="E157" s="14"/>
      <c r="F157" s="14"/>
      <c r="G157" s="15"/>
      <c r="H157" s="887">
        <v>4325636.5199999996</v>
      </c>
    </row>
    <row r="158" spans="1:10" s="887" customFormat="1" ht="30" x14ac:dyDescent="0.2">
      <c r="A158" s="44">
        <v>107</v>
      </c>
      <c r="B158" s="884" t="s">
        <v>173</v>
      </c>
      <c r="C158" s="19">
        <v>1</v>
      </c>
      <c r="D158" s="13">
        <v>908</v>
      </c>
      <c r="E158" s="14"/>
      <c r="F158" s="14"/>
      <c r="G158" s="15"/>
      <c r="H158" s="887">
        <v>2512436</v>
      </c>
    </row>
    <row r="159" spans="1:10" s="887" customFormat="1" x14ac:dyDescent="0.2">
      <c r="A159" s="44">
        <v>108</v>
      </c>
      <c r="B159" s="884" t="s">
        <v>174</v>
      </c>
      <c r="C159" s="19">
        <v>100</v>
      </c>
      <c r="D159" s="13">
        <v>19399.646999999997</v>
      </c>
      <c r="E159" s="25"/>
      <c r="F159" s="14"/>
      <c r="G159" s="15"/>
      <c r="H159" s="887">
        <v>235191.62040449996</v>
      </c>
    </row>
    <row r="160" spans="1:10" s="887" customFormat="1" ht="30" x14ac:dyDescent="0.2">
      <c r="A160" s="44">
        <v>109</v>
      </c>
      <c r="B160" s="884" t="s">
        <v>175</v>
      </c>
      <c r="C160" s="37">
        <v>1</v>
      </c>
      <c r="D160" s="13">
        <v>369</v>
      </c>
      <c r="E160" s="25"/>
      <c r="F160" s="14"/>
      <c r="G160" s="15"/>
      <c r="H160" s="887">
        <v>251196.75</v>
      </c>
    </row>
    <row r="161" spans="1:10" s="887" customFormat="1" ht="60" x14ac:dyDescent="0.2">
      <c r="A161" s="44">
        <v>110</v>
      </c>
      <c r="B161" s="884" t="s">
        <v>190</v>
      </c>
      <c r="C161" s="36">
        <v>1</v>
      </c>
      <c r="D161" s="13">
        <v>111.86</v>
      </c>
      <c r="E161" s="25"/>
      <c r="F161" s="14"/>
      <c r="G161" s="15"/>
      <c r="H161" s="887">
        <v>125864.872</v>
      </c>
    </row>
    <row r="162" spans="1:10" s="887" customFormat="1" x14ac:dyDescent="0.2">
      <c r="A162" s="44">
        <v>111</v>
      </c>
      <c r="B162" s="884" t="s">
        <v>176</v>
      </c>
      <c r="C162" s="19">
        <v>1</v>
      </c>
      <c r="D162" s="13">
        <v>2800</v>
      </c>
      <c r="E162" s="25"/>
      <c r="F162" s="14"/>
      <c r="G162" s="15"/>
      <c r="H162" s="887">
        <v>1688400</v>
      </c>
    </row>
    <row r="163" spans="1:10" s="887" customFormat="1" ht="45" x14ac:dyDescent="0.2">
      <c r="A163" s="44">
        <v>112</v>
      </c>
      <c r="B163" s="884" t="s">
        <v>177</v>
      </c>
      <c r="C163" s="19">
        <v>1</v>
      </c>
      <c r="D163" s="13">
        <v>9477.0586000000003</v>
      </c>
      <c r="E163" s="25"/>
      <c r="F163" s="14"/>
      <c r="G163" s="15"/>
      <c r="H163" s="887">
        <v>1946587.8364400002</v>
      </c>
    </row>
    <row r="164" spans="1:10" s="887" customFormat="1" x14ac:dyDescent="0.2">
      <c r="A164" s="44">
        <v>113</v>
      </c>
      <c r="B164" s="884" t="s">
        <v>178</v>
      </c>
      <c r="C164" s="12">
        <v>100</v>
      </c>
      <c r="D164" s="13">
        <v>2287.9699999999998</v>
      </c>
      <c r="E164" s="25"/>
      <c r="F164" s="14"/>
      <c r="G164" s="15"/>
      <c r="H164" s="887">
        <v>412237.2827199999</v>
      </c>
    </row>
    <row r="165" spans="1:10" s="887" customFormat="1" ht="60" x14ac:dyDescent="0.2">
      <c r="A165" s="44">
        <v>114</v>
      </c>
      <c r="B165" s="884" t="s">
        <v>179</v>
      </c>
      <c r="C165" s="19">
        <v>100</v>
      </c>
      <c r="D165" s="13">
        <v>5447.5326000000005</v>
      </c>
      <c r="E165" s="25"/>
      <c r="F165" s="14"/>
      <c r="G165" s="15"/>
      <c r="H165" s="887">
        <v>1615656.4561709999</v>
      </c>
    </row>
    <row r="166" spans="1:10" s="887" customFormat="1" ht="60" x14ac:dyDescent="0.2">
      <c r="A166" s="44">
        <v>115</v>
      </c>
      <c r="B166" s="884" t="s">
        <v>180</v>
      </c>
      <c r="C166" s="19">
        <v>100</v>
      </c>
      <c r="D166" s="13">
        <v>385.13000000000005</v>
      </c>
      <c r="E166" s="25"/>
      <c r="F166" s="14"/>
      <c r="G166" s="15"/>
      <c r="H166" s="887">
        <v>73740.263405000005</v>
      </c>
    </row>
    <row r="167" spans="1:10" s="887" customFormat="1" ht="30" x14ac:dyDescent="0.2">
      <c r="A167" s="44">
        <v>116</v>
      </c>
      <c r="B167" s="884" t="s">
        <v>181</v>
      </c>
      <c r="C167" s="36">
        <v>1</v>
      </c>
      <c r="D167" s="13">
        <v>2922.31</v>
      </c>
      <c r="E167" s="25"/>
      <c r="F167" s="14"/>
      <c r="G167" s="15"/>
      <c r="H167" s="887">
        <v>115723.476</v>
      </c>
    </row>
    <row r="168" spans="1:10" s="887" customFormat="1" x14ac:dyDescent="0.2">
      <c r="A168" s="44">
        <v>117</v>
      </c>
      <c r="B168" s="884" t="s">
        <v>183</v>
      </c>
      <c r="C168" s="38">
        <v>1</v>
      </c>
      <c r="D168" s="13">
        <v>596</v>
      </c>
      <c r="E168" s="25"/>
      <c r="F168" s="14"/>
      <c r="G168" s="15"/>
      <c r="H168" s="887">
        <v>106535</v>
      </c>
      <c r="J168" s="894"/>
    </row>
    <row r="169" spans="1:10" s="887" customFormat="1" ht="60.75" x14ac:dyDescent="0.2">
      <c r="A169" s="44">
        <v>118</v>
      </c>
      <c r="B169" s="884" t="s">
        <v>184</v>
      </c>
      <c r="C169" s="37">
        <v>1</v>
      </c>
      <c r="D169" s="13">
        <v>5</v>
      </c>
      <c r="E169" s="25"/>
      <c r="F169" s="14"/>
      <c r="G169" s="15"/>
      <c r="H169" s="887">
        <v>28081.25</v>
      </c>
    </row>
    <row r="170" spans="1:10" s="887" customFormat="1" ht="60.75" x14ac:dyDescent="0.2">
      <c r="A170" s="44">
        <v>119</v>
      </c>
      <c r="B170" s="884" t="s">
        <v>185</v>
      </c>
      <c r="C170" s="37">
        <v>1</v>
      </c>
      <c r="D170" s="13">
        <v>29</v>
      </c>
      <c r="E170" s="25"/>
      <c r="F170" s="14"/>
      <c r="G170" s="15"/>
      <c r="H170" s="887">
        <v>42158.75</v>
      </c>
    </row>
    <row r="171" spans="1:10" s="887" customFormat="1" ht="45" x14ac:dyDescent="0.2">
      <c r="A171" s="44">
        <v>120</v>
      </c>
      <c r="B171" s="884" t="s">
        <v>186</v>
      </c>
      <c r="C171" s="38">
        <v>1</v>
      </c>
      <c r="D171" s="13">
        <v>34</v>
      </c>
      <c r="E171" s="25"/>
      <c r="F171" s="14"/>
      <c r="G171" s="15"/>
      <c r="H171" s="887">
        <v>387547.30000000005</v>
      </c>
    </row>
    <row r="172" spans="1:10" s="887" customFormat="1" x14ac:dyDescent="0.2">
      <c r="A172" s="120">
        <v>121</v>
      </c>
      <c r="B172" s="905" t="s">
        <v>58</v>
      </c>
      <c r="C172" s="12">
        <v>1000</v>
      </c>
      <c r="D172" s="13">
        <v>58871.790000000008</v>
      </c>
      <c r="E172" s="25"/>
      <c r="F172" s="14"/>
      <c r="G172" s="15"/>
      <c r="H172" s="887">
        <v>620131.88714400004</v>
      </c>
    </row>
    <row r="173" spans="1:10" s="887" customFormat="1" ht="45" x14ac:dyDescent="0.2">
      <c r="A173" s="120">
        <v>122</v>
      </c>
      <c r="B173" s="905" t="s">
        <v>194</v>
      </c>
      <c r="C173" s="12">
        <v>1000</v>
      </c>
      <c r="D173" s="13">
        <v>58871.790000000008</v>
      </c>
      <c r="E173" s="25"/>
      <c r="F173" s="14"/>
      <c r="G173" s="15"/>
      <c r="H173" s="887">
        <v>84628.19812500001</v>
      </c>
    </row>
    <row r="174" spans="1:10" s="887" customFormat="1" ht="30" x14ac:dyDescent="0.2">
      <c r="A174" s="993">
        <v>123</v>
      </c>
      <c r="B174" s="905" t="s">
        <v>195</v>
      </c>
      <c r="C174" s="12">
        <v>1000</v>
      </c>
      <c r="D174" s="13">
        <v>14550.010000000002</v>
      </c>
      <c r="E174" s="25"/>
      <c r="F174" s="14"/>
      <c r="G174" s="15"/>
      <c r="H174" s="887">
        <v>73240.385337000014</v>
      </c>
    </row>
    <row r="175" spans="1:10" s="887" customFormat="1" x14ac:dyDescent="0.2">
      <c r="A175" s="994"/>
      <c r="B175" s="905" t="s">
        <v>196</v>
      </c>
      <c r="C175" s="43"/>
      <c r="D175" s="13">
        <v>0</v>
      </c>
      <c r="E175" s="43"/>
      <c r="F175" s="14"/>
      <c r="G175" s="43"/>
    </row>
    <row r="176" spans="1:10" s="887" customFormat="1" x14ac:dyDescent="0.2">
      <c r="A176" s="994"/>
      <c r="B176" s="905" t="s">
        <v>197</v>
      </c>
      <c r="C176" s="19">
        <v>100</v>
      </c>
      <c r="D176" s="13">
        <v>2500</v>
      </c>
      <c r="E176" s="14"/>
      <c r="F176" s="14"/>
      <c r="G176" s="15"/>
      <c r="H176" s="887">
        <v>162801.25</v>
      </c>
    </row>
    <row r="177" spans="1:10" s="887" customFormat="1" x14ac:dyDescent="0.2">
      <c r="A177" s="995"/>
      <c r="B177" s="905" t="s">
        <v>198</v>
      </c>
      <c r="C177" s="19">
        <v>100</v>
      </c>
      <c r="D177" s="13">
        <v>3876</v>
      </c>
      <c r="E177" s="14"/>
      <c r="F177" s="14"/>
      <c r="G177" s="15"/>
      <c r="H177" s="887">
        <v>285407.32199999999</v>
      </c>
    </row>
    <row r="178" spans="1:10" s="887" customFormat="1" x14ac:dyDescent="0.2">
      <c r="A178" s="993">
        <v>124</v>
      </c>
      <c r="B178" s="905" t="s">
        <v>199</v>
      </c>
      <c r="C178" s="43"/>
      <c r="D178" s="13">
        <v>0</v>
      </c>
      <c r="E178" s="43"/>
      <c r="F178" s="14"/>
      <c r="G178" s="43"/>
    </row>
    <row r="179" spans="1:10" s="887" customFormat="1" x14ac:dyDescent="0.2">
      <c r="A179" s="994"/>
      <c r="B179" s="905" t="s">
        <v>200</v>
      </c>
      <c r="C179" s="12">
        <v>100</v>
      </c>
      <c r="D179" s="13">
        <v>856.25</v>
      </c>
      <c r="E179" s="13"/>
      <c r="F179" s="14"/>
      <c r="G179" s="15"/>
      <c r="H179" s="887">
        <v>419707.20624999999</v>
      </c>
    </row>
    <row r="180" spans="1:10" s="887" customFormat="1" x14ac:dyDescent="0.2">
      <c r="A180" s="995"/>
      <c r="B180" s="905" t="s">
        <v>201</v>
      </c>
      <c r="C180" s="12">
        <v>100</v>
      </c>
      <c r="D180" s="13">
        <v>1327.53</v>
      </c>
      <c r="E180" s="13"/>
      <c r="F180" s="14"/>
      <c r="G180" s="15"/>
      <c r="H180" s="887">
        <v>681046.78554000007</v>
      </c>
    </row>
    <row r="181" spans="1:10" s="887" customFormat="1" ht="30" x14ac:dyDescent="0.2">
      <c r="A181" s="120">
        <v>125</v>
      </c>
      <c r="B181" s="905" t="s">
        <v>202</v>
      </c>
      <c r="C181" s="36">
        <v>1</v>
      </c>
      <c r="D181" s="13">
        <v>637.6</v>
      </c>
      <c r="E181" s="14"/>
      <c r="F181" s="14"/>
      <c r="G181" s="15"/>
      <c r="H181" s="887">
        <v>11030.480000000001</v>
      </c>
    </row>
    <row r="182" spans="1:10" s="887" customFormat="1" x14ac:dyDescent="0.2">
      <c r="A182" s="120">
        <v>126</v>
      </c>
      <c r="B182" s="905" t="s">
        <v>203</v>
      </c>
      <c r="C182" s="19">
        <v>100</v>
      </c>
      <c r="D182" s="13">
        <v>318.8</v>
      </c>
      <c r="E182" s="25"/>
      <c r="F182" s="14"/>
      <c r="G182" s="15"/>
      <c r="H182" s="887">
        <v>4908.8823999999995</v>
      </c>
    </row>
    <row r="183" spans="1:10" s="887" customFormat="1" ht="45.75" x14ac:dyDescent="0.2">
      <c r="A183" s="118">
        <v>127</v>
      </c>
      <c r="B183" s="884" t="s">
        <v>204</v>
      </c>
      <c r="C183" s="12">
        <v>1000</v>
      </c>
      <c r="D183" s="13">
        <v>46483.393100000008</v>
      </c>
      <c r="E183" s="14"/>
      <c r="F183" s="14"/>
      <c r="G183" s="15"/>
      <c r="H183" s="894">
        <v>735560.18492336513</v>
      </c>
      <c r="I183" s="887">
        <v>31715324</v>
      </c>
      <c r="J183" s="877">
        <f>I183-H183</f>
        <v>30979763.815076634</v>
      </c>
    </row>
    <row r="184" spans="1:10" s="887" customFormat="1" ht="75" x14ac:dyDescent="0.2">
      <c r="A184" s="44">
        <v>128</v>
      </c>
      <c r="B184" s="884" t="s">
        <v>85</v>
      </c>
      <c r="C184" s="20"/>
      <c r="D184" s="13">
        <v>0</v>
      </c>
      <c r="E184" s="20"/>
      <c r="F184" s="14"/>
      <c r="G184" s="20"/>
    </row>
    <row r="185" spans="1:10" s="887" customFormat="1" x14ac:dyDescent="0.2">
      <c r="A185" s="44">
        <v>129</v>
      </c>
      <c r="B185" s="883" t="s">
        <v>206</v>
      </c>
      <c r="C185" s="12">
        <v>100</v>
      </c>
      <c r="D185" s="13">
        <v>11277.602800000002</v>
      </c>
      <c r="E185" s="25"/>
      <c r="F185" s="14"/>
      <c r="G185" s="15"/>
      <c r="H185" s="887">
        <v>772403.01577200007</v>
      </c>
    </row>
    <row r="186" spans="1:10" ht="45.75" x14ac:dyDescent="0.2">
      <c r="A186" s="118">
        <v>130</v>
      </c>
      <c r="B186" s="884" t="s">
        <v>301</v>
      </c>
      <c r="C186" s="12">
        <v>1000</v>
      </c>
      <c r="D186" s="13">
        <v>72531.663749999992</v>
      </c>
      <c r="E186" s="14"/>
      <c r="F186" s="14"/>
      <c r="G186" s="15"/>
      <c r="H186" s="882">
        <v>1147751.9269295624</v>
      </c>
    </row>
    <row r="187" spans="1:10" x14ac:dyDescent="0.2">
      <c r="A187" s="118">
        <v>131</v>
      </c>
      <c r="B187" s="884" t="s">
        <v>302</v>
      </c>
      <c r="C187" s="19">
        <v>1</v>
      </c>
      <c r="D187" s="13">
        <v>88776.1875</v>
      </c>
      <c r="E187" s="25"/>
      <c r="F187" s="14"/>
      <c r="G187" s="15"/>
      <c r="H187" s="870">
        <v>1114141.153125</v>
      </c>
    </row>
    <row r="188" spans="1:10" ht="30" x14ac:dyDescent="0.2">
      <c r="A188" s="44">
        <v>132</v>
      </c>
      <c r="B188" s="884" t="s">
        <v>303</v>
      </c>
      <c r="C188" s="12">
        <v>100</v>
      </c>
      <c r="D188" s="13">
        <v>47794.11</v>
      </c>
      <c r="E188" s="14"/>
      <c r="F188" s="14"/>
      <c r="G188" s="15"/>
      <c r="H188" s="870">
        <v>17124916.377659999</v>
      </c>
    </row>
    <row r="189" spans="1:10" s="887" customFormat="1" ht="143.44999999999999" customHeight="1" x14ac:dyDescent="0.2">
      <c r="A189" s="122">
        <v>133</v>
      </c>
      <c r="B189" s="884" t="s">
        <v>304</v>
      </c>
      <c r="C189" s="12">
        <v>1</v>
      </c>
      <c r="D189" s="13">
        <v>21724.43</v>
      </c>
      <c r="E189" s="14"/>
      <c r="F189" s="14"/>
      <c r="G189" s="15"/>
      <c r="H189" s="887">
        <v>16116268.395500001</v>
      </c>
    </row>
    <row r="190" spans="1:10" s="887" customFormat="1" ht="126" customHeight="1" x14ac:dyDescent="0.2">
      <c r="A190" s="44">
        <v>134</v>
      </c>
      <c r="B190" s="884" t="s">
        <v>99</v>
      </c>
      <c r="C190" s="19">
        <v>1</v>
      </c>
      <c r="D190" s="13">
        <v>3276</v>
      </c>
      <c r="E190" s="14"/>
      <c r="F190" s="14"/>
      <c r="G190" s="15"/>
      <c r="H190" s="887">
        <v>7143973.1999999993</v>
      </c>
    </row>
    <row r="191" spans="1:10" s="887" customFormat="1" ht="66.599999999999994" customHeight="1" x14ac:dyDescent="0.2">
      <c r="A191" s="44">
        <v>135</v>
      </c>
      <c r="B191" s="884" t="s">
        <v>305</v>
      </c>
      <c r="C191" s="19">
        <v>1</v>
      </c>
      <c r="D191" s="13">
        <v>3822</v>
      </c>
      <c r="E191" s="14"/>
      <c r="F191" s="14"/>
      <c r="G191" s="15"/>
      <c r="H191" s="887">
        <v>2441684.7000000002</v>
      </c>
    </row>
    <row r="192" spans="1:10" s="887" customFormat="1" ht="45" x14ac:dyDescent="0.2">
      <c r="A192" s="118">
        <v>136</v>
      </c>
      <c r="B192" s="884" t="s">
        <v>102</v>
      </c>
      <c r="C192" s="19">
        <v>100</v>
      </c>
      <c r="D192" s="13">
        <v>33854.84375</v>
      </c>
      <c r="E192" s="14"/>
      <c r="F192" s="14"/>
      <c r="G192" s="15"/>
      <c r="H192" s="887">
        <v>4461932.9868750004</v>
      </c>
    </row>
    <row r="193" spans="1:8" s="887" customFormat="1" ht="81" customHeight="1" x14ac:dyDescent="0.2">
      <c r="A193" s="118">
        <v>137</v>
      </c>
      <c r="B193" s="884" t="s">
        <v>179</v>
      </c>
      <c r="C193" s="19">
        <v>100</v>
      </c>
      <c r="D193" s="13">
        <v>22325.37125</v>
      </c>
      <c r="E193" s="25"/>
      <c r="F193" s="14"/>
      <c r="G193" s="15"/>
      <c r="H193" s="887">
        <v>6621370.2321812501</v>
      </c>
    </row>
    <row r="194" spans="1:8" s="887" customFormat="1" ht="63.6" customHeight="1" x14ac:dyDescent="0.2">
      <c r="A194" s="118">
        <v>138</v>
      </c>
      <c r="B194" s="884" t="s">
        <v>180</v>
      </c>
      <c r="C194" s="19">
        <v>100</v>
      </c>
      <c r="D194" s="13">
        <v>14054.039999999999</v>
      </c>
      <c r="E194" s="25"/>
      <c r="F194" s="14"/>
      <c r="G194" s="15"/>
      <c r="H194" s="887">
        <v>2690905.95774</v>
      </c>
    </row>
    <row r="195" spans="1:8" s="887" customFormat="1" ht="30" x14ac:dyDescent="0.2">
      <c r="A195" s="118">
        <v>139</v>
      </c>
      <c r="B195" s="884" t="s">
        <v>491</v>
      </c>
      <c r="C195" s="36">
        <v>1</v>
      </c>
      <c r="D195" s="13">
        <v>22750</v>
      </c>
      <c r="E195" s="25"/>
      <c r="F195" s="14"/>
      <c r="G195" s="15"/>
      <c r="H195" s="887">
        <v>900900</v>
      </c>
    </row>
    <row r="196" spans="1:8" s="887" customFormat="1" ht="30" x14ac:dyDescent="0.2">
      <c r="A196" s="44">
        <v>140</v>
      </c>
      <c r="B196" s="876" t="s">
        <v>106</v>
      </c>
      <c r="C196" s="20"/>
      <c r="D196" s="13">
        <v>0</v>
      </c>
      <c r="E196" s="20"/>
      <c r="F196" s="14"/>
      <c r="G196" s="20"/>
    </row>
    <row r="197" spans="1:8" s="887" customFormat="1" ht="30" x14ac:dyDescent="0.2">
      <c r="A197" s="44">
        <v>141</v>
      </c>
      <c r="B197" s="884" t="s">
        <v>162</v>
      </c>
      <c r="C197" s="19">
        <v>100</v>
      </c>
      <c r="D197" s="13">
        <v>21116.55</v>
      </c>
      <c r="E197" s="25"/>
      <c r="F197" s="14"/>
      <c r="G197" s="15"/>
      <c r="H197" s="887">
        <v>1111712.449575</v>
      </c>
    </row>
    <row r="198" spans="1:8" s="887" customFormat="1" x14ac:dyDescent="0.2">
      <c r="A198" s="44">
        <v>142</v>
      </c>
      <c r="B198" s="884" t="s">
        <v>306</v>
      </c>
      <c r="C198" s="37">
        <v>1</v>
      </c>
      <c r="D198" s="13">
        <v>182</v>
      </c>
      <c r="E198" s="25"/>
      <c r="F198" s="14"/>
      <c r="G198" s="15"/>
      <c r="H198" s="887">
        <v>119546.7</v>
      </c>
    </row>
    <row r="199" spans="1:8" s="887" customFormat="1" ht="30" x14ac:dyDescent="0.2">
      <c r="A199" s="44">
        <v>143</v>
      </c>
      <c r="B199" s="884" t="s">
        <v>308</v>
      </c>
      <c r="C199" s="38">
        <v>1</v>
      </c>
      <c r="D199" s="13">
        <v>91</v>
      </c>
      <c r="E199" s="25"/>
      <c r="F199" s="14"/>
      <c r="G199" s="15"/>
      <c r="H199" s="887">
        <v>373559.55</v>
      </c>
    </row>
    <row r="200" spans="1:8" s="887" customFormat="1" x14ac:dyDescent="0.2">
      <c r="A200" s="44">
        <v>144</v>
      </c>
      <c r="B200" s="884" t="s">
        <v>492</v>
      </c>
      <c r="C200" s="38">
        <v>1</v>
      </c>
      <c r="D200" s="13">
        <v>273</v>
      </c>
      <c r="E200" s="25"/>
      <c r="F200" s="14"/>
      <c r="G200" s="15"/>
      <c r="H200" s="887">
        <v>126439.95</v>
      </c>
    </row>
    <row r="201" spans="1:8" s="887" customFormat="1" x14ac:dyDescent="0.2">
      <c r="A201" s="44">
        <v>145</v>
      </c>
      <c r="B201" s="884" t="s">
        <v>310</v>
      </c>
      <c r="C201" s="38">
        <v>1</v>
      </c>
      <c r="D201" s="13">
        <v>364</v>
      </c>
      <c r="E201" s="25"/>
      <c r="F201" s="14"/>
      <c r="G201" s="15"/>
      <c r="H201" s="887">
        <v>596668.80000000005</v>
      </c>
    </row>
    <row r="202" spans="1:8" s="887" customFormat="1" ht="30" x14ac:dyDescent="0.2">
      <c r="A202" s="44">
        <v>146</v>
      </c>
      <c r="B202" s="884" t="s">
        <v>311</v>
      </c>
      <c r="C202" s="38">
        <v>1</v>
      </c>
      <c r="D202" s="13">
        <v>91</v>
      </c>
      <c r="E202" s="25"/>
      <c r="F202" s="14"/>
      <c r="G202" s="15"/>
      <c r="H202" s="887">
        <v>734297.2</v>
      </c>
    </row>
    <row r="203" spans="1:8" s="887" customFormat="1" ht="30" x14ac:dyDescent="0.2">
      <c r="A203" s="44">
        <v>147</v>
      </c>
      <c r="B203" s="884" t="s">
        <v>312</v>
      </c>
      <c r="C203" s="37">
        <v>1</v>
      </c>
      <c r="D203" s="13">
        <v>364</v>
      </c>
      <c r="E203" s="25"/>
      <c r="F203" s="14"/>
      <c r="G203" s="15"/>
      <c r="H203" s="887">
        <v>864227</v>
      </c>
    </row>
    <row r="204" spans="1:8" s="887" customFormat="1" ht="81" customHeight="1" x14ac:dyDescent="0.2">
      <c r="A204" s="44">
        <v>148</v>
      </c>
      <c r="B204" s="884" t="s">
        <v>493</v>
      </c>
      <c r="C204" s="20"/>
      <c r="D204" s="13">
        <v>0</v>
      </c>
      <c r="E204" s="20"/>
      <c r="F204" s="14"/>
      <c r="G204" s="20"/>
    </row>
    <row r="205" spans="1:8" s="887" customFormat="1" x14ac:dyDescent="0.2">
      <c r="A205" s="44" t="s">
        <v>60</v>
      </c>
      <c r="B205" s="884" t="s">
        <v>314</v>
      </c>
      <c r="C205" s="36">
        <v>1</v>
      </c>
      <c r="D205" s="13">
        <v>9100</v>
      </c>
      <c r="E205" s="25"/>
      <c r="F205" s="14"/>
      <c r="G205" s="15"/>
      <c r="H205" s="887">
        <v>572845</v>
      </c>
    </row>
    <row r="206" spans="1:8" s="887" customFormat="1" x14ac:dyDescent="0.2">
      <c r="A206" s="44" t="s">
        <v>37</v>
      </c>
      <c r="B206" s="884" t="s">
        <v>315</v>
      </c>
      <c r="C206" s="36">
        <v>1</v>
      </c>
      <c r="D206" s="13">
        <v>4550</v>
      </c>
      <c r="E206" s="25"/>
      <c r="F206" s="14"/>
      <c r="G206" s="15"/>
      <c r="H206" s="887">
        <v>396305</v>
      </c>
    </row>
    <row r="207" spans="1:8" s="887" customFormat="1" ht="30" x14ac:dyDescent="0.2">
      <c r="A207" s="44">
        <v>149</v>
      </c>
      <c r="B207" s="884" t="s">
        <v>316</v>
      </c>
      <c r="C207" s="38">
        <v>1</v>
      </c>
      <c r="D207" s="13">
        <v>91</v>
      </c>
      <c r="E207" s="25"/>
      <c r="F207" s="14"/>
      <c r="G207" s="15"/>
      <c r="H207" s="887">
        <v>132650.70000000001</v>
      </c>
    </row>
    <row r="208" spans="1:8" s="887" customFormat="1" ht="30" x14ac:dyDescent="0.2">
      <c r="A208" s="44">
        <v>150</v>
      </c>
      <c r="B208" s="884" t="s">
        <v>317</v>
      </c>
      <c r="C208" s="38">
        <v>1</v>
      </c>
      <c r="D208" s="13">
        <v>91</v>
      </c>
      <c r="E208" s="25"/>
      <c r="F208" s="14"/>
      <c r="G208" s="15"/>
      <c r="H208" s="887">
        <v>1384028.1</v>
      </c>
    </row>
    <row r="209" spans="1:10" s="887" customFormat="1" x14ac:dyDescent="0.2">
      <c r="A209" s="987">
        <v>151</v>
      </c>
      <c r="B209" s="884" t="s">
        <v>318</v>
      </c>
      <c r="C209" s="25"/>
      <c r="D209" s="13">
        <v>0</v>
      </c>
      <c r="E209" s="25"/>
      <c r="F209" s="14"/>
      <c r="G209" s="25"/>
    </row>
    <row r="210" spans="1:10" s="887" customFormat="1" x14ac:dyDescent="0.2">
      <c r="A210" s="988"/>
      <c r="B210" s="884" t="s">
        <v>319</v>
      </c>
      <c r="C210" s="38">
        <v>1</v>
      </c>
      <c r="D210" s="13">
        <v>91</v>
      </c>
      <c r="E210" s="25"/>
      <c r="F210" s="14"/>
      <c r="G210" s="15"/>
      <c r="H210" s="887">
        <v>125580</v>
      </c>
    </row>
    <row r="211" spans="1:10" s="887" customFormat="1" x14ac:dyDescent="0.2">
      <c r="A211" s="988"/>
      <c r="B211" s="884" t="s">
        <v>320</v>
      </c>
      <c r="C211" s="38">
        <v>1</v>
      </c>
      <c r="D211" s="13">
        <v>91</v>
      </c>
      <c r="E211" s="25"/>
      <c r="F211" s="14"/>
      <c r="G211" s="15"/>
      <c r="H211" s="887">
        <v>146510</v>
      </c>
    </row>
    <row r="212" spans="1:10" s="887" customFormat="1" x14ac:dyDescent="0.2">
      <c r="A212" s="989"/>
      <c r="B212" s="884" t="s">
        <v>321</v>
      </c>
      <c r="C212" s="38">
        <v>1</v>
      </c>
      <c r="D212" s="13">
        <v>91</v>
      </c>
      <c r="E212" s="25"/>
      <c r="F212" s="14"/>
      <c r="G212" s="15"/>
      <c r="H212" s="887">
        <v>94185</v>
      </c>
    </row>
    <row r="213" spans="1:10" s="887" customFormat="1" x14ac:dyDescent="0.2">
      <c r="A213" s="44">
        <v>152</v>
      </c>
      <c r="B213" s="884" t="s">
        <v>322</v>
      </c>
      <c r="C213" s="38">
        <v>1</v>
      </c>
      <c r="D213" s="13">
        <v>91</v>
      </c>
      <c r="E213" s="25"/>
      <c r="F213" s="14"/>
      <c r="G213" s="15"/>
      <c r="H213" s="887">
        <v>181927.2</v>
      </c>
    </row>
    <row r="214" spans="1:10" s="887" customFormat="1" x14ac:dyDescent="0.2">
      <c r="A214" s="44">
        <v>153</v>
      </c>
      <c r="B214" s="884" t="s">
        <v>133</v>
      </c>
      <c r="C214" s="38">
        <v>1</v>
      </c>
      <c r="D214" s="13">
        <v>256</v>
      </c>
      <c r="E214" s="25"/>
      <c r="F214" s="14"/>
      <c r="G214" s="15"/>
      <c r="H214" s="877">
        <v>52403.199999999997</v>
      </c>
      <c r="I214" s="877">
        <f>D214-H214</f>
        <v>-52147.199999999997</v>
      </c>
      <c r="J214" s="894"/>
    </row>
    <row r="215" spans="1:10" s="887" customFormat="1" x14ac:dyDescent="0.2">
      <c r="A215" s="44">
        <v>154</v>
      </c>
      <c r="B215" s="884" t="s">
        <v>155</v>
      </c>
      <c r="C215" s="38">
        <v>1</v>
      </c>
      <c r="D215" s="13">
        <v>182</v>
      </c>
      <c r="E215" s="25"/>
      <c r="F215" s="14"/>
      <c r="G215" s="15"/>
      <c r="H215" s="887">
        <v>38784.199999999997</v>
      </c>
    </row>
    <row r="216" spans="1:10" s="887" customFormat="1" ht="90" x14ac:dyDescent="0.2">
      <c r="A216" s="44">
        <v>155</v>
      </c>
      <c r="B216" s="884" t="s">
        <v>163</v>
      </c>
      <c r="C216" s="37">
        <v>1</v>
      </c>
      <c r="D216" s="13">
        <v>91</v>
      </c>
      <c r="E216" s="25"/>
      <c r="F216" s="14"/>
      <c r="G216" s="15"/>
      <c r="H216" s="887">
        <v>2222461.15</v>
      </c>
    </row>
    <row r="217" spans="1:10" s="887" customFormat="1" ht="63" customHeight="1" x14ac:dyDescent="0.2">
      <c r="A217" s="44">
        <v>156</v>
      </c>
      <c r="B217" s="884" t="s">
        <v>184</v>
      </c>
      <c r="C217" s="37">
        <v>1</v>
      </c>
      <c r="D217" s="13">
        <v>91</v>
      </c>
      <c r="E217" s="25"/>
      <c r="F217" s="14"/>
      <c r="G217" s="15"/>
      <c r="H217" s="887">
        <v>511078.75</v>
      </c>
    </row>
    <row r="218" spans="1:10" s="887" customFormat="1" ht="62.45" customHeight="1" x14ac:dyDescent="0.2">
      <c r="A218" s="44">
        <v>157</v>
      </c>
      <c r="B218" s="884" t="s">
        <v>185</v>
      </c>
      <c r="C218" s="37">
        <v>1</v>
      </c>
      <c r="D218" s="13">
        <v>364</v>
      </c>
      <c r="E218" s="25"/>
      <c r="F218" s="14"/>
      <c r="G218" s="15"/>
      <c r="H218" s="887">
        <v>529165</v>
      </c>
    </row>
    <row r="219" spans="1:10" s="887" customFormat="1" ht="30" x14ac:dyDescent="0.2">
      <c r="A219" s="44">
        <v>158</v>
      </c>
      <c r="B219" s="884" t="s">
        <v>323</v>
      </c>
      <c r="C219" s="38">
        <v>1</v>
      </c>
      <c r="D219" s="13">
        <v>91</v>
      </c>
      <c r="E219" s="25"/>
      <c r="F219" s="14"/>
      <c r="G219" s="15"/>
      <c r="H219" s="887">
        <v>7621.25</v>
      </c>
    </row>
    <row r="220" spans="1:10" s="887" customFormat="1" ht="45" x14ac:dyDescent="0.2">
      <c r="A220" s="44">
        <v>159</v>
      </c>
      <c r="B220" s="884" t="s">
        <v>324</v>
      </c>
      <c r="C220" s="38">
        <v>1</v>
      </c>
      <c r="D220" s="13">
        <v>91</v>
      </c>
      <c r="E220" s="25"/>
      <c r="F220" s="14"/>
      <c r="G220" s="15"/>
      <c r="H220" s="887">
        <v>984201.4</v>
      </c>
    </row>
    <row r="221" spans="1:10" s="887" customFormat="1" ht="45" x14ac:dyDescent="0.2">
      <c r="A221" s="44">
        <v>160</v>
      </c>
      <c r="B221" s="884" t="s">
        <v>325</v>
      </c>
      <c r="C221" s="38">
        <v>1</v>
      </c>
      <c r="D221" s="13">
        <v>91</v>
      </c>
      <c r="E221" s="25"/>
      <c r="F221" s="14"/>
      <c r="G221" s="15"/>
      <c r="H221" s="887">
        <v>60392.15</v>
      </c>
    </row>
    <row r="222" spans="1:10" ht="30" x14ac:dyDescent="0.2">
      <c r="A222" s="44">
        <v>161</v>
      </c>
      <c r="B222" s="884" t="s">
        <v>326</v>
      </c>
      <c r="C222" s="38">
        <v>1</v>
      </c>
      <c r="D222" s="13">
        <v>91</v>
      </c>
      <c r="E222" s="25"/>
      <c r="F222" s="14"/>
      <c r="G222" s="15"/>
      <c r="H222" s="870">
        <v>9081800</v>
      </c>
    </row>
    <row r="223" spans="1:10" s="891" customFormat="1" x14ac:dyDescent="0.2">
      <c r="A223" s="44">
        <v>162</v>
      </c>
      <c r="B223" s="888" t="s">
        <v>210</v>
      </c>
      <c r="C223" s="910">
        <v>1</v>
      </c>
      <c r="D223" s="13">
        <v>25</v>
      </c>
      <c r="E223" s="911"/>
      <c r="F223" s="14"/>
      <c r="G223" s="105"/>
      <c r="H223" s="891">
        <v>1783600</v>
      </c>
    </row>
    <row r="224" spans="1:10" s="891" customFormat="1" x14ac:dyDescent="0.2">
      <c r="A224" s="44">
        <v>163</v>
      </c>
      <c r="B224" s="888" t="s">
        <v>211</v>
      </c>
      <c r="C224" s="910">
        <v>1</v>
      </c>
      <c r="D224" s="13">
        <v>700</v>
      </c>
      <c r="E224" s="911"/>
      <c r="F224" s="14"/>
      <c r="G224" s="15"/>
      <c r="H224" s="891">
        <v>50176000</v>
      </c>
    </row>
    <row r="225" spans="1:10" s="891" customFormat="1" x14ac:dyDescent="0.2">
      <c r="A225" s="44">
        <v>164</v>
      </c>
      <c r="B225" s="888" t="s">
        <v>212</v>
      </c>
      <c r="C225" s="910">
        <v>1</v>
      </c>
      <c r="D225" s="13">
        <v>840</v>
      </c>
      <c r="E225" s="911"/>
      <c r="F225" s="14"/>
      <c r="G225" s="15"/>
      <c r="H225" s="891">
        <v>4609920</v>
      </c>
    </row>
    <row r="226" spans="1:10" s="891" customFormat="1" x14ac:dyDescent="0.2">
      <c r="A226" s="44">
        <v>165</v>
      </c>
      <c r="B226" s="888" t="s">
        <v>213</v>
      </c>
      <c r="C226" s="910">
        <v>1</v>
      </c>
      <c r="D226" s="13">
        <v>1760</v>
      </c>
      <c r="E226" s="911"/>
      <c r="F226" s="14"/>
      <c r="G226" s="15"/>
      <c r="H226" s="891">
        <v>14666080</v>
      </c>
    </row>
    <row r="227" spans="1:10" s="891" customFormat="1" x14ac:dyDescent="0.2">
      <c r="A227" s="44">
        <v>166</v>
      </c>
      <c r="B227" s="888" t="s">
        <v>214</v>
      </c>
      <c r="C227" s="910">
        <v>1</v>
      </c>
      <c r="D227" s="13">
        <v>1530</v>
      </c>
      <c r="E227" s="911"/>
      <c r="F227" s="14"/>
      <c r="G227" s="15"/>
      <c r="H227" s="891">
        <v>6502500</v>
      </c>
    </row>
    <row r="228" spans="1:10" s="891" customFormat="1" x14ac:dyDescent="0.2">
      <c r="A228" s="44">
        <v>167</v>
      </c>
      <c r="B228" s="888" t="s">
        <v>483</v>
      </c>
      <c r="C228" s="910">
        <v>1</v>
      </c>
      <c r="D228" s="13">
        <v>1200</v>
      </c>
      <c r="E228" s="911"/>
      <c r="F228" s="14"/>
      <c r="G228" s="15"/>
      <c r="H228" s="891">
        <v>730800</v>
      </c>
    </row>
    <row r="229" spans="1:10" s="891" customFormat="1" x14ac:dyDescent="0.2">
      <c r="A229" s="44">
        <v>168</v>
      </c>
      <c r="B229" s="888" t="s">
        <v>216</v>
      </c>
      <c r="C229" s="910">
        <v>1</v>
      </c>
      <c r="D229" s="13">
        <f>65+2350</f>
        <v>2415</v>
      </c>
      <c r="E229" s="911"/>
      <c r="F229" s="14"/>
      <c r="G229" s="15"/>
      <c r="H229" s="891">
        <v>4339755</v>
      </c>
    </row>
    <row r="230" spans="1:10" s="891" customFormat="1" x14ac:dyDescent="0.2">
      <c r="A230" s="44">
        <v>169</v>
      </c>
      <c r="B230" s="888" t="s">
        <v>217</v>
      </c>
      <c r="C230" s="910">
        <v>1</v>
      </c>
      <c r="D230" s="13">
        <v>1000</v>
      </c>
      <c r="E230" s="911"/>
      <c r="F230" s="14"/>
      <c r="G230" s="15"/>
      <c r="H230" s="891">
        <v>599000</v>
      </c>
      <c r="I230" s="891">
        <f>3390*245</f>
        <v>830550</v>
      </c>
      <c r="J230" s="891">
        <f>3390*246</f>
        <v>833940</v>
      </c>
    </row>
    <row r="231" spans="1:10" s="891" customFormat="1" x14ac:dyDescent="0.2">
      <c r="A231" s="44">
        <v>170</v>
      </c>
      <c r="B231" s="888" t="s">
        <v>218</v>
      </c>
      <c r="C231" s="910">
        <v>1</v>
      </c>
      <c r="D231" s="13">
        <v>700</v>
      </c>
      <c r="E231" s="911"/>
      <c r="F231" s="14"/>
      <c r="G231" s="15"/>
      <c r="H231" s="891">
        <v>250600</v>
      </c>
    </row>
    <row r="232" spans="1:10" s="891" customFormat="1" x14ac:dyDescent="0.2">
      <c r="A232" s="44">
        <v>171</v>
      </c>
      <c r="B232" s="888" t="s">
        <v>219</v>
      </c>
      <c r="C232" s="910">
        <v>1</v>
      </c>
      <c r="D232" s="13">
        <v>500</v>
      </c>
      <c r="E232" s="911"/>
      <c r="F232" s="14"/>
      <c r="G232" s="15"/>
      <c r="H232" s="891">
        <v>104000</v>
      </c>
    </row>
    <row r="233" spans="1:10" s="891" customFormat="1" x14ac:dyDescent="0.2">
      <c r="A233" s="44">
        <v>172</v>
      </c>
      <c r="B233" s="888" t="s">
        <v>220</v>
      </c>
      <c r="C233" s="910">
        <v>1</v>
      </c>
      <c r="D233" s="13">
        <v>500</v>
      </c>
      <c r="E233" s="911"/>
      <c r="F233" s="14"/>
      <c r="G233" s="15"/>
      <c r="H233" s="891">
        <v>92000</v>
      </c>
    </row>
    <row r="234" spans="1:10" s="891" customFormat="1" x14ac:dyDescent="0.2">
      <c r="A234" s="44">
        <v>173</v>
      </c>
      <c r="B234" s="888" t="s">
        <v>221</v>
      </c>
      <c r="C234" s="910">
        <v>1</v>
      </c>
      <c r="D234" s="13">
        <v>200</v>
      </c>
      <c r="E234" s="911"/>
      <c r="F234" s="14"/>
      <c r="G234" s="15"/>
      <c r="H234" s="891">
        <v>9800</v>
      </c>
    </row>
    <row r="235" spans="1:10" s="891" customFormat="1" x14ac:dyDescent="0.2">
      <c r="A235" s="44">
        <v>174</v>
      </c>
      <c r="B235" s="888" t="s">
        <v>222</v>
      </c>
      <c r="C235" s="910">
        <v>1</v>
      </c>
      <c r="D235" s="13">
        <v>150</v>
      </c>
      <c r="E235" s="911"/>
      <c r="F235" s="14"/>
      <c r="G235" s="15"/>
      <c r="H235" s="891">
        <v>590250</v>
      </c>
    </row>
    <row r="236" spans="1:10" s="891" customFormat="1" x14ac:dyDescent="0.2">
      <c r="A236" s="44">
        <v>175</v>
      </c>
      <c r="B236" s="888" t="s">
        <v>223</v>
      </c>
      <c r="C236" s="912">
        <v>1</v>
      </c>
      <c r="D236" s="13">
        <v>1870</v>
      </c>
      <c r="E236" s="911"/>
      <c r="F236" s="14"/>
      <c r="G236" s="15"/>
      <c r="H236" s="891">
        <v>746130</v>
      </c>
    </row>
    <row r="237" spans="1:10" s="891" customFormat="1" x14ac:dyDescent="0.2">
      <c r="A237" s="44">
        <v>176</v>
      </c>
      <c r="B237" s="888" t="s">
        <v>224</v>
      </c>
      <c r="C237" s="910">
        <v>1</v>
      </c>
      <c r="D237" s="13">
        <f>58200+3390</f>
        <v>61590</v>
      </c>
      <c r="E237" s="911"/>
      <c r="F237" s="14"/>
      <c r="G237" s="15"/>
      <c r="H237" s="891">
        <v>15089550</v>
      </c>
    </row>
    <row r="238" spans="1:10" s="891" customFormat="1" x14ac:dyDescent="0.2">
      <c r="A238" s="44">
        <v>177</v>
      </c>
      <c r="B238" s="888" t="s">
        <v>225</v>
      </c>
      <c r="C238" s="910">
        <v>1</v>
      </c>
      <c r="D238" s="13">
        <v>2</v>
      </c>
      <c r="E238" s="911"/>
      <c r="F238" s="14"/>
      <c r="G238" s="15"/>
      <c r="H238" s="913">
        <v>4378000</v>
      </c>
    </row>
    <row r="239" spans="1:10" s="891" customFormat="1" x14ac:dyDescent="0.2">
      <c r="A239" s="44">
        <v>178</v>
      </c>
      <c r="B239" s="888" t="s">
        <v>226</v>
      </c>
      <c r="C239" s="910">
        <v>1</v>
      </c>
      <c r="D239" s="13">
        <v>5</v>
      </c>
      <c r="E239" s="911"/>
      <c r="F239" s="14"/>
      <c r="G239" s="15"/>
      <c r="H239" s="891">
        <v>2533800</v>
      </c>
    </row>
    <row r="240" spans="1:10" s="891" customFormat="1" x14ac:dyDescent="0.2">
      <c r="A240" s="44">
        <v>179</v>
      </c>
      <c r="B240" s="888" t="s">
        <v>227</v>
      </c>
      <c r="C240" s="910">
        <v>1</v>
      </c>
      <c r="D240" s="13">
        <v>5</v>
      </c>
      <c r="E240" s="911"/>
      <c r="F240" s="14"/>
      <c r="G240" s="15"/>
      <c r="H240" s="891">
        <v>2002835</v>
      </c>
    </row>
    <row r="241" spans="1:9" s="891" customFormat="1" x14ac:dyDescent="0.2">
      <c r="A241" s="44">
        <v>180</v>
      </c>
      <c r="B241" s="888" t="s">
        <v>228</v>
      </c>
      <c r="C241" s="910">
        <v>1</v>
      </c>
      <c r="D241" s="13">
        <v>46</v>
      </c>
      <c r="E241" s="911"/>
      <c r="F241" s="14"/>
      <c r="G241" s="15"/>
      <c r="H241" s="891">
        <v>13171640</v>
      </c>
    </row>
    <row r="242" spans="1:9" s="891" customFormat="1" x14ac:dyDescent="0.2">
      <c r="A242" s="44">
        <v>181</v>
      </c>
      <c r="B242" s="888" t="s">
        <v>229</v>
      </c>
      <c r="C242" s="910">
        <v>1</v>
      </c>
      <c r="D242" s="13">
        <v>60</v>
      </c>
      <c r="E242" s="911"/>
      <c r="F242" s="14"/>
      <c r="G242" s="15"/>
      <c r="H242" s="891">
        <v>1457400</v>
      </c>
    </row>
    <row r="243" spans="1:9" s="891" customFormat="1" x14ac:dyDescent="0.2">
      <c r="A243" s="44">
        <v>182</v>
      </c>
      <c r="B243" s="888" t="s">
        <v>230</v>
      </c>
      <c r="C243" s="910">
        <v>1</v>
      </c>
      <c r="D243" s="13">
        <v>1283</v>
      </c>
      <c r="E243" s="911"/>
      <c r="F243" s="14"/>
      <c r="G243" s="15"/>
      <c r="H243" s="891">
        <v>254034</v>
      </c>
    </row>
    <row r="244" spans="1:9" s="891" customFormat="1" x14ac:dyDescent="0.2">
      <c r="A244" s="44">
        <v>183</v>
      </c>
      <c r="B244" s="888" t="s">
        <v>231</v>
      </c>
      <c r="C244" s="910">
        <v>1</v>
      </c>
      <c r="D244" s="13">
        <f>33+150</f>
        <v>183</v>
      </c>
      <c r="E244" s="911"/>
      <c r="F244" s="14"/>
      <c r="G244" s="15"/>
      <c r="H244" s="891">
        <v>3339750</v>
      </c>
      <c r="I244" s="891">
        <f>500+783</f>
        <v>1283</v>
      </c>
    </row>
    <row r="245" spans="1:9" s="891" customFormat="1" x14ac:dyDescent="0.2">
      <c r="A245" s="44">
        <v>184</v>
      </c>
      <c r="B245" s="888" t="s">
        <v>232</v>
      </c>
      <c r="C245" s="910">
        <v>1</v>
      </c>
      <c r="D245" s="13">
        <v>50</v>
      </c>
      <c r="E245" s="911"/>
      <c r="F245" s="14"/>
      <c r="G245" s="15"/>
      <c r="H245" s="891">
        <v>238500</v>
      </c>
    </row>
    <row r="246" spans="1:9" s="891" customFormat="1" x14ac:dyDescent="0.2">
      <c r="A246" s="44">
        <v>185</v>
      </c>
      <c r="B246" s="888" t="s">
        <v>233</v>
      </c>
      <c r="C246" s="910">
        <v>1</v>
      </c>
      <c r="D246" s="13">
        <v>50</v>
      </c>
      <c r="E246" s="911"/>
      <c r="F246" s="14"/>
      <c r="G246" s="15"/>
      <c r="H246" s="891">
        <v>545000</v>
      </c>
    </row>
    <row r="247" spans="1:9" s="891" customFormat="1" x14ac:dyDescent="0.2">
      <c r="A247" s="44">
        <v>186</v>
      </c>
      <c r="B247" s="888" t="s">
        <v>484</v>
      </c>
      <c r="C247" s="910">
        <v>1</v>
      </c>
      <c r="D247" s="13">
        <v>527</v>
      </c>
      <c r="E247" s="911"/>
      <c r="F247" s="14"/>
      <c r="G247" s="15"/>
      <c r="H247" s="891">
        <v>12463550</v>
      </c>
    </row>
    <row r="248" spans="1:9" s="891" customFormat="1" ht="30" x14ac:dyDescent="0.2">
      <c r="A248" s="44">
        <v>187</v>
      </c>
      <c r="B248" s="888" t="s">
        <v>235</v>
      </c>
      <c r="C248" s="910">
        <v>1</v>
      </c>
      <c r="D248" s="13">
        <v>200</v>
      </c>
      <c r="E248" s="911"/>
      <c r="F248" s="14"/>
      <c r="G248" s="15"/>
      <c r="H248" s="891">
        <v>675700</v>
      </c>
    </row>
    <row r="249" spans="1:9" s="891" customFormat="1" ht="45" x14ac:dyDescent="0.2">
      <c r="A249" s="44">
        <v>188</v>
      </c>
      <c r="B249" s="888" t="s">
        <v>236</v>
      </c>
      <c r="C249" s="910">
        <v>1</v>
      </c>
      <c r="D249" s="13">
        <v>200</v>
      </c>
      <c r="E249" s="911"/>
      <c r="F249" s="14"/>
      <c r="G249" s="15"/>
      <c r="H249" s="891">
        <v>1389960</v>
      </c>
    </row>
    <row r="250" spans="1:9" s="891" customFormat="1" ht="30" x14ac:dyDescent="0.2">
      <c r="A250" s="44">
        <v>189</v>
      </c>
      <c r="B250" s="888" t="s">
        <v>237</v>
      </c>
      <c r="C250" s="910">
        <v>1</v>
      </c>
      <c r="D250" s="13">
        <v>200</v>
      </c>
      <c r="E250" s="911"/>
      <c r="F250" s="14"/>
      <c r="G250" s="15"/>
      <c r="H250" s="891">
        <v>822660</v>
      </c>
    </row>
    <row r="251" spans="1:9" s="891" customFormat="1" x14ac:dyDescent="0.2">
      <c r="A251" s="44">
        <v>190</v>
      </c>
      <c r="B251" s="888" t="s">
        <v>238</v>
      </c>
      <c r="C251" s="910">
        <v>1</v>
      </c>
      <c r="D251" s="13">
        <f>1300+5000</f>
        <v>6300</v>
      </c>
      <c r="E251" s="911"/>
      <c r="F251" s="14"/>
      <c r="G251" s="15"/>
      <c r="H251" s="891">
        <v>6142500</v>
      </c>
    </row>
    <row r="252" spans="1:9" s="891" customFormat="1" x14ac:dyDescent="0.2">
      <c r="A252" s="44">
        <v>191</v>
      </c>
      <c r="B252" s="888" t="s">
        <v>239</v>
      </c>
      <c r="C252" s="910">
        <v>1</v>
      </c>
      <c r="D252" s="13">
        <v>50</v>
      </c>
      <c r="E252" s="911"/>
      <c r="F252" s="14"/>
      <c r="G252" s="15"/>
      <c r="H252" s="891">
        <v>2445000</v>
      </c>
    </row>
    <row r="253" spans="1:9" s="891" customFormat="1" x14ac:dyDescent="0.2">
      <c r="A253" s="44">
        <v>192</v>
      </c>
      <c r="B253" s="888" t="s">
        <v>240</v>
      </c>
      <c r="C253" s="910">
        <v>1</v>
      </c>
      <c r="D253" s="13">
        <v>17</v>
      </c>
      <c r="E253" s="911"/>
      <c r="F253" s="14"/>
      <c r="G253" s="15"/>
      <c r="H253" s="891">
        <v>532100</v>
      </c>
    </row>
    <row r="254" spans="1:9" s="891" customFormat="1" x14ac:dyDescent="0.2">
      <c r="A254" s="44">
        <v>193</v>
      </c>
      <c r="B254" s="888" t="s">
        <v>242</v>
      </c>
      <c r="C254" s="910">
        <v>1</v>
      </c>
      <c r="D254" s="13">
        <f>28+80</f>
        <v>108</v>
      </c>
      <c r="E254" s="911"/>
      <c r="F254" s="14"/>
      <c r="G254" s="15"/>
      <c r="H254" s="891">
        <v>1137240</v>
      </c>
    </row>
    <row r="255" spans="1:9" s="891" customFormat="1" x14ac:dyDescent="0.2">
      <c r="A255" s="44">
        <v>194</v>
      </c>
      <c r="B255" s="888" t="s">
        <v>482</v>
      </c>
      <c r="C255" s="910">
        <v>1</v>
      </c>
      <c r="D255" s="13">
        <v>1</v>
      </c>
      <c r="E255" s="911"/>
      <c r="F255" s="14"/>
      <c r="G255" s="15"/>
      <c r="H255" s="891">
        <v>16263340</v>
      </c>
    </row>
    <row r="256" spans="1:9" s="891" customFormat="1" x14ac:dyDescent="0.2">
      <c r="A256" s="44">
        <v>195</v>
      </c>
      <c r="B256" s="888" t="s">
        <v>481</v>
      </c>
      <c r="C256" s="910">
        <v>1</v>
      </c>
      <c r="D256" s="13">
        <v>1</v>
      </c>
      <c r="E256" s="911"/>
      <c r="F256" s="14"/>
      <c r="G256" s="15"/>
      <c r="H256" s="891">
        <v>5598490</v>
      </c>
    </row>
    <row r="257" spans="1:9" s="891" customFormat="1" x14ac:dyDescent="0.2">
      <c r="A257" s="44">
        <v>196</v>
      </c>
      <c r="B257" s="888" t="s">
        <v>480</v>
      </c>
      <c r="C257" s="910">
        <v>1</v>
      </c>
      <c r="D257" s="13">
        <v>1</v>
      </c>
      <c r="E257" s="911"/>
      <c r="F257" s="14"/>
      <c r="G257" s="15"/>
      <c r="H257" s="891">
        <v>1034832</v>
      </c>
    </row>
    <row r="258" spans="1:9" s="891" customFormat="1" x14ac:dyDescent="0.2">
      <c r="A258" s="44">
        <v>197</v>
      </c>
      <c r="B258" s="888" t="s">
        <v>478</v>
      </c>
      <c r="C258" s="910">
        <v>1</v>
      </c>
      <c r="D258" s="13">
        <v>1</v>
      </c>
      <c r="E258" s="914"/>
      <c r="F258" s="14"/>
      <c r="G258" s="15"/>
      <c r="H258" s="891">
        <v>8064000</v>
      </c>
    </row>
    <row r="259" spans="1:9" s="891" customFormat="1" x14ac:dyDescent="0.2">
      <c r="A259" s="44">
        <v>198</v>
      </c>
      <c r="B259" s="888" t="s">
        <v>479</v>
      </c>
      <c r="C259" s="910">
        <v>1</v>
      </c>
      <c r="D259" s="13">
        <v>1</v>
      </c>
      <c r="E259" s="914"/>
      <c r="F259" s="14"/>
      <c r="G259" s="15"/>
      <c r="H259" s="891">
        <v>42000000</v>
      </c>
    </row>
    <row r="260" spans="1:9" s="891" customFormat="1" x14ac:dyDescent="0.2">
      <c r="A260" s="44">
        <v>199</v>
      </c>
      <c r="B260" s="888" t="s">
        <v>269</v>
      </c>
      <c r="C260" s="915">
        <v>1</v>
      </c>
      <c r="D260" s="13">
        <v>2</v>
      </c>
      <c r="E260" s="911"/>
      <c r="F260" s="14"/>
      <c r="G260" s="15"/>
      <c r="H260" s="913">
        <v>4750000</v>
      </c>
      <c r="I260" s="891">
        <v>14594316</v>
      </c>
    </row>
    <row r="261" spans="1:9" s="891" customFormat="1" x14ac:dyDescent="0.2">
      <c r="A261" s="44">
        <v>200</v>
      </c>
      <c r="B261" s="888" t="s">
        <v>263</v>
      </c>
      <c r="C261" s="915">
        <v>1</v>
      </c>
      <c r="D261" s="13">
        <v>2</v>
      </c>
      <c r="E261" s="911"/>
      <c r="F261" s="14"/>
      <c r="G261" s="15"/>
      <c r="H261" s="891">
        <v>1808844</v>
      </c>
      <c r="I261" s="918">
        <f>I260-H260</f>
        <v>9844316</v>
      </c>
    </row>
    <row r="262" spans="1:9" s="891" customFormat="1" x14ac:dyDescent="0.2">
      <c r="A262" s="44">
        <v>201</v>
      </c>
      <c r="B262" s="888" t="s">
        <v>264</v>
      </c>
      <c r="C262" s="915">
        <v>1</v>
      </c>
      <c r="D262" s="13">
        <v>7</v>
      </c>
      <c r="E262" s="911"/>
      <c r="F262" s="14"/>
      <c r="G262" s="15"/>
      <c r="H262" s="891">
        <v>170030</v>
      </c>
    </row>
    <row r="263" spans="1:9" s="891" customFormat="1" x14ac:dyDescent="0.2">
      <c r="A263" s="44">
        <v>202</v>
      </c>
      <c r="B263" s="888" t="s">
        <v>250</v>
      </c>
      <c r="C263" s="915">
        <v>1</v>
      </c>
      <c r="D263" s="13">
        <v>6</v>
      </c>
      <c r="E263" s="911"/>
      <c r="F263" s="14"/>
      <c r="G263" s="15"/>
      <c r="H263" s="891">
        <v>94716</v>
      </c>
    </row>
    <row r="264" spans="1:9" s="891" customFormat="1" x14ac:dyDescent="0.2">
      <c r="A264" s="44">
        <v>203</v>
      </c>
      <c r="B264" s="888" t="s">
        <v>251</v>
      </c>
      <c r="C264" s="915">
        <v>1</v>
      </c>
      <c r="D264" s="13">
        <v>12</v>
      </c>
      <c r="E264" s="911"/>
      <c r="F264" s="14"/>
      <c r="G264" s="15"/>
      <c r="H264" s="891">
        <v>396000</v>
      </c>
    </row>
    <row r="265" spans="1:9" s="891" customFormat="1" x14ac:dyDescent="0.2">
      <c r="A265" s="44">
        <v>204</v>
      </c>
      <c r="B265" s="888" t="s">
        <v>254</v>
      </c>
      <c r="C265" s="915">
        <v>1</v>
      </c>
      <c r="D265" s="13">
        <v>9</v>
      </c>
      <c r="E265" s="911"/>
      <c r="F265" s="14"/>
      <c r="G265" s="15"/>
      <c r="H265" s="891">
        <v>316800</v>
      </c>
    </row>
    <row r="266" spans="1:9" s="891" customFormat="1" x14ac:dyDescent="0.2">
      <c r="A266" s="44">
        <v>205</v>
      </c>
      <c r="B266" s="888" t="s">
        <v>257</v>
      </c>
      <c r="C266" s="915">
        <v>1</v>
      </c>
      <c r="D266" s="13">
        <v>14</v>
      </c>
      <c r="E266" s="911"/>
      <c r="F266" s="14"/>
      <c r="G266" s="15"/>
      <c r="H266" s="891">
        <v>50274</v>
      </c>
    </row>
    <row r="267" spans="1:9" s="891" customFormat="1" x14ac:dyDescent="0.2">
      <c r="A267" s="44">
        <v>206</v>
      </c>
      <c r="B267" s="888" t="s">
        <v>258</v>
      </c>
      <c r="C267" s="915">
        <v>1</v>
      </c>
      <c r="D267" s="13">
        <v>58</v>
      </c>
      <c r="E267" s="911"/>
      <c r="F267" s="14"/>
      <c r="G267" s="15"/>
      <c r="H267" s="891">
        <v>86884</v>
      </c>
    </row>
    <row r="268" spans="1:9" s="891" customFormat="1" x14ac:dyDescent="0.2">
      <c r="A268" s="44">
        <v>207</v>
      </c>
      <c r="B268" s="888" t="s">
        <v>259</v>
      </c>
      <c r="C268" s="912">
        <v>1</v>
      </c>
      <c r="D268" s="13">
        <v>420</v>
      </c>
      <c r="E268" s="911"/>
      <c r="F268" s="14"/>
      <c r="G268" s="15"/>
      <c r="H268" s="891">
        <v>182700</v>
      </c>
    </row>
    <row r="269" spans="1:9" s="891" customFormat="1" ht="75" x14ac:dyDescent="0.2">
      <c r="A269" s="44">
        <v>208</v>
      </c>
      <c r="B269" s="888" t="s">
        <v>472</v>
      </c>
      <c r="C269" s="919">
        <v>100</v>
      </c>
      <c r="D269" s="13">
        <v>49390</v>
      </c>
      <c r="E269" s="921"/>
      <c r="F269" s="14"/>
      <c r="G269" s="15"/>
      <c r="H269" s="891">
        <v>34250927.809999995</v>
      </c>
      <c r="I269" s="891" t="e">
        <f>#REF!+#REF!</f>
        <v>#REF!</v>
      </c>
    </row>
    <row r="270" spans="1:9" s="891" customFormat="1" ht="45" x14ac:dyDescent="0.2">
      <c r="A270" s="44">
        <v>209</v>
      </c>
      <c r="B270" s="888" t="s">
        <v>270</v>
      </c>
      <c r="C270" s="922">
        <v>1000</v>
      </c>
      <c r="D270" s="13">
        <v>2062.9820000000004</v>
      </c>
      <c r="E270" s="921"/>
      <c r="F270" s="14"/>
      <c r="G270" s="15"/>
      <c r="H270" s="891">
        <v>32644.936615300008</v>
      </c>
      <c r="I270" s="891" t="e">
        <f>I269-240554556</f>
        <v>#REF!</v>
      </c>
    </row>
    <row r="271" spans="1:9" s="891" customFormat="1" ht="98.45" customHeight="1" x14ac:dyDescent="0.2">
      <c r="A271" s="44">
        <v>210</v>
      </c>
      <c r="B271" s="888" t="s">
        <v>275</v>
      </c>
      <c r="C271" s="889">
        <v>1</v>
      </c>
      <c r="D271" s="13">
        <v>6650</v>
      </c>
      <c r="E271" s="921"/>
      <c r="F271" s="14"/>
      <c r="G271" s="15"/>
      <c r="H271" s="891">
        <v>13206567.5</v>
      </c>
    </row>
    <row r="272" spans="1:9" s="891" customFormat="1" ht="46.9" customHeight="1" x14ac:dyDescent="0.2">
      <c r="A272" s="44">
        <v>211</v>
      </c>
      <c r="B272" s="888" t="s">
        <v>276</v>
      </c>
      <c r="C272" s="919">
        <v>1</v>
      </c>
      <c r="D272" s="13">
        <v>14250</v>
      </c>
      <c r="E272" s="921"/>
      <c r="F272" s="14"/>
      <c r="G272" s="15"/>
      <c r="H272" s="891">
        <v>3348037.5</v>
      </c>
    </row>
    <row r="273" spans="1:8" s="891" customFormat="1" ht="46.9" customHeight="1" x14ac:dyDescent="0.2">
      <c r="A273" s="44">
        <v>212</v>
      </c>
      <c r="B273" s="888" t="s">
        <v>277</v>
      </c>
      <c r="C273" s="919">
        <v>1</v>
      </c>
      <c r="D273" s="13">
        <v>28500</v>
      </c>
      <c r="E273" s="921"/>
      <c r="F273" s="14"/>
      <c r="G273" s="15"/>
      <c r="H273" s="913">
        <v>1604550</v>
      </c>
    </row>
    <row r="274" spans="1:8" s="891" customFormat="1" ht="210.75" x14ac:dyDescent="0.2">
      <c r="A274" s="44">
        <v>213</v>
      </c>
      <c r="B274" s="925" t="s">
        <v>473</v>
      </c>
      <c r="C274" s="37">
        <v>1</v>
      </c>
      <c r="D274" s="13">
        <v>37</v>
      </c>
      <c r="E274" s="56"/>
      <c r="F274" s="14"/>
      <c r="G274" s="15"/>
      <c r="H274" s="891">
        <v>160955550</v>
      </c>
    </row>
    <row r="275" spans="1:8" s="891" customFormat="1" ht="267.60000000000002" customHeight="1" x14ac:dyDescent="0.2">
      <c r="A275" s="44">
        <v>214</v>
      </c>
      <c r="B275" s="888" t="s">
        <v>474</v>
      </c>
      <c r="C275" s="37">
        <v>1</v>
      </c>
      <c r="D275" s="13">
        <v>8</v>
      </c>
      <c r="E275" s="911"/>
      <c r="F275" s="14"/>
      <c r="G275" s="15"/>
      <c r="H275" s="891">
        <v>31088992</v>
      </c>
    </row>
    <row r="276" spans="1:8" s="891" customFormat="1" ht="281.45" customHeight="1" x14ac:dyDescent="0.2">
      <c r="A276" s="44">
        <v>215</v>
      </c>
      <c r="B276" s="888" t="s">
        <v>494</v>
      </c>
      <c r="C276" s="111">
        <v>1</v>
      </c>
      <c r="D276" s="13">
        <v>6</v>
      </c>
      <c r="E276" s="926"/>
      <c r="F276" s="14"/>
      <c r="G276" s="15"/>
      <c r="H276" s="891">
        <v>24840714</v>
      </c>
    </row>
    <row r="277" spans="1:8" s="891" customFormat="1" ht="271.5" x14ac:dyDescent="0.2">
      <c r="A277" s="44">
        <v>216</v>
      </c>
      <c r="B277" s="888" t="s">
        <v>475</v>
      </c>
      <c r="C277" s="37">
        <v>1</v>
      </c>
      <c r="D277" s="13">
        <v>1</v>
      </c>
      <c r="E277" s="59"/>
      <c r="F277" s="14"/>
      <c r="G277" s="15"/>
      <c r="H277" s="891">
        <v>8178639</v>
      </c>
    </row>
    <row r="278" spans="1:8" s="891" customFormat="1" ht="285.75" x14ac:dyDescent="0.2">
      <c r="A278" s="44">
        <v>217</v>
      </c>
      <c r="B278" s="876" t="s">
        <v>476</v>
      </c>
      <c r="C278" s="37">
        <v>1</v>
      </c>
      <c r="D278" s="13">
        <v>8</v>
      </c>
      <c r="E278" s="59"/>
      <c r="F278" s="14"/>
      <c r="G278" s="15"/>
      <c r="H278" s="891">
        <v>104036352</v>
      </c>
    </row>
    <row r="279" spans="1:8" s="891" customFormat="1" ht="48.6" customHeight="1" x14ac:dyDescent="0.2">
      <c r="A279" s="44">
        <v>218</v>
      </c>
      <c r="B279" s="888" t="s">
        <v>299</v>
      </c>
      <c r="C279" s="37">
        <v>1</v>
      </c>
      <c r="D279" s="13">
        <v>4</v>
      </c>
      <c r="E279" s="59"/>
      <c r="F279" s="14"/>
      <c r="G279" s="15"/>
      <c r="H279" s="891">
        <v>5888892</v>
      </c>
    </row>
    <row r="280" spans="1:8" s="891" customFormat="1" ht="48.6" customHeight="1" x14ac:dyDescent="0.2">
      <c r="A280" s="44">
        <v>219</v>
      </c>
      <c r="B280" s="888" t="s">
        <v>297</v>
      </c>
      <c r="C280" s="37">
        <v>1</v>
      </c>
      <c r="D280" s="13">
        <v>1</v>
      </c>
      <c r="E280" s="59"/>
      <c r="F280" s="14"/>
      <c r="G280" s="15"/>
      <c r="H280" s="891">
        <v>1315342</v>
      </c>
    </row>
    <row r="281" spans="1:8" s="891" customFormat="1" ht="30" x14ac:dyDescent="0.2">
      <c r="A281" s="44">
        <v>220</v>
      </c>
      <c r="B281" s="888" t="s">
        <v>390</v>
      </c>
      <c r="C281" s="919">
        <v>1</v>
      </c>
      <c r="D281" s="13">
        <v>8140</v>
      </c>
      <c r="E281" s="49"/>
      <c r="F281" s="14"/>
      <c r="G281" s="15"/>
      <c r="H281" s="891">
        <v>7033367</v>
      </c>
    </row>
    <row r="282" spans="1:8" s="891" customFormat="1" ht="30" x14ac:dyDescent="0.2">
      <c r="A282" s="44">
        <v>221</v>
      </c>
      <c r="B282" s="888" t="s">
        <v>279</v>
      </c>
      <c r="C282" s="37">
        <v>1</v>
      </c>
      <c r="D282" s="13">
        <v>1628</v>
      </c>
      <c r="E282" s="49"/>
      <c r="F282" s="14"/>
      <c r="G282" s="15"/>
      <c r="H282" s="891">
        <v>130240</v>
      </c>
    </row>
    <row r="283" spans="1:8" s="891" customFormat="1" ht="30" x14ac:dyDescent="0.2">
      <c r="A283" s="44">
        <v>222</v>
      </c>
      <c r="B283" s="888" t="s">
        <v>280</v>
      </c>
      <c r="C283" s="927" t="s">
        <v>281</v>
      </c>
      <c r="D283" s="13">
        <v>37</v>
      </c>
      <c r="E283" s="49"/>
      <c r="F283" s="14"/>
      <c r="G283" s="15"/>
      <c r="H283" s="891">
        <v>8613.6</v>
      </c>
    </row>
    <row r="284" spans="1:8" s="891" customFormat="1" ht="45" x14ac:dyDescent="0.2">
      <c r="A284" s="44">
        <v>223</v>
      </c>
      <c r="B284" s="888" t="s">
        <v>282</v>
      </c>
      <c r="C284" s="919">
        <v>1</v>
      </c>
      <c r="D284" s="13">
        <v>2590</v>
      </c>
      <c r="E284" s="49"/>
      <c r="F284" s="14"/>
      <c r="G284" s="15"/>
      <c r="H284" s="891">
        <v>13910890</v>
      </c>
    </row>
    <row r="285" spans="1:8" s="891" customFormat="1" ht="30" x14ac:dyDescent="0.2">
      <c r="A285" s="44">
        <v>224</v>
      </c>
      <c r="B285" s="888" t="s">
        <v>283</v>
      </c>
      <c r="C285" s="37">
        <v>1</v>
      </c>
      <c r="D285" s="13">
        <v>74</v>
      </c>
      <c r="E285" s="49"/>
      <c r="F285" s="14"/>
      <c r="G285" s="15"/>
      <c r="H285" s="891">
        <v>2633068</v>
      </c>
    </row>
    <row r="286" spans="1:8" s="891" customFormat="1" ht="60" x14ac:dyDescent="0.2">
      <c r="A286" s="44">
        <v>225</v>
      </c>
      <c r="B286" s="888" t="s">
        <v>284</v>
      </c>
      <c r="C286" s="919">
        <v>1</v>
      </c>
      <c r="D286" s="13">
        <v>4440</v>
      </c>
      <c r="E286" s="49"/>
      <c r="F286" s="14"/>
      <c r="G286" s="15"/>
      <c r="H286" s="891">
        <v>17167038</v>
      </c>
    </row>
    <row r="287" spans="1:8" s="891" customFormat="1" ht="45" x14ac:dyDescent="0.2">
      <c r="A287" s="44">
        <v>226</v>
      </c>
      <c r="B287" s="888" t="s">
        <v>285</v>
      </c>
      <c r="C287" s="919">
        <v>1</v>
      </c>
      <c r="D287" s="13">
        <v>740</v>
      </c>
      <c r="E287" s="49"/>
      <c r="F287" s="14"/>
      <c r="G287" s="15"/>
      <c r="H287" s="891">
        <v>2651420</v>
      </c>
    </row>
    <row r="288" spans="1:8" s="891" customFormat="1" ht="60" x14ac:dyDescent="0.2">
      <c r="A288" s="44">
        <v>227</v>
      </c>
      <c r="B288" s="888" t="s">
        <v>286</v>
      </c>
      <c r="C288" s="919">
        <v>1</v>
      </c>
      <c r="D288" s="13">
        <v>370</v>
      </c>
      <c r="E288" s="49"/>
      <c r="F288" s="14"/>
      <c r="G288" s="15"/>
      <c r="H288" s="891">
        <v>1382135</v>
      </c>
    </row>
    <row r="289" spans="1:8" s="891" customFormat="1" ht="30" x14ac:dyDescent="0.2">
      <c r="A289" s="44">
        <v>228</v>
      </c>
      <c r="B289" s="888" t="s">
        <v>287</v>
      </c>
      <c r="C289" s="37">
        <v>1</v>
      </c>
      <c r="D289" s="13">
        <v>148</v>
      </c>
      <c r="E289" s="49"/>
      <c r="F289" s="14"/>
      <c r="G289" s="15"/>
      <c r="H289" s="891">
        <v>169904</v>
      </c>
    </row>
    <row r="290" spans="1:8" s="891" customFormat="1" x14ac:dyDescent="0.2">
      <c r="A290" s="44">
        <v>229</v>
      </c>
      <c r="B290" s="888" t="s">
        <v>288</v>
      </c>
      <c r="C290" s="12">
        <v>1</v>
      </c>
      <c r="D290" s="13">
        <v>6520.88</v>
      </c>
      <c r="E290" s="49"/>
      <c r="F290" s="14"/>
      <c r="G290" s="15"/>
      <c r="H290" s="891">
        <v>1217122.2520000001</v>
      </c>
    </row>
    <row r="291" spans="1:8" s="891" customFormat="1" ht="30" x14ac:dyDescent="0.2">
      <c r="A291" s="44">
        <v>230</v>
      </c>
      <c r="B291" s="888" t="s">
        <v>387</v>
      </c>
      <c r="C291" s="942">
        <v>1</v>
      </c>
      <c r="D291" s="13">
        <v>2664</v>
      </c>
      <c r="E291" s="49"/>
      <c r="F291" s="14"/>
      <c r="G291" s="15"/>
      <c r="H291" s="891">
        <v>8666258.4000000004</v>
      </c>
    </row>
    <row r="292" spans="1:8" s="891" customFormat="1" ht="33.6" customHeight="1" x14ac:dyDescent="0.2">
      <c r="A292" s="44">
        <v>231</v>
      </c>
      <c r="B292" s="888" t="s">
        <v>291</v>
      </c>
      <c r="C292" s="919">
        <v>1</v>
      </c>
      <c r="D292" s="13">
        <v>1850</v>
      </c>
      <c r="E292" s="49"/>
      <c r="F292" s="14"/>
      <c r="G292" s="15"/>
      <c r="H292" s="891">
        <v>1709492.5</v>
      </c>
    </row>
    <row r="293" spans="1:8" s="891" customFormat="1" ht="51.6" customHeight="1" x14ac:dyDescent="0.2">
      <c r="A293" s="44">
        <v>232</v>
      </c>
      <c r="B293" s="888" t="s">
        <v>292</v>
      </c>
      <c r="C293" s="922">
        <v>1000</v>
      </c>
      <c r="D293" s="13">
        <v>118400</v>
      </c>
      <c r="E293" s="49"/>
      <c r="F293" s="14"/>
      <c r="G293" s="15"/>
      <c r="H293" s="891">
        <v>1337197.76</v>
      </c>
    </row>
    <row r="294" spans="1:8" s="891" customFormat="1" ht="64.150000000000006" customHeight="1" x14ac:dyDescent="0.2">
      <c r="A294" s="44">
        <v>233</v>
      </c>
      <c r="B294" s="888" t="s">
        <v>294</v>
      </c>
      <c r="C294" s="919">
        <v>1</v>
      </c>
      <c r="D294" s="13">
        <v>14800</v>
      </c>
      <c r="E294" s="49"/>
      <c r="F294" s="14"/>
      <c r="G294" s="15"/>
      <c r="H294" s="891">
        <v>52762000</v>
      </c>
    </row>
    <row r="295" spans="1:8" s="891" customFormat="1" ht="66" customHeight="1" x14ac:dyDescent="0.2">
      <c r="A295" s="44">
        <v>234</v>
      </c>
      <c r="B295" s="888" t="s">
        <v>296</v>
      </c>
      <c r="C295" s="919">
        <v>1</v>
      </c>
      <c r="D295" s="13">
        <v>555</v>
      </c>
      <c r="E295" s="49"/>
      <c r="F295" s="14"/>
      <c r="G295" s="15"/>
      <c r="H295" s="913">
        <v>277666.5</v>
      </c>
    </row>
    <row r="296" spans="1:8" s="891" customFormat="1" ht="220.15" customHeight="1" x14ac:dyDescent="0.2">
      <c r="A296" s="44">
        <v>235</v>
      </c>
      <c r="B296" s="888" t="s">
        <v>497</v>
      </c>
      <c r="C296" s="37">
        <v>1</v>
      </c>
      <c r="D296" s="13">
        <v>87</v>
      </c>
      <c r="E296" s="911"/>
      <c r="F296" s="14"/>
      <c r="G296" s="15"/>
      <c r="H296" s="891">
        <v>169663050</v>
      </c>
    </row>
    <row r="297" spans="1:8" s="891" customFormat="1" ht="30" x14ac:dyDescent="0.2">
      <c r="A297" s="44">
        <v>236</v>
      </c>
      <c r="B297" s="876" t="s">
        <v>339</v>
      </c>
      <c r="C297" s="37">
        <v>1</v>
      </c>
      <c r="D297" s="13">
        <v>1</v>
      </c>
      <c r="E297" s="65"/>
      <c r="F297" s="14"/>
      <c r="G297" s="15"/>
      <c r="H297" s="891">
        <v>1829000</v>
      </c>
    </row>
    <row r="298" spans="1:8" s="891" customFormat="1" ht="97.9" customHeight="1" x14ac:dyDescent="0.2">
      <c r="A298" s="44">
        <v>237</v>
      </c>
      <c r="B298" s="876" t="s">
        <v>340</v>
      </c>
      <c r="C298" s="37">
        <v>1</v>
      </c>
      <c r="D298" s="13">
        <v>1</v>
      </c>
      <c r="E298" s="65"/>
      <c r="F298" s="14"/>
      <c r="G298" s="15"/>
      <c r="H298" s="891">
        <v>4250000</v>
      </c>
    </row>
    <row r="299" spans="1:8" s="891" customFormat="1" ht="80.45" customHeight="1" x14ac:dyDescent="0.2">
      <c r="A299" s="44">
        <v>238</v>
      </c>
      <c r="B299" s="876" t="s">
        <v>341</v>
      </c>
      <c r="C299" s="37">
        <v>1</v>
      </c>
      <c r="D299" s="13">
        <v>1</v>
      </c>
      <c r="E299" s="49"/>
      <c r="F299" s="14"/>
      <c r="G299" s="15"/>
      <c r="H299" s="891">
        <v>1475000</v>
      </c>
    </row>
    <row r="300" spans="1:8" s="891" customFormat="1" ht="50.45" customHeight="1" x14ac:dyDescent="0.2">
      <c r="A300" s="44">
        <v>239</v>
      </c>
      <c r="B300" s="876" t="s">
        <v>342</v>
      </c>
      <c r="C300" s="37">
        <v>1</v>
      </c>
      <c r="D300" s="13">
        <v>4</v>
      </c>
      <c r="E300" s="49"/>
      <c r="F300" s="14"/>
      <c r="G300" s="15"/>
      <c r="H300" s="891">
        <v>519200</v>
      </c>
    </row>
    <row r="301" spans="1:8" s="891" customFormat="1" ht="102.6" customHeight="1" x14ac:dyDescent="0.2">
      <c r="A301" s="44">
        <v>240</v>
      </c>
      <c r="B301" s="876" t="s">
        <v>343</v>
      </c>
      <c r="C301" s="37">
        <v>1</v>
      </c>
      <c r="D301" s="13">
        <v>2</v>
      </c>
      <c r="E301" s="49"/>
      <c r="F301" s="14"/>
      <c r="G301" s="15"/>
      <c r="H301" s="891">
        <v>1700000</v>
      </c>
    </row>
    <row r="302" spans="1:8" s="891" customFormat="1" ht="229.15" customHeight="1" x14ac:dyDescent="0.2">
      <c r="A302" s="44">
        <v>241</v>
      </c>
      <c r="B302" s="888" t="s">
        <v>477</v>
      </c>
      <c r="C302" s="37">
        <v>1</v>
      </c>
      <c r="D302" s="13">
        <v>6</v>
      </c>
      <c r="E302" s="66"/>
      <c r="F302" s="14"/>
      <c r="G302" s="15"/>
      <c r="H302" s="891">
        <v>30368325</v>
      </c>
    </row>
    <row r="303" spans="1:8" s="891" customFormat="1" ht="222" customHeight="1" x14ac:dyDescent="0.2">
      <c r="A303" s="44">
        <v>242</v>
      </c>
      <c r="B303" s="888" t="s">
        <v>495</v>
      </c>
      <c r="C303" s="37">
        <v>1</v>
      </c>
      <c r="D303" s="13">
        <v>7</v>
      </c>
      <c r="E303" s="66"/>
      <c r="F303" s="14"/>
      <c r="G303" s="15"/>
      <c r="H303" s="891">
        <v>28815150</v>
      </c>
    </row>
    <row r="304" spans="1:8" s="891" customFormat="1" ht="220.15" customHeight="1" x14ac:dyDescent="0.2">
      <c r="A304" s="44">
        <v>243</v>
      </c>
      <c r="B304" s="888" t="s">
        <v>496</v>
      </c>
      <c r="C304" s="37">
        <v>1</v>
      </c>
      <c r="D304" s="13">
        <v>1</v>
      </c>
      <c r="E304" s="66"/>
      <c r="F304" s="14"/>
      <c r="G304" s="15"/>
      <c r="H304" s="891">
        <v>8787425</v>
      </c>
    </row>
    <row r="305" spans="1:15" s="887" customFormat="1" x14ac:dyDescent="0.2">
      <c r="A305" s="44">
        <v>244</v>
      </c>
      <c r="B305" s="876" t="s">
        <v>429</v>
      </c>
      <c r="C305" s="943" t="s">
        <v>347</v>
      </c>
      <c r="D305" s="13">
        <v>1</v>
      </c>
      <c r="E305" s="30"/>
      <c r="F305" s="944"/>
      <c r="G305" s="15"/>
      <c r="H305" s="887">
        <v>1300000</v>
      </c>
    </row>
    <row r="306" spans="1:15" s="887" customFormat="1" x14ac:dyDescent="0.2">
      <c r="A306" s="44">
        <v>245</v>
      </c>
      <c r="B306" s="876" t="s">
        <v>428</v>
      </c>
      <c r="C306" s="22" t="s">
        <v>347</v>
      </c>
      <c r="D306" s="13">
        <v>1</v>
      </c>
      <c r="E306" s="30"/>
      <c r="F306" s="944"/>
      <c r="G306" s="15"/>
      <c r="H306" s="887">
        <v>700000</v>
      </c>
    </row>
    <row r="307" spans="1:15" s="887" customFormat="1" x14ac:dyDescent="0.2">
      <c r="A307" s="44">
        <v>246</v>
      </c>
      <c r="B307" s="876" t="s">
        <v>432</v>
      </c>
      <c r="C307" s="22" t="s">
        <v>347</v>
      </c>
      <c r="D307" s="13">
        <v>1</v>
      </c>
      <c r="E307" s="30"/>
      <c r="F307" s="944"/>
      <c r="G307" s="15"/>
      <c r="H307" s="887">
        <v>500000</v>
      </c>
    </row>
    <row r="308" spans="1:15" s="887" customFormat="1" x14ac:dyDescent="0.2">
      <c r="A308" s="44">
        <v>247</v>
      </c>
      <c r="B308" s="876" t="s">
        <v>430</v>
      </c>
      <c r="C308" s="22" t="s">
        <v>347</v>
      </c>
      <c r="D308" s="13">
        <v>1</v>
      </c>
      <c r="E308" s="30"/>
      <c r="F308" s="944"/>
      <c r="G308" s="15"/>
      <c r="H308" s="887">
        <v>500000</v>
      </c>
    </row>
    <row r="309" spans="1:15" s="887" customFormat="1" x14ac:dyDescent="0.2">
      <c r="A309" s="44">
        <v>248</v>
      </c>
      <c r="B309" s="876" t="s">
        <v>431</v>
      </c>
      <c r="C309" s="22" t="s">
        <v>347</v>
      </c>
      <c r="D309" s="13">
        <v>1</v>
      </c>
      <c r="E309" s="30"/>
      <c r="F309" s="944"/>
      <c r="G309" s="15"/>
      <c r="H309" s="887">
        <v>500000</v>
      </c>
    </row>
    <row r="310" spans="1:15" s="887" customFormat="1" x14ac:dyDescent="0.2">
      <c r="A310" s="44">
        <v>249</v>
      </c>
      <c r="B310" s="884" t="s">
        <v>433</v>
      </c>
      <c r="C310" s="22" t="s">
        <v>347</v>
      </c>
      <c r="D310" s="13">
        <v>1</v>
      </c>
      <c r="E310" s="30"/>
      <c r="F310" s="944"/>
      <c r="G310" s="15"/>
      <c r="H310" s="887">
        <v>250000</v>
      </c>
    </row>
    <row r="311" spans="1:15" s="887" customFormat="1" x14ac:dyDescent="0.2">
      <c r="A311" s="44">
        <v>250</v>
      </c>
      <c r="B311" s="884" t="s">
        <v>434</v>
      </c>
      <c r="C311" s="22" t="s">
        <v>347</v>
      </c>
      <c r="D311" s="13">
        <v>1</v>
      </c>
      <c r="E311" s="30"/>
      <c r="F311" s="944"/>
      <c r="G311" s="15"/>
      <c r="H311" s="887">
        <v>250000</v>
      </c>
    </row>
    <row r="312" spans="1:15" s="887" customFormat="1" x14ac:dyDescent="0.2">
      <c r="A312" s="44">
        <v>251</v>
      </c>
      <c r="B312" s="884" t="s">
        <v>354</v>
      </c>
      <c r="C312" s="22" t="s">
        <v>347</v>
      </c>
      <c r="D312" s="13">
        <v>5</v>
      </c>
      <c r="E312" s="40"/>
      <c r="F312" s="944"/>
      <c r="G312" s="15"/>
      <c r="H312" s="887">
        <v>500000</v>
      </c>
    </row>
    <row r="313" spans="1:15" s="887" customFormat="1" ht="15.75" x14ac:dyDescent="0.2">
      <c r="A313" s="44">
        <v>252</v>
      </c>
      <c r="B313" s="928" t="s">
        <v>355</v>
      </c>
      <c r="C313" s="22" t="s">
        <v>347</v>
      </c>
      <c r="D313" s="13">
        <v>1</v>
      </c>
      <c r="E313" s="30"/>
      <c r="F313" s="944"/>
      <c r="G313" s="15"/>
      <c r="H313" s="887">
        <v>1500000</v>
      </c>
    </row>
    <row r="314" spans="1:15" s="887" customFormat="1" ht="15.75" x14ac:dyDescent="0.2">
      <c r="A314" s="44">
        <v>253</v>
      </c>
      <c r="B314" s="928" t="s">
        <v>356</v>
      </c>
      <c r="C314" s="22" t="s">
        <v>347</v>
      </c>
      <c r="D314" s="13">
        <v>3</v>
      </c>
      <c r="E314" s="40"/>
      <c r="F314" s="944"/>
      <c r="G314" s="15"/>
      <c r="H314" s="887">
        <v>1500000</v>
      </c>
    </row>
    <row r="315" spans="1:15" s="887" customFormat="1" ht="15.75" x14ac:dyDescent="0.2">
      <c r="A315" s="44">
        <v>254</v>
      </c>
      <c r="B315" s="928" t="s">
        <v>357</v>
      </c>
      <c r="C315" s="22" t="s">
        <v>347</v>
      </c>
      <c r="D315" s="13">
        <v>1</v>
      </c>
      <c r="E315" s="30"/>
      <c r="F315" s="944"/>
      <c r="G315" s="15"/>
      <c r="H315" s="887">
        <v>500000</v>
      </c>
    </row>
    <row r="316" spans="1:15" x14ac:dyDescent="0.2">
      <c r="A316" s="44">
        <v>255</v>
      </c>
      <c r="B316" s="884" t="s">
        <v>435</v>
      </c>
      <c r="C316" s="22" t="s">
        <v>347</v>
      </c>
      <c r="D316" s="13">
        <v>1</v>
      </c>
      <c r="E316" s="30"/>
      <c r="F316" s="944"/>
      <c r="G316" s="15"/>
      <c r="H316" s="870">
        <v>125000</v>
      </c>
    </row>
    <row r="317" spans="1:15" x14ac:dyDescent="0.2">
      <c r="A317" s="44">
        <v>256</v>
      </c>
      <c r="B317" s="884" t="s">
        <v>436</v>
      </c>
      <c r="C317" s="22" t="s">
        <v>347</v>
      </c>
      <c r="D317" s="13">
        <v>1</v>
      </c>
      <c r="E317" s="30"/>
      <c r="F317" s="944"/>
      <c r="G317" s="15"/>
      <c r="H317" s="870">
        <v>100000</v>
      </c>
      <c r="M317" s="891"/>
      <c r="N317" s="891"/>
      <c r="O317" s="891">
        <f>M317+N317</f>
        <v>0</v>
      </c>
    </row>
    <row r="318" spans="1:15" x14ac:dyDescent="0.2">
      <c r="A318" s="44">
        <v>257</v>
      </c>
      <c r="B318" s="884" t="s">
        <v>437</v>
      </c>
      <c r="C318" s="22" t="s">
        <v>347</v>
      </c>
      <c r="D318" s="13">
        <v>1</v>
      </c>
      <c r="E318" s="30"/>
      <c r="F318" s="944"/>
      <c r="G318" s="15"/>
      <c r="H318" s="870">
        <v>100000</v>
      </c>
      <c r="M318" s="891">
        <v>187601.82</v>
      </c>
      <c r="N318" s="891">
        <v>40000</v>
      </c>
      <c r="O318" s="891">
        <f t="shared" ref="O318:O326" si="1">M318+N318</f>
        <v>227601.82</v>
      </c>
    </row>
    <row r="319" spans="1:15" x14ac:dyDescent="0.2">
      <c r="A319" s="44">
        <v>258</v>
      </c>
      <c r="B319" s="884" t="s">
        <v>438</v>
      </c>
      <c r="C319" s="22" t="s">
        <v>347</v>
      </c>
      <c r="D319" s="13">
        <v>1</v>
      </c>
      <c r="E319" s="30"/>
      <c r="F319" s="944"/>
      <c r="G319" s="15"/>
      <c r="H319" s="870">
        <v>175000</v>
      </c>
      <c r="M319" s="891">
        <v>101544.2</v>
      </c>
      <c r="N319" s="891">
        <v>40000</v>
      </c>
      <c r="O319" s="891">
        <f t="shared" si="1"/>
        <v>141544.20000000001</v>
      </c>
    </row>
    <row r="320" spans="1:15" ht="30" x14ac:dyDescent="0.2">
      <c r="A320" s="44">
        <v>259</v>
      </c>
      <c r="B320" s="884" t="s">
        <v>439</v>
      </c>
      <c r="C320" s="22" t="s">
        <v>347</v>
      </c>
      <c r="D320" s="13">
        <v>1</v>
      </c>
      <c r="E320" s="30"/>
      <c r="F320" s="944"/>
      <c r="G320" s="15"/>
      <c r="H320" s="882">
        <v>500000</v>
      </c>
      <c r="M320" s="891">
        <v>134924</v>
      </c>
      <c r="N320" s="891">
        <v>40000</v>
      </c>
      <c r="O320" s="891">
        <f t="shared" si="1"/>
        <v>174924</v>
      </c>
    </row>
    <row r="321" spans="1:15" ht="30.6" customHeight="1" x14ac:dyDescent="0.2">
      <c r="A321" s="997" t="s">
        <v>498</v>
      </c>
      <c r="B321" s="997"/>
      <c r="C321" s="997"/>
      <c r="D321" s="997"/>
      <c r="E321" s="903"/>
      <c r="F321" s="14"/>
      <c r="G321" s="903"/>
      <c r="H321" s="933">
        <f>SUM(H5:H320)</f>
        <v>2262037920.5902777</v>
      </c>
      <c r="I321" s="945">
        <f>F321-H321</f>
        <v>-2262037920.5902777</v>
      </c>
      <c r="M321" s="891">
        <v>207719.6</v>
      </c>
      <c r="N321" s="891">
        <v>40000</v>
      </c>
      <c r="O321" s="891">
        <f t="shared" si="1"/>
        <v>247719.6</v>
      </c>
    </row>
    <row r="322" spans="1:15" ht="15" customHeight="1" x14ac:dyDescent="0.2">
      <c r="B322" s="941"/>
      <c r="C322" s="941"/>
      <c r="F322" s="14" t="e">
        <f t="shared" ref="F322:F325" si="2">E322*D322/C322</f>
        <v>#DIV/0!</v>
      </c>
      <c r="M322" s="891">
        <v>274993.59999999998</v>
      </c>
      <c r="N322" s="891">
        <v>156780</v>
      </c>
      <c r="O322" s="891">
        <f t="shared" si="1"/>
        <v>431773.6</v>
      </c>
    </row>
    <row r="323" spans="1:15" x14ac:dyDescent="0.2">
      <c r="B323" s="930"/>
      <c r="E323" s="933" t="s">
        <v>415</v>
      </c>
      <c r="F323" s="14" t="e">
        <f t="shared" si="2"/>
        <v>#VALUE!</v>
      </c>
      <c r="G323" s="934">
        <f>SUM(G5:G320)</f>
        <v>0</v>
      </c>
      <c r="M323" s="891">
        <v>141014</v>
      </c>
      <c r="N323" s="891">
        <v>40000</v>
      </c>
      <c r="O323" s="891">
        <f t="shared" si="1"/>
        <v>181014</v>
      </c>
    </row>
    <row r="324" spans="1:15" x14ac:dyDescent="0.2">
      <c r="F324" s="14" t="e">
        <f t="shared" si="2"/>
        <v>#DIV/0!</v>
      </c>
      <c r="G324" s="936"/>
      <c r="M324" s="891">
        <v>301093.59999999998</v>
      </c>
      <c r="N324" s="891">
        <v>156780</v>
      </c>
      <c r="O324" s="891">
        <f t="shared" si="1"/>
        <v>457873.6</v>
      </c>
    </row>
    <row r="325" spans="1:15" x14ac:dyDescent="0.2">
      <c r="E325" s="933" t="s">
        <v>416</v>
      </c>
      <c r="F325" s="14" t="e">
        <f t="shared" si="2"/>
        <v>#VALUE!</v>
      </c>
      <c r="G325" s="934">
        <v>2279229198.29</v>
      </c>
      <c r="M325" s="891">
        <v>143304</v>
      </c>
      <c r="N325" s="891">
        <v>40000</v>
      </c>
      <c r="O325" s="891">
        <f t="shared" si="1"/>
        <v>183304</v>
      </c>
    </row>
    <row r="326" spans="1:15" x14ac:dyDescent="0.2">
      <c r="F326" s="14" t="e">
        <f t="shared" ref="F326:F331" si="3">E326*D326/C326</f>
        <v>#DIV/0!</v>
      </c>
      <c r="G326" s="936"/>
      <c r="M326" s="891">
        <v>1426668.4</v>
      </c>
      <c r="N326" s="891">
        <v>156780</v>
      </c>
      <c r="O326" s="891">
        <f t="shared" si="1"/>
        <v>1583448.4</v>
      </c>
    </row>
    <row r="327" spans="1:15" ht="15.75" x14ac:dyDescent="0.25">
      <c r="E327" s="933" t="s">
        <v>417</v>
      </c>
      <c r="F327" s="14" t="e">
        <f t="shared" si="3"/>
        <v>#VALUE!</v>
      </c>
      <c r="G327" s="937">
        <f>G323-G325</f>
        <v>-2279229198.29</v>
      </c>
      <c r="H327" s="870">
        <f>16069459</f>
        <v>16069459</v>
      </c>
      <c r="M327" s="891"/>
      <c r="N327" s="891"/>
      <c r="O327" s="891">
        <f>SUM(O317:O326)</f>
        <v>3629203.2199999997</v>
      </c>
    </row>
    <row r="328" spans="1:15" x14ac:dyDescent="0.2">
      <c r="F328" s="14" t="e">
        <f t="shared" si="3"/>
        <v>#DIV/0!</v>
      </c>
      <c r="H328" s="870">
        <v>4726644</v>
      </c>
    </row>
    <row r="329" spans="1:15" x14ac:dyDescent="0.2">
      <c r="F329" s="14" t="e">
        <f t="shared" si="3"/>
        <v>#DIV/0!</v>
      </c>
      <c r="G329" s="933">
        <f>G327+H329+H330+H331+J330+J334+I329+I330</f>
        <v>-2262031557.29</v>
      </c>
      <c r="H329" s="870">
        <f>H327-H328</f>
        <v>11342815</v>
      </c>
      <c r="I329" s="870">
        <v>2000000</v>
      </c>
    </row>
    <row r="330" spans="1:15" x14ac:dyDescent="0.2">
      <c r="F330" s="14" t="e">
        <f t="shared" si="3"/>
        <v>#DIV/0!</v>
      </c>
      <c r="H330" s="891">
        <v>3629203</v>
      </c>
      <c r="I330" s="870">
        <v>225000</v>
      </c>
    </row>
    <row r="331" spans="1:15" x14ac:dyDescent="0.2">
      <c r="F331" s="14" t="e">
        <f t="shared" si="3"/>
        <v>#DIV/0!</v>
      </c>
      <c r="H331" s="870">
        <v>623</v>
      </c>
    </row>
    <row r="332" spans="1:15" x14ac:dyDescent="0.2">
      <c r="A332" s="870"/>
      <c r="B332" s="938"/>
      <c r="C332" s="870"/>
      <c r="D332" s="870"/>
      <c r="E332" s="870"/>
      <c r="F332" s="870"/>
      <c r="G332" s="870"/>
      <c r="H332" s="933">
        <f>SUM(H329:H331)</f>
        <v>14972641</v>
      </c>
      <c r="K332" s="877">
        <f>K331+L353</f>
        <v>0</v>
      </c>
    </row>
    <row r="334" spans="1:15" x14ac:dyDescent="0.2">
      <c r="A334" s="870"/>
      <c r="B334" s="938"/>
      <c r="C334" s="870"/>
      <c r="D334" s="870"/>
      <c r="E334" s="870"/>
      <c r="F334" s="870"/>
      <c r="G334" s="870"/>
      <c r="M334" s="877"/>
    </row>
  </sheetData>
  <mergeCells count="20">
    <mergeCell ref="A1:G1"/>
    <mergeCell ref="A2:G2"/>
    <mergeCell ref="A3:A4"/>
    <mergeCell ref="B3:B4"/>
    <mergeCell ref="C3:C4"/>
    <mergeCell ref="D3:D4"/>
    <mergeCell ref="E3:F3"/>
    <mergeCell ref="G3:G4"/>
    <mergeCell ref="A321:D321"/>
    <mergeCell ref="A7:A22"/>
    <mergeCell ref="A23:A27"/>
    <mergeCell ref="A34:A36"/>
    <mergeCell ref="A45:A54"/>
    <mergeCell ref="A109:A111"/>
    <mergeCell ref="A135:A138"/>
    <mergeCell ref="A139:A141"/>
    <mergeCell ref="A143:A146"/>
    <mergeCell ref="A174:A177"/>
    <mergeCell ref="A178:A180"/>
    <mergeCell ref="A209:A212"/>
  </mergeCells>
  <printOptions horizontalCentered="1"/>
  <pageMargins left="0.78740157480314965" right="7.874015748031496E-2" top="0.27559055118110237" bottom="1.299212598425197" header="0.31496062992125984" footer="0.51181102362204722"/>
  <pageSetup paperSize="9" scale="70" fitToHeight="0" orientation="landscape" r:id="rId1"/>
  <headerFooter>
    <oddFooter>Page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29FB-9BFD-461B-AA87-203AA6C6332D}">
  <sheetPr>
    <pageSetUpPr fitToPage="1"/>
  </sheetPr>
  <dimension ref="A1:N334"/>
  <sheetViews>
    <sheetView view="pageBreakPreview" zoomScale="70" zoomScaleNormal="70" zoomScaleSheetLayoutView="70" workbookViewId="0">
      <selection activeCell="H7" sqref="H7"/>
    </sheetView>
  </sheetViews>
  <sheetFormatPr defaultColWidth="9.140625" defaultRowHeight="15" x14ac:dyDescent="0.2"/>
  <cols>
    <col min="1" max="1" width="4.85546875" style="929" bestFit="1" customWidth="1"/>
    <col min="2" max="2" width="99.28515625" style="935" customWidth="1"/>
    <col min="3" max="3" width="20.5703125" style="931" bestFit="1" customWidth="1"/>
    <col min="4" max="4" width="17.140625" style="933" bestFit="1" customWidth="1"/>
    <col min="5" max="5" width="16.140625" style="933" bestFit="1" customWidth="1"/>
    <col min="6" max="6" width="18.7109375" style="933" bestFit="1" customWidth="1"/>
    <col min="7" max="11" width="18.7109375" style="870" bestFit="1" customWidth="1"/>
    <col min="12" max="12" width="16.140625" style="870" bestFit="1" customWidth="1"/>
    <col min="13" max="13" width="8.7109375" style="870" bestFit="1" customWidth="1"/>
    <col min="14" max="14" width="13.7109375" style="870" bestFit="1" customWidth="1"/>
    <col min="15" max="16384" width="9.140625" style="870"/>
  </cols>
  <sheetData>
    <row r="1" spans="1:8" s="891" customFormat="1" ht="20.25" x14ac:dyDescent="0.3">
      <c r="A1" s="1004" t="s">
        <v>499</v>
      </c>
      <c r="B1" s="1004"/>
      <c r="C1" s="1004"/>
      <c r="D1" s="1004"/>
      <c r="E1" s="1004"/>
      <c r="F1" s="1004"/>
    </row>
    <row r="2" spans="1:8" ht="18" x14ac:dyDescent="0.2">
      <c r="A2" s="1001" t="s">
        <v>1</v>
      </c>
      <c r="B2" s="1001"/>
      <c r="C2" s="1001"/>
      <c r="D2" s="1001"/>
      <c r="E2" s="1001"/>
      <c r="F2" s="1001"/>
    </row>
    <row r="3" spans="1:8" ht="18" x14ac:dyDescent="0.2">
      <c r="A3" s="1005" t="s">
        <v>2</v>
      </c>
      <c r="B3" s="1006" t="s">
        <v>3</v>
      </c>
      <c r="C3" s="1006" t="s">
        <v>4</v>
      </c>
      <c r="D3" s="1007" t="s">
        <v>489</v>
      </c>
      <c r="E3" s="1007"/>
      <c r="F3" s="1008" t="s">
        <v>7</v>
      </c>
    </row>
    <row r="4" spans="1:8" ht="15.75" x14ac:dyDescent="0.2">
      <c r="A4" s="1005"/>
      <c r="B4" s="1006"/>
      <c r="C4" s="1006"/>
      <c r="D4" s="875" t="s">
        <v>391</v>
      </c>
      <c r="E4" s="875" t="s">
        <v>6</v>
      </c>
      <c r="F4" s="1008"/>
    </row>
    <row r="5" spans="1:8" ht="45" x14ac:dyDescent="0.2">
      <c r="A5" s="116">
        <v>1</v>
      </c>
      <c r="B5" s="876" t="s">
        <v>8</v>
      </c>
      <c r="C5" s="12">
        <v>1000</v>
      </c>
      <c r="D5" s="13">
        <v>69775243.960000008</v>
      </c>
      <c r="E5" s="14">
        <v>4640.7</v>
      </c>
      <c r="F5" s="15">
        <f>E5*D5/C5</f>
        <v>323805974.645172</v>
      </c>
      <c r="H5" s="877"/>
    </row>
    <row r="6" spans="1:8" ht="30" x14ac:dyDescent="0.2">
      <c r="A6" s="116">
        <v>2</v>
      </c>
      <c r="B6" s="876" t="s">
        <v>9</v>
      </c>
      <c r="C6" s="12">
        <v>1000</v>
      </c>
      <c r="D6" s="13">
        <v>26864727.169999998</v>
      </c>
      <c r="E6" s="14">
        <v>940.9</v>
      </c>
      <c r="F6" s="15">
        <f>E6*D6/C6</f>
        <v>25277021.794252999</v>
      </c>
    </row>
    <row r="7" spans="1:8" ht="30" x14ac:dyDescent="0.2">
      <c r="A7" s="984">
        <v>3</v>
      </c>
      <c r="B7" s="876" t="s">
        <v>10</v>
      </c>
      <c r="C7" s="33"/>
      <c r="D7" s="13">
        <v>0</v>
      </c>
      <c r="E7" s="14">
        <v>0</v>
      </c>
      <c r="F7" s="14">
        <v>0</v>
      </c>
    </row>
    <row r="8" spans="1:8" x14ac:dyDescent="0.2">
      <c r="A8" s="985"/>
      <c r="B8" s="878" t="s">
        <v>11</v>
      </c>
      <c r="C8" s="12">
        <v>1000</v>
      </c>
      <c r="D8" s="13">
        <v>546147.5</v>
      </c>
      <c r="E8" s="14">
        <v>1073.2</v>
      </c>
      <c r="F8" s="15">
        <f t="shared" ref="F8:F22" si="0">E8*D8/C8</f>
        <v>586125.49699999997</v>
      </c>
    </row>
    <row r="9" spans="1:8" x14ac:dyDescent="0.2">
      <c r="A9" s="985"/>
      <c r="B9" s="876" t="s">
        <v>144</v>
      </c>
      <c r="C9" s="12">
        <v>1000</v>
      </c>
      <c r="D9" s="13">
        <v>989635</v>
      </c>
      <c r="E9" s="14">
        <v>1743.95</v>
      </c>
      <c r="F9" s="15">
        <f t="shared" si="0"/>
        <v>1725873.9582499999</v>
      </c>
    </row>
    <row r="10" spans="1:8" x14ac:dyDescent="0.2">
      <c r="A10" s="985"/>
      <c r="B10" s="876" t="s">
        <v>455</v>
      </c>
      <c r="C10" s="12">
        <v>1000</v>
      </c>
      <c r="D10" s="13">
        <v>275885.29000000004</v>
      </c>
      <c r="E10" s="14">
        <v>2414.6999999999998</v>
      </c>
      <c r="F10" s="15">
        <f t="shared" si="0"/>
        <v>666180.20976300002</v>
      </c>
    </row>
    <row r="11" spans="1:8" x14ac:dyDescent="0.2">
      <c r="A11" s="985"/>
      <c r="B11" s="876" t="s">
        <v>456</v>
      </c>
      <c r="C11" s="12">
        <v>1000</v>
      </c>
      <c r="D11" s="13">
        <v>62477.500000000007</v>
      </c>
      <c r="E11" s="14">
        <v>6677.8</v>
      </c>
      <c r="F11" s="15">
        <f t="shared" si="0"/>
        <v>417212.24950000003</v>
      </c>
    </row>
    <row r="12" spans="1:8" x14ac:dyDescent="0.2">
      <c r="A12" s="985"/>
      <c r="B12" s="876" t="s">
        <v>457</v>
      </c>
      <c r="C12" s="12">
        <v>1000</v>
      </c>
      <c r="D12" s="13">
        <v>549295</v>
      </c>
      <c r="E12" s="14">
        <v>6751.2</v>
      </c>
      <c r="F12" s="15">
        <f t="shared" si="0"/>
        <v>3708400.4040000001</v>
      </c>
    </row>
    <row r="13" spans="1:8" x14ac:dyDescent="0.2">
      <c r="A13" s="985"/>
      <c r="B13" s="876" t="s">
        <v>458</v>
      </c>
      <c r="C13" s="12">
        <v>1000</v>
      </c>
      <c r="D13" s="13">
        <v>555572.5</v>
      </c>
      <c r="E13" s="39">
        <v>6751.2</v>
      </c>
      <c r="F13" s="15">
        <f t="shared" si="0"/>
        <v>3750781.0619999999</v>
      </c>
    </row>
    <row r="14" spans="1:8" x14ac:dyDescent="0.2">
      <c r="A14" s="985"/>
      <c r="B14" s="876" t="s">
        <v>459</v>
      </c>
      <c r="C14" s="12">
        <v>1000</v>
      </c>
      <c r="D14" s="13">
        <v>18740</v>
      </c>
      <c r="E14" s="14">
        <v>6824.6</v>
      </c>
      <c r="F14" s="15">
        <f t="shared" si="0"/>
        <v>127893.004</v>
      </c>
    </row>
    <row r="15" spans="1:8" x14ac:dyDescent="0.2">
      <c r="A15" s="985"/>
      <c r="B15" s="876" t="s">
        <v>460</v>
      </c>
      <c r="C15" s="12">
        <v>1000</v>
      </c>
      <c r="D15" s="13">
        <v>53390</v>
      </c>
      <c r="E15" s="33">
        <v>6971.4</v>
      </c>
      <c r="F15" s="15">
        <f t="shared" si="0"/>
        <v>372203.04599999997</v>
      </c>
    </row>
    <row r="16" spans="1:8" x14ac:dyDescent="0.2">
      <c r="A16" s="985"/>
      <c r="B16" s="876" t="s">
        <v>461</v>
      </c>
      <c r="C16" s="12">
        <v>1000</v>
      </c>
      <c r="D16" s="13">
        <v>75040</v>
      </c>
      <c r="E16" s="39">
        <v>6971.4</v>
      </c>
      <c r="F16" s="15">
        <f t="shared" si="0"/>
        <v>523133.85600000003</v>
      </c>
    </row>
    <row r="17" spans="1:7" x14ac:dyDescent="0.2">
      <c r="A17" s="985"/>
      <c r="B17" s="876" t="s">
        <v>462</v>
      </c>
      <c r="C17" s="12">
        <v>1000</v>
      </c>
      <c r="D17" s="13">
        <v>98265.75</v>
      </c>
      <c r="E17" s="14">
        <v>7044.8</v>
      </c>
      <c r="F17" s="15">
        <f t="shared" si="0"/>
        <v>692262.55560000008</v>
      </c>
    </row>
    <row r="18" spans="1:7" x14ac:dyDescent="0.2">
      <c r="A18" s="985"/>
      <c r="B18" s="876" t="s">
        <v>463</v>
      </c>
      <c r="C18" s="12">
        <v>1000</v>
      </c>
      <c r="D18" s="13">
        <v>187560</v>
      </c>
      <c r="E18" s="33">
        <v>7191.6</v>
      </c>
      <c r="F18" s="15">
        <f t="shared" si="0"/>
        <v>1348856.496</v>
      </c>
    </row>
    <row r="19" spans="1:7" x14ac:dyDescent="0.2">
      <c r="A19" s="985"/>
      <c r="B19" s="876" t="s">
        <v>464</v>
      </c>
      <c r="C19" s="12">
        <v>1000</v>
      </c>
      <c r="D19" s="13">
        <v>54772.5</v>
      </c>
      <c r="E19" s="14">
        <v>7338.4</v>
      </c>
      <c r="F19" s="15">
        <f t="shared" si="0"/>
        <v>401942.51400000002</v>
      </c>
    </row>
    <row r="20" spans="1:7" x14ac:dyDescent="0.2">
      <c r="A20" s="985"/>
      <c r="B20" s="876" t="s">
        <v>465</v>
      </c>
      <c r="C20" s="12">
        <v>1000</v>
      </c>
      <c r="D20" s="13">
        <v>125720</v>
      </c>
      <c r="E20" s="14">
        <v>7411.8</v>
      </c>
      <c r="F20" s="15">
        <f t="shared" si="0"/>
        <v>931811.49600000004</v>
      </c>
    </row>
    <row r="21" spans="1:7" x14ac:dyDescent="0.2">
      <c r="A21" s="985"/>
      <c r="B21" s="879" t="s">
        <v>466</v>
      </c>
      <c r="C21" s="12">
        <v>1000</v>
      </c>
      <c r="D21" s="13">
        <v>70367.5</v>
      </c>
      <c r="E21" s="14">
        <v>7558.6</v>
      </c>
      <c r="F21" s="15">
        <f t="shared" si="0"/>
        <v>531879.7855</v>
      </c>
    </row>
    <row r="22" spans="1:7" x14ac:dyDescent="0.2">
      <c r="A22" s="986"/>
      <c r="B22" s="876" t="s">
        <v>467</v>
      </c>
      <c r="C22" s="12">
        <v>1000</v>
      </c>
      <c r="D22" s="13">
        <v>4869.33</v>
      </c>
      <c r="E22" s="14">
        <v>7934.1</v>
      </c>
      <c r="F22" s="15">
        <f t="shared" si="0"/>
        <v>38633.751153000005</v>
      </c>
    </row>
    <row r="23" spans="1:7" x14ac:dyDescent="0.2">
      <c r="A23" s="984">
        <v>4</v>
      </c>
      <c r="B23" s="879" t="s">
        <v>157</v>
      </c>
      <c r="C23" s="12">
        <v>1000</v>
      </c>
      <c r="D23" s="13">
        <v>0</v>
      </c>
      <c r="E23" s="13">
        <v>0</v>
      </c>
      <c r="F23" s="13">
        <v>0</v>
      </c>
    </row>
    <row r="24" spans="1:7" x14ac:dyDescent="0.2">
      <c r="A24" s="985"/>
      <c r="B24" s="876" t="s">
        <v>468</v>
      </c>
      <c r="C24" s="12">
        <v>1000</v>
      </c>
      <c r="D24" s="13">
        <v>140702.28500000003</v>
      </c>
      <c r="E24" s="13">
        <v>10936.05</v>
      </c>
      <c r="F24" s="15">
        <f t="shared" ref="F24:F33" si="1">E24*D24/C24</f>
        <v>1538727.2238742502</v>
      </c>
    </row>
    <row r="25" spans="1:7" x14ac:dyDescent="0.2">
      <c r="A25" s="985"/>
      <c r="B25" s="879" t="s">
        <v>469</v>
      </c>
      <c r="C25" s="12">
        <v>1000</v>
      </c>
      <c r="D25" s="13">
        <v>1887045.5</v>
      </c>
      <c r="E25" s="14">
        <v>11606.8</v>
      </c>
      <c r="F25" s="15">
        <f t="shared" si="1"/>
        <v>21902559.709399998</v>
      </c>
    </row>
    <row r="26" spans="1:7" x14ac:dyDescent="0.2">
      <c r="A26" s="985"/>
      <c r="B26" s="876" t="s">
        <v>455</v>
      </c>
      <c r="C26" s="12">
        <v>1000</v>
      </c>
      <c r="D26" s="13">
        <v>97969.465000000011</v>
      </c>
      <c r="E26" s="13">
        <v>12948.3</v>
      </c>
      <c r="F26" s="15">
        <f t="shared" si="1"/>
        <v>1268538.0236595001</v>
      </c>
    </row>
    <row r="27" spans="1:7" x14ac:dyDescent="0.2">
      <c r="A27" s="986"/>
      <c r="B27" s="876" t="s">
        <v>470</v>
      </c>
      <c r="C27" s="12">
        <v>1000</v>
      </c>
      <c r="D27" s="13">
        <v>159193.80000000005</v>
      </c>
      <c r="E27" s="13">
        <v>18092.2</v>
      </c>
      <c r="F27" s="15">
        <f t="shared" si="1"/>
        <v>2880166.0683600013</v>
      </c>
    </row>
    <row r="28" spans="1:7" x14ac:dyDescent="0.2">
      <c r="A28" s="116">
        <v>5</v>
      </c>
      <c r="B28" s="881" t="s">
        <v>418</v>
      </c>
      <c r="C28" s="12">
        <v>1000</v>
      </c>
      <c r="D28" s="13">
        <v>1340460.5752499998</v>
      </c>
      <c r="E28" s="13">
        <v>5266.8</v>
      </c>
      <c r="F28" s="15">
        <f t="shared" si="1"/>
        <v>7059937.7577266991</v>
      </c>
      <c r="G28" s="882"/>
    </row>
    <row r="29" spans="1:7" ht="30" x14ac:dyDescent="0.2">
      <c r="A29" s="116">
        <v>6</v>
      </c>
      <c r="B29" s="876" t="s">
        <v>189</v>
      </c>
      <c r="C29" s="37">
        <v>1</v>
      </c>
      <c r="D29" s="13">
        <v>1254</v>
      </c>
      <c r="E29" s="39">
        <v>1326.2</v>
      </c>
      <c r="F29" s="15">
        <f t="shared" si="1"/>
        <v>1663054.8</v>
      </c>
    </row>
    <row r="30" spans="1:7" ht="45" x14ac:dyDescent="0.2">
      <c r="A30" s="116">
        <v>7</v>
      </c>
      <c r="B30" s="876" t="s">
        <v>17</v>
      </c>
      <c r="C30" s="18">
        <v>1</v>
      </c>
      <c r="D30" s="13">
        <v>1740</v>
      </c>
      <c r="E30" s="14">
        <v>1935.4</v>
      </c>
      <c r="F30" s="15">
        <f t="shared" si="1"/>
        <v>3367596</v>
      </c>
    </row>
    <row r="31" spans="1:7" x14ac:dyDescent="0.2">
      <c r="A31" s="116">
        <v>8</v>
      </c>
      <c r="B31" s="883" t="s">
        <v>18</v>
      </c>
      <c r="C31" s="19">
        <v>1000</v>
      </c>
      <c r="D31" s="13">
        <v>6885050</v>
      </c>
      <c r="E31" s="14">
        <v>376.2</v>
      </c>
      <c r="F31" s="15">
        <f t="shared" si="1"/>
        <v>2590155.81</v>
      </c>
    </row>
    <row r="32" spans="1:7" ht="30" x14ac:dyDescent="0.2">
      <c r="A32" s="116">
        <v>9</v>
      </c>
      <c r="B32" s="876" t="s">
        <v>327</v>
      </c>
      <c r="C32" s="37">
        <v>1</v>
      </c>
      <c r="D32" s="13">
        <v>5</v>
      </c>
      <c r="E32" s="13">
        <v>14630</v>
      </c>
      <c r="F32" s="15">
        <f t="shared" si="1"/>
        <v>73150</v>
      </c>
    </row>
    <row r="33" spans="1:9" ht="45" x14ac:dyDescent="0.2">
      <c r="A33" s="117">
        <v>10</v>
      </c>
      <c r="B33" s="884" t="s">
        <v>19</v>
      </c>
      <c r="C33" s="12">
        <v>1000</v>
      </c>
      <c r="D33" s="13">
        <v>1617</v>
      </c>
      <c r="E33" s="21">
        <v>15824.15</v>
      </c>
      <c r="F33" s="15">
        <f t="shared" si="1"/>
        <v>25587.650550000002</v>
      </c>
    </row>
    <row r="34" spans="1:9" s="152" customFormat="1" ht="30" x14ac:dyDescent="0.2">
      <c r="A34" s="987">
        <v>11</v>
      </c>
      <c r="B34" s="884" t="s">
        <v>20</v>
      </c>
      <c r="C34" s="12">
        <v>100</v>
      </c>
      <c r="D34" s="13">
        <v>0</v>
      </c>
      <c r="E34" s="13">
        <v>0</v>
      </c>
      <c r="F34" s="13">
        <v>0</v>
      </c>
      <c r="G34" s="877" t="e">
        <f>#REF!*37</f>
        <v>#REF!</v>
      </c>
    </row>
    <row r="35" spans="1:9" s="152" customFormat="1" x14ac:dyDescent="0.2">
      <c r="A35" s="988"/>
      <c r="B35" s="884" t="s">
        <v>21</v>
      </c>
      <c r="C35" s="12">
        <v>100</v>
      </c>
      <c r="D35" s="13">
        <v>41070.554165017595</v>
      </c>
      <c r="E35" s="21">
        <v>34694.300000000003</v>
      </c>
      <c r="F35" s="15">
        <f t="shared" ref="F35:F44" si="2">E35*D35/C35</f>
        <v>14249141.273673702</v>
      </c>
      <c r="G35" s="877"/>
      <c r="H35" s="885">
        <f>SUM(D35:D35)</f>
        <v>41070.554165017595</v>
      </c>
      <c r="I35" s="886">
        <v>23362466.852632541</v>
      </c>
    </row>
    <row r="36" spans="1:9" x14ac:dyDescent="0.2">
      <c r="A36" s="989"/>
      <c r="B36" s="884" t="s">
        <v>107</v>
      </c>
      <c r="C36" s="12">
        <v>100</v>
      </c>
      <c r="D36" s="13">
        <v>12898.728125000001</v>
      </c>
      <c r="E36" s="14">
        <v>47135.9</v>
      </c>
      <c r="F36" s="15">
        <f t="shared" si="2"/>
        <v>6079931.5902718762</v>
      </c>
      <c r="H36" s="882">
        <f>SUM(D36:D36)</f>
        <v>12898.728125000001</v>
      </c>
    </row>
    <row r="37" spans="1:9" s="152" customFormat="1" x14ac:dyDescent="0.2">
      <c r="A37" s="44">
        <v>12</v>
      </c>
      <c r="B37" s="884" t="s">
        <v>22</v>
      </c>
      <c r="C37" s="12">
        <v>100</v>
      </c>
      <c r="D37" s="13">
        <v>58371.555499999995</v>
      </c>
      <c r="E37" s="21">
        <v>32675.95</v>
      </c>
      <c r="F37" s="15">
        <f t="shared" si="2"/>
        <v>19073460.28940225</v>
      </c>
      <c r="G37" s="877" t="e">
        <f>#REF!*37</f>
        <v>#REF!</v>
      </c>
      <c r="H37" s="885"/>
    </row>
    <row r="38" spans="1:9" s="152" customFormat="1" ht="30" x14ac:dyDescent="0.2">
      <c r="A38" s="44">
        <v>13</v>
      </c>
      <c r="B38" s="884" t="s">
        <v>23</v>
      </c>
      <c r="C38" s="19">
        <v>100</v>
      </c>
      <c r="D38" s="13">
        <v>643.5</v>
      </c>
      <c r="E38" s="14">
        <v>11851.2</v>
      </c>
      <c r="F38" s="15">
        <f t="shared" si="2"/>
        <v>76262.472000000009</v>
      </c>
    </row>
    <row r="39" spans="1:9" s="887" customFormat="1" ht="45" x14ac:dyDescent="0.2">
      <c r="A39" s="44">
        <v>14</v>
      </c>
      <c r="B39" s="884" t="s">
        <v>92</v>
      </c>
      <c r="C39" s="19">
        <v>100</v>
      </c>
      <c r="D39" s="13">
        <v>11220.609375</v>
      </c>
      <c r="E39" s="14">
        <v>11460.2</v>
      </c>
      <c r="F39" s="15">
        <f t="shared" si="2"/>
        <v>1285904.2755937499</v>
      </c>
      <c r="G39" s="877" t="e">
        <f>#REF!*37</f>
        <v>#REF!</v>
      </c>
      <c r="H39" s="877"/>
    </row>
    <row r="40" spans="1:9" s="891" customFormat="1" ht="30" x14ac:dyDescent="0.2">
      <c r="A40" s="124">
        <v>15</v>
      </c>
      <c r="B40" s="888" t="s">
        <v>272</v>
      </c>
      <c r="C40" s="889">
        <v>100</v>
      </c>
      <c r="D40" s="13">
        <v>427.5</v>
      </c>
      <c r="E40" s="14">
        <v>11851.6</v>
      </c>
      <c r="F40" s="15">
        <f t="shared" si="2"/>
        <v>50665.59</v>
      </c>
    </row>
    <row r="41" spans="1:9" x14ac:dyDescent="0.2">
      <c r="A41" s="117">
        <v>16</v>
      </c>
      <c r="B41" s="884" t="s">
        <v>24</v>
      </c>
      <c r="C41" s="12">
        <v>100</v>
      </c>
      <c r="D41" s="13">
        <v>1348.1015625</v>
      </c>
      <c r="E41" s="21">
        <v>37620.6</v>
      </c>
      <c r="F41" s="15">
        <f t="shared" si="2"/>
        <v>507163.89642187499</v>
      </c>
    </row>
    <row r="42" spans="1:9" x14ac:dyDescent="0.2">
      <c r="A42" s="117">
        <v>17</v>
      </c>
      <c r="B42" s="884" t="s">
        <v>25</v>
      </c>
      <c r="C42" s="19">
        <v>100</v>
      </c>
      <c r="D42" s="13">
        <v>3805.7250000000004</v>
      </c>
      <c r="E42" s="21">
        <v>4334.75</v>
      </c>
      <c r="F42" s="15">
        <f t="shared" si="2"/>
        <v>164968.6644375</v>
      </c>
    </row>
    <row r="43" spans="1:9" ht="30" x14ac:dyDescent="0.2">
      <c r="A43" s="117">
        <v>18</v>
      </c>
      <c r="B43" s="884" t="s">
        <v>115</v>
      </c>
      <c r="C43" s="19">
        <v>100</v>
      </c>
      <c r="D43" s="13">
        <v>61675.404300000002</v>
      </c>
      <c r="E43" s="21">
        <v>7379.1</v>
      </c>
      <c r="F43" s="15">
        <f t="shared" si="2"/>
        <v>4551089.7587013002</v>
      </c>
      <c r="G43" s="877" t="e">
        <f>#REF!*37</f>
        <v>#REF!</v>
      </c>
      <c r="H43" s="882"/>
    </row>
    <row r="44" spans="1:9" x14ac:dyDescent="0.2">
      <c r="A44" s="117">
        <v>19</v>
      </c>
      <c r="B44" s="884" t="s">
        <v>27</v>
      </c>
      <c r="C44" s="24">
        <v>1</v>
      </c>
      <c r="D44" s="13">
        <v>8250</v>
      </c>
      <c r="E44" s="21">
        <v>30.5</v>
      </c>
      <c r="F44" s="15">
        <f t="shared" si="2"/>
        <v>251625</v>
      </c>
    </row>
    <row r="45" spans="1:9" s="152" customFormat="1" ht="45.75" x14ac:dyDescent="0.2">
      <c r="A45" s="987">
        <v>20</v>
      </c>
      <c r="B45" s="892" t="s">
        <v>36</v>
      </c>
      <c r="C45" s="23"/>
      <c r="D45" s="13">
        <v>0</v>
      </c>
      <c r="E45" s="23"/>
      <c r="F45" s="23"/>
    </row>
    <row r="46" spans="1:9" x14ac:dyDescent="0.2">
      <c r="A46" s="988"/>
      <c r="B46" s="884" t="s">
        <v>29</v>
      </c>
      <c r="C46" s="12">
        <v>100</v>
      </c>
      <c r="D46" s="13">
        <v>70.784999999999997</v>
      </c>
      <c r="E46" s="21">
        <v>14042.6</v>
      </c>
      <c r="F46" s="15">
        <f t="shared" ref="F46:F69" si="3">E46*D46/C46</f>
        <v>9940.0544100000006</v>
      </c>
    </row>
    <row r="47" spans="1:9" x14ac:dyDescent="0.2">
      <c r="A47" s="988"/>
      <c r="B47" s="884" t="s">
        <v>38</v>
      </c>
      <c r="C47" s="12">
        <v>100</v>
      </c>
      <c r="D47" s="13">
        <v>5036.5815499999999</v>
      </c>
      <c r="E47" s="13">
        <v>14042.6</v>
      </c>
      <c r="F47" s="15">
        <f t="shared" si="3"/>
        <v>707267.00074029993</v>
      </c>
      <c r="G47" s="877" t="e">
        <f>#REF!*37</f>
        <v>#REF!</v>
      </c>
      <c r="H47" s="877" t="e">
        <f>D47-G47</f>
        <v>#REF!</v>
      </c>
      <c r="I47" s="882"/>
    </row>
    <row r="48" spans="1:9" x14ac:dyDescent="0.2">
      <c r="A48" s="988"/>
      <c r="B48" s="884" t="s">
        <v>61</v>
      </c>
      <c r="C48" s="12">
        <v>100</v>
      </c>
      <c r="D48" s="13">
        <v>30772.144598416897</v>
      </c>
      <c r="E48" s="13">
        <v>14042.6</v>
      </c>
      <c r="F48" s="15">
        <f t="shared" si="3"/>
        <v>4321209.177377291</v>
      </c>
      <c r="G48" s="877" t="e">
        <f>#REF!*37</f>
        <v>#REF!</v>
      </c>
      <c r="H48" s="877" t="e">
        <f>D48-G48</f>
        <v>#REF!</v>
      </c>
      <c r="I48" s="882"/>
    </row>
    <row r="49" spans="1:9" s="887" customFormat="1" x14ac:dyDescent="0.2">
      <c r="A49" s="988"/>
      <c r="B49" s="884" t="s">
        <v>62</v>
      </c>
      <c r="C49" s="12">
        <v>100</v>
      </c>
      <c r="D49" s="13">
        <v>106108.05618023523</v>
      </c>
      <c r="E49" s="13">
        <v>14042.6</v>
      </c>
      <c r="F49" s="15">
        <f t="shared" si="3"/>
        <v>14900329.897165714</v>
      </c>
      <c r="G49" s="894"/>
    </row>
    <row r="50" spans="1:9" s="887" customFormat="1" x14ac:dyDescent="0.2">
      <c r="A50" s="988"/>
      <c r="B50" s="884" t="s">
        <v>64</v>
      </c>
      <c r="C50" s="12">
        <v>100</v>
      </c>
      <c r="D50" s="13">
        <v>2183.8000000000002</v>
      </c>
      <c r="E50" s="13">
        <v>14042.6</v>
      </c>
      <c r="F50" s="15">
        <f t="shared" si="3"/>
        <v>306662.29880000005</v>
      </c>
    </row>
    <row r="51" spans="1:9" s="887" customFormat="1" x14ac:dyDescent="0.2">
      <c r="A51" s="988"/>
      <c r="B51" s="884" t="s">
        <v>65</v>
      </c>
      <c r="C51" s="12">
        <v>100</v>
      </c>
      <c r="D51" s="13">
        <v>268.5</v>
      </c>
      <c r="E51" s="13">
        <v>14042.6</v>
      </c>
      <c r="F51" s="15">
        <f t="shared" si="3"/>
        <v>37704.381000000001</v>
      </c>
    </row>
    <row r="52" spans="1:9" x14ac:dyDescent="0.2">
      <c r="A52" s="988"/>
      <c r="B52" s="884" t="s">
        <v>141</v>
      </c>
      <c r="C52" s="12">
        <v>100</v>
      </c>
      <c r="D52" s="13">
        <v>24736.495222999998</v>
      </c>
      <c r="E52" s="13">
        <v>14042.6</v>
      </c>
      <c r="F52" s="15">
        <f t="shared" si="3"/>
        <v>3473647.0781849981</v>
      </c>
      <c r="G52" s="877" t="e">
        <f>#REF!*37</f>
        <v>#REF!</v>
      </c>
      <c r="H52" s="877" t="e">
        <f>D52-G52</f>
        <v>#REF!</v>
      </c>
      <c r="I52" s="882">
        <f>SUM(F186:F222)</f>
        <v>80212234.679585844</v>
      </c>
    </row>
    <row r="53" spans="1:9" x14ac:dyDescent="0.2">
      <c r="A53" s="988"/>
      <c r="B53" s="884" t="s">
        <v>143</v>
      </c>
      <c r="C53" s="12">
        <v>100</v>
      </c>
      <c r="D53" s="13">
        <v>1234.2670312499999</v>
      </c>
      <c r="E53" s="13">
        <v>14042.6</v>
      </c>
      <c r="F53" s="15">
        <f t="shared" si="3"/>
        <v>173323.18213031252</v>
      </c>
      <c r="G53" s="877" t="e">
        <f>#REF!*37</f>
        <v>#REF!</v>
      </c>
      <c r="H53" s="877" t="e">
        <f>D53-G53</f>
        <v>#REF!</v>
      </c>
      <c r="I53" s="882"/>
    </row>
    <row r="54" spans="1:9" s="887" customFormat="1" x14ac:dyDescent="0.2">
      <c r="A54" s="989"/>
      <c r="B54" s="884" t="s">
        <v>207</v>
      </c>
      <c r="C54" s="12">
        <v>100</v>
      </c>
      <c r="D54" s="13">
        <v>15224.763780000005</v>
      </c>
      <c r="E54" s="13">
        <v>14042.6</v>
      </c>
      <c r="F54" s="15">
        <f t="shared" si="3"/>
        <v>2137952.6785702808</v>
      </c>
    </row>
    <row r="55" spans="1:9" s="152" customFormat="1" x14ac:dyDescent="0.2">
      <c r="A55" s="118">
        <v>21</v>
      </c>
      <c r="B55" s="892" t="s">
        <v>30</v>
      </c>
      <c r="C55" s="12">
        <v>1</v>
      </c>
      <c r="D55" s="13">
        <v>786.04000000000008</v>
      </c>
      <c r="E55" s="25">
        <v>546.95000000000005</v>
      </c>
      <c r="F55" s="15">
        <f t="shared" si="3"/>
        <v>429924.5780000001</v>
      </c>
    </row>
    <row r="56" spans="1:9" s="152" customFormat="1" ht="30" x14ac:dyDescent="0.2">
      <c r="A56" s="118">
        <v>22</v>
      </c>
      <c r="B56" s="892" t="s">
        <v>31</v>
      </c>
      <c r="C56" s="26">
        <v>100</v>
      </c>
      <c r="D56" s="13">
        <v>1796.0099999999998</v>
      </c>
      <c r="E56" s="25">
        <v>30006.1</v>
      </c>
      <c r="F56" s="15">
        <f t="shared" si="3"/>
        <v>538912.55660999985</v>
      </c>
    </row>
    <row r="57" spans="1:9" s="152" customFormat="1" x14ac:dyDescent="0.2">
      <c r="A57" s="44">
        <v>23</v>
      </c>
      <c r="B57" s="892" t="s">
        <v>32</v>
      </c>
      <c r="C57" s="24">
        <v>1</v>
      </c>
      <c r="D57" s="13">
        <v>457</v>
      </c>
      <c r="E57" s="25">
        <v>115.4</v>
      </c>
      <c r="F57" s="15">
        <f t="shared" si="3"/>
        <v>52737.8</v>
      </c>
    </row>
    <row r="58" spans="1:9" s="152" customFormat="1" x14ac:dyDescent="0.2">
      <c r="A58" s="44">
        <v>24</v>
      </c>
      <c r="B58" s="892" t="s">
        <v>33</v>
      </c>
      <c r="C58" s="27">
        <v>1</v>
      </c>
      <c r="D58" s="13">
        <v>457</v>
      </c>
      <c r="E58" s="25">
        <v>141.9</v>
      </c>
      <c r="F58" s="15">
        <f t="shared" si="3"/>
        <v>64848.3</v>
      </c>
    </row>
    <row r="59" spans="1:9" s="152" customFormat="1" x14ac:dyDescent="0.2">
      <c r="A59" s="44">
        <v>25</v>
      </c>
      <c r="B59" s="892" t="s">
        <v>34</v>
      </c>
      <c r="C59" s="19">
        <v>100</v>
      </c>
      <c r="D59" s="13">
        <v>1599.5</v>
      </c>
      <c r="E59" s="25">
        <v>4307.55</v>
      </c>
      <c r="F59" s="15">
        <f t="shared" si="3"/>
        <v>68899.26225</v>
      </c>
    </row>
    <row r="60" spans="1:9" s="152" customFormat="1" x14ac:dyDescent="0.2">
      <c r="A60" s="44">
        <v>26</v>
      </c>
      <c r="B60" s="892" t="s">
        <v>35</v>
      </c>
      <c r="C60" s="24">
        <v>1</v>
      </c>
      <c r="D60" s="13">
        <v>4570</v>
      </c>
      <c r="E60" s="25">
        <v>30.5</v>
      </c>
      <c r="F60" s="15">
        <f t="shared" si="3"/>
        <v>139385</v>
      </c>
    </row>
    <row r="61" spans="1:9" s="152" customFormat="1" ht="30" x14ac:dyDescent="0.2">
      <c r="A61" s="118">
        <v>27</v>
      </c>
      <c r="B61" s="884" t="s">
        <v>328</v>
      </c>
      <c r="C61" s="179">
        <v>1000</v>
      </c>
      <c r="D61" s="13">
        <v>245</v>
      </c>
      <c r="E61" s="25">
        <v>546.95000000000005</v>
      </c>
      <c r="F61" s="15">
        <f t="shared" si="3"/>
        <v>134.00274999999999</v>
      </c>
    </row>
    <row r="62" spans="1:9" s="152" customFormat="1" ht="30" x14ac:dyDescent="0.2">
      <c r="A62" s="118">
        <v>28</v>
      </c>
      <c r="B62" s="884" t="s">
        <v>329</v>
      </c>
      <c r="C62" s="895">
        <v>100</v>
      </c>
      <c r="D62" s="13">
        <v>367.5</v>
      </c>
      <c r="E62" s="25">
        <v>30006.1</v>
      </c>
      <c r="F62" s="15">
        <f t="shared" si="3"/>
        <v>110272.4175</v>
      </c>
    </row>
    <row r="63" spans="1:9" s="152" customFormat="1" ht="45" x14ac:dyDescent="0.2">
      <c r="A63" s="44">
        <v>29</v>
      </c>
      <c r="B63" s="884" t="s">
        <v>330</v>
      </c>
      <c r="C63" s="896">
        <v>1</v>
      </c>
      <c r="D63" s="13">
        <v>560</v>
      </c>
      <c r="E63" s="25">
        <v>115.4</v>
      </c>
      <c r="F63" s="15">
        <f t="shared" si="3"/>
        <v>64624</v>
      </c>
    </row>
    <row r="64" spans="1:9" s="152" customFormat="1" ht="30" x14ac:dyDescent="0.2">
      <c r="A64" s="44">
        <v>30</v>
      </c>
      <c r="B64" s="884" t="s">
        <v>331</v>
      </c>
      <c r="C64" s="895">
        <v>100</v>
      </c>
      <c r="D64" s="13">
        <v>323.40000000000003</v>
      </c>
      <c r="E64" s="25">
        <v>141.9</v>
      </c>
      <c r="F64" s="15">
        <f t="shared" si="3"/>
        <v>458.90460000000007</v>
      </c>
    </row>
    <row r="65" spans="1:10" x14ac:dyDescent="0.2">
      <c r="A65" s="117">
        <v>31</v>
      </c>
      <c r="B65" s="897" t="s">
        <v>333</v>
      </c>
      <c r="C65" s="898">
        <v>100</v>
      </c>
      <c r="D65" s="13">
        <v>1823.0675000000001</v>
      </c>
      <c r="E65" s="25">
        <v>2633.4</v>
      </c>
      <c r="F65" s="15">
        <f t="shared" si="3"/>
        <v>48008.659545000002</v>
      </c>
    </row>
    <row r="66" spans="1:10" ht="45" x14ac:dyDescent="0.2">
      <c r="A66" s="117">
        <v>32</v>
      </c>
      <c r="B66" s="897" t="s">
        <v>57</v>
      </c>
      <c r="C66" s="12">
        <v>100</v>
      </c>
      <c r="D66" s="13">
        <v>4635</v>
      </c>
      <c r="E66" s="25">
        <v>4017.8</v>
      </c>
      <c r="F66" s="15">
        <f t="shared" si="3"/>
        <v>186225.03</v>
      </c>
      <c r="H66" s="882"/>
    </row>
    <row r="67" spans="1:10" ht="30" x14ac:dyDescent="0.2">
      <c r="A67" s="117">
        <v>33</v>
      </c>
      <c r="B67" s="897" t="s">
        <v>336</v>
      </c>
      <c r="C67" s="12">
        <v>100</v>
      </c>
      <c r="D67" s="13">
        <v>13340.27</v>
      </c>
      <c r="E67" s="25">
        <v>27086.400000000001</v>
      </c>
      <c r="F67" s="15">
        <f t="shared" si="3"/>
        <v>3613398.89328</v>
      </c>
    </row>
    <row r="68" spans="1:10" s="887" customFormat="1" ht="60" x14ac:dyDescent="0.2">
      <c r="A68" s="118">
        <v>34</v>
      </c>
      <c r="B68" s="884" t="s">
        <v>39</v>
      </c>
      <c r="C68" s="12">
        <v>1000</v>
      </c>
      <c r="D68" s="13">
        <v>588089.4261981172</v>
      </c>
      <c r="E68" s="14">
        <v>12735.6</v>
      </c>
      <c r="F68" s="15">
        <f t="shared" si="3"/>
        <v>7489671.6962887421</v>
      </c>
      <c r="G68" s="894">
        <f>SUM(F68:F182)</f>
        <v>704518649.62020278</v>
      </c>
      <c r="I68" s="886">
        <v>63826446.624435835</v>
      </c>
      <c r="J68" s="894"/>
    </row>
    <row r="69" spans="1:10" s="887" customFormat="1" ht="60" x14ac:dyDescent="0.2">
      <c r="A69" s="122">
        <v>35</v>
      </c>
      <c r="B69" s="884" t="s">
        <v>98</v>
      </c>
      <c r="C69" s="29">
        <v>100</v>
      </c>
      <c r="D69" s="13">
        <v>1015459.2095243642</v>
      </c>
      <c r="E69" s="14">
        <v>30376.9</v>
      </c>
      <c r="F69" s="15">
        <f t="shared" si="3"/>
        <v>308465028.61800659</v>
      </c>
      <c r="G69" s="877" t="e">
        <f>#REF!*37</f>
        <v>#REF!</v>
      </c>
      <c r="H69" s="877"/>
    </row>
    <row r="70" spans="1:10" ht="75.75" x14ac:dyDescent="0.2">
      <c r="A70" s="44">
        <v>36</v>
      </c>
      <c r="B70" s="884" t="s">
        <v>41</v>
      </c>
      <c r="C70" s="12"/>
      <c r="D70" s="13">
        <v>0</v>
      </c>
      <c r="E70" s="893"/>
      <c r="F70" s="893"/>
    </row>
    <row r="71" spans="1:10" ht="60" x14ac:dyDescent="0.2">
      <c r="A71" s="44" t="s">
        <v>42</v>
      </c>
      <c r="B71" s="884" t="s">
        <v>43</v>
      </c>
      <c r="C71" s="12">
        <v>1</v>
      </c>
      <c r="D71" s="13">
        <v>174842.05310147052</v>
      </c>
      <c r="E71" s="14">
        <v>817.55</v>
      </c>
      <c r="F71" s="15">
        <f t="shared" ref="F71:F81" si="4">E71*D71/C71</f>
        <v>142942120.51310721</v>
      </c>
      <c r="G71" s="882"/>
    </row>
    <row r="72" spans="1:10" ht="60" x14ac:dyDescent="0.2">
      <c r="A72" s="44" t="s">
        <v>44</v>
      </c>
      <c r="B72" s="884" t="s">
        <v>45</v>
      </c>
      <c r="C72" s="12">
        <v>1</v>
      </c>
      <c r="D72" s="13">
        <v>77484.511800000007</v>
      </c>
      <c r="E72" s="14">
        <v>670.5</v>
      </c>
      <c r="F72" s="15">
        <f t="shared" si="4"/>
        <v>51953365.161900006</v>
      </c>
      <c r="G72" s="882"/>
    </row>
    <row r="73" spans="1:10" ht="30" x14ac:dyDescent="0.2">
      <c r="A73" s="44">
        <v>37</v>
      </c>
      <c r="B73" s="902" t="s">
        <v>71</v>
      </c>
      <c r="C73" s="31">
        <v>1</v>
      </c>
      <c r="D73" s="13">
        <v>6423.48</v>
      </c>
      <c r="E73" s="14">
        <v>809.4</v>
      </c>
      <c r="F73" s="15">
        <f t="shared" si="4"/>
        <v>5199164.7119999994</v>
      </c>
      <c r="G73" s="882"/>
    </row>
    <row r="74" spans="1:10" ht="30" x14ac:dyDescent="0.2">
      <c r="A74" s="44">
        <v>38</v>
      </c>
      <c r="B74" s="884" t="s">
        <v>46</v>
      </c>
      <c r="C74" s="19">
        <v>100</v>
      </c>
      <c r="D74" s="13">
        <v>99728.813576470522</v>
      </c>
      <c r="E74" s="25">
        <v>1645.1</v>
      </c>
      <c r="F74" s="15">
        <f t="shared" si="4"/>
        <v>1640638.7121465164</v>
      </c>
      <c r="G74" s="882"/>
    </row>
    <row r="75" spans="1:10" s="887" customFormat="1" ht="30" x14ac:dyDescent="0.2">
      <c r="A75" s="44">
        <v>39</v>
      </c>
      <c r="B75" s="884" t="s">
        <v>111</v>
      </c>
      <c r="C75" s="36">
        <v>1</v>
      </c>
      <c r="D75" s="13">
        <v>11417</v>
      </c>
      <c r="E75" s="25">
        <v>514.9</v>
      </c>
      <c r="F75" s="15">
        <f t="shared" si="4"/>
        <v>5878613.2999999998</v>
      </c>
      <c r="G75" s="877" t="e">
        <f>#REF!*37</f>
        <v>#REF!</v>
      </c>
      <c r="H75" s="877"/>
    </row>
    <row r="76" spans="1:10" s="887" customFormat="1" x14ac:dyDescent="0.2">
      <c r="A76" s="121">
        <v>40</v>
      </c>
      <c r="B76" s="904" t="s">
        <v>87</v>
      </c>
      <c r="C76" s="36">
        <v>1</v>
      </c>
      <c r="D76" s="13">
        <v>48</v>
      </c>
      <c r="E76" s="33">
        <v>378.75</v>
      </c>
      <c r="F76" s="15">
        <f t="shared" si="4"/>
        <v>18180</v>
      </c>
    </row>
    <row r="77" spans="1:10" ht="30" x14ac:dyDescent="0.2">
      <c r="A77" s="44">
        <v>41</v>
      </c>
      <c r="B77" s="884" t="s">
        <v>47</v>
      </c>
      <c r="C77" s="31">
        <v>1</v>
      </c>
      <c r="D77" s="13">
        <v>169.5</v>
      </c>
      <c r="E77" s="25">
        <v>303.8</v>
      </c>
      <c r="F77" s="15">
        <f t="shared" si="4"/>
        <v>51494.1</v>
      </c>
    </row>
    <row r="78" spans="1:10" ht="75" x14ac:dyDescent="0.2">
      <c r="A78" s="44">
        <v>41</v>
      </c>
      <c r="B78" s="884" t="s">
        <v>164</v>
      </c>
      <c r="C78" s="36">
        <v>1</v>
      </c>
      <c r="D78" s="13">
        <v>624</v>
      </c>
      <c r="E78" s="13">
        <v>2150.35</v>
      </c>
      <c r="F78" s="15">
        <f t="shared" si="4"/>
        <v>1341818.3999999999</v>
      </c>
    </row>
    <row r="79" spans="1:10" s="887" customFormat="1" ht="90" x14ac:dyDescent="0.2">
      <c r="A79" s="44">
        <v>43</v>
      </c>
      <c r="B79" s="897" t="s">
        <v>422</v>
      </c>
      <c r="C79" s="12">
        <v>100</v>
      </c>
      <c r="D79" s="13">
        <v>4715</v>
      </c>
      <c r="E79" s="14">
        <v>10003.5</v>
      </c>
      <c r="F79" s="15">
        <f t="shared" si="4"/>
        <v>471665.02500000002</v>
      </c>
      <c r="G79" s="894"/>
    </row>
    <row r="80" spans="1:10" s="887" customFormat="1" ht="75" x14ac:dyDescent="0.2">
      <c r="A80" s="44">
        <v>44</v>
      </c>
      <c r="B80" s="897" t="s">
        <v>423</v>
      </c>
      <c r="C80" s="12">
        <v>100</v>
      </c>
      <c r="D80" s="13">
        <v>2615</v>
      </c>
      <c r="E80" s="14">
        <v>13527.4</v>
      </c>
      <c r="F80" s="15">
        <f t="shared" si="4"/>
        <v>353741.51</v>
      </c>
    </row>
    <row r="81" spans="1:11" s="887" customFormat="1" ht="30" x14ac:dyDescent="0.2">
      <c r="A81" s="44">
        <v>45</v>
      </c>
      <c r="B81" s="897" t="s">
        <v>50</v>
      </c>
      <c r="C81" s="31">
        <v>1</v>
      </c>
      <c r="D81" s="13">
        <v>700</v>
      </c>
      <c r="E81" s="14">
        <v>64.2</v>
      </c>
      <c r="F81" s="15">
        <f t="shared" si="4"/>
        <v>44940</v>
      </c>
    </row>
    <row r="82" spans="1:11" s="887" customFormat="1" ht="75" x14ac:dyDescent="0.2">
      <c r="A82" s="44">
        <v>46</v>
      </c>
      <c r="B82" s="897" t="s">
        <v>392</v>
      </c>
      <c r="C82" s="19"/>
      <c r="D82" s="13">
        <v>0</v>
      </c>
      <c r="E82" s="14"/>
      <c r="F82" s="14"/>
    </row>
    <row r="83" spans="1:11" s="887" customFormat="1" ht="30" x14ac:dyDescent="0.2">
      <c r="A83" s="44" t="s">
        <v>51</v>
      </c>
      <c r="B83" s="897" t="s">
        <v>52</v>
      </c>
      <c r="C83" s="19">
        <v>100</v>
      </c>
      <c r="D83" s="13">
        <v>5230</v>
      </c>
      <c r="E83" s="25">
        <v>4549.95</v>
      </c>
      <c r="F83" s="15">
        <f t="shared" ref="F83:F89" si="5">E83*D83/C83</f>
        <v>237962.38500000001</v>
      </c>
    </row>
    <row r="84" spans="1:11" s="887" customFormat="1" ht="30" x14ac:dyDescent="0.2">
      <c r="A84" s="44" t="s">
        <v>53</v>
      </c>
      <c r="B84" s="897" t="s">
        <v>54</v>
      </c>
      <c r="C84" s="19">
        <v>100</v>
      </c>
      <c r="D84" s="13">
        <v>5230</v>
      </c>
      <c r="E84" s="25">
        <v>2639.45</v>
      </c>
      <c r="F84" s="15">
        <f t="shared" si="5"/>
        <v>138043.23499999999</v>
      </c>
    </row>
    <row r="85" spans="1:11" s="887" customFormat="1" ht="30" x14ac:dyDescent="0.2">
      <c r="A85" s="44" t="s">
        <v>55</v>
      </c>
      <c r="B85" s="897" t="s">
        <v>56</v>
      </c>
      <c r="C85" s="19">
        <v>100</v>
      </c>
      <c r="D85" s="13">
        <v>5230</v>
      </c>
      <c r="E85" s="25">
        <v>1960.75</v>
      </c>
      <c r="F85" s="15">
        <f t="shared" si="5"/>
        <v>102547.22500000001</v>
      </c>
    </row>
    <row r="86" spans="1:11" s="887" customFormat="1" x14ac:dyDescent="0.2">
      <c r="A86" s="120">
        <v>47</v>
      </c>
      <c r="B86" s="905" t="s">
        <v>419</v>
      </c>
      <c r="C86" s="12">
        <v>1000</v>
      </c>
      <c r="D86" s="13">
        <v>123165</v>
      </c>
      <c r="E86" s="25">
        <v>10533.6</v>
      </c>
      <c r="F86" s="15">
        <f t="shared" si="5"/>
        <v>1297370.844</v>
      </c>
    </row>
    <row r="87" spans="1:11" s="887" customFormat="1" x14ac:dyDescent="0.2">
      <c r="A87" s="121">
        <v>48</v>
      </c>
      <c r="B87" s="884" t="s">
        <v>88</v>
      </c>
      <c r="C87" s="19">
        <v>100</v>
      </c>
      <c r="D87" s="13">
        <v>15594.5</v>
      </c>
      <c r="E87" s="25">
        <v>4850.3999999999996</v>
      </c>
      <c r="F87" s="15">
        <f t="shared" si="5"/>
        <v>756395.62800000003</v>
      </c>
    </row>
    <row r="88" spans="1:11" s="887" customFormat="1" x14ac:dyDescent="0.2">
      <c r="A88" s="121">
        <v>49</v>
      </c>
      <c r="B88" s="904" t="s">
        <v>168</v>
      </c>
      <c r="C88" s="12">
        <v>100</v>
      </c>
      <c r="D88" s="13">
        <v>2100</v>
      </c>
      <c r="E88" s="13">
        <v>13527.4</v>
      </c>
      <c r="F88" s="15">
        <f t="shared" si="5"/>
        <v>284075.40000000002</v>
      </c>
    </row>
    <row r="89" spans="1:11" s="887" customFormat="1" ht="75" x14ac:dyDescent="0.2">
      <c r="A89" s="121">
        <v>50</v>
      </c>
      <c r="B89" s="904" t="s">
        <v>169</v>
      </c>
      <c r="C89" s="19">
        <v>100</v>
      </c>
      <c r="D89" s="13">
        <v>2800</v>
      </c>
      <c r="E89" s="40">
        <v>4549.95</v>
      </c>
      <c r="F89" s="15">
        <f t="shared" si="5"/>
        <v>127398.6</v>
      </c>
    </row>
    <row r="90" spans="1:11" s="887" customFormat="1" ht="30" x14ac:dyDescent="0.2">
      <c r="A90" s="121">
        <v>51</v>
      </c>
      <c r="B90" s="904" t="s">
        <v>165</v>
      </c>
      <c r="C90" s="35" t="s">
        <v>166</v>
      </c>
      <c r="D90" s="13">
        <v>304.64</v>
      </c>
      <c r="E90" s="33">
        <v>72</v>
      </c>
      <c r="F90" s="15">
        <f>E90*D90</f>
        <v>21934.079999999998</v>
      </c>
    </row>
    <row r="91" spans="1:11" s="887" customFormat="1" ht="30" x14ac:dyDescent="0.2">
      <c r="A91" s="44">
        <v>52</v>
      </c>
      <c r="B91" s="884" t="s">
        <v>385</v>
      </c>
      <c r="C91" s="12">
        <v>1</v>
      </c>
      <c r="D91" s="13">
        <v>202.95000000000002</v>
      </c>
      <c r="E91" s="25">
        <v>17752.2</v>
      </c>
      <c r="F91" s="15">
        <f t="shared" ref="F91:F96" si="6">E91*D91/C91</f>
        <v>3602808.99</v>
      </c>
    </row>
    <row r="92" spans="1:11" s="887" customFormat="1" x14ac:dyDescent="0.2">
      <c r="A92" s="121">
        <v>53</v>
      </c>
      <c r="B92" s="906" t="s">
        <v>424</v>
      </c>
      <c r="C92" s="29">
        <v>1</v>
      </c>
      <c r="D92" s="13">
        <v>-26974.04</v>
      </c>
      <c r="E92" s="30">
        <v>170</v>
      </c>
      <c r="F92" s="15">
        <f t="shared" si="6"/>
        <v>-4585586.8</v>
      </c>
      <c r="K92" s="877">
        <f>H93-G93</f>
        <v>-323045052.04827404</v>
      </c>
    </row>
    <row r="93" spans="1:11" s="887" customFormat="1" x14ac:dyDescent="0.2">
      <c r="A93" s="121">
        <v>54</v>
      </c>
      <c r="B93" s="906" t="s">
        <v>425</v>
      </c>
      <c r="C93" s="405">
        <v>100</v>
      </c>
      <c r="D93" s="13">
        <v>-1823.07</v>
      </c>
      <c r="E93" s="30">
        <v>4100</v>
      </c>
      <c r="F93" s="15">
        <f t="shared" si="6"/>
        <v>-74745.87</v>
      </c>
      <c r="G93" s="894">
        <f>SUM(F65:F93)</f>
        <v>531606278.04827404</v>
      </c>
      <c r="H93" s="886">
        <v>208561226</v>
      </c>
      <c r="I93" s="877">
        <f>H93-G93</f>
        <v>-323045052.04827404</v>
      </c>
      <c r="K93" s="877">
        <f>K92+L97</f>
        <v>-326079072.54057777</v>
      </c>
    </row>
    <row r="94" spans="1:11" s="887" customFormat="1" x14ac:dyDescent="0.2">
      <c r="A94" s="118">
        <v>55</v>
      </c>
      <c r="B94" s="884" t="s">
        <v>66</v>
      </c>
      <c r="C94" s="12">
        <v>1000</v>
      </c>
      <c r="D94" s="13">
        <v>333466.16890399996</v>
      </c>
      <c r="E94" s="14">
        <v>12038.4</v>
      </c>
      <c r="F94" s="15">
        <f t="shared" si="6"/>
        <v>4014399.1277339128</v>
      </c>
      <c r="G94" s="894"/>
      <c r="I94" s="886">
        <v>36383456.567040272</v>
      </c>
    </row>
    <row r="95" spans="1:11" s="887" customFormat="1" ht="30" x14ac:dyDescent="0.2">
      <c r="A95" s="118">
        <v>56</v>
      </c>
      <c r="B95" s="884" t="s">
        <v>70</v>
      </c>
      <c r="C95" s="12">
        <v>100</v>
      </c>
      <c r="D95" s="13">
        <v>13799.150000000001</v>
      </c>
      <c r="E95" s="25">
        <v>35727</v>
      </c>
      <c r="F95" s="15">
        <f t="shared" si="6"/>
        <v>4930022.3205000004</v>
      </c>
      <c r="G95" s="894"/>
    </row>
    <row r="96" spans="1:11" s="887" customFormat="1" x14ac:dyDescent="0.2">
      <c r="A96" s="44">
        <v>57</v>
      </c>
      <c r="B96" s="907" t="s">
        <v>72</v>
      </c>
      <c r="C96" s="34">
        <v>1</v>
      </c>
      <c r="D96" s="13">
        <v>1670</v>
      </c>
      <c r="E96" s="14">
        <v>1381</v>
      </c>
      <c r="F96" s="15">
        <f t="shared" si="6"/>
        <v>2306270</v>
      </c>
    </row>
    <row r="97" spans="1:12" s="887" customFormat="1" x14ac:dyDescent="0.2">
      <c r="A97" s="117">
        <v>58</v>
      </c>
      <c r="B97" s="884" t="s">
        <v>158</v>
      </c>
      <c r="C97" s="12">
        <v>100</v>
      </c>
      <c r="D97" s="13">
        <v>93240</v>
      </c>
      <c r="E97" s="25">
        <v>3762</v>
      </c>
      <c r="F97" s="15">
        <v>3507688.8</v>
      </c>
      <c r="G97" s="886">
        <v>89611262</v>
      </c>
      <c r="H97" s="894">
        <f>SUM(F97:F111)</f>
        <v>92645282.492303729</v>
      </c>
      <c r="I97" s="877">
        <f>H97-G97</f>
        <v>3034020.4923037291</v>
      </c>
      <c r="L97" s="877">
        <f>G97-H97</f>
        <v>-3034020.4923037291</v>
      </c>
    </row>
    <row r="98" spans="1:12" s="887" customFormat="1" ht="30" x14ac:dyDescent="0.2">
      <c r="A98" s="118">
        <v>59</v>
      </c>
      <c r="B98" s="884" t="s">
        <v>159</v>
      </c>
      <c r="C98" s="12">
        <v>100</v>
      </c>
      <c r="D98" s="13">
        <v>126000</v>
      </c>
      <c r="E98" s="25">
        <v>4743.75</v>
      </c>
      <c r="F98" s="15">
        <f t="shared" ref="F98:F108" si="7">E98*D98/C98</f>
        <v>5977125</v>
      </c>
      <c r="J98" s="877">
        <f>I97+I93</f>
        <v>-320011031.55597031</v>
      </c>
    </row>
    <row r="99" spans="1:12" s="887" customFormat="1" ht="30" x14ac:dyDescent="0.2">
      <c r="A99" s="118">
        <v>60</v>
      </c>
      <c r="B99" s="884" t="s">
        <v>75</v>
      </c>
      <c r="C99" s="12">
        <v>100</v>
      </c>
      <c r="D99" s="13">
        <v>50517.799999999988</v>
      </c>
      <c r="E99" s="25">
        <v>6849</v>
      </c>
      <c r="F99" s="15">
        <f t="shared" si="7"/>
        <v>3459964.1219999995</v>
      </c>
    </row>
    <row r="100" spans="1:12" s="887" customFormat="1" x14ac:dyDescent="0.2">
      <c r="A100" s="44">
        <v>61</v>
      </c>
      <c r="B100" s="883" t="s">
        <v>76</v>
      </c>
      <c r="C100" s="19">
        <v>100</v>
      </c>
      <c r="D100" s="13">
        <v>94646.546860000017</v>
      </c>
      <c r="E100" s="25">
        <v>2265.1</v>
      </c>
      <c r="F100" s="15">
        <f t="shared" si="7"/>
        <v>2143838.9329258604</v>
      </c>
    </row>
    <row r="101" spans="1:12" s="887" customFormat="1" x14ac:dyDescent="0.2">
      <c r="A101" s="44">
        <v>62</v>
      </c>
      <c r="B101" s="883" t="s">
        <v>77</v>
      </c>
      <c r="C101" s="19">
        <v>100</v>
      </c>
      <c r="D101" s="13">
        <v>15600.14</v>
      </c>
      <c r="E101" s="25">
        <v>1660.5</v>
      </c>
      <c r="F101" s="15">
        <f t="shared" si="7"/>
        <v>259040.3247</v>
      </c>
    </row>
    <row r="102" spans="1:12" s="887" customFormat="1" x14ac:dyDescent="0.2">
      <c r="A102" s="118">
        <v>63</v>
      </c>
      <c r="B102" s="884" t="s">
        <v>78</v>
      </c>
      <c r="C102" s="12">
        <v>100</v>
      </c>
      <c r="D102" s="13">
        <v>32048.504830399994</v>
      </c>
      <c r="E102" s="25">
        <v>18564.099999999999</v>
      </c>
      <c r="F102" s="15">
        <f t="shared" si="7"/>
        <v>5949516.4852202842</v>
      </c>
    </row>
    <row r="103" spans="1:12" s="887" customFormat="1" x14ac:dyDescent="0.2">
      <c r="A103" s="118">
        <v>64</v>
      </c>
      <c r="B103" s="884" t="s">
        <v>79</v>
      </c>
      <c r="C103" s="12">
        <v>100</v>
      </c>
      <c r="D103" s="13">
        <v>32048.504830399994</v>
      </c>
      <c r="E103" s="25">
        <v>18564.099999999999</v>
      </c>
      <c r="F103" s="15">
        <f t="shared" si="7"/>
        <v>5949516.4852202842</v>
      </c>
    </row>
    <row r="104" spans="1:12" s="887" customFormat="1" x14ac:dyDescent="0.2">
      <c r="A104" s="118">
        <v>65</v>
      </c>
      <c r="B104" s="884" t="s">
        <v>80</v>
      </c>
      <c r="C104" s="12">
        <v>100</v>
      </c>
      <c r="D104" s="13">
        <v>5305.0890000000009</v>
      </c>
      <c r="E104" s="25">
        <v>18017.599999999999</v>
      </c>
      <c r="F104" s="15">
        <f t="shared" si="7"/>
        <v>955849.71566400002</v>
      </c>
    </row>
    <row r="105" spans="1:12" s="887" customFormat="1" x14ac:dyDescent="0.2">
      <c r="A105" s="118">
        <v>66</v>
      </c>
      <c r="B105" s="884" t="s">
        <v>81</v>
      </c>
      <c r="C105" s="12">
        <v>100</v>
      </c>
      <c r="D105" s="13">
        <v>5305.0890000000009</v>
      </c>
      <c r="E105" s="25">
        <v>18017.599999999999</v>
      </c>
      <c r="F105" s="15">
        <f t="shared" si="7"/>
        <v>955849.71566400002</v>
      </c>
    </row>
    <row r="106" spans="1:12" s="887" customFormat="1" x14ac:dyDescent="0.2">
      <c r="A106" s="118">
        <v>67</v>
      </c>
      <c r="B106" s="884" t="s">
        <v>82</v>
      </c>
      <c r="C106" s="12">
        <v>100</v>
      </c>
      <c r="D106" s="13">
        <v>97109.842880000026</v>
      </c>
      <c r="E106" s="25">
        <v>11511</v>
      </c>
      <c r="F106" s="15">
        <f t="shared" si="7"/>
        <v>11178314.013916802</v>
      </c>
    </row>
    <row r="107" spans="1:12" s="887" customFormat="1" x14ac:dyDescent="0.2">
      <c r="A107" s="118">
        <v>68</v>
      </c>
      <c r="B107" s="884" t="s">
        <v>83</v>
      </c>
      <c r="C107" s="12">
        <v>100</v>
      </c>
      <c r="D107" s="13">
        <v>15372.419999999998</v>
      </c>
      <c r="E107" s="25">
        <v>10570.5</v>
      </c>
      <c r="F107" s="15">
        <f t="shared" si="7"/>
        <v>1624941.6560999998</v>
      </c>
    </row>
    <row r="108" spans="1:12" s="887" customFormat="1" ht="30" x14ac:dyDescent="0.2">
      <c r="A108" s="118">
        <v>69</v>
      </c>
      <c r="B108" s="908" t="s">
        <v>84</v>
      </c>
      <c r="C108" s="12">
        <v>100</v>
      </c>
      <c r="D108" s="13">
        <v>364527.73397300002</v>
      </c>
      <c r="E108" s="25">
        <v>14042.6</v>
      </c>
      <c r="F108" s="15">
        <f t="shared" si="7"/>
        <v>51189171.570892505</v>
      </c>
    </row>
    <row r="109" spans="1:12" s="887" customFormat="1" x14ac:dyDescent="0.2">
      <c r="A109" s="990">
        <v>70</v>
      </c>
      <c r="B109" s="883" t="s">
        <v>334</v>
      </c>
      <c r="C109" s="12"/>
      <c r="D109" s="13">
        <v>0</v>
      </c>
      <c r="E109" s="12"/>
      <c r="F109" s="15" t="s">
        <v>440</v>
      </c>
    </row>
    <row r="110" spans="1:12" s="887" customFormat="1" x14ac:dyDescent="0.2">
      <c r="A110" s="991"/>
      <c r="B110" s="883" t="s">
        <v>337</v>
      </c>
      <c r="C110" s="29">
        <v>1</v>
      </c>
      <c r="D110" s="13">
        <v>2535</v>
      </c>
      <c r="E110" s="25">
        <v>-170</v>
      </c>
      <c r="F110" s="15">
        <f t="shared" ref="F110:F116" si="8">E110*D110/C110</f>
        <v>-430950</v>
      </c>
    </row>
    <row r="111" spans="1:12" s="887" customFormat="1" x14ac:dyDescent="0.2">
      <c r="A111" s="992"/>
      <c r="B111" s="883" t="s">
        <v>335</v>
      </c>
      <c r="C111" s="12">
        <v>100</v>
      </c>
      <c r="D111" s="13">
        <v>1819.13</v>
      </c>
      <c r="E111" s="25">
        <v>-4100</v>
      </c>
      <c r="F111" s="15">
        <f t="shared" si="8"/>
        <v>-74584.33</v>
      </c>
      <c r="G111" s="894">
        <f>SUM(F112:F155)</f>
        <v>55936171.433729991</v>
      </c>
      <c r="H111" s="886">
        <f>1364663*37</f>
        <v>50492531</v>
      </c>
    </row>
    <row r="112" spans="1:12" s="887" customFormat="1" ht="45" x14ac:dyDescent="0.2">
      <c r="A112" s="118">
        <v>71</v>
      </c>
      <c r="B112" s="884" t="s">
        <v>90</v>
      </c>
      <c r="C112" s="12">
        <v>1000</v>
      </c>
      <c r="D112" s="13">
        <v>20161.000607832604</v>
      </c>
      <c r="E112" s="14">
        <v>15824.15</v>
      </c>
      <c r="F112" s="15">
        <f t="shared" si="8"/>
        <v>319030.6977684343</v>
      </c>
      <c r="G112" s="877" t="e">
        <f>#REF!*37</f>
        <v>#REF!</v>
      </c>
      <c r="H112" s="877" t="e">
        <f>D112-G112</f>
        <v>#REF!</v>
      </c>
      <c r="I112" s="894">
        <f>SUM(F112:F155)</f>
        <v>55936171.433729991</v>
      </c>
    </row>
    <row r="113" spans="1:9" s="887" customFormat="1" ht="60" x14ac:dyDescent="0.2">
      <c r="A113" s="118">
        <v>72</v>
      </c>
      <c r="B113" s="908" t="s">
        <v>91</v>
      </c>
      <c r="C113" s="19">
        <v>1</v>
      </c>
      <c r="D113" s="13">
        <v>18814.5</v>
      </c>
      <c r="E113" s="25">
        <v>12.55</v>
      </c>
      <c r="F113" s="15">
        <f t="shared" si="8"/>
        <v>236121.97500000001</v>
      </c>
      <c r="G113" s="877" t="e">
        <f>#REF!*37</f>
        <v>#REF!</v>
      </c>
      <c r="H113" s="877" t="e">
        <f t="shared" ref="H113:H155" si="9">D113-G113</f>
        <v>#REF!</v>
      </c>
    </row>
    <row r="114" spans="1:9" s="887" customFormat="1" ht="45" x14ac:dyDescent="0.2">
      <c r="A114" s="44">
        <v>73</v>
      </c>
      <c r="B114" s="884" t="s">
        <v>93</v>
      </c>
      <c r="C114" s="19">
        <v>100</v>
      </c>
      <c r="D114" s="13">
        <v>13211.49</v>
      </c>
      <c r="E114" s="14">
        <v>7607.35</v>
      </c>
      <c r="F114" s="15">
        <f t="shared" si="8"/>
        <v>1005044.2845149999</v>
      </c>
      <c r="G114" s="877" t="e">
        <f>#REF!*37</f>
        <v>#REF!</v>
      </c>
      <c r="H114" s="877"/>
    </row>
    <row r="115" spans="1:9" s="887" customFormat="1" x14ac:dyDescent="0.2">
      <c r="A115" s="44">
        <v>74</v>
      </c>
      <c r="B115" s="884" t="s">
        <v>94</v>
      </c>
      <c r="C115" s="12">
        <v>1000</v>
      </c>
      <c r="D115" s="13">
        <v>37224.369999999995</v>
      </c>
      <c r="E115" s="14">
        <v>7547.75</v>
      </c>
      <c r="F115" s="15">
        <f t="shared" si="8"/>
        <v>280960.23866749997</v>
      </c>
      <c r="G115" s="877" t="e">
        <f>#REF!*37</f>
        <v>#REF!</v>
      </c>
      <c r="H115" s="877"/>
    </row>
    <row r="116" spans="1:9" s="887" customFormat="1" ht="30" x14ac:dyDescent="0.2">
      <c r="A116" s="44">
        <v>75</v>
      </c>
      <c r="B116" s="884" t="s">
        <v>95</v>
      </c>
      <c r="C116" s="12">
        <v>100</v>
      </c>
      <c r="D116" s="13">
        <v>10763.3</v>
      </c>
      <c r="E116" s="14">
        <v>35830.6</v>
      </c>
      <c r="F116" s="15">
        <f t="shared" si="8"/>
        <v>3856554.9697999996</v>
      </c>
      <c r="G116" s="877" t="e">
        <f>#REF!*37</f>
        <v>#REF!</v>
      </c>
      <c r="H116" s="877" t="e">
        <f t="shared" si="9"/>
        <v>#REF!</v>
      </c>
    </row>
    <row r="117" spans="1:9" s="887" customFormat="1" ht="75.75" x14ac:dyDescent="0.2">
      <c r="A117" s="44">
        <v>76</v>
      </c>
      <c r="B117" s="884" t="s">
        <v>41</v>
      </c>
      <c r="C117" s="20"/>
      <c r="D117" s="13">
        <v>0</v>
      </c>
      <c r="E117" s="13">
        <f>SUM(D117:D117)</f>
        <v>0</v>
      </c>
      <c r="F117" s="13">
        <f>SUM(D117:E117)</f>
        <v>0</v>
      </c>
      <c r="G117" s="877" t="e">
        <f>#REF!*37</f>
        <v>#REF!</v>
      </c>
      <c r="H117" s="877" t="e">
        <f t="shared" si="9"/>
        <v>#REF!</v>
      </c>
    </row>
    <row r="118" spans="1:9" s="887" customFormat="1" ht="60" x14ac:dyDescent="0.2">
      <c r="A118" s="44" t="s">
        <v>42</v>
      </c>
      <c r="B118" s="884" t="s">
        <v>96</v>
      </c>
      <c r="C118" s="12">
        <v>1</v>
      </c>
      <c r="D118" s="13">
        <v>5704.1345999999994</v>
      </c>
      <c r="E118" s="14">
        <v>741.85</v>
      </c>
      <c r="F118" s="15">
        <f t="shared" ref="F118:F134" si="10">E118*D118/C118</f>
        <v>4231612.2530100001</v>
      </c>
      <c r="G118" s="877" t="e">
        <f>#REF!*37</f>
        <v>#REF!</v>
      </c>
      <c r="H118" s="877" t="e">
        <f t="shared" si="9"/>
        <v>#REF!</v>
      </c>
    </row>
    <row r="119" spans="1:9" s="887" customFormat="1" ht="60" x14ac:dyDescent="0.2">
      <c r="A119" s="44" t="s">
        <v>44</v>
      </c>
      <c r="B119" s="884" t="s">
        <v>97</v>
      </c>
      <c r="C119" s="12">
        <v>1</v>
      </c>
      <c r="D119" s="13">
        <v>681.08906249999995</v>
      </c>
      <c r="E119" s="14">
        <v>595</v>
      </c>
      <c r="F119" s="15">
        <f t="shared" si="10"/>
        <v>405247.9921875</v>
      </c>
      <c r="G119" s="877" t="e">
        <f>#REF!*37</f>
        <v>#REF!</v>
      </c>
      <c r="H119" s="877" t="e">
        <f t="shared" si="9"/>
        <v>#REF!</v>
      </c>
    </row>
    <row r="120" spans="1:9" s="887" customFormat="1" ht="120" x14ac:dyDescent="0.2">
      <c r="A120" s="44">
        <v>77</v>
      </c>
      <c r="B120" s="884" t="s">
        <v>99</v>
      </c>
      <c r="C120" s="19">
        <v>1</v>
      </c>
      <c r="D120" s="13">
        <v>1184</v>
      </c>
      <c r="E120" s="14">
        <v>2180.6999999999998</v>
      </c>
      <c r="F120" s="15">
        <f t="shared" si="10"/>
        <v>2581948.7999999998</v>
      </c>
      <c r="G120" s="877" t="e">
        <f>#REF!*37</f>
        <v>#REF!</v>
      </c>
      <c r="H120" s="877" t="e">
        <f t="shared" si="9"/>
        <v>#REF!</v>
      </c>
    </row>
    <row r="121" spans="1:9" s="887" customFormat="1" ht="45" x14ac:dyDescent="0.2">
      <c r="A121" s="44">
        <v>78</v>
      </c>
      <c r="B121" s="884" t="s">
        <v>100</v>
      </c>
      <c r="C121" s="19">
        <v>1</v>
      </c>
      <c r="D121" s="13">
        <v>5302</v>
      </c>
      <c r="E121" s="14">
        <v>457.1</v>
      </c>
      <c r="F121" s="15">
        <f t="shared" si="10"/>
        <v>2423544.2000000002</v>
      </c>
      <c r="G121" s="877" t="e">
        <f>#REF!*37</f>
        <v>#REF!</v>
      </c>
      <c r="H121" s="877"/>
    </row>
    <row r="122" spans="1:9" s="887" customFormat="1" ht="30" x14ac:dyDescent="0.2">
      <c r="A122" s="44">
        <v>79</v>
      </c>
      <c r="B122" s="884" t="s">
        <v>101</v>
      </c>
      <c r="C122" s="19">
        <v>1</v>
      </c>
      <c r="D122" s="13">
        <v>1813</v>
      </c>
      <c r="E122" s="14">
        <v>2767</v>
      </c>
      <c r="F122" s="15">
        <f t="shared" si="10"/>
        <v>5016571</v>
      </c>
      <c r="G122" s="877" t="e">
        <f>#REF!*37</f>
        <v>#REF!</v>
      </c>
      <c r="H122" s="877" t="e">
        <f t="shared" si="9"/>
        <v>#REF!</v>
      </c>
    </row>
    <row r="123" spans="1:9" s="887" customFormat="1" ht="45" x14ac:dyDescent="0.2">
      <c r="A123" s="44">
        <v>80</v>
      </c>
      <c r="B123" s="884" t="s">
        <v>102</v>
      </c>
      <c r="C123" s="19">
        <v>100</v>
      </c>
      <c r="D123" s="13">
        <v>3535.8125</v>
      </c>
      <c r="E123" s="14">
        <v>13179.6</v>
      </c>
      <c r="F123" s="15">
        <f t="shared" si="10"/>
        <v>466005.94425000006</v>
      </c>
      <c r="G123" s="877" t="e">
        <f>#REF!*37</f>
        <v>#REF!</v>
      </c>
      <c r="H123" s="877" t="e">
        <f t="shared" si="9"/>
        <v>#REF!</v>
      </c>
    </row>
    <row r="124" spans="1:9" s="887" customFormat="1" x14ac:dyDescent="0.2">
      <c r="A124" s="44">
        <v>81</v>
      </c>
      <c r="B124" s="884" t="s">
        <v>103</v>
      </c>
      <c r="C124" s="19">
        <v>1</v>
      </c>
      <c r="D124" s="13">
        <v>43350.188849999999</v>
      </c>
      <c r="E124" s="14">
        <v>11</v>
      </c>
      <c r="F124" s="15">
        <f t="shared" si="10"/>
        <v>476852.07734999998</v>
      </c>
      <c r="G124" s="877" t="e">
        <f>#REF!*37</f>
        <v>#REF!</v>
      </c>
      <c r="H124" s="877"/>
    </row>
    <row r="125" spans="1:9" s="887" customFormat="1" x14ac:dyDescent="0.2">
      <c r="A125" s="44">
        <v>82</v>
      </c>
      <c r="B125" s="884" t="s">
        <v>104</v>
      </c>
      <c r="C125" s="12">
        <v>100</v>
      </c>
      <c r="D125" s="13">
        <v>8934.8274999999994</v>
      </c>
      <c r="E125" s="25">
        <v>3987</v>
      </c>
      <c r="F125" s="15">
        <f t="shared" si="10"/>
        <v>356231.57242500002</v>
      </c>
      <c r="G125" s="877" t="e">
        <f>#REF!*37</f>
        <v>#REF!</v>
      </c>
      <c r="H125" s="877"/>
    </row>
    <row r="126" spans="1:9" s="887" customFormat="1" ht="30" x14ac:dyDescent="0.2">
      <c r="A126" s="44">
        <v>83</v>
      </c>
      <c r="B126" s="884" t="s">
        <v>105</v>
      </c>
      <c r="C126" s="12">
        <v>100</v>
      </c>
      <c r="D126" s="13">
        <v>10919.7875</v>
      </c>
      <c r="E126" s="25">
        <v>12801.2</v>
      </c>
      <c r="F126" s="15">
        <f t="shared" si="10"/>
        <v>1397863.83745</v>
      </c>
      <c r="G126" s="877" t="e">
        <f>#REF!*37</f>
        <v>#REF!</v>
      </c>
      <c r="H126" s="877"/>
    </row>
    <row r="127" spans="1:9" s="887" customFormat="1" x14ac:dyDescent="0.2">
      <c r="A127" s="44">
        <v>84</v>
      </c>
      <c r="B127" s="884" t="s">
        <v>108</v>
      </c>
      <c r="C127" s="19">
        <v>100</v>
      </c>
      <c r="D127" s="13">
        <v>140437.41625000001</v>
      </c>
      <c r="E127" s="25">
        <v>4614.1000000000004</v>
      </c>
      <c r="F127" s="15">
        <f t="shared" si="10"/>
        <v>6479922.8231912507</v>
      </c>
      <c r="G127" s="877" t="e">
        <f>#REF!*37</f>
        <v>#REF!</v>
      </c>
      <c r="H127" s="877" t="e">
        <f t="shared" si="9"/>
        <v>#REF!</v>
      </c>
      <c r="I127" s="894"/>
    </row>
    <row r="128" spans="1:9" s="887" customFormat="1" ht="30" x14ac:dyDescent="0.2">
      <c r="A128" s="44">
        <v>85</v>
      </c>
      <c r="B128" s="884" t="s">
        <v>109</v>
      </c>
      <c r="C128" s="19">
        <v>100</v>
      </c>
      <c r="D128" s="13">
        <v>4237.2400000000007</v>
      </c>
      <c r="E128" s="25">
        <v>5264.65</v>
      </c>
      <c r="F128" s="15">
        <f t="shared" si="10"/>
        <v>223075.85566000003</v>
      </c>
      <c r="G128" s="877" t="e">
        <f>#REF!*37</f>
        <v>#REF!</v>
      </c>
      <c r="H128" s="877" t="e">
        <f t="shared" si="9"/>
        <v>#REF!</v>
      </c>
    </row>
    <row r="129" spans="1:9" s="887" customFormat="1" ht="45" x14ac:dyDescent="0.2">
      <c r="A129" s="44">
        <v>86</v>
      </c>
      <c r="B129" s="884" t="s">
        <v>110</v>
      </c>
      <c r="C129" s="19">
        <v>100</v>
      </c>
      <c r="D129" s="13">
        <v>83405.59</v>
      </c>
      <c r="E129" s="25">
        <v>5012.6499999999996</v>
      </c>
      <c r="F129" s="15">
        <f t="shared" si="10"/>
        <v>4180830.3071349994</v>
      </c>
      <c r="G129" s="877" t="e">
        <f>#REF!*37</f>
        <v>#REF!</v>
      </c>
      <c r="H129" s="877" t="e">
        <f t="shared" si="9"/>
        <v>#REF!</v>
      </c>
      <c r="I129" s="894"/>
    </row>
    <row r="130" spans="1:9" s="887" customFormat="1" x14ac:dyDescent="0.2">
      <c r="A130" s="44">
        <v>87</v>
      </c>
      <c r="B130" s="884" t="s">
        <v>112</v>
      </c>
      <c r="C130" s="37">
        <v>1</v>
      </c>
      <c r="D130" s="13">
        <v>658</v>
      </c>
      <c r="E130" s="25">
        <v>849.7</v>
      </c>
      <c r="F130" s="15">
        <f t="shared" si="10"/>
        <v>559102.6</v>
      </c>
      <c r="G130" s="877" t="e">
        <f>#REF!*37</f>
        <v>#REF!</v>
      </c>
      <c r="H130" s="877" t="e">
        <f t="shared" si="9"/>
        <v>#REF!</v>
      </c>
      <c r="I130" s="894"/>
    </row>
    <row r="131" spans="1:9" s="887" customFormat="1" x14ac:dyDescent="0.2">
      <c r="A131" s="44">
        <v>88</v>
      </c>
      <c r="B131" s="884" t="s">
        <v>113</v>
      </c>
      <c r="C131" s="37">
        <v>1</v>
      </c>
      <c r="D131" s="13">
        <v>154</v>
      </c>
      <c r="E131" s="25">
        <v>1159.6500000000001</v>
      </c>
      <c r="F131" s="15">
        <f t="shared" si="10"/>
        <v>178586.1</v>
      </c>
      <c r="G131" s="877" t="e">
        <f>#REF!*37</f>
        <v>#REF!</v>
      </c>
      <c r="H131" s="877" t="e">
        <f t="shared" si="9"/>
        <v>#REF!</v>
      </c>
      <c r="I131" s="894"/>
    </row>
    <row r="132" spans="1:9" s="887" customFormat="1" x14ac:dyDescent="0.2">
      <c r="A132" s="44">
        <v>89</v>
      </c>
      <c r="B132" s="884" t="s">
        <v>114</v>
      </c>
      <c r="C132" s="19">
        <v>100</v>
      </c>
      <c r="D132" s="13">
        <v>118808.22750000001</v>
      </c>
      <c r="E132" s="25">
        <v>1548.2</v>
      </c>
      <c r="F132" s="15">
        <f t="shared" si="10"/>
        <v>1839388.9781550001</v>
      </c>
      <c r="G132" s="877" t="e">
        <f>#REF!*37</f>
        <v>#REF!</v>
      </c>
      <c r="H132" s="877" t="e">
        <f t="shared" si="9"/>
        <v>#REF!</v>
      </c>
      <c r="I132" s="894"/>
    </row>
    <row r="133" spans="1:9" s="887" customFormat="1" x14ac:dyDescent="0.2">
      <c r="A133" s="44">
        <v>90</v>
      </c>
      <c r="B133" s="884" t="s">
        <v>116</v>
      </c>
      <c r="C133" s="19">
        <v>100</v>
      </c>
      <c r="D133" s="13">
        <v>12309</v>
      </c>
      <c r="E133" s="25">
        <v>3052.4</v>
      </c>
      <c r="F133" s="15">
        <f t="shared" si="10"/>
        <v>375719.91600000003</v>
      </c>
      <c r="G133" s="877" t="e">
        <f>#REF!*37</f>
        <v>#REF!</v>
      </c>
      <c r="H133" s="877" t="e">
        <f t="shared" si="9"/>
        <v>#REF!</v>
      </c>
      <c r="I133" s="894"/>
    </row>
    <row r="134" spans="1:9" s="887" customFormat="1" ht="45" x14ac:dyDescent="0.2">
      <c r="A134" s="44">
        <v>91</v>
      </c>
      <c r="B134" s="876" t="s">
        <v>117</v>
      </c>
      <c r="C134" s="29">
        <v>100</v>
      </c>
      <c r="D134" s="13">
        <v>12393.472738818833</v>
      </c>
      <c r="E134" s="14">
        <v>37098.85</v>
      </c>
      <c r="F134" s="15">
        <f t="shared" si="10"/>
        <v>4597835.8611652907</v>
      </c>
      <c r="G134" s="877" t="e">
        <f>#REF!*37</f>
        <v>#REF!</v>
      </c>
      <c r="H134" s="877" t="e">
        <f t="shared" si="9"/>
        <v>#REF!</v>
      </c>
    </row>
    <row r="135" spans="1:9" s="887" customFormat="1" ht="30" x14ac:dyDescent="0.2">
      <c r="A135" s="987">
        <v>92</v>
      </c>
      <c r="B135" s="884" t="s">
        <v>118</v>
      </c>
      <c r="C135" s="20"/>
      <c r="D135" s="13">
        <v>0</v>
      </c>
      <c r="E135" s="20"/>
      <c r="F135" s="20"/>
      <c r="G135" s="877" t="e">
        <f>#REF!*37</f>
        <v>#REF!</v>
      </c>
      <c r="H135" s="877" t="e">
        <f t="shared" si="9"/>
        <v>#REF!</v>
      </c>
    </row>
    <row r="136" spans="1:9" s="887" customFormat="1" x14ac:dyDescent="0.2">
      <c r="A136" s="988"/>
      <c r="B136" s="884" t="s">
        <v>148</v>
      </c>
      <c r="C136" s="36">
        <v>1</v>
      </c>
      <c r="D136" s="13">
        <v>12520</v>
      </c>
      <c r="E136" s="25">
        <v>112.25</v>
      </c>
      <c r="F136" s="15">
        <f>E136*D136/C136</f>
        <v>1405370</v>
      </c>
      <c r="G136" s="877" t="e">
        <f>#REF!*37</f>
        <v>#REF!</v>
      </c>
      <c r="H136" s="877" t="e">
        <f t="shared" si="9"/>
        <v>#REF!</v>
      </c>
      <c r="I136" s="894"/>
    </row>
    <row r="137" spans="1:9" s="887" customFormat="1" x14ac:dyDescent="0.2">
      <c r="A137" s="988"/>
      <c r="B137" s="884" t="s">
        <v>149</v>
      </c>
      <c r="C137" s="36">
        <v>1</v>
      </c>
      <c r="D137" s="13">
        <v>6560</v>
      </c>
      <c r="E137" s="25">
        <v>133.6</v>
      </c>
      <c r="F137" s="15">
        <f>E137*D137/C137</f>
        <v>876416</v>
      </c>
      <c r="G137" s="877" t="e">
        <f>#REF!*37</f>
        <v>#REF!</v>
      </c>
      <c r="H137" s="877" t="e">
        <f t="shared" si="9"/>
        <v>#REF!</v>
      </c>
      <c r="I137" s="894"/>
    </row>
    <row r="138" spans="1:9" s="887" customFormat="1" x14ac:dyDescent="0.2">
      <c r="A138" s="989"/>
      <c r="B138" s="884" t="s">
        <v>471</v>
      </c>
      <c r="C138" s="36">
        <v>1</v>
      </c>
      <c r="D138" s="13">
        <v>555</v>
      </c>
      <c r="E138" s="25">
        <v>231.55</v>
      </c>
      <c r="F138" s="15">
        <f>E138*D138/C138</f>
        <v>128510.25</v>
      </c>
      <c r="G138" s="877" t="e">
        <f>#REF!*37</f>
        <v>#REF!</v>
      </c>
      <c r="H138" s="877" t="e">
        <f t="shared" si="9"/>
        <v>#REF!</v>
      </c>
    </row>
    <row r="139" spans="1:9" s="887" customFormat="1" ht="60" x14ac:dyDescent="0.2">
      <c r="A139" s="987">
        <v>93</v>
      </c>
      <c r="B139" s="884" t="s">
        <v>123</v>
      </c>
      <c r="C139" s="20"/>
      <c r="D139" s="13">
        <v>0</v>
      </c>
      <c r="E139" s="20"/>
      <c r="F139" s="20"/>
      <c r="G139" s="877" t="e">
        <f>#REF!*37</f>
        <v>#REF!</v>
      </c>
      <c r="H139" s="877" t="e">
        <f t="shared" si="9"/>
        <v>#REF!</v>
      </c>
    </row>
    <row r="140" spans="1:9" s="887" customFormat="1" x14ac:dyDescent="0.2">
      <c r="A140" s="988"/>
      <c r="B140" s="884" t="s">
        <v>150</v>
      </c>
      <c r="C140" s="36">
        <v>1</v>
      </c>
      <c r="D140" s="13">
        <v>36960</v>
      </c>
      <c r="E140" s="25">
        <v>35.700000000000003</v>
      </c>
      <c r="F140" s="15">
        <f>E140*D140/C140</f>
        <v>1319472</v>
      </c>
      <c r="G140" s="877" t="e">
        <f>#REF!*37</f>
        <v>#REF!</v>
      </c>
      <c r="H140" s="877" t="e">
        <f t="shared" si="9"/>
        <v>#REF!</v>
      </c>
      <c r="I140" s="894"/>
    </row>
    <row r="141" spans="1:9" s="887" customFormat="1" x14ac:dyDescent="0.2">
      <c r="A141" s="989"/>
      <c r="B141" s="884" t="s">
        <v>151</v>
      </c>
      <c r="C141" s="36">
        <v>1</v>
      </c>
      <c r="D141" s="13">
        <v>13020</v>
      </c>
      <c r="E141" s="25">
        <v>56.3</v>
      </c>
      <c r="F141" s="15">
        <f>E141*D141/C141</f>
        <v>733026</v>
      </c>
      <c r="G141" s="877" t="e">
        <f>#REF!*37</f>
        <v>#REF!</v>
      </c>
      <c r="H141" s="877" t="e">
        <f t="shared" si="9"/>
        <v>#REF!</v>
      </c>
      <c r="I141" s="894"/>
    </row>
    <row r="142" spans="1:9" s="887" customFormat="1" ht="45" x14ac:dyDescent="0.2">
      <c r="A142" s="44">
        <v>94</v>
      </c>
      <c r="B142" s="884" t="s">
        <v>126</v>
      </c>
      <c r="C142" s="36">
        <v>1</v>
      </c>
      <c r="D142" s="13">
        <v>19680</v>
      </c>
      <c r="E142" s="25">
        <v>237.65</v>
      </c>
      <c r="F142" s="15">
        <f>E142*D142/C142</f>
        <v>4676952</v>
      </c>
      <c r="G142" s="877" t="e">
        <f>#REF!*37</f>
        <v>#REF!</v>
      </c>
      <c r="H142" s="877" t="e">
        <f t="shared" si="9"/>
        <v>#REF!</v>
      </c>
      <c r="I142" s="894"/>
    </row>
    <row r="143" spans="1:9" s="887" customFormat="1" ht="30" x14ac:dyDescent="0.2">
      <c r="A143" s="987">
        <v>95</v>
      </c>
      <c r="B143" s="884" t="s">
        <v>127</v>
      </c>
      <c r="C143" s="20"/>
      <c r="D143" s="13">
        <v>0</v>
      </c>
      <c r="E143" s="20"/>
      <c r="F143" s="20"/>
      <c r="G143" s="877" t="e">
        <f>#REF!*37</f>
        <v>#REF!</v>
      </c>
      <c r="H143" s="877" t="e">
        <f t="shared" si="9"/>
        <v>#REF!</v>
      </c>
    </row>
    <row r="144" spans="1:9" s="887" customFormat="1" x14ac:dyDescent="0.2">
      <c r="A144" s="988"/>
      <c r="B144" s="884" t="s">
        <v>152</v>
      </c>
      <c r="C144" s="38">
        <v>1</v>
      </c>
      <c r="D144" s="13">
        <v>219</v>
      </c>
      <c r="E144" s="25">
        <v>382.3</v>
      </c>
      <c r="F144" s="15">
        <f t="shared" ref="F144:F174" si="11">E144*D144/C144</f>
        <v>83723.7</v>
      </c>
      <c r="G144" s="877" t="e">
        <f>#REF!*37</f>
        <v>#REF!</v>
      </c>
      <c r="H144" s="877" t="e">
        <f t="shared" si="9"/>
        <v>#REF!</v>
      </c>
      <c r="I144" s="894"/>
    </row>
    <row r="145" spans="1:9" s="887" customFormat="1" x14ac:dyDescent="0.2">
      <c r="A145" s="988"/>
      <c r="B145" s="884" t="s">
        <v>153</v>
      </c>
      <c r="C145" s="38">
        <v>1</v>
      </c>
      <c r="D145" s="13">
        <v>432</v>
      </c>
      <c r="E145" s="25">
        <v>522.75</v>
      </c>
      <c r="F145" s="15">
        <f t="shared" si="11"/>
        <v>225828</v>
      </c>
      <c r="G145" s="877" t="e">
        <f>#REF!*37</f>
        <v>#REF!</v>
      </c>
      <c r="H145" s="877" t="e">
        <f t="shared" si="9"/>
        <v>#REF!</v>
      </c>
      <c r="I145" s="894"/>
    </row>
    <row r="146" spans="1:9" s="887" customFormat="1" x14ac:dyDescent="0.2">
      <c r="A146" s="989"/>
      <c r="B146" s="884" t="s">
        <v>154</v>
      </c>
      <c r="C146" s="38">
        <v>1</v>
      </c>
      <c r="D146" s="13">
        <v>128</v>
      </c>
      <c r="E146" s="25">
        <v>668.8</v>
      </c>
      <c r="F146" s="15">
        <f t="shared" si="11"/>
        <v>85606.399999999994</v>
      </c>
      <c r="G146" s="877" t="e">
        <f>#REF!*37</f>
        <v>#REF!</v>
      </c>
      <c r="H146" s="877" t="e">
        <f t="shared" si="9"/>
        <v>#REF!</v>
      </c>
      <c r="I146" s="894"/>
    </row>
    <row r="147" spans="1:9" s="887" customFormat="1" ht="30" x14ac:dyDescent="0.2">
      <c r="A147" s="44">
        <v>96</v>
      </c>
      <c r="B147" s="884" t="s">
        <v>131</v>
      </c>
      <c r="C147" s="38">
        <v>1</v>
      </c>
      <c r="D147" s="13">
        <v>4100</v>
      </c>
      <c r="E147" s="25">
        <v>102.7</v>
      </c>
      <c r="F147" s="15">
        <f t="shared" si="11"/>
        <v>421070</v>
      </c>
      <c r="G147" s="877" t="e">
        <f>#REF!*37</f>
        <v>#REF!</v>
      </c>
      <c r="H147" s="877" t="e">
        <f t="shared" si="9"/>
        <v>#REF!</v>
      </c>
    </row>
    <row r="148" spans="1:9" s="887" customFormat="1" x14ac:dyDescent="0.2">
      <c r="A148" s="44">
        <v>97</v>
      </c>
      <c r="B148" s="884" t="s">
        <v>132</v>
      </c>
      <c r="C148" s="38">
        <v>1</v>
      </c>
      <c r="D148" s="13">
        <v>744</v>
      </c>
      <c r="E148" s="25">
        <v>96.3</v>
      </c>
      <c r="F148" s="15">
        <f t="shared" si="11"/>
        <v>71647.199999999997</v>
      </c>
      <c r="G148" s="877" t="e">
        <f>#REF!*37</f>
        <v>#REF!</v>
      </c>
      <c r="H148" s="877" t="e">
        <f t="shared" si="9"/>
        <v>#REF!</v>
      </c>
      <c r="I148" s="894"/>
    </row>
    <row r="149" spans="1:9" s="887" customFormat="1" ht="30" x14ac:dyDescent="0.2">
      <c r="A149" s="44">
        <v>98</v>
      </c>
      <c r="B149" s="884" t="s">
        <v>134</v>
      </c>
      <c r="C149" s="38">
        <v>1</v>
      </c>
      <c r="D149" s="13">
        <v>37</v>
      </c>
      <c r="E149" s="25">
        <v>213.1</v>
      </c>
      <c r="F149" s="15">
        <f t="shared" si="11"/>
        <v>7884.7</v>
      </c>
      <c r="G149" s="877" t="e">
        <f>#REF!*37</f>
        <v>#REF!</v>
      </c>
      <c r="H149" s="877" t="e">
        <f t="shared" si="9"/>
        <v>#REF!</v>
      </c>
    </row>
    <row r="150" spans="1:9" s="887" customFormat="1" ht="105" x14ac:dyDescent="0.2">
      <c r="A150" s="44">
        <v>99</v>
      </c>
      <c r="B150" s="884" t="s">
        <v>135</v>
      </c>
      <c r="C150" s="37">
        <v>1</v>
      </c>
      <c r="D150" s="13">
        <v>37</v>
      </c>
      <c r="E150" s="25">
        <v>24422.65</v>
      </c>
      <c r="F150" s="15">
        <f t="shared" si="11"/>
        <v>903638.05</v>
      </c>
      <c r="G150" s="877" t="e">
        <f>#REF!*37</f>
        <v>#REF!</v>
      </c>
      <c r="H150" s="877" t="e">
        <f t="shared" si="9"/>
        <v>#REF!</v>
      </c>
    </row>
    <row r="151" spans="1:9" s="887" customFormat="1" ht="60" x14ac:dyDescent="0.2">
      <c r="A151" s="44">
        <v>100</v>
      </c>
      <c r="B151" s="884" t="s">
        <v>136</v>
      </c>
      <c r="C151" s="37">
        <v>1</v>
      </c>
      <c r="D151" s="13">
        <v>222</v>
      </c>
      <c r="E151" s="25">
        <v>1453.75</v>
      </c>
      <c r="F151" s="15">
        <f t="shared" si="11"/>
        <v>322732.5</v>
      </c>
      <c r="G151" s="877" t="e">
        <f>#REF!*37</f>
        <v>#REF!</v>
      </c>
      <c r="H151" s="877" t="e">
        <f t="shared" si="9"/>
        <v>#REF!</v>
      </c>
    </row>
    <row r="152" spans="1:9" ht="90" x14ac:dyDescent="0.2">
      <c r="A152" s="44">
        <v>101</v>
      </c>
      <c r="B152" s="884" t="s">
        <v>137</v>
      </c>
      <c r="C152" s="37">
        <v>1</v>
      </c>
      <c r="D152" s="13">
        <v>74</v>
      </c>
      <c r="E152" s="25">
        <v>13796.3</v>
      </c>
      <c r="F152" s="15">
        <f t="shared" si="11"/>
        <v>1020926.2</v>
      </c>
      <c r="G152" s="877" t="e">
        <f>#REF!*37</f>
        <v>#REF!</v>
      </c>
      <c r="H152" s="877" t="e">
        <f t="shared" si="9"/>
        <v>#REF!</v>
      </c>
    </row>
    <row r="153" spans="1:9" ht="90" x14ac:dyDescent="0.2">
      <c r="A153" s="44">
        <v>102</v>
      </c>
      <c r="B153" s="884" t="s">
        <v>138</v>
      </c>
      <c r="C153" s="37">
        <v>1</v>
      </c>
      <c r="D153" s="13">
        <v>37</v>
      </c>
      <c r="E153" s="25">
        <v>19859.400000000001</v>
      </c>
      <c r="F153" s="15">
        <f t="shared" si="11"/>
        <v>734797.8</v>
      </c>
      <c r="G153" s="877" t="e">
        <f>#REF!*37</f>
        <v>#REF!</v>
      </c>
      <c r="H153" s="877" t="e">
        <f t="shared" si="9"/>
        <v>#REF!</v>
      </c>
    </row>
    <row r="154" spans="1:9" ht="45" x14ac:dyDescent="0.2">
      <c r="A154" s="44">
        <v>103</v>
      </c>
      <c r="B154" s="884" t="s">
        <v>139</v>
      </c>
      <c r="C154" s="37">
        <v>1</v>
      </c>
      <c r="D154" s="13">
        <v>707</v>
      </c>
      <c r="E154" s="25">
        <v>1995.3</v>
      </c>
      <c r="F154" s="15">
        <f t="shared" si="11"/>
        <v>1410677.0999999999</v>
      </c>
      <c r="G154" s="877" t="e">
        <f>#REF!*37</f>
        <v>#REF!</v>
      </c>
      <c r="H154" s="877" t="e">
        <f t="shared" si="9"/>
        <v>#REF!</v>
      </c>
      <c r="I154" s="882"/>
    </row>
    <row r="155" spans="1:9" x14ac:dyDescent="0.2">
      <c r="A155" s="44">
        <v>104</v>
      </c>
      <c r="B155" s="884" t="s">
        <v>140</v>
      </c>
      <c r="C155" s="37">
        <v>1</v>
      </c>
      <c r="D155" s="13">
        <v>111</v>
      </c>
      <c r="E155" s="25">
        <v>178.75</v>
      </c>
      <c r="F155" s="15">
        <f t="shared" si="11"/>
        <v>19841.25</v>
      </c>
      <c r="G155" s="877" t="e">
        <f>#REF!*37</f>
        <v>#REF!</v>
      </c>
      <c r="H155" s="877" t="e">
        <f t="shared" si="9"/>
        <v>#REF!</v>
      </c>
    </row>
    <row r="156" spans="1:9" s="887" customFormat="1" ht="45" x14ac:dyDescent="0.2">
      <c r="A156" s="44">
        <v>105</v>
      </c>
      <c r="B156" s="884" t="s">
        <v>171</v>
      </c>
      <c r="C156" s="19">
        <v>100</v>
      </c>
      <c r="D156" s="13">
        <v>5447.5326000000005</v>
      </c>
      <c r="E156" s="14">
        <v>13179.6</v>
      </c>
      <c r="F156" s="15">
        <f t="shared" si="11"/>
        <v>717963.00654960005</v>
      </c>
    </row>
    <row r="157" spans="1:9" s="887" customFormat="1" ht="105" x14ac:dyDescent="0.2">
      <c r="A157" s="44">
        <v>106</v>
      </c>
      <c r="B157" s="884" t="s">
        <v>172</v>
      </c>
      <c r="C157" s="22">
        <v>1</v>
      </c>
      <c r="D157" s="13">
        <v>1983.6000000000001</v>
      </c>
      <c r="E157" s="14">
        <v>2180.6999999999998</v>
      </c>
      <c r="F157" s="15">
        <f t="shared" si="11"/>
        <v>4325636.5199999996</v>
      </c>
    </row>
    <row r="158" spans="1:9" s="887" customFormat="1" ht="30" x14ac:dyDescent="0.2">
      <c r="A158" s="44">
        <v>107</v>
      </c>
      <c r="B158" s="884" t="s">
        <v>173</v>
      </c>
      <c r="C158" s="19">
        <v>1</v>
      </c>
      <c r="D158" s="13">
        <v>908</v>
      </c>
      <c r="E158" s="14">
        <v>2767</v>
      </c>
      <c r="F158" s="15">
        <f t="shared" si="11"/>
        <v>2512436</v>
      </c>
    </row>
    <row r="159" spans="1:9" s="887" customFormat="1" x14ac:dyDescent="0.2">
      <c r="A159" s="44">
        <v>108</v>
      </c>
      <c r="B159" s="884" t="s">
        <v>174</v>
      </c>
      <c r="C159" s="19">
        <v>100</v>
      </c>
      <c r="D159" s="13">
        <v>19399.646999999997</v>
      </c>
      <c r="E159" s="25">
        <v>1212.3499999999999</v>
      </c>
      <c r="F159" s="15">
        <f t="shared" si="11"/>
        <v>235191.62040449996</v>
      </c>
    </row>
    <row r="160" spans="1:9" s="887" customFormat="1" ht="30" x14ac:dyDescent="0.2">
      <c r="A160" s="44">
        <v>109</v>
      </c>
      <c r="B160" s="884" t="s">
        <v>175</v>
      </c>
      <c r="C160" s="37">
        <v>1</v>
      </c>
      <c r="D160" s="13">
        <v>369</v>
      </c>
      <c r="E160" s="25">
        <v>680.75</v>
      </c>
      <c r="F160" s="15">
        <f t="shared" si="11"/>
        <v>251196.75</v>
      </c>
    </row>
    <row r="161" spans="1:9" s="887" customFormat="1" ht="45" x14ac:dyDescent="0.2">
      <c r="A161" s="44">
        <v>110</v>
      </c>
      <c r="B161" s="884" t="s">
        <v>190</v>
      </c>
      <c r="C161" s="36">
        <v>1</v>
      </c>
      <c r="D161" s="13">
        <v>111.86</v>
      </c>
      <c r="E161" s="25">
        <v>1125.2</v>
      </c>
      <c r="F161" s="15">
        <f t="shared" si="11"/>
        <v>125864.872</v>
      </c>
    </row>
    <row r="162" spans="1:9" s="887" customFormat="1" x14ac:dyDescent="0.2">
      <c r="A162" s="44">
        <v>111</v>
      </c>
      <c r="B162" s="884" t="s">
        <v>176</v>
      </c>
      <c r="C162" s="19">
        <v>1</v>
      </c>
      <c r="D162" s="13">
        <v>2800</v>
      </c>
      <c r="E162" s="25">
        <v>603</v>
      </c>
      <c r="F162" s="15">
        <f t="shared" si="11"/>
        <v>1688400</v>
      </c>
    </row>
    <row r="163" spans="1:9" s="887" customFormat="1" ht="45" x14ac:dyDescent="0.2">
      <c r="A163" s="44">
        <v>112</v>
      </c>
      <c r="B163" s="884" t="s">
        <v>177</v>
      </c>
      <c r="C163" s="19">
        <v>1</v>
      </c>
      <c r="D163" s="13">
        <v>9477.0586000000003</v>
      </c>
      <c r="E163" s="25">
        <v>205.4</v>
      </c>
      <c r="F163" s="15">
        <f t="shared" si="11"/>
        <v>1946587.8364400002</v>
      </c>
    </row>
    <row r="164" spans="1:9" s="887" customFormat="1" x14ac:dyDescent="0.2">
      <c r="A164" s="44">
        <v>113</v>
      </c>
      <c r="B164" s="884" t="s">
        <v>178</v>
      </c>
      <c r="C164" s="12">
        <v>100</v>
      </c>
      <c r="D164" s="13">
        <v>2287.9699999999998</v>
      </c>
      <c r="E164" s="25">
        <v>18017.599999999999</v>
      </c>
      <c r="F164" s="15">
        <f t="shared" si="11"/>
        <v>412237.2827199999</v>
      </c>
    </row>
    <row r="165" spans="1:9" s="887" customFormat="1" ht="60" x14ac:dyDescent="0.2">
      <c r="A165" s="44">
        <v>114</v>
      </c>
      <c r="B165" s="884" t="s">
        <v>179</v>
      </c>
      <c r="C165" s="19">
        <v>100</v>
      </c>
      <c r="D165" s="13">
        <v>5447.5326000000005</v>
      </c>
      <c r="E165" s="25">
        <v>29658.5</v>
      </c>
      <c r="F165" s="15">
        <f t="shared" si="11"/>
        <v>1615656.4561709999</v>
      </c>
    </row>
    <row r="166" spans="1:9" s="887" customFormat="1" ht="60" x14ac:dyDescent="0.2">
      <c r="A166" s="44">
        <v>115</v>
      </c>
      <c r="B166" s="884" t="s">
        <v>180</v>
      </c>
      <c r="C166" s="19">
        <v>100</v>
      </c>
      <c r="D166" s="13">
        <v>385.13000000000005</v>
      </c>
      <c r="E166" s="25">
        <v>19146.849999999999</v>
      </c>
      <c r="F166" s="15">
        <f t="shared" si="11"/>
        <v>73740.263405000005</v>
      </c>
    </row>
    <row r="167" spans="1:9" s="887" customFormat="1" ht="30" x14ac:dyDescent="0.2">
      <c r="A167" s="44">
        <v>116</v>
      </c>
      <c r="B167" s="884" t="s">
        <v>181</v>
      </c>
      <c r="C167" s="36">
        <v>1</v>
      </c>
      <c r="D167" s="13">
        <v>2922.31</v>
      </c>
      <c r="E167" s="25">
        <v>39.6</v>
      </c>
      <c r="F167" s="15">
        <f t="shared" si="11"/>
        <v>115723.476</v>
      </c>
    </row>
    <row r="168" spans="1:9" s="887" customFormat="1" x14ac:dyDescent="0.2">
      <c r="A168" s="44">
        <v>117</v>
      </c>
      <c r="B168" s="884" t="s">
        <v>183</v>
      </c>
      <c r="C168" s="38">
        <v>1</v>
      </c>
      <c r="D168" s="13">
        <v>596</v>
      </c>
      <c r="E168" s="25">
        <v>178.75</v>
      </c>
      <c r="F168" s="15">
        <f t="shared" si="11"/>
        <v>106535</v>
      </c>
      <c r="I168" s="894"/>
    </row>
    <row r="169" spans="1:9" s="887" customFormat="1" ht="60.75" x14ac:dyDescent="0.2">
      <c r="A169" s="44">
        <v>118</v>
      </c>
      <c r="B169" s="884" t="s">
        <v>184</v>
      </c>
      <c r="C169" s="37">
        <v>1</v>
      </c>
      <c r="D169" s="13">
        <v>5</v>
      </c>
      <c r="E169" s="25">
        <v>5616.25</v>
      </c>
      <c r="F169" s="15">
        <f t="shared" si="11"/>
        <v>28081.25</v>
      </c>
    </row>
    <row r="170" spans="1:9" s="887" customFormat="1" ht="60.75" x14ac:dyDescent="0.2">
      <c r="A170" s="44">
        <v>119</v>
      </c>
      <c r="B170" s="884" t="s">
        <v>185</v>
      </c>
      <c r="C170" s="37">
        <v>1</v>
      </c>
      <c r="D170" s="13">
        <v>29</v>
      </c>
      <c r="E170" s="25">
        <v>1453.75</v>
      </c>
      <c r="F170" s="15">
        <f t="shared" si="11"/>
        <v>42158.75</v>
      </c>
    </row>
    <row r="171" spans="1:9" s="887" customFormat="1" ht="45" x14ac:dyDescent="0.2">
      <c r="A171" s="44">
        <v>120</v>
      </c>
      <c r="B171" s="884" t="s">
        <v>186</v>
      </c>
      <c r="C171" s="38">
        <v>1</v>
      </c>
      <c r="D171" s="13">
        <v>34</v>
      </c>
      <c r="E171" s="25">
        <v>11398.45</v>
      </c>
      <c r="F171" s="15">
        <f t="shared" si="11"/>
        <v>387547.30000000005</v>
      </c>
    </row>
    <row r="172" spans="1:9" s="887" customFormat="1" x14ac:dyDescent="0.2">
      <c r="A172" s="120">
        <v>121</v>
      </c>
      <c r="B172" s="905" t="s">
        <v>58</v>
      </c>
      <c r="C172" s="12">
        <v>1000</v>
      </c>
      <c r="D172" s="13">
        <v>58871.790000000008</v>
      </c>
      <c r="E172" s="25">
        <v>10533.6</v>
      </c>
      <c r="F172" s="15">
        <f t="shared" si="11"/>
        <v>620131.88714400004</v>
      </c>
    </row>
    <row r="173" spans="1:9" s="887" customFormat="1" ht="30" x14ac:dyDescent="0.2">
      <c r="A173" s="120">
        <v>122</v>
      </c>
      <c r="B173" s="905" t="s">
        <v>194</v>
      </c>
      <c r="C173" s="12">
        <v>1000</v>
      </c>
      <c r="D173" s="13">
        <v>58871.790000000008</v>
      </c>
      <c r="E173" s="25">
        <v>1437.5</v>
      </c>
      <c r="F173" s="15">
        <f t="shared" si="11"/>
        <v>84628.19812500001</v>
      </c>
    </row>
    <row r="174" spans="1:9" s="887" customFormat="1" ht="30" x14ac:dyDescent="0.2">
      <c r="A174" s="993">
        <v>123</v>
      </c>
      <c r="B174" s="905" t="s">
        <v>195</v>
      </c>
      <c r="C174" s="12">
        <v>1000</v>
      </c>
      <c r="D174" s="13">
        <v>14550.010000000002</v>
      </c>
      <c r="E174" s="25">
        <v>5033.7</v>
      </c>
      <c r="F174" s="15">
        <f t="shared" si="11"/>
        <v>73240.385337000014</v>
      </c>
    </row>
    <row r="175" spans="1:9" s="887" customFormat="1" x14ac:dyDescent="0.2">
      <c r="A175" s="994"/>
      <c r="B175" s="905" t="s">
        <v>196</v>
      </c>
      <c r="C175" s="43"/>
      <c r="D175" s="13">
        <v>0</v>
      </c>
      <c r="E175" s="43"/>
      <c r="F175" s="43"/>
    </row>
    <row r="176" spans="1:9" s="887" customFormat="1" x14ac:dyDescent="0.2">
      <c r="A176" s="994"/>
      <c r="B176" s="905" t="s">
        <v>197</v>
      </c>
      <c r="C176" s="19">
        <v>100</v>
      </c>
      <c r="D176" s="13">
        <v>2500</v>
      </c>
      <c r="E176" s="14">
        <v>6512.05</v>
      </c>
      <c r="F176" s="15">
        <f>E176*D176/C176</f>
        <v>162801.25</v>
      </c>
    </row>
    <row r="177" spans="1:9" s="887" customFormat="1" x14ac:dyDescent="0.2">
      <c r="A177" s="995"/>
      <c r="B177" s="905" t="s">
        <v>198</v>
      </c>
      <c r="C177" s="19">
        <v>100</v>
      </c>
      <c r="D177" s="13">
        <v>3876</v>
      </c>
      <c r="E177" s="14">
        <v>7363.45</v>
      </c>
      <c r="F177" s="15">
        <f>E177*D177/C177</f>
        <v>285407.32199999999</v>
      </c>
    </row>
    <row r="178" spans="1:9" s="887" customFormat="1" x14ac:dyDescent="0.2">
      <c r="A178" s="993">
        <v>124</v>
      </c>
      <c r="B178" s="905" t="s">
        <v>199</v>
      </c>
      <c r="C178" s="43"/>
      <c r="D178" s="13">
        <v>0</v>
      </c>
      <c r="E178" s="43"/>
      <c r="F178" s="43"/>
    </row>
    <row r="179" spans="1:9" s="887" customFormat="1" x14ac:dyDescent="0.2">
      <c r="A179" s="994"/>
      <c r="B179" s="905" t="s">
        <v>200</v>
      </c>
      <c r="C179" s="12">
        <v>100</v>
      </c>
      <c r="D179" s="13">
        <v>856.25</v>
      </c>
      <c r="E179" s="13">
        <v>49016.9</v>
      </c>
      <c r="F179" s="15">
        <f>E179*D179/C179</f>
        <v>419707.20624999999</v>
      </c>
    </row>
    <row r="180" spans="1:9" s="887" customFormat="1" x14ac:dyDescent="0.2">
      <c r="A180" s="995"/>
      <c r="B180" s="905" t="s">
        <v>201</v>
      </c>
      <c r="C180" s="12">
        <v>100</v>
      </c>
      <c r="D180" s="13">
        <v>1327.53</v>
      </c>
      <c r="E180" s="13">
        <v>51301.8</v>
      </c>
      <c r="F180" s="15">
        <f>E180*D180/C180</f>
        <v>681046.78554000007</v>
      </c>
    </row>
    <row r="181" spans="1:9" s="887" customFormat="1" ht="30" x14ac:dyDescent="0.2">
      <c r="A181" s="120">
        <v>125</v>
      </c>
      <c r="B181" s="905" t="s">
        <v>202</v>
      </c>
      <c r="C181" s="36">
        <v>1</v>
      </c>
      <c r="D181" s="13">
        <v>637.6</v>
      </c>
      <c r="E181" s="14">
        <v>17.3</v>
      </c>
      <c r="F181" s="15">
        <f>E181*D181/C181</f>
        <v>11030.480000000001</v>
      </c>
    </row>
    <row r="182" spans="1:9" s="887" customFormat="1" x14ac:dyDescent="0.2">
      <c r="A182" s="120">
        <v>126</v>
      </c>
      <c r="B182" s="905" t="s">
        <v>203</v>
      </c>
      <c r="C182" s="19">
        <v>100</v>
      </c>
      <c r="D182" s="13">
        <v>318.8</v>
      </c>
      <c r="E182" s="25">
        <v>1539.8</v>
      </c>
      <c r="F182" s="15">
        <f>E182*D182/C182</f>
        <v>4908.8823999999995</v>
      </c>
    </row>
    <row r="183" spans="1:9" s="887" customFormat="1" ht="45.75" x14ac:dyDescent="0.2">
      <c r="A183" s="118">
        <v>127</v>
      </c>
      <c r="B183" s="884" t="s">
        <v>204</v>
      </c>
      <c r="C183" s="12">
        <v>1000</v>
      </c>
      <c r="D183" s="13">
        <v>46483.393100000008</v>
      </c>
      <c r="E183" s="14">
        <v>15824.15</v>
      </c>
      <c r="F183" s="15">
        <f>E183*D183/C183</f>
        <v>735560.18492336513</v>
      </c>
      <c r="G183" s="894">
        <f>SUM(F183:F185)</f>
        <v>1507963.2006953652</v>
      </c>
      <c r="H183" s="887">
        <v>31715324</v>
      </c>
      <c r="I183" s="877">
        <f>H183-G183</f>
        <v>30207360.799304634</v>
      </c>
    </row>
    <row r="184" spans="1:9" s="887" customFormat="1" ht="75" x14ac:dyDescent="0.2">
      <c r="A184" s="44">
        <v>128</v>
      </c>
      <c r="B184" s="884" t="s">
        <v>85</v>
      </c>
      <c r="C184" s="20"/>
      <c r="D184" s="13">
        <v>0</v>
      </c>
      <c r="E184" s="20"/>
      <c r="F184" s="20"/>
    </row>
    <row r="185" spans="1:9" s="887" customFormat="1" x14ac:dyDescent="0.2">
      <c r="A185" s="44">
        <v>129</v>
      </c>
      <c r="B185" s="883" t="s">
        <v>206</v>
      </c>
      <c r="C185" s="12">
        <v>100</v>
      </c>
      <c r="D185" s="13">
        <v>11277.602800000002</v>
      </c>
      <c r="E185" s="25">
        <v>6849</v>
      </c>
      <c r="F185" s="15">
        <f t="shared" ref="F185:F195" si="12">E185*D185/C185</f>
        <v>772403.01577200007</v>
      </c>
    </row>
    <row r="186" spans="1:9" ht="45.75" x14ac:dyDescent="0.2">
      <c r="A186" s="118">
        <v>130</v>
      </c>
      <c r="B186" s="884" t="s">
        <v>301</v>
      </c>
      <c r="C186" s="12">
        <v>1000</v>
      </c>
      <c r="D186" s="13">
        <v>72531.663749999992</v>
      </c>
      <c r="E186" s="14">
        <v>15824.15</v>
      </c>
      <c r="F186" s="15">
        <f t="shared" si="12"/>
        <v>1147751.9269295624</v>
      </c>
      <c r="G186" s="882">
        <f>SUM(F186:F222)</f>
        <v>80212234.679585844</v>
      </c>
    </row>
    <row r="187" spans="1:9" x14ac:dyDescent="0.2">
      <c r="A187" s="118">
        <v>131</v>
      </c>
      <c r="B187" s="884" t="s">
        <v>302</v>
      </c>
      <c r="C187" s="19">
        <v>1</v>
      </c>
      <c r="D187" s="13">
        <v>88776.1875</v>
      </c>
      <c r="E187" s="25">
        <v>12.55</v>
      </c>
      <c r="F187" s="15">
        <f t="shared" si="12"/>
        <v>1114141.153125</v>
      </c>
    </row>
    <row r="188" spans="1:9" ht="30" x14ac:dyDescent="0.2">
      <c r="A188" s="44">
        <v>132</v>
      </c>
      <c r="B188" s="884" t="s">
        <v>303</v>
      </c>
      <c r="C188" s="12">
        <v>100</v>
      </c>
      <c r="D188" s="13">
        <v>47794.11</v>
      </c>
      <c r="E188" s="14">
        <v>35830.6</v>
      </c>
      <c r="F188" s="15">
        <f t="shared" si="12"/>
        <v>17124916.377659999</v>
      </c>
    </row>
    <row r="189" spans="1:9" s="887" customFormat="1" ht="135.75" x14ac:dyDescent="0.2">
      <c r="A189" s="122">
        <v>133</v>
      </c>
      <c r="B189" s="884" t="s">
        <v>304</v>
      </c>
      <c r="C189" s="12">
        <v>1</v>
      </c>
      <c r="D189" s="13">
        <v>21724.43</v>
      </c>
      <c r="E189" s="14">
        <v>741.85</v>
      </c>
      <c r="F189" s="15">
        <f t="shared" si="12"/>
        <v>16116268.395500001</v>
      </c>
    </row>
    <row r="190" spans="1:9" s="887" customFormat="1" ht="120" x14ac:dyDescent="0.2">
      <c r="A190" s="44">
        <v>134</v>
      </c>
      <c r="B190" s="884" t="s">
        <v>99</v>
      </c>
      <c r="C190" s="19">
        <v>1</v>
      </c>
      <c r="D190" s="13">
        <v>3276</v>
      </c>
      <c r="E190" s="14">
        <v>2180.6999999999998</v>
      </c>
      <c r="F190" s="15">
        <f t="shared" si="12"/>
        <v>7143973.1999999993</v>
      </c>
    </row>
    <row r="191" spans="1:9" s="887" customFormat="1" ht="60" x14ac:dyDescent="0.2">
      <c r="A191" s="44">
        <v>135</v>
      </c>
      <c r="B191" s="884" t="s">
        <v>305</v>
      </c>
      <c r="C191" s="19">
        <v>1</v>
      </c>
      <c r="D191" s="13">
        <v>3822</v>
      </c>
      <c r="E191" s="14">
        <v>638.85</v>
      </c>
      <c r="F191" s="15">
        <f t="shared" si="12"/>
        <v>2441684.7000000002</v>
      </c>
    </row>
    <row r="192" spans="1:9" s="887" customFormat="1" ht="45" x14ac:dyDescent="0.2">
      <c r="A192" s="118">
        <v>136</v>
      </c>
      <c r="B192" s="884" t="s">
        <v>102</v>
      </c>
      <c r="C192" s="19">
        <v>100</v>
      </c>
      <c r="D192" s="13">
        <v>33854.84375</v>
      </c>
      <c r="E192" s="14">
        <v>13179.6</v>
      </c>
      <c r="F192" s="15">
        <f t="shared" si="12"/>
        <v>4461932.9868750004</v>
      </c>
    </row>
    <row r="193" spans="1:6" s="887" customFormat="1" ht="60" x14ac:dyDescent="0.2">
      <c r="A193" s="118">
        <v>137</v>
      </c>
      <c r="B193" s="884" t="s">
        <v>179</v>
      </c>
      <c r="C193" s="19">
        <v>100</v>
      </c>
      <c r="D193" s="13">
        <v>22325.37125</v>
      </c>
      <c r="E193" s="25">
        <v>29658.5</v>
      </c>
      <c r="F193" s="15">
        <f t="shared" si="12"/>
        <v>6621370.2321812501</v>
      </c>
    </row>
    <row r="194" spans="1:6" s="887" customFormat="1" ht="45" x14ac:dyDescent="0.2">
      <c r="A194" s="118">
        <v>138</v>
      </c>
      <c r="B194" s="884" t="s">
        <v>500</v>
      </c>
      <c r="C194" s="19">
        <v>100</v>
      </c>
      <c r="D194" s="13">
        <v>14054.039999999999</v>
      </c>
      <c r="E194" s="25">
        <v>19146.849999999999</v>
      </c>
      <c r="F194" s="15">
        <f t="shared" si="12"/>
        <v>2690905.95774</v>
      </c>
    </row>
    <row r="195" spans="1:6" s="887" customFormat="1" ht="30" x14ac:dyDescent="0.2">
      <c r="A195" s="118">
        <v>139</v>
      </c>
      <c r="B195" s="884" t="s">
        <v>501</v>
      </c>
      <c r="C195" s="36">
        <v>1</v>
      </c>
      <c r="D195" s="13">
        <v>22750</v>
      </c>
      <c r="E195" s="25">
        <v>39.6</v>
      </c>
      <c r="F195" s="15">
        <f t="shared" si="12"/>
        <v>900900</v>
      </c>
    </row>
    <row r="196" spans="1:6" s="887" customFormat="1" ht="30" x14ac:dyDescent="0.2">
      <c r="A196" s="44">
        <v>140</v>
      </c>
      <c r="B196" s="876" t="s">
        <v>106</v>
      </c>
      <c r="C196" s="20"/>
      <c r="D196" s="13">
        <v>0</v>
      </c>
      <c r="E196" s="20"/>
      <c r="F196" s="20"/>
    </row>
    <row r="197" spans="1:6" s="887" customFormat="1" ht="30" x14ac:dyDescent="0.2">
      <c r="A197" s="44">
        <v>141</v>
      </c>
      <c r="B197" s="884" t="s">
        <v>162</v>
      </c>
      <c r="C197" s="19">
        <v>100</v>
      </c>
      <c r="D197" s="13">
        <v>21116.55</v>
      </c>
      <c r="E197" s="25">
        <v>5264.65</v>
      </c>
      <c r="F197" s="15">
        <f t="shared" ref="F197:F203" si="13">E197*D197/C197</f>
        <v>1111712.449575</v>
      </c>
    </row>
    <row r="198" spans="1:6" s="887" customFormat="1" x14ac:dyDescent="0.2">
      <c r="A198" s="44">
        <v>142</v>
      </c>
      <c r="B198" s="884" t="s">
        <v>306</v>
      </c>
      <c r="C198" s="37">
        <v>1</v>
      </c>
      <c r="D198" s="13">
        <v>182</v>
      </c>
      <c r="E198" s="25">
        <v>656.85</v>
      </c>
      <c r="F198" s="15">
        <f t="shared" si="13"/>
        <v>119546.7</v>
      </c>
    </row>
    <row r="199" spans="1:6" s="887" customFormat="1" ht="30" x14ac:dyDescent="0.2">
      <c r="A199" s="44">
        <v>143</v>
      </c>
      <c r="B199" s="884" t="s">
        <v>308</v>
      </c>
      <c r="C199" s="38">
        <v>1</v>
      </c>
      <c r="D199" s="13">
        <v>91</v>
      </c>
      <c r="E199" s="25">
        <v>4105.05</v>
      </c>
      <c r="F199" s="15">
        <f t="shared" si="13"/>
        <v>373559.55</v>
      </c>
    </row>
    <row r="200" spans="1:6" s="887" customFormat="1" ht="30" x14ac:dyDescent="0.2">
      <c r="A200" s="44">
        <v>144</v>
      </c>
      <c r="B200" s="884" t="s">
        <v>309</v>
      </c>
      <c r="C200" s="38">
        <v>1</v>
      </c>
      <c r="D200" s="13">
        <v>273</v>
      </c>
      <c r="E200" s="25">
        <v>463.15</v>
      </c>
      <c r="F200" s="15">
        <f t="shared" si="13"/>
        <v>126439.95</v>
      </c>
    </row>
    <row r="201" spans="1:6" s="887" customFormat="1" x14ac:dyDescent="0.2">
      <c r="A201" s="44">
        <v>145</v>
      </c>
      <c r="B201" s="884" t="s">
        <v>310</v>
      </c>
      <c r="C201" s="38">
        <v>1</v>
      </c>
      <c r="D201" s="13">
        <v>364</v>
      </c>
      <c r="E201" s="25">
        <v>1639.2</v>
      </c>
      <c r="F201" s="15">
        <f t="shared" si="13"/>
        <v>596668.80000000005</v>
      </c>
    </row>
    <row r="202" spans="1:6" s="887" customFormat="1" ht="30" x14ac:dyDescent="0.2">
      <c r="A202" s="44">
        <v>146</v>
      </c>
      <c r="B202" s="884" t="s">
        <v>311</v>
      </c>
      <c r="C202" s="38">
        <v>1</v>
      </c>
      <c r="D202" s="13">
        <v>91</v>
      </c>
      <c r="E202" s="25">
        <v>8069.2</v>
      </c>
      <c r="F202" s="15">
        <f t="shared" si="13"/>
        <v>734297.2</v>
      </c>
    </row>
    <row r="203" spans="1:6" s="887" customFormat="1" x14ac:dyDescent="0.2">
      <c r="A203" s="44">
        <v>147</v>
      </c>
      <c r="B203" s="884" t="s">
        <v>312</v>
      </c>
      <c r="C203" s="37">
        <v>1</v>
      </c>
      <c r="D203" s="13">
        <v>364</v>
      </c>
      <c r="E203" s="25">
        <v>2374.25</v>
      </c>
      <c r="F203" s="15">
        <f t="shared" si="13"/>
        <v>864227</v>
      </c>
    </row>
    <row r="204" spans="1:6" s="887" customFormat="1" ht="90" x14ac:dyDescent="0.2">
      <c r="A204" s="44">
        <v>148</v>
      </c>
      <c r="B204" s="884" t="s">
        <v>313</v>
      </c>
      <c r="C204" s="20"/>
      <c r="D204" s="13">
        <v>0</v>
      </c>
      <c r="E204" s="20"/>
      <c r="F204" s="20"/>
    </row>
    <row r="205" spans="1:6" s="887" customFormat="1" x14ac:dyDescent="0.2">
      <c r="A205" s="44" t="s">
        <v>60</v>
      </c>
      <c r="B205" s="884" t="s">
        <v>314</v>
      </c>
      <c r="C205" s="36">
        <v>1</v>
      </c>
      <c r="D205" s="13">
        <v>9100</v>
      </c>
      <c r="E205" s="25">
        <v>62.95</v>
      </c>
      <c r="F205" s="15">
        <f>E205*D205/C205</f>
        <v>572845</v>
      </c>
    </row>
    <row r="206" spans="1:6" s="887" customFormat="1" x14ac:dyDescent="0.2">
      <c r="A206" s="44" t="s">
        <v>37</v>
      </c>
      <c r="B206" s="884" t="s">
        <v>315</v>
      </c>
      <c r="C206" s="36">
        <v>1</v>
      </c>
      <c r="D206" s="13">
        <v>4550</v>
      </c>
      <c r="E206" s="25">
        <v>87.1</v>
      </c>
      <c r="F206" s="15">
        <f>E206*D206/C206</f>
        <v>396305</v>
      </c>
    </row>
    <row r="207" spans="1:6" s="887" customFormat="1" ht="30" x14ac:dyDescent="0.2">
      <c r="A207" s="44">
        <v>149</v>
      </c>
      <c r="B207" s="884" t="s">
        <v>316</v>
      </c>
      <c r="C207" s="38">
        <v>1</v>
      </c>
      <c r="D207" s="13">
        <v>91</v>
      </c>
      <c r="E207" s="25">
        <v>1457.7</v>
      </c>
      <c r="F207" s="15">
        <f>E207*D207/C207</f>
        <v>132650.70000000001</v>
      </c>
    </row>
    <row r="208" spans="1:6" s="887" customFormat="1" ht="30" x14ac:dyDescent="0.2">
      <c r="A208" s="44">
        <v>150</v>
      </c>
      <c r="B208" s="884" t="s">
        <v>317</v>
      </c>
      <c r="C208" s="38">
        <v>1</v>
      </c>
      <c r="D208" s="13">
        <v>91</v>
      </c>
      <c r="E208" s="25">
        <v>15209.1</v>
      </c>
      <c r="F208" s="15">
        <f>E208*D208/C208</f>
        <v>1384028.1</v>
      </c>
    </row>
    <row r="209" spans="1:9" s="887" customFormat="1" x14ac:dyDescent="0.2">
      <c r="A209" s="987">
        <v>151</v>
      </c>
      <c r="B209" s="884" t="s">
        <v>318</v>
      </c>
      <c r="C209" s="25"/>
      <c r="D209" s="13">
        <v>0</v>
      </c>
      <c r="E209" s="25"/>
      <c r="F209" s="25"/>
    </row>
    <row r="210" spans="1:9" s="887" customFormat="1" x14ac:dyDescent="0.2">
      <c r="A210" s="988"/>
      <c r="B210" s="884" t="s">
        <v>319</v>
      </c>
      <c r="C210" s="38">
        <v>1</v>
      </c>
      <c r="D210" s="13">
        <v>91</v>
      </c>
      <c r="E210" s="25">
        <v>1380</v>
      </c>
      <c r="F210" s="15">
        <f t="shared" ref="F210:F254" si="14">E210*D210/C210</f>
        <v>125580</v>
      </c>
    </row>
    <row r="211" spans="1:9" s="887" customFormat="1" x14ac:dyDescent="0.2">
      <c r="A211" s="988"/>
      <c r="B211" s="884" t="s">
        <v>320</v>
      </c>
      <c r="C211" s="38">
        <v>1</v>
      </c>
      <c r="D211" s="13">
        <v>91</v>
      </c>
      <c r="E211" s="25">
        <v>1610</v>
      </c>
      <c r="F211" s="15">
        <f t="shared" si="14"/>
        <v>146510</v>
      </c>
    </row>
    <row r="212" spans="1:9" s="887" customFormat="1" x14ac:dyDescent="0.2">
      <c r="A212" s="989"/>
      <c r="B212" s="884" t="s">
        <v>321</v>
      </c>
      <c r="C212" s="38">
        <v>1</v>
      </c>
      <c r="D212" s="13">
        <v>91</v>
      </c>
      <c r="E212" s="25">
        <v>1035</v>
      </c>
      <c r="F212" s="15">
        <f t="shared" si="14"/>
        <v>94185</v>
      </c>
    </row>
    <row r="213" spans="1:9" s="887" customFormat="1" x14ac:dyDescent="0.2">
      <c r="A213" s="44">
        <v>152</v>
      </c>
      <c r="B213" s="884" t="s">
        <v>322</v>
      </c>
      <c r="C213" s="38">
        <v>1</v>
      </c>
      <c r="D213" s="13">
        <v>91</v>
      </c>
      <c r="E213" s="25">
        <v>1999.2</v>
      </c>
      <c r="F213" s="15">
        <f t="shared" si="14"/>
        <v>181927.2</v>
      </c>
    </row>
    <row r="214" spans="1:9" s="887" customFormat="1" x14ac:dyDescent="0.2">
      <c r="A214" s="44">
        <v>153</v>
      </c>
      <c r="B214" s="884" t="s">
        <v>133</v>
      </c>
      <c r="C214" s="38">
        <v>1</v>
      </c>
      <c r="D214" s="13">
        <v>256</v>
      </c>
      <c r="E214" s="25">
        <v>204.7</v>
      </c>
      <c r="F214" s="15">
        <f t="shared" si="14"/>
        <v>52403.199999999997</v>
      </c>
      <c r="G214" s="877" t="e">
        <f>#REF!*37</f>
        <v>#REF!</v>
      </c>
      <c r="H214" s="877" t="e">
        <f>D214-G214</f>
        <v>#REF!</v>
      </c>
      <c r="I214" s="894"/>
    </row>
    <row r="215" spans="1:9" s="887" customFormat="1" x14ac:dyDescent="0.2">
      <c r="A215" s="44">
        <v>154</v>
      </c>
      <c r="B215" s="884" t="s">
        <v>155</v>
      </c>
      <c r="C215" s="38">
        <v>1</v>
      </c>
      <c r="D215" s="13">
        <v>182</v>
      </c>
      <c r="E215" s="25">
        <v>213.1</v>
      </c>
      <c r="F215" s="15">
        <f t="shared" si="14"/>
        <v>38784.199999999997</v>
      </c>
    </row>
    <row r="216" spans="1:9" s="887" customFormat="1" ht="90" x14ac:dyDescent="0.2">
      <c r="A216" s="44">
        <v>155</v>
      </c>
      <c r="B216" s="884" t="s">
        <v>163</v>
      </c>
      <c r="C216" s="37">
        <v>1</v>
      </c>
      <c r="D216" s="13">
        <v>91</v>
      </c>
      <c r="E216" s="25">
        <v>24422.65</v>
      </c>
      <c r="F216" s="15">
        <f t="shared" si="14"/>
        <v>2222461.15</v>
      </c>
    </row>
    <row r="217" spans="1:9" s="887" customFormat="1" ht="60.75" x14ac:dyDescent="0.2">
      <c r="A217" s="44">
        <v>156</v>
      </c>
      <c r="B217" s="884" t="s">
        <v>184</v>
      </c>
      <c r="C217" s="37">
        <v>1</v>
      </c>
      <c r="D217" s="13">
        <v>91</v>
      </c>
      <c r="E217" s="25">
        <v>5616.25</v>
      </c>
      <c r="F217" s="15">
        <f t="shared" si="14"/>
        <v>511078.75</v>
      </c>
    </row>
    <row r="218" spans="1:9" s="887" customFormat="1" ht="60.75" x14ac:dyDescent="0.2">
      <c r="A218" s="44">
        <v>157</v>
      </c>
      <c r="B218" s="884" t="s">
        <v>185</v>
      </c>
      <c r="C218" s="37">
        <v>1</v>
      </c>
      <c r="D218" s="13">
        <v>364</v>
      </c>
      <c r="E218" s="25">
        <v>1453.75</v>
      </c>
      <c r="F218" s="15">
        <f t="shared" si="14"/>
        <v>529165</v>
      </c>
    </row>
    <row r="219" spans="1:9" s="887" customFormat="1" x14ac:dyDescent="0.2">
      <c r="A219" s="44">
        <v>158</v>
      </c>
      <c r="B219" s="884" t="s">
        <v>323</v>
      </c>
      <c r="C219" s="38">
        <v>1</v>
      </c>
      <c r="D219" s="13">
        <v>91</v>
      </c>
      <c r="E219" s="25">
        <v>83.75</v>
      </c>
      <c r="F219" s="15">
        <f t="shared" si="14"/>
        <v>7621.25</v>
      </c>
    </row>
    <row r="220" spans="1:9" s="887" customFormat="1" ht="45" x14ac:dyDescent="0.2">
      <c r="A220" s="44">
        <v>159</v>
      </c>
      <c r="B220" s="884" t="s">
        <v>324</v>
      </c>
      <c r="C220" s="38">
        <v>1</v>
      </c>
      <c r="D220" s="13">
        <v>91</v>
      </c>
      <c r="E220" s="25">
        <v>10815.4</v>
      </c>
      <c r="F220" s="15">
        <f t="shared" si="14"/>
        <v>984201.4</v>
      </c>
    </row>
    <row r="221" spans="1:9" s="887" customFormat="1" ht="45" x14ac:dyDescent="0.2">
      <c r="A221" s="44">
        <v>160</v>
      </c>
      <c r="B221" s="884" t="s">
        <v>325</v>
      </c>
      <c r="C221" s="38">
        <v>1</v>
      </c>
      <c r="D221" s="13">
        <v>91</v>
      </c>
      <c r="E221" s="25">
        <v>663.65</v>
      </c>
      <c r="F221" s="15">
        <f t="shared" si="14"/>
        <v>60392.15</v>
      </c>
    </row>
    <row r="222" spans="1:9" ht="30" x14ac:dyDescent="0.2">
      <c r="A222" s="44">
        <v>161</v>
      </c>
      <c r="B222" s="884" t="s">
        <v>326</v>
      </c>
      <c r="C222" s="38">
        <v>1</v>
      </c>
      <c r="D222" s="13">
        <v>91</v>
      </c>
      <c r="E222" s="25">
        <v>99800</v>
      </c>
      <c r="F222" s="15">
        <f t="shared" si="14"/>
        <v>9081800</v>
      </c>
    </row>
    <row r="223" spans="1:9" s="891" customFormat="1" x14ac:dyDescent="0.2">
      <c r="A223" s="44">
        <v>162</v>
      </c>
      <c r="B223" s="888" t="s">
        <v>210</v>
      </c>
      <c r="C223" s="910">
        <v>1</v>
      </c>
      <c r="D223" s="13">
        <v>25</v>
      </c>
      <c r="E223" s="911">
        <v>71344</v>
      </c>
      <c r="F223" s="105">
        <f t="shared" si="14"/>
        <v>1783600</v>
      </c>
    </row>
    <row r="224" spans="1:9" s="891" customFormat="1" x14ac:dyDescent="0.2">
      <c r="A224" s="44">
        <v>163</v>
      </c>
      <c r="B224" s="888" t="s">
        <v>211</v>
      </c>
      <c r="C224" s="910">
        <v>1</v>
      </c>
      <c r="D224" s="13">
        <v>700</v>
      </c>
      <c r="E224" s="911">
        <v>71680</v>
      </c>
      <c r="F224" s="15">
        <f t="shared" si="14"/>
        <v>50176000</v>
      </c>
    </row>
    <row r="225" spans="1:9" s="891" customFormat="1" x14ac:dyDescent="0.2">
      <c r="A225" s="44">
        <v>164</v>
      </c>
      <c r="B225" s="888" t="s">
        <v>212</v>
      </c>
      <c r="C225" s="910">
        <v>1</v>
      </c>
      <c r="D225" s="13">
        <v>840</v>
      </c>
      <c r="E225" s="911">
        <v>5488</v>
      </c>
      <c r="F225" s="15">
        <f t="shared" si="14"/>
        <v>4609920</v>
      </c>
    </row>
    <row r="226" spans="1:9" s="891" customFormat="1" x14ac:dyDescent="0.2">
      <c r="A226" s="44">
        <v>165</v>
      </c>
      <c r="B226" s="888" t="s">
        <v>213</v>
      </c>
      <c r="C226" s="910">
        <v>1</v>
      </c>
      <c r="D226" s="13">
        <v>1760</v>
      </c>
      <c r="E226" s="911">
        <v>8333</v>
      </c>
      <c r="F226" s="15">
        <f t="shared" si="14"/>
        <v>14666080</v>
      </c>
    </row>
    <row r="227" spans="1:9" s="891" customFormat="1" x14ac:dyDescent="0.2">
      <c r="A227" s="44">
        <v>166</v>
      </c>
      <c r="B227" s="888" t="s">
        <v>214</v>
      </c>
      <c r="C227" s="910">
        <v>1</v>
      </c>
      <c r="D227" s="13">
        <v>1530</v>
      </c>
      <c r="E227" s="911">
        <v>4250</v>
      </c>
      <c r="F227" s="15">
        <f t="shared" si="14"/>
        <v>6502500</v>
      </c>
    </row>
    <row r="228" spans="1:9" s="891" customFormat="1" x14ac:dyDescent="0.2">
      <c r="A228" s="44">
        <v>167</v>
      </c>
      <c r="B228" s="888" t="s">
        <v>483</v>
      </c>
      <c r="C228" s="910">
        <v>1</v>
      </c>
      <c r="D228" s="13">
        <v>1200</v>
      </c>
      <c r="E228" s="911">
        <v>609</v>
      </c>
      <c r="F228" s="15">
        <f t="shared" si="14"/>
        <v>730800</v>
      </c>
    </row>
    <row r="229" spans="1:9" s="891" customFormat="1" x14ac:dyDescent="0.2">
      <c r="A229" s="44">
        <v>168</v>
      </c>
      <c r="B229" s="888" t="s">
        <v>216</v>
      </c>
      <c r="C229" s="910">
        <v>1</v>
      </c>
      <c r="D229" s="13">
        <f>65+2350</f>
        <v>2415</v>
      </c>
      <c r="E229" s="911">
        <v>1797</v>
      </c>
      <c r="F229" s="15">
        <f t="shared" si="14"/>
        <v>4339755</v>
      </c>
    </row>
    <row r="230" spans="1:9" s="891" customFormat="1" x14ac:dyDescent="0.2">
      <c r="A230" s="44">
        <v>169</v>
      </c>
      <c r="B230" s="888" t="s">
        <v>217</v>
      </c>
      <c r="C230" s="910">
        <v>1</v>
      </c>
      <c r="D230" s="13">
        <v>1000</v>
      </c>
      <c r="E230" s="911">
        <v>599</v>
      </c>
      <c r="F230" s="15">
        <f t="shared" si="14"/>
        <v>599000</v>
      </c>
      <c r="H230" s="891">
        <f>3390*245</f>
        <v>830550</v>
      </c>
      <c r="I230" s="891">
        <f>3390*246</f>
        <v>833940</v>
      </c>
    </row>
    <row r="231" spans="1:9" s="891" customFormat="1" x14ac:dyDescent="0.2">
      <c r="A231" s="44">
        <v>170</v>
      </c>
      <c r="B231" s="888" t="s">
        <v>218</v>
      </c>
      <c r="C231" s="910">
        <v>1</v>
      </c>
      <c r="D231" s="13">
        <v>700</v>
      </c>
      <c r="E231" s="911">
        <v>358</v>
      </c>
      <c r="F231" s="15">
        <f t="shared" si="14"/>
        <v>250600</v>
      </c>
    </row>
    <row r="232" spans="1:9" s="891" customFormat="1" x14ac:dyDescent="0.2">
      <c r="A232" s="44">
        <v>171</v>
      </c>
      <c r="B232" s="888" t="s">
        <v>219</v>
      </c>
      <c r="C232" s="910">
        <v>1</v>
      </c>
      <c r="D232" s="13">
        <v>500</v>
      </c>
      <c r="E232" s="911">
        <v>208</v>
      </c>
      <c r="F232" s="15">
        <f t="shared" si="14"/>
        <v>104000</v>
      </c>
    </row>
    <row r="233" spans="1:9" s="891" customFormat="1" x14ac:dyDescent="0.2">
      <c r="A233" s="44">
        <v>172</v>
      </c>
      <c r="B233" s="888" t="s">
        <v>220</v>
      </c>
      <c r="C233" s="910">
        <v>1</v>
      </c>
      <c r="D233" s="13">
        <v>500</v>
      </c>
      <c r="E233" s="911">
        <v>184</v>
      </c>
      <c r="F233" s="15">
        <f t="shared" si="14"/>
        <v>92000</v>
      </c>
    </row>
    <row r="234" spans="1:9" s="891" customFormat="1" x14ac:dyDescent="0.2">
      <c r="A234" s="44">
        <v>173</v>
      </c>
      <c r="B234" s="888" t="s">
        <v>221</v>
      </c>
      <c r="C234" s="910">
        <v>1</v>
      </c>
      <c r="D234" s="13">
        <v>200</v>
      </c>
      <c r="E234" s="911">
        <v>49</v>
      </c>
      <c r="F234" s="15">
        <f t="shared" si="14"/>
        <v>9800</v>
      </c>
    </row>
    <row r="235" spans="1:9" s="891" customFormat="1" x14ac:dyDescent="0.2">
      <c r="A235" s="44">
        <v>174</v>
      </c>
      <c r="B235" s="888" t="s">
        <v>222</v>
      </c>
      <c r="C235" s="910">
        <v>1</v>
      </c>
      <c r="D235" s="13">
        <v>150</v>
      </c>
      <c r="E235" s="911">
        <v>3935</v>
      </c>
      <c r="F235" s="15">
        <f t="shared" si="14"/>
        <v>590250</v>
      </c>
    </row>
    <row r="236" spans="1:9" s="891" customFormat="1" x14ac:dyDescent="0.2">
      <c r="A236" s="44">
        <v>175</v>
      </c>
      <c r="B236" s="888" t="s">
        <v>223</v>
      </c>
      <c r="C236" s="912">
        <v>1</v>
      </c>
      <c r="D236" s="13">
        <v>1870</v>
      </c>
      <c r="E236" s="911">
        <v>399</v>
      </c>
      <c r="F236" s="15">
        <f t="shared" si="14"/>
        <v>746130</v>
      </c>
    </row>
    <row r="237" spans="1:9" s="891" customFormat="1" x14ac:dyDescent="0.2">
      <c r="A237" s="44">
        <v>176</v>
      </c>
      <c r="B237" s="888" t="s">
        <v>224</v>
      </c>
      <c r="C237" s="910">
        <v>1</v>
      </c>
      <c r="D237" s="13">
        <f>58200+3390</f>
        <v>61590</v>
      </c>
      <c r="E237" s="911">
        <v>245</v>
      </c>
      <c r="F237" s="15">
        <f t="shared" si="14"/>
        <v>15089550</v>
      </c>
      <c r="G237" s="891">
        <f>SUM(F223:F237)</f>
        <v>100289985</v>
      </c>
    </row>
    <row r="238" spans="1:9" s="891" customFormat="1" x14ac:dyDescent="0.2">
      <c r="A238" s="44">
        <v>177</v>
      </c>
      <c r="B238" s="888" t="s">
        <v>225</v>
      </c>
      <c r="C238" s="910">
        <v>1</v>
      </c>
      <c r="D238" s="13">
        <v>2</v>
      </c>
      <c r="E238" s="911">
        <v>2189000</v>
      </c>
      <c r="F238" s="15">
        <f t="shared" si="14"/>
        <v>4378000</v>
      </c>
      <c r="G238" s="913">
        <f>SUM(F238:F250)</f>
        <v>43272829</v>
      </c>
    </row>
    <row r="239" spans="1:9" s="891" customFormat="1" x14ac:dyDescent="0.2">
      <c r="A239" s="44">
        <v>178</v>
      </c>
      <c r="B239" s="888" t="s">
        <v>226</v>
      </c>
      <c r="C239" s="910">
        <v>1</v>
      </c>
      <c r="D239" s="13">
        <v>5</v>
      </c>
      <c r="E239" s="911">
        <v>506760</v>
      </c>
      <c r="F239" s="15">
        <f t="shared" si="14"/>
        <v>2533800</v>
      </c>
    </row>
    <row r="240" spans="1:9" s="891" customFormat="1" x14ac:dyDescent="0.2">
      <c r="A240" s="44">
        <v>179</v>
      </c>
      <c r="B240" s="888" t="s">
        <v>227</v>
      </c>
      <c r="C240" s="910">
        <v>1</v>
      </c>
      <c r="D240" s="13">
        <v>5</v>
      </c>
      <c r="E240" s="911">
        <v>400567</v>
      </c>
      <c r="F240" s="15">
        <f t="shared" si="14"/>
        <v>2002835</v>
      </c>
    </row>
    <row r="241" spans="1:8" s="891" customFormat="1" x14ac:dyDescent="0.2">
      <c r="A241" s="44">
        <v>180</v>
      </c>
      <c r="B241" s="888" t="s">
        <v>228</v>
      </c>
      <c r="C241" s="910">
        <v>1</v>
      </c>
      <c r="D241" s="13">
        <v>46</v>
      </c>
      <c r="E241" s="911">
        <v>286340</v>
      </c>
      <c r="F241" s="15">
        <f t="shared" si="14"/>
        <v>13171640</v>
      </c>
    </row>
    <row r="242" spans="1:8" s="891" customFormat="1" x14ac:dyDescent="0.2">
      <c r="A242" s="44">
        <v>181</v>
      </c>
      <c r="B242" s="888" t="s">
        <v>229</v>
      </c>
      <c r="C242" s="910">
        <v>1</v>
      </c>
      <c r="D242" s="13">
        <v>60</v>
      </c>
      <c r="E242" s="911">
        <v>24290</v>
      </c>
      <c r="F242" s="15">
        <f t="shared" si="14"/>
        <v>1457400</v>
      </c>
    </row>
    <row r="243" spans="1:8" s="891" customFormat="1" x14ac:dyDescent="0.2">
      <c r="A243" s="44">
        <v>182</v>
      </c>
      <c r="B243" s="888" t="s">
        <v>230</v>
      </c>
      <c r="C243" s="910">
        <v>1</v>
      </c>
      <c r="D243" s="13">
        <v>1283</v>
      </c>
      <c r="E243" s="911">
        <v>198</v>
      </c>
      <c r="F243" s="15">
        <f t="shared" si="14"/>
        <v>254034</v>
      </c>
    </row>
    <row r="244" spans="1:8" s="891" customFormat="1" x14ac:dyDescent="0.2">
      <c r="A244" s="44">
        <v>183</v>
      </c>
      <c r="B244" s="888" t="s">
        <v>231</v>
      </c>
      <c r="C244" s="910">
        <v>1</v>
      </c>
      <c r="D244" s="13">
        <f>33+150</f>
        <v>183</v>
      </c>
      <c r="E244" s="911">
        <v>18250</v>
      </c>
      <c r="F244" s="15">
        <f t="shared" si="14"/>
        <v>3339750</v>
      </c>
      <c r="G244" s="891">
        <f>155000/198</f>
        <v>782.82828282828279</v>
      </c>
      <c r="H244" s="891">
        <f>500+783</f>
        <v>1283</v>
      </c>
    </row>
    <row r="245" spans="1:8" s="891" customFormat="1" x14ac:dyDescent="0.2">
      <c r="A245" s="44">
        <v>184</v>
      </c>
      <c r="B245" s="888" t="s">
        <v>232</v>
      </c>
      <c r="C245" s="910">
        <v>1</v>
      </c>
      <c r="D245" s="13">
        <v>50</v>
      </c>
      <c r="E245" s="911">
        <v>4770</v>
      </c>
      <c r="F245" s="15">
        <f t="shared" si="14"/>
        <v>238500</v>
      </c>
    </row>
    <row r="246" spans="1:8" s="891" customFormat="1" x14ac:dyDescent="0.2">
      <c r="A246" s="44">
        <v>185</v>
      </c>
      <c r="B246" s="888" t="s">
        <v>233</v>
      </c>
      <c r="C246" s="910">
        <v>1</v>
      </c>
      <c r="D246" s="13">
        <v>50</v>
      </c>
      <c r="E246" s="911">
        <v>10900</v>
      </c>
      <c r="F246" s="15">
        <f t="shared" si="14"/>
        <v>545000</v>
      </c>
    </row>
    <row r="247" spans="1:8" s="891" customFormat="1" x14ac:dyDescent="0.2">
      <c r="A247" s="44">
        <v>186</v>
      </c>
      <c r="B247" s="888" t="s">
        <v>484</v>
      </c>
      <c r="C247" s="910">
        <v>1</v>
      </c>
      <c r="D247" s="13">
        <v>527</v>
      </c>
      <c r="E247" s="911">
        <v>23650</v>
      </c>
      <c r="F247" s="15">
        <f t="shared" si="14"/>
        <v>12463550</v>
      </c>
    </row>
    <row r="248" spans="1:8" s="891" customFormat="1" ht="30" x14ac:dyDescent="0.2">
      <c r="A248" s="44">
        <v>187</v>
      </c>
      <c r="B248" s="888" t="s">
        <v>235</v>
      </c>
      <c r="C248" s="910">
        <v>1</v>
      </c>
      <c r="D248" s="13">
        <v>200</v>
      </c>
      <c r="E248" s="911">
        <v>3378.5</v>
      </c>
      <c r="F248" s="15">
        <f t="shared" si="14"/>
        <v>675700</v>
      </c>
    </row>
    <row r="249" spans="1:8" s="891" customFormat="1" ht="45" x14ac:dyDescent="0.2">
      <c r="A249" s="44">
        <v>188</v>
      </c>
      <c r="B249" s="888" t="s">
        <v>236</v>
      </c>
      <c r="C249" s="910">
        <v>1</v>
      </c>
      <c r="D249" s="13">
        <v>200</v>
      </c>
      <c r="E249" s="911">
        <v>6949.8</v>
      </c>
      <c r="F249" s="15">
        <f t="shared" si="14"/>
        <v>1389960</v>
      </c>
    </row>
    <row r="250" spans="1:8" s="891" customFormat="1" ht="30" x14ac:dyDescent="0.2">
      <c r="A250" s="44">
        <v>189</v>
      </c>
      <c r="B250" s="888" t="s">
        <v>237</v>
      </c>
      <c r="C250" s="910">
        <v>1</v>
      </c>
      <c r="D250" s="13">
        <v>200</v>
      </c>
      <c r="E250" s="911">
        <v>4113.3</v>
      </c>
      <c r="F250" s="15">
        <f t="shared" si="14"/>
        <v>822660</v>
      </c>
    </row>
    <row r="251" spans="1:8" s="891" customFormat="1" x14ac:dyDescent="0.2">
      <c r="A251" s="44">
        <v>190</v>
      </c>
      <c r="B251" s="888" t="s">
        <v>238</v>
      </c>
      <c r="C251" s="910">
        <v>1</v>
      </c>
      <c r="D251" s="13">
        <f>1300+5000</f>
        <v>6300</v>
      </c>
      <c r="E251" s="911">
        <v>975</v>
      </c>
      <c r="F251" s="15">
        <f t="shared" si="14"/>
        <v>6142500</v>
      </c>
    </row>
    <row r="252" spans="1:8" s="891" customFormat="1" x14ac:dyDescent="0.2">
      <c r="A252" s="44">
        <v>191</v>
      </c>
      <c r="B252" s="888" t="s">
        <v>239</v>
      </c>
      <c r="C252" s="910">
        <v>1</v>
      </c>
      <c r="D252" s="13">
        <v>50</v>
      </c>
      <c r="E252" s="911">
        <v>48900</v>
      </c>
      <c r="F252" s="15">
        <f t="shared" si="14"/>
        <v>2445000</v>
      </c>
    </row>
    <row r="253" spans="1:8" s="891" customFormat="1" x14ac:dyDescent="0.2">
      <c r="A253" s="44">
        <v>192</v>
      </c>
      <c r="B253" s="888" t="s">
        <v>240</v>
      </c>
      <c r="C253" s="910">
        <v>1</v>
      </c>
      <c r="D253" s="13">
        <v>17</v>
      </c>
      <c r="E253" s="911">
        <v>31300</v>
      </c>
      <c r="F253" s="15">
        <f t="shared" si="14"/>
        <v>532100</v>
      </c>
    </row>
    <row r="254" spans="1:8" s="891" customFormat="1" x14ac:dyDescent="0.2">
      <c r="A254" s="44">
        <v>193</v>
      </c>
      <c r="B254" s="888" t="s">
        <v>242</v>
      </c>
      <c r="C254" s="910">
        <v>1</v>
      </c>
      <c r="D254" s="13">
        <f>28+80</f>
        <v>108</v>
      </c>
      <c r="E254" s="911">
        <v>10530</v>
      </c>
      <c r="F254" s="15">
        <f t="shared" si="14"/>
        <v>1137240</v>
      </c>
    </row>
    <row r="255" spans="1:8" s="891" customFormat="1" x14ac:dyDescent="0.2">
      <c r="A255" s="44">
        <v>194</v>
      </c>
      <c r="B255" s="888" t="s">
        <v>482</v>
      </c>
      <c r="C255" s="910">
        <v>1</v>
      </c>
      <c r="D255" s="13">
        <v>0</v>
      </c>
      <c r="E255" s="911">
        <v>16263340</v>
      </c>
      <c r="F255" s="15">
        <f t="shared" ref="F255:F259" si="15">E255</f>
        <v>16263340</v>
      </c>
    </row>
    <row r="256" spans="1:8" s="891" customFormat="1" x14ac:dyDescent="0.2">
      <c r="A256" s="44">
        <v>195</v>
      </c>
      <c r="B256" s="888" t="s">
        <v>481</v>
      </c>
      <c r="C256" s="910">
        <v>1</v>
      </c>
      <c r="D256" s="13">
        <v>0</v>
      </c>
      <c r="E256" s="911">
        <v>5598490</v>
      </c>
      <c r="F256" s="15">
        <f>E256</f>
        <v>5598490</v>
      </c>
    </row>
    <row r="257" spans="1:8" s="891" customFormat="1" x14ac:dyDescent="0.2">
      <c r="A257" s="44">
        <v>196</v>
      </c>
      <c r="B257" s="888" t="s">
        <v>480</v>
      </c>
      <c r="C257" s="910">
        <v>1</v>
      </c>
      <c r="D257" s="13">
        <v>0</v>
      </c>
      <c r="E257" s="911">
        <v>1034832</v>
      </c>
      <c r="F257" s="15">
        <f t="shared" si="15"/>
        <v>1034832</v>
      </c>
    </row>
    <row r="258" spans="1:8" s="891" customFormat="1" x14ac:dyDescent="0.2">
      <c r="A258" s="44">
        <v>197</v>
      </c>
      <c r="B258" s="888" t="s">
        <v>478</v>
      </c>
      <c r="C258" s="910">
        <v>1</v>
      </c>
      <c r="D258" s="13">
        <v>0</v>
      </c>
      <c r="E258" s="914">
        <v>8064000</v>
      </c>
      <c r="F258" s="15">
        <f t="shared" si="15"/>
        <v>8064000</v>
      </c>
    </row>
    <row r="259" spans="1:8" s="891" customFormat="1" x14ac:dyDescent="0.2">
      <c r="A259" s="44">
        <v>198</v>
      </c>
      <c r="B259" s="888" t="s">
        <v>479</v>
      </c>
      <c r="C259" s="910">
        <v>1</v>
      </c>
      <c r="D259" s="13">
        <v>0</v>
      </c>
      <c r="E259" s="914">
        <v>42000000</v>
      </c>
      <c r="F259" s="15">
        <f t="shared" si="15"/>
        <v>42000000</v>
      </c>
    </row>
    <row r="260" spans="1:8" s="891" customFormat="1" x14ac:dyDescent="0.2">
      <c r="A260" s="44">
        <v>199</v>
      </c>
      <c r="B260" s="888" t="s">
        <v>269</v>
      </c>
      <c r="C260" s="915">
        <v>1</v>
      </c>
      <c r="D260" s="13">
        <v>2</v>
      </c>
      <c r="E260" s="911">
        <v>2375000</v>
      </c>
      <c r="F260" s="15">
        <f t="shared" ref="F260:F280" si="16">E260*D260/C260</f>
        <v>4750000</v>
      </c>
      <c r="G260" s="913">
        <f>SUM(F260:F268)</f>
        <v>7856248</v>
      </c>
      <c r="H260" s="891">
        <v>14594316</v>
      </c>
    </row>
    <row r="261" spans="1:8" s="891" customFormat="1" x14ac:dyDescent="0.2">
      <c r="A261" s="44">
        <v>200</v>
      </c>
      <c r="B261" s="888" t="s">
        <v>263</v>
      </c>
      <c r="C261" s="915">
        <v>1</v>
      </c>
      <c r="D261" s="13">
        <v>2</v>
      </c>
      <c r="E261" s="911">
        <v>904422</v>
      </c>
      <c r="F261" s="15">
        <f t="shared" si="16"/>
        <v>1808844</v>
      </c>
      <c r="H261" s="918">
        <f>H260-G260</f>
        <v>6738068</v>
      </c>
    </row>
    <row r="262" spans="1:8" s="891" customFormat="1" x14ac:dyDescent="0.2">
      <c r="A262" s="44">
        <v>201</v>
      </c>
      <c r="B262" s="888" t="s">
        <v>264</v>
      </c>
      <c r="C262" s="915">
        <v>1</v>
      </c>
      <c r="D262" s="13">
        <v>7</v>
      </c>
      <c r="E262" s="911">
        <v>24290</v>
      </c>
      <c r="F262" s="15">
        <f t="shared" si="16"/>
        <v>170030</v>
      </c>
    </row>
    <row r="263" spans="1:8" s="891" customFormat="1" x14ac:dyDescent="0.2">
      <c r="A263" s="44">
        <v>202</v>
      </c>
      <c r="B263" s="888" t="s">
        <v>250</v>
      </c>
      <c r="C263" s="915">
        <v>1</v>
      </c>
      <c r="D263" s="13">
        <v>6</v>
      </c>
      <c r="E263" s="911">
        <v>15786</v>
      </c>
      <c r="F263" s="15">
        <f t="shared" si="16"/>
        <v>94716</v>
      </c>
    </row>
    <row r="264" spans="1:8" s="891" customFormat="1" x14ac:dyDescent="0.2">
      <c r="A264" s="44">
        <v>203</v>
      </c>
      <c r="B264" s="888" t="s">
        <v>251</v>
      </c>
      <c r="C264" s="915">
        <v>1</v>
      </c>
      <c r="D264" s="13">
        <v>12</v>
      </c>
      <c r="E264" s="911">
        <v>33000</v>
      </c>
      <c r="F264" s="15">
        <f t="shared" si="16"/>
        <v>396000</v>
      </c>
    </row>
    <row r="265" spans="1:8" s="891" customFormat="1" x14ac:dyDescent="0.2">
      <c r="A265" s="44">
        <v>204</v>
      </c>
      <c r="B265" s="888" t="s">
        <v>254</v>
      </c>
      <c r="C265" s="915">
        <v>1</v>
      </c>
      <c r="D265" s="13">
        <v>9</v>
      </c>
      <c r="E265" s="911">
        <v>35200</v>
      </c>
      <c r="F265" s="15">
        <f t="shared" si="16"/>
        <v>316800</v>
      </c>
    </row>
    <row r="266" spans="1:8" s="891" customFormat="1" x14ac:dyDescent="0.2">
      <c r="A266" s="44">
        <v>205</v>
      </c>
      <c r="B266" s="888" t="s">
        <v>257</v>
      </c>
      <c r="C266" s="915">
        <v>1</v>
      </c>
      <c r="D266" s="13">
        <v>14</v>
      </c>
      <c r="E266" s="911">
        <v>3591</v>
      </c>
      <c r="F266" s="15">
        <f t="shared" si="16"/>
        <v>50274</v>
      </c>
    </row>
    <row r="267" spans="1:8" s="891" customFormat="1" x14ac:dyDescent="0.2">
      <c r="A267" s="44">
        <v>206</v>
      </c>
      <c r="B267" s="888" t="s">
        <v>258</v>
      </c>
      <c r="C267" s="915">
        <v>1</v>
      </c>
      <c r="D267" s="13">
        <v>58</v>
      </c>
      <c r="E267" s="911">
        <v>1498</v>
      </c>
      <c r="F267" s="15">
        <f t="shared" si="16"/>
        <v>86884</v>
      </c>
    </row>
    <row r="268" spans="1:8" s="891" customFormat="1" x14ac:dyDescent="0.2">
      <c r="A268" s="44">
        <v>207</v>
      </c>
      <c r="B268" s="888" t="s">
        <v>259</v>
      </c>
      <c r="C268" s="912">
        <v>1</v>
      </c>
      <c r="D268" s="13">
        <v>420</v>
      </c>
      <c r="E268" s="911">
        <v>435</v>
      </c>
      <c r="F268" s="15">
        <f t="shared" si="16"/>
        <v>182700</v>
      </c>
    </row>
    <row r="269" spans="1:8" s="891" customFormat="1" ht="60" x14ac:dyDescent="0.2">
      <c r="A269" s="44">
        <v>208</v>
      </c>
      <c r="B269" s="888" t="s">
        <v>472</v>
      </c>
      <c r="C269" s="919">
        <v>100</v>
      </c>
      <c r="D269" s="13">
        <v>49390</v>
      </c>
      <c r="E269" s="921">
        <v>69347.899999999994</v>
      </c>
      <c r="F269" s="15">
        <f t="shared" si="16"/>
        <v>34250927.809999995</v>
      </c>
      <c r="H269" s="891" t="e">
        <f>#REF!+#REF!</f>
        <v>#REF!</v>
      </c>
    </row>
    <row r="270" spans="1:8" s="891" customFormat="1" ht="45" x14ac:dyDescent="0.2">
      <c r="A270" s="44">
        <v>209</v>
      </c>
      <c r="B270" s="888" t="s">
        <v>270</v>
      </c>
      <c r="C270" s="922">
        <v>1000</v>
      </c>
      <c r="D270" s="13">
        <v>2062.9820000000004</v>
      </c>
      <c r="E270" s="921">
        <v>15824.15</v>
      </c>
      <c r="F270" s="15">
        <f t="shared" si="16"/>
        <v>32644.936615300008</v>
      </c>
      <c r="H270" s="891" t="e">
        <f>H269-240554556</f>
        <v>#REF!</v>
      </c>
    </row>
    <row r="271" spans="1:8" s="891" customFormat="1" ht="97.9" customHeight="1" x14ac:dyDescent="0.2">
      <c r="A271" s="44">
        <v>210</v>
      </c>
      <c r="B271" s="888" t="s">
        <v>275</v>
      </c>
      <c r="C271" s="889">
        <v>1</v>
      </c>
      <c r="D271" s="13">
        <v>6650</v>
      </c>
      <c r="E271" s="921">
        <v>1985.95</v>
      </c>
      <c r="F271" s="15">
        <f t="shared" si="16"/>
        <v>13206567.5</v>
      </c>
    </row>
    <row r="272" spans="1:8" s="891" customFormat="1" ht="45" x14ac:dyDescent="0.2">
      <c r="A272" s="44">
        <v>211</v>
      </c>
      <c r="B272" s="888" t="s">
        <v>276</v>
      </c>
      <c r="C272" s="919">
        <v>1</v>
      </c>
      <c r="D272" s="13">
        <v>14250</v>
      </c>
      <c r="E272" s="921">
        <v>234.95</v>
      </c>
      <c r="F272" s="15">
        <f t="shared" si="16"/>
        <v>3348037.5</v>
      </c>
    </row>
    <row r="273" spans="1:7" s="891" customFormat="1" ht="45" x14ac:dyDescent="0.2">
      <c r="A273" s="44">
        <v>212</v>
      </c>
      <c r="B273" s="888" t="s">
        <v>277</v>
      </c>
      <c r="C273" s="919">
        <v>1</v>
      </c>
      <c r="D273" s="13">
        <v>28500</v>
      </c>
      <c r="E273" s="921">
        <v>56.3</v>
      </c>
      <c r="F273" s="15">
        <f t="shared" si="16"/>
        <v>1604550</v>
      </c>
      <c r="G273" s="913">
        <f>SUM(F269:F273)</f>
        <v>52442727.746615298</v>
      </c>
    </row>
    <row r="274" spans="1:7" s="891" customFormat="1" ht="195.75" x14ac:dyDescent="0.2">
      <c r="A274" s="44">
        <v>213</v>
      </c>
      <c r="B274" s="925" t="s">
        <v>473</v>
      </c>
      <c r="C274" s="37">
        <v>1</v>
      </c>
      <c r="D274" s="13">
        <v>37</v>
      </c>
      <c r="E274" s="56">
        <v>4350150</v>
      </c>
      <c r="F274" s="15">
        <f t="shared" si="16"/>
        <v>160955550</v>
      </c>
    </row>
    <row r="275" spans="1:7" s="891" customFormat="1" ht="240.75" x14ac:dyDescent="0.2">
      <c r="A275" s="44">
        <v>214</v>
      </c>
      <c r="B275" s="888" t="s">
        <v>474</v>
      </c>
      <c r="C275" s="37">
        <v>1</v>
      </c>
      <c r="D275" s="13">
        <v>8</v>
      </c>
      <c r="E275" s="911">
        <v>3886124</v>
      </c>
      <c r="F275" s="15">
        <f t="shared" si="16"/>
        <v>31088992</v>
      </c>
    </row>
    <row r="276" spans="1:7" s="891" customFormat="1" ht="255" x14ac:dyDescent="0.2">
      <c r="A276" s="44">
        <v>215</v>
      </c>
      <c r="B276" s="888" t="s">
        <v>338</v>
      </c>
      <c r="C276" s="111">
        <v>1</v>
      </c>
      <c r="D276" s="13">
        <v>6</v>
      </c>
      <c r="E276" s="926">
        <v>4140119</v>
      </c>
      <c r="F276" s="15">
        <f t="shared" si="16"/>
        <v>24840714</v>
      </c>
    </row>
    <row r="277" spans="1:7" s="891" customFormat="1" ht="256.5" x14ac:dyDescent="0.2">
      <c r="A277" s="44">
        <v>216</v>
      </c>
      <c r="B277" s="888" t="s">
        <v>475</v>
      </c>
      <c r="C277" s="37">
        <v>1</v>
      </c>
      <c r="D277" s="13">
        <v>1</v>
      </c>
      <c r="E277" s="59">
        <v>8178639</v>
      </c>
      <c r="F277" s="15">
        <f t="shared" si="16"/>
        <v>8178639</v>
      </c>
    </row>
    <row r="278" spans="1:7" s="891" customFormat="1" ht="280.14999999999998" customHeight="1" x14ac:dyDescent="0.2">
      <c r="A278" s="44">
        <v>217</v>
      </c>
      <c r="B278" s="876" t="s">
        <v>476</v>
      </c>
      <c r="C278" s="37">
        <v>1</v>
      </c>
      <c r="D278" s="13">
        <v>8</v>
      </c>
      <c r="E278" s="59">
        <v>13004544</v>
      </c>
      <c r="F278" s="15">
        <f t="shared" si="16"/>
        <v>104036352</v>
      </c>
    </row>
    <row r="279" spans="1:7" s="891" customFormat="1" ht="45" x14ac:dyDescent="0.2">
      <c r="A279" s="44">
        <v>218</v>
      </c>
      <c r="B279" s="888" t="s">
        <v>299</v>
      </c>
      <c r="C279" s="37">
        <v>1</v>
      </c>
      <c r="D279" s="13">
        <v>4</v>
      </c>
      <c r="E279" s="59">
        <v>1472223</v>
      </c>
      <c r="F279" s="15">
        <f t="shared" si="16"/>
        <v>5888892</v>
      </c>
    </row>
    <row r="280" spans="1:7" s="891" customFormat="1" ht="45" x14ac:dyDescent="0.2">
      <c r="A280" s="44">
        <v>219</v>
      </c>
      <c r="B280" s="888" t="s">
        <v>297</v>
      </c>
      <c r="C280" s="37">
        <v>1</v>
      </c>
      <c r="D280" s="13">
        <v>1</v>
      </c>
      <c r="E280" s="59">
        <v>1315342</v>
      </c>
      <c r="F280" s="15">
        <f t="shared" si="16"/>
        <v>1315342</v>
      </c>
    </row>
    <row r="281" spans="1:7" s="891" customFormat="1" ht="30" x14ac:dyDescent="0.2">
      <c r="A281" s="44">
        <v>220</v>
      </c>
      <c r="B281" s="888" t="s">
        <v>390</v>
      </c>
      <c r="C281" s="919">
        <v>1</v>
      </c>
      <c r="D281" s="13">
        <v>8140</v>
      </c>
      <c r="E281" s="49">
        <v>864.05</v>
      </c>
      <c r="F281" s="15">
        <f>E281*D281</f>
        <v>7033367</v>
      </c>
    </row>
    <row r="282" spans="1:7" s="891" customFormat="1" ht="30" x14ac:dyDescent="0.2">
      <c r="A282" s="44">
        <v>221</v>
      </c>
      <c r="B282" s="888" t="s">
        <v>279</v>
      </c>
      <c r="C282" s="37">
        <v>1</v>
      </c>
      <c r="D282" s="13">
        <v>1628</v>
      </c>
      <c r="E282" s="49">
        <v>80</v>
      </c>
      <c r="F282" s="15">
        <f>E282*D282/C282</f>
        <v>130240</v>
      </c>
    </row>
    <row r="283" spans="1:7" s="891" customFormat="1" x14ac:dyDescent="0.2">
      <c r="A283" s="44">
        <v>222</v>
      </c>
      <c r="B283" s="888" t="s">
        <v>280</v>
      </c>
      <c r="C283" s="927" t="s">
        <v>281</v>
      </c>
      <c r="D283" s="13">
        <v>37</v>
      </c>
      <c r="E283" s="49">
        <v>232.8</v>
      </c>
      <c r="F283" s="15">
        <f>E283*D283</f>
        <v>8613.6</v>
      </c>
    </row>
    <row r="284" spans="1:7" s="891" customFormat="1" ht="45" x14ac:dyDescent="0.2">
      <c r="A284" s="44">
        <v>223</v>
      </c>
      <c r="B284" s="888" t="s">
        <v>282</v>
      </c>
      <c r="C284" s="919">
        <v>1</v>
      </c>
      <c r="D284" s="13">
        <v>2590</v>
      </c>
      <c r="E284" s="49">
        <v>5371</v>
      </c>
      <c r="F284" s="15">
        <f>E284*D284</f>
        <v>13910890</v>
      </c>
    </row>
    <row r="285" spans="1:7" s="891" customFormat="1" ht="30" x14ac:dyDescent="0.2">
      <c r="A285" s="44">
        <v>224</v>
      </c>
      <c r="B285" s="888" t="s">
        <v>283</v>
      </c>
      <c r="C285" s="37">
        <v>1</v>
      </c>
      <c r="D285" s="13">
        <v>74</v>
      </c>
      <c r="E285" s="49">
        <v>35582</v>
      </c>
      <c r="F285" s="15">
        <f>E285*D285/C285</f>
        <v>2633068</v>
      </c>
    </row>
    <row r="286" spans="1:7" s="891" customFormat="1" ht="60" x14ac:dyDescent="0.2">
      <c r="A286" s="44">
        <v>225</v>
      </c>
      <c r="B286" s="888" t="s">
        <v>284</v>
      </c>
      <c r="C286" s="919">
        <v>1</v>
      </c>
      <c r="D286" s="13">
        <v>4440</v>
      </c>
      <c r="E286" s="49">
        <v>3866.45</v>
      </c>
      <c r="F286" s="15">
        <f>E286*D286</f>
        <v>17167038</v>
      </c>
    </row>
    <row r="287" spans="1:7" s="891" customFormat="1" ht="45" x14ac:dyDescent="0.2">
      <c r="A287" s="44">
        <v>226</v>
      </c>
      <c r="B287" s="888" t="s">
        <v>285</v>
      </c>
      <c r="C287" s="919">
        <v>1</v>
      </c>
      <c r="D287" s="13">
        <v>740</v>
      </c>
      <c r="E287" s="49">
        <v>3583</v>
      </c>
      <c r="F287" s="15">
        <f>E287*D287</f>
        <v>2651420</v>
      </c>
    </row>
    <row r="288" spans="1:7" s="891" customFormat="1" ht="60" x14ac:dyDescent="0.2">
      <c r="A288" s="44">
        <v>227</v>
      </c>
      <c r="B288" s="888" t="s">
        <v>286</v>
      </c>
      <c r="C288" s="919">
        <v>1</v>
      </c>
      <c r="D288" s="13">
        <v>370</v>
      </c>
      <c r="E288" s="49">
        <v>3735.5</v>
      </c>
      <c r="F288" s="15">
        <f>E288*D288</f>
        <v>1382135</v>
      </c>
    </row>
    <row r="289" spans="1:7" s="891" customFormat="1" ht="30" x14ac:dyDescent="0.2">
      <c r="A289" s="44">
        <v>228</v>
      </c>
      <c r="B289" s="888" t="s">
        <v>287</v>
      </c>
      <c r="C289" s="37">
        <v>1</v>
      </c>
      <c r="D289" s="13">
        <v>148</v>
      </c>
      <c r="E289" s="49">
        <v>1148</v>
      </c>
      <c r="F289" s="15">
        <f>E289*D289/C289</f>
        <v>169904</v>
      </c>
    </row>
    <row r="290" spans="1:7" s="891" customFormat="1" x14ac:dyDescent="0.2">
      <c r="A290" s="44">
        <v>229</v>
      </c>
      <c r="B290" s="888" t="s">
        <v>288</v>
      </c>
      <c r="C290" s="922">
        <v>1</v>
      </c>
      <c r="D290" s="13">
        <v>6520.88</v>
      </c>
      <c r="E290" s="49">
        <v>186.65</v>
      </c>
      <c r="F290" s="15">
        <f>E290*D290</f>
        <v>1217122.2520000001</v>
      </c>
    </row>
    <row r="291" spans="1:7" s="891" customFormat="1" ht="30" x14ac:dyDescent="0.2">
      <c r="A291" s="44">
        <v>230</v>
      </c>
      <c r="B291" s="888" t="s">
        <v>387</v>
      </c>
      <c r="C291" s="946">
        <v>1</v>
      </c>
      <c r="D291" s="13">
        <v>2664</v>
      </c>
      <c r="E291" s="49">
        <v>3253.1</v>
      </c>
      <c r="F291" s="15">
        <f>E291*D291</f>
        <v>8666258.4000000004</v>
      </c>
    </row>
    <row r="292" spans="1:7" s="891" customFormat="1" ht="30" x14ac:dyDescent="0.2">
      <c r="A292" s="44">
        <v>231</v>
      </c>
      <c r="B292" s="888" t="s">
        <v>291</v>
      </c>
      <c r="C292" s="919">
        <v>1</v>
      </c>
      <c r="D292" s="13">
        <v>1850</v>
      </c>
      <c r="E292" s="49">
        <v>924.05</v>
      </c>
      <c r="F292" s="15">
        <f>E292*D292</f>
        <v>1709492.5</v>
      </c>
    </row>
    <row r="293" spans="1:7" s="891" customFormat="1" ht="45" x14ac:dyDescent="0.2">
      <c r="A293" s="44">
        <v>232</v>
      </c>
      <c r="B293" s="888" t="s">
        <v>292</v>
      </c>
      <c r="C293" s="922">
        <v>1000</v>
      </c>
      <c r="D293" s="13">
        <v>118400</v>
      </c>
      <c r="E293" s="49">
        <v>11293.9</v>
      </c>
      <c r="F293" s="15">
        <f>E293*D293/C293</f>
        <v>1337197.76</v>
      </c>
    </row>
    <row r="294" spans="1:7" s="891" customFormat="1" ht="60" x14ac:dyDescent="0.2">
      <c r="A294" s="44">
        <v>233</v>
      </c>
      <c r="B294" s="888" t="s">
        <v>294</v>
      </c>
      <c r="C294" s="919">
        <v>1</v>
      </c>
      <c r="D294" s="13">
        <v>14800</v>
      </c>
      <c r="E294" s="49">
        <v>3565</v>
      </c>
      <c r="F294" s="15">
        <f>E294*D294</f>
        <v>52762000</v>
      </c>
    </row>
    <row r="295" spans="1:7" s="891" customFormat="1" ht="60" x14ac:dyDescent="0.2">
      <c r="A295" s="44">
        <v>234</v>
      </c>
      <c r="B295" s="888" t="s">
        <v>296</v>
      </c>
      <c r="C295" s="919">
        <v>1</v>
      </c>
      <c r="D295" s="13">
        <v>555</v>
      </c>
      <c r="E295" s="49">
        <v>500.3</v>
      </c>
      <c r="F295" s="15">
        <f>E295*D295</f>
        <v>277666.5</v>
      </c>
      <c r="G295" s="913">
        <f>SUM(F281:F295)</f>
        <v>111056413.01199999</v>
      </c>
    </row>
    <row r="296" spans="1:7" s="891" customFormat="1" ht="195" x14ac:dyDescent="0.2">
      <c r="A296" s="44">
        <v>235</v>
      </c>
      <c r="B296" s="888" t="s">
        <v>300</v>
      </c>
      <c r="C296" s="37">
        <v>1</v>
      </c>
      <c r="D296" s="13">
        <v>87</v>
      </c>
      <c r="E296" s="911">
        <v>1950150</v>
      </c>
      <c r="F296" s="15">
        <f t="shared" ref="F296:F304" si="17">E296*D296/C296</f>
        <v>169663050</v>
      </c>
    </row>
    <row r="297" spans="1:7" s="891" customFormat="1" x14ac:dyDescent="0.2">
      <c r="A297" s="44">
        <v>236</v>
      </c>
      <c r="B297" s="876" t="s">
        <v>339</v>
      </c>
      <c r="C297" s="37">
        <v>1</v>
      </c>
      <c r="D297" s="13">
        <v>1</v>
      </c>
      <c r="E297" s="65">
        <v>1829000</v>
      </c>
      <c r="F297" s="15">
        <f t="shared" si="17"/>
        <v>1829000</v>
      </c>
    </row>
    <row r="298" spans="1:7" s="891" customFormat="1" ht="90" x14ac:dyDescent="0.2">
      <c r="A298" s="44">
        <v>237</v>
      </c>
      <c r="B298" s="876" t="s">
        <v>340</v>
      </c>
      <c r="C298" s="37">
        <v>1</v>
      </c>
      <c r="D298" s="13">
        <v>1</v>
      </c>
      <c r="E298" s="65">
        <v>4250000</v>
      </c>
      <c r="F298" s="15">
        <f t="shared" si="17"/>
        <v>4250000</v>
      </c>
    </row>
    <row r="299" spans="1:7" s="891" customFormat="1" ht="75" x14ac:dyDescent="0.2">
      <c r="A299" s="44">
        <v>238</v>
      </c>
      <c r="B299" s="876" t="s">
        <v>341</v>
      </c>
      <c r="C299" s="37">
        <v>1</v>
      </c>
      <c r="D299" s="13">
        <v>1</v>
      </c>
      <c r="E299" s="49">
        <v>1475000</v>
      </c>
      <c r="F299" s="15">
        <f t="shared" si="17"/>
        <v>1475000</v>
      </c>
    </row>
    <row r="300" spans="1:7" s="891" customFormat="1" ht="45" x14ac:dyDescent="0.2">
      <c r="A300" s="44">
        <v>239</v>
      </c>
      <c r="B300" s="876" t="s">
        <v>342</v>
      </c>
      <c r="C300" s="37">
        <v>1</v>
      </c>
      <c r="D300" s="13">
        <v>4</v>
      </c>
      <c r="E300" s="49">
        <v>129800</v>
      </c>
      <c r="F300" s="15">
        <f t="shared" si="17"/>
        <v>519200</v>
      </c>
    </row>
    <row r="301" spans="1:7" s="891" customFormat="1" ht="90" x14ac:dyDescent="0.2">
      <c r="A301" s="44">
        <v>240</v>
      </c>
      <c r="B301" s="876" t="s">
        <v>343</v>
      </c>
      <c r="C301" s="37">
        <v>1</v>
      </c>
      <c r="D301" s="13">
        <v>2</v>
      </c>
      <c r="E301" s="49">
        <v>850000</v>
      </c>
      <c r="F301" s="15">
        <f t="shared" si="17"/>
        <v>1700000</v>
      </c>
    </row>
    <row r="302" spans="1:7" s="891" customFormat="1" ht="210.75" x14ac:dyDescent="0.2">
      <c r="A302" s="44">
        <v>241</v>
      </c>
      <c r="B302" s="888" t="s">
        <v>477</v>
      </c>
      <c r="C302" s="37">
        <v>1</v>
      </c>
      <c r="D302" s="13">
        <v>6</v>
      </c>
      <c r="E302" s="66">
        <v>5061387.5</v>
      </c>
      <c r="F302" s="15">
        <f t="shared" si="17"/>
        <v>30368325</v>
      </c>
    </row>
    <row r="303" spans="1:7" s="891" customFormat="1" ht="210" x14ac:dyDescent="0.2">
      <c r="A303" s="44">
        <v>242</v>
      </c>
      <c r="B303" s="888" t="s">
        <v>426</v>
      </c>
      <c r="C303" s="37">
        <v>1</v>
      </c>
      <c r="D303" s="13">
        <v>7</v>
      </c>
      <c r="E303" s="66">
        <v>4116450</v>
      </c>
      <c r="F303" s="15">
        <f t="shared" si="17"/>
        <v>28815150</v>
      </c>
    </row>
    <row r="304" spans="1:7" s="891" customFormat="1" ht="210" x14ac:dyDescent="0.2">
      <c r="A304" s="44">
        <v>243</v>
      </c>
      <c r="B304" s="888" t="s">
        <v>427</v>
      </c>
      <c r="C304" s="37">
        <v>1</v>
      </c>
      <c r="D304" s="13">
        <v>1</v>
      </c>
      <c r="E304" s="66">
        <v>8787425</v>
      </c>
      <c r="F304" s="15">
        <f t="shared" si="17"/>
        <v>8787425</v>
      </c>
    </row>
    <row r="305" spans="1:14" s="887" customFormat="1" x14ac:dyDescent="0.2">
      <c r="A305" s="44">
        <v>244</v>
      </c>
      <c r="B305" s="876" t="s">
        <v>429</v>
      </c>
      <c r="C305" s="22" t="s">
        <v>347</v>
      </c>
      <c r="D305" s="13">
        <v>0</v>
      </c>
      <c r="E305" s="30"/>
      <c r="F305" s="15">
        <v>1300000</v>
      </c>
    </row>
    <row r="306" spans="1:14" s="887" customFormat="1" x14ac:dyDescent="0.2">
      <c r="A306" s="44">
        <v>245</v>
      </c>
      <c r="B306" s="876" t="s">
        <v>428</v>
      </c>
      <c r="C306" s="22" t="s">
        <v>347</v>
      </c>
      <c r="D306" s="13">
        <v>0</v>
      </c>
      <c r="E306" s="30"/>
      <c r="F306" s="15">
        <v>700000</v>
      </c>
    </row>
    <row r="307" spans="1:14" s="887" customFormat="1" x14ac:dyDescent="0.2">
      <c r="A307" s="44">
        <v>246</v>
      </c>
      <c r="B307" s="876" t="s">
        <v>432</v>
      </c>
      <c r="C307" s="22" t="s">
        <v>347</v>
      </c>
      <c r="D307" s="13">
        <v>0</v>
      </c>
      <c r="E307" s="30"/>
      <c r="F307" s="15">
        <v>500000</v>
      </c>
    </row>
    <row r="308" spans="1:14" s="887" customFormat="1" x14ac:dyDescent="0.2">
      <c r="A308" s="44">
        <v>247</v>
      </c>
      <c r="B308" s="876" t="s">
        <v>430</v>
      </c>
      <c r="C308" s="22" t="s">
        <v>347</v>
      </c>
      <c r="D308" s="13">
        <v>0</v>
      </c>
      <c r="E308" s="30"/>
      <c r="F308" s="15">
        <v>500000</v>
      </c>
    </row>
    <row r="309" spans="1:14" s="887" customFormat="1" x14ac:dyDescent="0.2">
      <c r="A309" s="44">
        <v>248</v>
      </c>
      <c r="B309" s="876" t="s">
        <v>431</v>
      </c>
      <c r="C309" s="22" t="s">
        <v>347</v>
      </c>
      <c r="D309" s="13">
        <v>0</v>
      </c>
      <c r="E309" s="30"/>
      <c r="F309" s="15">
        <v>500000</v>
      </c>
    </row>
    <row r="310" spans="1:14" s="887" customFormat="1" x14ac:dyDescent="0.2">
      <c r="A310" s="44">
        <v>249</v>
      </c>
      <c r="B310" s="884" t="s">
        <v>433</v>
      </c>
      <c r="C310" s="22" t="s">
        <v>347</v>
      </c>
      <c r="D310" s="13">
        <v>0</v>
      </c>
      <c r="E310" s="30"/>
      <c r="F310" s="15">
        <v>250000</v>
      </c>
    </row>
    <row r="311" spans="1:14" s="887" customFormat="1" x14ac:dyDescent="0.2">
      <c r="A311" s="44">
        <v>250</v>
      </c>
      <c r="B311" s="884" t="s">
        <v>434</v>
      </c>
      <c r="C311" s="22" t="s">
        <v>347</v>
      </c>
      <c r="D311" s="13">
        <v>0</v>
      </c>
      <c r="E311" s="30"/>
      <c r="F311" s="15">
        <v>250000</v>
      </c>
    </row>
    <row r="312" spans="1:14" s="887" customFormat="1" x14ac:dyDescent="0.2">
      <c r="A312" s="44">
        <v>251</v>
      </c>
      <c r="B312" s="884" t="s">
        <v>354</v>
      </c>
      <c r="C312" s="22" t="s">
        <v>347</v>
      </c>
      <c r="D312" s="13">
        <v>5</v>
      </c>
      <c r="E312" s="40">
        <v>100000</v>
      </c>
      <c r="F312" s="15">
        <v>500000</v>
      </c>
    </row>
    <row r="313" spans="1:14" s="887" customFormat="1" ht="15.75" x14ac:dyDescent="0.2">
      <c r="A313" s="44">
        <v>252</v>
      </c>
      <c r="B313" s="928" t="s">
        <v>355</v>
      </c>
      <c r="C313" s="22" t="s">
        <v>347</v>
      </c>
      <c r="D313" s="13">
        <v>1</v>
      </c>
      <c r="E313" s="30"/>
      <c r="F313" s="15">
        <v>1500000</v>
      </c>
    </row>
    <row r="314" spans="1:14" s="887" customFormat="1" ht="15.75" x14ac:dyDescent="0.2">
      <c r="A314" s="44">
        <v>253</v>
      </c>
      <c r="B314" s="928" t="s">
        <v>356</v>
      </c>
      <c r="C314" s="22" t="s">
        <v>347</v>
      </c>
      <c r="D314" s="13">
        <v>3</v>
      </c>
      <c r="E314" s="40">
        <v>500000</v>
      </c>
      <c r="F314" s="15">
        <v>1500000</v>
      </c>
    </row>
    <row r="315" spans="1:14" s="887" customFormat="1" ht="15.75" x14ac:dyDescent="0.2">
      <c r="A315" s="44">
        <v>254</v>
      </c>
      <c r="B315" s="928" t="s">
        <v>357</v>
      </c>
      <c r="C315" s="22" t="s">
        <v>347</v>
      </c>
      <c r="D315" s="13">
        <v>1</v>
      </c>
      <c r="E315" s="30"/>
      <c r="F315" s="15">
        <v>500000</v>
      </c>
    </row>
    <row r="316" spans="1:14" x14ac:dyDescent="0.2">
      <c r="A316" s="44">
        <v>255</v>
      </c>
      <c r="B316" s="884" t="s">
        <v>435</v>
      </c>
      <c r="C316" s="22" t="s">
        <v>347</v>
      </c>
      <c r="D316" s="13">
        <v>1</v>
      </c>
      <c r="E316" s="30"/>
      <c r="F316" s="15">
        <v>125000</v>
      </c>
    </row>
    <row r="317" spans="1:14" x14ac:dyDescent="0.2">
      <c r="A317" s="44">
        <v>256</v>
      </c>
      <c r="B317" s="884" t="s">
        <v>436</v>
      </c>
      <c r="C317" s="22" t="s">
        <v>347</v>
      </c>
      <c r="D317" s="13">
        <v>1</v>
      </c>
      <c r="E317" s="30"/>
      <c r="F317" s="15">
        <v>100000</v>
      </c>
      <c r="L317" s="891"/>
      <c r="M317" s="891"/>
      <c r="N317" s="891">
        <f>L317+M317</f>
        <v>0</v>
      </c>
    </row>
    <row r="318" spans="1:14" x14ac:dyDescent="0.2">
      <c r="A318" s="44">
        <v>257</v>
      </c>
      <c r="B318" s="884" t="s">
        <v>437</v>
      </c>
      <c r="C318" s="22" t="s">
        <v>347</v>
      </c>
      <c r="D318" s="13">
        <v>1</v>
      </c>
      <c r="E318" s="30"/>
      <c r="F318" s="15">
        <v>100000</v>
      </c>
      <c r="L318" s="891">
        <v>187601.82</v>
      </c>
      <c r="M318" s="891">
        <v>40000</v>
      </c>
      <c r="N318" s="891">
        <f t="shared" ref="N318:N326" si="18">L318+M318</f>
        <v>227601.82</v>
      </c>
    </row>
    <row r="319" spans="1:14" x14ac:dyDescent="0.2">
      <c r="A319" s="44">
        <v>258</v>
      </c>
      <c r="B319" s="884" t="s">
        <v>438</v>
      </c>
      <c r="C319" s="22" t="s">
        <v>347</v>
      </c>
      <c r="D319" s="13">
        <v>1</v>
      </c>
      <c r="E319" s="30"/>
      <c r="F319" s="15">
        <v>175000</v>
      </c>
      <c r="L319" s="891">
        <v>101544.2</v>
      </c>
      <c r="M319" s="891">
        <v>40000</v>
      </c>
      <c r="N319" s="891">
        <f t="shared" si="18"/>
        <v>141544.20000000001</v>
      </c>
    </row>
    <row r="320" spans="1:14" x14ac:dyDescent="0.2">
      <c r="A320" s="44">
        <v>259</v>
      </c>
      <c r="B320" s="884" t="s">
        <v>439</v>
      </c>
      <c r="C320" s="22" t="s">
        <v>347</v>
      </c>
      <c r="D320" s="13">
        <v>1</v>
      </c>
      <c r="E320" s="30"/>
      <c r="F320" s="15">
        <v>500000</v>
      </c>
      <c r="G320" s="882">
        <f>SUM(F305:F320)</f>
        <v>9000000</v>
      </c>
      <c r="L320" s="891">
        <v>134924</v>
      </c>
      <c r="M320" s="891">
        <v>40000</v>
      </c>
      <c r="N320" s="891">
        <f t="shared" si="18"/>
        <v>174924</v>
      </c>
    </row>
    <row r="321" spans="1:14" ht="36.6" customHeight="1" x14ac:dyDescent="0.2">
      <c r="A321" s="1009" t="s">
        <v>498</v>
      </c>
      <c r="B321" s="1009"/>
      <c r="C321" s="1009"/>
      <c r="D321" s="903"/>
      <c r="E321" s="903"/>
      <c r="F321" s="903"/>
      <c r="L321" s="891">
        <v>207719.6</v>
      </c>
      <c r="M321" s="891">
        <v>40000</v>
      </c>
      <c r="N321" s="891">
        <f t="shared" si="18"/>
        <v>247719.6</v>
      </c>
    </row>
    <row r="322" spans="1:14" x14ac:dyDescent="0.2">
      <c r="B322" s="930"/>
      <c r="L322" s="891">
        <v>274993.59999999998</v>
      </c>
      <c r="M322" s="891">
        <v>156780</v>
      </c>
      <c r="N322" s="891">
        <f t="shared" si="18"/>
        <v>431773.6</v>
      </c>
    </row>
    <row r="323" spans="1:14" x14ac:dyDescent="0.2">
      <c r="B323" s="930"/>
      <c r="E323" s="933" t="s">
        <v>415</v>
      </c>
      <c r="F323" s="934">
        <f>SUM(F5:F320)</f>
        <v>2262037920.5902777</v>
      </c>
      <c r="L323" s="891">
        <v>141014</v>
      </c>
      <c r="M323" s="891">
        <v>40000</v>
      </c>
      <c r="N323" s="891">
        <f t="shared" si="18"/>
        <v>181014</v>
      </c>
    </row>
    <row r="324" spans="1:14" x14ac:dyDescent="0.2">
      <c r="F324" s="936"/>
      <c r="L324" s="891">
        <v>301093.59999999998</v>
      </c>
      <c r="M324" s="891">
        <v>156780</v>
      </c>
      <c r="N324" s="891">
        <f t="shared" si="18"/>
        <v>457873.6</v>
      </c>
    </row>
    <row r="325" spans="1:14" x14ac:dyDescent="0.2">
      <c r="E325" s="933" t="s">
        <v>416</v>
      </c>
      <c r="F325" s="934">
        <v>2279229198.29</v>
      </c>
      <c r="L325" s="891">
        <v>143304</v>
      </c>
      <c r="M325" s="891">
        <v>40000</v>
      </c>
      <c r="N325" s="891">
        <f t="shared" si="18"/>
        <v>183304</v>
      </c>
    </row>
    <row r="326" spans="1:14" x14ac:dyDescent="0.2">
      <c r="F326" s="936"/>
      <c r="L326" s="891">
        <v>1426668.4</v>
      </c>
      <c r="M326" s="891">
        <v>156780</v>
      </c>
      <c r="N326" s="891">
        <f t="shared" si="18"/>
        <v>1583448.4</v>
      </c>
    </row>
    <row r="327" spans="1:14" ht="15.75" x14ac:dyDescent="0.25">
      <c r="E327" s="933" t="s">
        <v>417</v>
      </c>
      <c r="F327" s="937">
        <f>F323-F325</f>
        <v>-17191277.69972229</v>
      </c>
      <c r="G327" s="870">
        <f>16069459</f>
        <v>16069459</v>
      </c>
      <c r="L327" s="891"/>
      <c r="M327" s="891"/>
      <c r="N327" s="891">
        <f>SUM(N317:N326)</f>
        <v>3629203.2199999997</v>
      </c>
    </row>
    <row r="328" spans="1:14" x14ac:dyDescent="0.2">
      <c r="G328" s="870">
        <v>4726644</v>
      </c>
    </row>
    <row r="329" spans="1:14" x14ac:dyDescent="0.2">
      <c r="F329" s="933">
        <f>F327+G329+G330+G331+I330+I334+H329+H330</f>
        <v>6363.3002777099609</v>
      </c>
      <c r="G329" s="870">
        <f>G327-G328</f>
        <v>11342815</v>
      </c>
      <c r="H329" s="870">
        <v>2000000</v>
      </c>
    </row>
    <row r="330" spans="1:14" x14ac:dyDescent="0.2">
      <c r="G330" s="891">
        <v>3629203</v>
      </c>
      <c r="H330" s="870">
        <v>225000</v>
      </c>
    </row>
    <row r="331" spans="1:14" x14ac:dyDescent="0.2">
      <c r="G331" s="870">
        <v>623</v>
      </c>
    </row>
    <row r="332" spans="1:14" x14ac:dyDescent="0.2">
      <c r="A332" s="870"/>
      <c r="B332" s="938"/>
      <c r="C332" s="870"/>
      <c r="D332" s="870"/>
      <c r="E332" s="870"/>
      <c r="F332" s="870"/>
      <c r="G332" s="933">
        <f>SUM(G329:G331)</f>
        <v>14972641</v>
      </c>
      <c r="J332" s="877">
        <f>J331+K353</f>
        <v>0</v>
      </c>
    </row>
    <row r="334" spans="1:14" x14ac:dyDescent="0.2">
      <c r="A334" s="870"/>
      <c r="B334" s="938"/>
      <c r="C334" s="870"/>
      <c r="D334" s="870"/>
      <c r="E334" s="870"/>
      <c r="F334" s="870"/>
      <c r="L334" s="877"/>
    </row>
  </sheetData>
  <mergeCells count="19">
    <mergeCell ref="A23:A27"/>
    <mergeCell ref="A34:A36"/>
    <mergeCell ref="A45:A54"/>
    <mergeCell ref="A321:C321"/>
    <mergeCell ref="A209:A212"/>
    <mergeCell ref="A109:A111"/>
    <mergeCell ref="A135:A138"/>
    <mergeCell ref="A139:A141"/>
    <mergeCell ref="A143:A146"/>
    <mergeCell ref="A174:A177"/>
    <mergeCell ref="A178:A180"/>
    <mergeCell ref="A7:A22"/>
    <mergeCell ref="A1:F1"/>
    <mergeCell ref="A3:A4"/>
    <mergeCell ref="B3:B4"/>
    <mergeCell ref="C3:C4"/>
    <mergeCell ref="D3:E3"/>
    <mergeCell ref="F3:F4"/>
    <mergeCell ref="A2:F2"/>
  </mergeCells>
  <printOptions horizontalCentered="1"/>
  <pageMargins left="0.39370078740157483" right="7.874015748031496E-2" top="0.27559055118110237" bottom="0.9055118110236221" header="0.31496062992125984" footer="0.31496062992125984"/>
  <pageSetup paperSize="9" scale="8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3AE8B-EA83-4482-ACF8-6808E828FF77}">
  <sheetPr>
    <pageSetUpPr fitToPage="1"/>
  </sheetPr>
  <dimension ref="A1:Q334"/>
  <sheetViews>
    <sheetView view="pageBreakPreview" zoomScale="70" zoomScaleNormal="70" zoomScaleSheetLayoutView="70" workbookViewId="0">
      <selection activeCell="L18" sqref="L17:L18"/>
    </sheetView>
  </sheetViews>
  <sheetFormatPr defaultColWidth="9.140625" defaultRowHeight="15" x14ac:dyDescent="0.2"/>
  <cols>
    <col min="1" max="1" width="4.85546875" style="929" bestFit="1" customWidth="1"/>
    <col min="2" max="2" width="99.28515625" style="935" customWidth="1"/>
    <col min="3" max="3" width="20.5703125" style="931" bestFit="1" customWidth="1"/>
    <col min="4" max="4" width="17.140625" style="933" bestFit="1" customWidth="1"/>
    <col min="5" max="5" width="16.140625" style="933" bestFit="1" customWidth="1"/>
    <col min="6" max="6" width="18.7109375" style="933" bestFit="1" customWidth="1"/>
    <col min="7" max="9" width="18.7109375" style="933" customWidth="1"/>
    <col min="10" max="10" width="21.28515625" style="870" customWidth="1"/>
    <col min="11" max="14" width="18.7109375" style="870" bestFit="1" customWidth="1"/>
    <col min="15" max="15" width="16.140625" style="870" bestFit="1" customWidth="1"/>
    <col min="16" max="16" width="8.7109375" style="870" bestFit="1" customWidth="1"/>
    <col min="17" max="17" width="13.7109375" style="870" bestFit="1" customWidth="1"/>
    <col min="18" max="16384" width="9.140625" style="870"/>
  </cols>
  <sheetData>
    <row r="1" spans="1:12" s="891" customFormat="1" ht="20.25" x14ac:dyDescent="0.3">
      <c r="A1" s="1004" t="s">
        <v>499</v>
      </c>
      <c r="B1" s="1004"/>
      <c r="C1" s="1004"/>
      <c r="D1" s="1004"/>
      <c r="E1" s="1004"/>
      <c r="F1" s="1004"/>
      <c r="G1" s="1004"/>
      <c r="H1" s="1004"/>
      <c r="I1" s="1004"/>
    </row>
    <row r="2" spans="1:12" ht="18" x14ac:dyDescent="0.2">
      <c r="A2" s="1001" t="s">
        <v>1</v>
      </c>
      <c r="B2" s="1001"/>
      <c r="C2" s="1001"/>
      <c r="D2" s="1001"/>
      <c r="E2" s="1001"/>
      <c r="F2" s="1001"/>
      <c r="G2" s="1001"/>
      <c r="H2" s="1001"/>
      <c r="I2" s="1001"/>
      <c r="J2" s="948"/>
      <c r="K2" s="948"/>
      <c r="L2" s="948"/>
    </row>
    <row r="3" spans="1:12" s="947" customFormat="1" ht="21.6" customHeight="1" x14ac:dyDescent="0.2">
      <c r="A3" s="1014" t="s">
        <v>2</v>
      </c>
      <c r="B3" s="1015" t="s">
        <v>3</v>
      </c>
      <c r="C3" s="1015" t="s">
        <v>4</v>
      </c>
      <c r="D3" s="1019" t="s">
        <v>391</v>
      </c>
      <c r="E3" s="1017" t="s">
        <v>489</v>
      </c>
      <c r="F3" s="1016" t="s">
        <v>7</v>
      </c>
      <c r="G3" s="1013" t="s">
        <v>489</v>
      </c>
      <c r="H3" s="1013"/>
      <c r="I3" s="1012" t="s">
        <v>487</v>
      </c>
    </row>
    <row r="4" spans="1:12" s="947" customFormat="1" ht="31.15" customHeight="1" x14ac:dyDescent="0.2">
      <c r="A4" s="1014"/>
      <c r="B4" s="1015"/>
      <c r="C4" s="1015"/>
      <c r="D4" s="1020"/>
      <c r="E4" s="1018"/>
      <c r="F4" s="1016"/>
      <c r="G4" s="957" t="s">
        <v>502</v>
      </c>
      <c r="H4" s="957" t="s">
        <v>503</v>
      </c>
      <c r="I4" s="1012"/>
    </row>
    <row r="5" spans="1:12" ht="45" x14ac:dyDescent="0.2">
      <c r="A5" s="116">
        <v>1</v>
      </c>
      <c r="B5" s="876" t="s">
        <v>8</v>
      </c>
      <c r="C5" s="12">
        <v>1000</v>
      </c>
      <c r="D5" s="13">
        <v>69775243.960000008</v>
      </c>
      <c r="E5" s="14">
        <v>4640.7</v>
      </c>
      <c r="F5" s="15">
        <f>E5*D5/C5</f>
        <v>323805974.645172</v>
      </c>
      <c r="G5" s="15"/>
      <c r="H5" s="15"/>
      <c r="I5" s="15"/>
      <c r="K5" s="877"/>
    </row>
    <row r="6" spans="1:12" ht="30" x14ac:dyDescent="0.2">
      <c r="A6" s="116">
        <v>2</v>
      </c>
      <c r="B6" s="876" t="s">
        <v>9</v>
      </c>
      <c r="C6" s="12">
        <v>1000</v>
      </c>
      <c r="D6" s="13">
        <v>26864727.169999998</v>
      </c>
      <c r="E6" s="14">
        <v>940.9</v>
      </c>
      <c r="F6" s="15">
        <f>E6*D6/C6</f>
        <v>25277021.794252999</v>
      </c>
      <c r="G6" s="15"/>
      <c r="H6" s="15"/>
      <c r="I6" s="15"/>
    </row>
    <row r="7" spans="1:12" ht="30" x14ac:dyDescent="0.2">
      <c r="A7" s="984">
        <v>3</v>
      </c>
      <c r="B7" s="876" t="s">
        <v>10</v>
      </c>
      <c r="C7" s="33"/>
      <c r="D7" s="13">
        <v>0</v>
      </c>
      <c r="E7" s="14">
        <v>0</v>
      </c>
      <c r="F7" s="14">
        <v>0</v>
      </c>
      <c r="G7" s="14"/>
      <c r="H7" s="14"/>
      <c r="I7" s="14"/>
    </row>
    <row r="8" spans="1:12" x14ac:dyDescent="0.2">
      <c r="A8" s="985"/>
      <c r="B8" s="878" t="s">
        <v>11</v>
      </c>
      <c r="C8" s="12">
        <v>1000</v>
      </c>
      <c r="D8" s="13">
        <v>546147.5</v>
      </c>
      <c r="E8" s="14">
        <v>1073.2</v>
      </c>
      <c r="F8" s="15">
        <f t="shared" ref="F8:F22" si="0">E8*D8/C8</f>
        <v>586125.49699999997</v>
      </c>
      <c r="G8" s="15"/>
      <c r="H8" s="15"/>
      <c r="I8" s="15"/>
    </row>
    <row r="9" spans="1:12" x14ac:dyDescent="0.2">
      <c r="A9" s="985"/>
      <c r="B9" s="876" t="s">
        <v>144</v>
      </c>
      <c r="C9" s="12">
        <v>1000</v>
      </c>
      <c r="D9" s="13">
        <v>989635</v>
      </c>
      <c r="E9" s="14">
        <v>1743.95</v>
      </c>
      <c r="F9" s="15">
        <f t="shared" si="0"/>
        <v>1725873.9582499999</v>
      </c>
      <c r="G9" s="15"/>
      <c r="H9" s="15"/>
      <c r="I9" s="15"/>
    </row>
    <row r="10" spans="1:12" x14ac:dyDescent="0.2">
      <c r="A10" s="985"/>
      <c r="B10" s="876" t="s">
        <v>455</v>
      </c>
      <c r="C10" s="12">
        <v>1000</v>
      </c>
      <c r="D10" s="13">
        <v>275885.29000000004</v>
      </c>
      <c r="E10" s="14">
        <v>2414.6999999999998</v>
      </c>
      <c r="F10" s="15">
        <f t="shared" si="0"/>
        <v>666180.20976300002</v>
      </c>
      <c r="G10" s="15"/>
      <c r="H10" s="15"/>
      <c r="I10" s="15"/>
    </row>
    <row r="11" spans="1:12" x14ac:dyDescent="0.2">
      <c r="A11" s="985"/>
      <c r="B11" s="876" t="s">
        <v>456</v>
      </c>
      <c r="C11" s="12">
        <v>1000</v>
      </c>
      <c r="D11" s="13">
        <v>62477.500000000007</v>
      </c>
      <c r="E11" s="14">
        <v>6677.8</v>
      </c>
      <c r="F11" s="15">
        <f t="shared" si="0"/>
        <v>417212.24950000003</v>
      </c>
      <c r="G11" s="15"/>
      <c r="H11" s="15"/>
      <c r="I11" s="15"/>
    </row>
    <row r="12" spans="1:12" x14ac:dyDescent="0.2">
      <c r="A12" s="985"/>
      <c r="B12" s="876" t="s">
        <v>457</v>
      </c>
      <c r="C12" s="12">
        <v>1000</v>
      </c>
      <c r="D12" s="13">
        <v>549295</v>
      </c>
      <c r="E12" s="14">
        <v>6751.2</v>
      </c>
      <c r="F12" s="15">
        <f t="shared" si="0"/>
        <v>3708400.4040000001</v>
      </c>
      <c r="G12" s="15"/>
      <c r="H12" s="15"/>
      <c r="I12" s="15"/>
    </row>
    <row r="13" spans="1:12" x14ac:dyDescent="0.2">
      <c r="A13" s="985"/>
      <c r="B13" s="876" t="s">
        <v>458</v>
      </c>
      <c r="C13" s="12">
        <v>1000</v>
      </c>
      <c r="D13" s="13">
        <v>555572.5</v>
      </c>
      <c r="E13" s="39">
        <v>6751.2</v>
      </c>
      <c r="F13" s="15">
        <f t="shared" si="0"/>
        <v>3750781.0619999999</v>
      </c>
      <c r="G13" s="15"/>
      <c r="H13" s="15"/>
      <c r="I13" s="15"/>
    </row>
    <row r="14" spans="1:12" x14ac:dyDescent="0.2">
      <c r="A14" s="985"/>
      <c r="B14" s="876" t="s">
        <v>459</v>
      </c>
      <c r="C14" s="12">
        <v>1000</v>
      </c>
      <c r="D14" s="13">
        <v>18740</v>
      </c>
      <c r="E14" s="14">
        <v>6824.6</v>
      </c>
      <c r="F14" s="15">
        <f t="shared" si="0"/>
        <v>127893.004</v>
      </c>
      <c r="G14" s="15"/>
      <c r="H14" s="15"/>
      <c r="I14" s="15"/>
    </row>
    <row r="15" spans="1:12" x14ac:dyDescent="0.2">
      <c r="A15" s="985"/>
      <c r="B15" s="876" t="s">
        <v>460</v>
      </c>
      <c r="C15" s="12">
        <v>1000</v>
      </c>
      <c r="D15" s="13">
        <v>53390</v>
      </c>
      <c r="E15" s="33">
        <v>6971.4</v>
      </c>
      <c r="F15" s="15">
        <f t="shared" si="0"/>
        <v>372203.04599999997</v>
      </c>
      <c r="G15" s="15"/>
      <c r="H15" s="15"/>
      <c r="I15" s="15"/>
    </row>
    <row r="16" spans="1:12" x14ac:dyDescent="0.2">
      <c r="A16" s="985"/>
      <c r="B16" s="876" t="s">
        <v>461</v>
      </c>
      <c r="C16" s="12">
        <v>1000</v>
      </c>
      <c r="D16" s="13">
        <v>75040</v>
      </c>
      <c r="E16" s="39">
        <v>6971.4</v>
      </c>
      <c r="F16" s="15">
        <f t="shared" si="0"/>
        <v>523133.85600000003</v>
      </c>
      <c r="G16" s="15"/>
      <c r="H16" s="15"/>
      <c r="I16" s="15"/>
    </row>
    <row r="17" spans="1:10" x14ac:dyDescent="0.2">
      <c r="A17" s="985"/>
      <c r="B17" s="876" t="s">
        <v>462</v>
      </c>
      <c r="C17" s="12">
        <v>1000</v>
      </c>
      <c r="D17" s="13">
        <v>98265.75</v>
      </c>
      <c r="E17" s="14">
        <v>7044.8</v>
      </c>
      <c r="F17" s="15">
        <f t="shared" si="0"/>
        <v>692262.55560000008</v>
      </c>
      <c r="G17" s="15"/>
      <c r="H17" s="15"/>
      <c r="I17" s="15"/>
    </row>
    <row r="18" spans="1:10" x14ac:dyDescent="0.2">
      <c r="A18" s="985"/>
      <c r="B18" s="876" t="s">
        <v>463</v>
      </c>
      <c r="C18" s="12">
        <v>1000</v>
      </c>
      <c r="D18" s="13">
        <v>187560</v>
      </c>
      <c r="E18" s="33">
        <v>7191.6</v>
      </c>
      <c r="F18" s="15">
        <f t="shared" si="0"/>
        <v>1348856.496</v>
      </c>
      <c r="G18" s="15"/>
      <c r="H18" s="15"/>
      <c r="I18" s="15"/>
    </row>
    <row r="19" spans="1:10" x14ac:dyDescent="0.2">
      <c r="A19" s="985"/>
      <c r="B19" s="876" t="s">
        <v>464</v>
      </c>
      <c r="C19" s="12">
        <v>1000</v>
      </c>
      <c r="D19" s="13">
        <v>54772.5</v>
      </c>
      <c r="E19" s="14">
        <v>7338.4</v>
      </c>
      <c r="F19" s="15">
        <f t="shared" si="0"/>
        <v>401942.51400000002</v>
      </c>
      <c r="G19" s="15"/>
      <c r="H19" s="15"/>
      <c r="I19" s="15"/>
    </row>
    <row r="20" spans="1:10" x14ac:dyDescent="0.2">
      <c r="A20" s="985"/>
      <c r="B20" s="876" t="s">
        <v>465</v>
      </c>
      <c r="C20" s="12">
        <v>1000</v>
      </c>
      <c r="D20" s="13">
        <v>125720</v>
      </c>
      <c r="E20" s="14">
        <v>7411.8</v>
      </c>
      <c r="F20" s="15">
        <f t="shared" si="0"/>
        <v>931811.49600000004</v>
      </c>
      <c r="G20" s="15"/>
      <c r="H20" s="15"/>
      <c r="I20" s="15"/>
    </row>
    <row r="21" spans="1:10" x14ac:dyDescent="0.2">
      <c r="A21" s="985"/>
      <c r="B21" s="879" t="s">
        <v>466</v>
      </c>
      <c r="C21" s="12">
        <v>1000</v>
      </c>
      <c r="D21" s="13">
        <v>70367.5</v>
      </c>
      <c r="E21" s="14">
        <v>7558.6</v>
      </c>
      <c r="F21" s="15">
        <f t="shared" si="0"/>
        <v>531879.7855</v>
      </c>
      <c r="G21" s="15"/>
      <c r="H21" s="15"/>
      <c r="I21" s="15"/>
    </row>
    <row r="22" spans="1:10" x14ac:dyDescent="0.2">
      <c r="A22" s="986"/>
      <c r="B22" s="876" t="s">
        <v>467</v>
      </c>
      <c r="C22" s="12">
        <v>1000</v>
      </c>
      <c r="D22" s="13">
        <v>4869.33</v>
      </c>
      <c r="E22" s="14">
        <v>7934.1</v>
      </c>
      <c r="F22" s="15">
        <f t="shared" si="0"/>
        <v>38633.751153000005</v>
      </c>
      <c r="G22" s="15"/>
      <c r="H22" s="15"/>
      <c r="I22" s="15"/>
    </row>
    <row r="23" spans="1:10" x14ac:dyDescent="0.2">
      <c r="A23" s="984">
        <v>4</v>
      </c>
      <c r="B23" s="879" t="s">
        <v>157</v>
      </c>
      <c r="C23" s="12">
        <v>1000</v>
      </c>
      <c r="D23" s="13">
        <v>0</v>
      </c>
      <c r="E23" s="13">
        <v>0</v>
      </c>
      <c r="F23" s="13">
        <v>0</v>
      </c>
      <c r="G23" s="13"/>
      <c r="H23" s="13"/>
      <c r="I23" s="13"/>
    </row>
    <row r="24" spans="1:10" x14ac:dyDescent="0.2">
      <c r="A24" s="985"/>
      <c r="B24" s="876" t="s">
        <v>468</v>
      </c>
      <c r="C24" s="12">
        <v>1000</v>
      </c>
      <c r="D24" s="13">
        <v>140702.28500000003</v>
      </c>
      <c r="E24" s="13">
        <v>10936.05</v>
      </c>
      <c r="F24" s="15">
        <f t="shared" ref="F24:F33" si="1">E24*D24/C24</f>
        <v>1538727.2238742502</v>
      </c>
      <c r="G24" s="15"/>
      <c r="H24" s="15"/>
      <c r="I24" s="15"/>
    </row>
    <row r="25" spans="1:10" x14ac:dyDescent="0.2">
      <c r="A25" s="985"/>
      <c r="B25" s="879" t="s">
        <v>469</v>
      </c>
      <c r="C25" s="12">
        <v>1000</v>
      </c>
      <c r="D25" s="13">
        <v>1887045.5</v>
      </c>
      <c r="E25" s="14">
        <v>11606.8</v>
      </c>
      <c r="F25" s="15">
        <f t="shared" si="1"/>
        <v>21902559.709399998</v>
      </c>
      <c r="G25" s="15"/>
      <c r="H25" s="15"/>
      <c r="I25" s="15"/>
    </row>
    <row r="26" spans="1:10" x14ac:dyDescent="0.2">
      <c r="A26" s="985"/>
      <c r="B26" s="876" t="s">
        <v>455</v>
      </c>
      <c r="C26" s="12">
        <v>1000</v>
      </c>
      <c r="D26" s="13">
        <v>97969.465000000011</v>
      </c>
      <c r="E26" s="13">
        <v>12948.3</v>
      </c>
      <c r="F26" s="15">
        <f t="shared" si="1"/>
        <v>1268538.0236595001</v>
      </c>
      <c r="G26" s="15"/>
      <c r="H26" s="15"/>
      <c r="I26" s="15"/>
    </row>
    <row r="27" spans="1:10" x14ac:dyDescent="0.2">
      <c r="A27" s="986"/>
      <c r="B27" s="876" t="s">
        <v>470</v>
      </c>
      <c r="C27" s="12">
        <v>1000</v>
      </c>
      <c r="D27" s="13">
        <v>159193.80000000005</v>
      </c>
      <c r="E27" s="13">
        <v>18092.2</v>
      </c>
      <c r="F27" s="15">
        <f t="shared" si="1"/>
        <v>2880166.0683600013</v>
      </c>
      <c r="G27" s="15"/>
      <c r="H27" s="15"/>
      <c r="I27" s="15"/>
    </row>
    <row r="28" spans="1:10" x14ac:dyDescent="0.2">
      <c r="A28" s="116">
        <v>5</v>
      </c>
      <c r="B28" s="881" t="s">
        <v>418</v>
      </c>
      <c r="C28" s="12">
        <v>1000</v>
      </c>
      <c r="D28" s="13">
        <v>1340460.5752499998</v>
      </c>
      <c r="E28" s="13">
        <v>5266.8</v>
      </c>
      <c r="F28" s="15">
        <f t="shared" si="1"/>
        <v>7059937.7577266991</v>
      </c>
      <c r="G28" s="15"/>
      <c r="H28" s="15"/>
      <c r="I28" s="15"/>
      <c r="J28" s="882"/>
    </row>
    <row r="29" spans="1:10" ht="30" x14ac:dyDescent="0.2">
      <c r="A29" s="116">
        <v>6</v>
      </c>
      <c r="B29" s="876" t="s">
        <v>189</v>
      </c>
      <c r="C29" s="37">
        <v>1</v>
      </c>
      <c r="D29" s="13">
        <v>1254</v>
      </c>
      <c r="E29" s="39">
        <v>1326.2</v>
      </c>
      <c r="F29" s="15">
        <f t="shared" si="1"/>
        <v>1663054.8</v>
      </c>
      <c r="G29" s="15"/>
      <c r="H29" s="15"/>
      <c r="I29" s="15"/>
    </row>
    <row r="30" spans="1:10" ht="45" x14ac:dyDescent="0.2">
      <c r="A30" s="116">
        <v>7</v>
      </c>
      <c r="B30" s="876" t="s">
        <v>17</v>
      </c>
      <c r="C30" s="18">
        <v>1</v>
      </c>
      <c r="D30" s="13">
        <v>1740</v>
      </c>
      <c r="E30" s="14">
        <v>1935.4</v>
      </c>
      <c r="F30" s="15">
        <f t="shared" si="1"/>
        <v>3367596</v>
      </c>
      <c r="G30" s="15"/>
      <c r="H30" s="15"/>
      <c r="I30" s="15"/>
    </row>
    <row r="31" spans="1:10" x14ac:dyDescent="0.2">
      <c r="A31" s="116">
        <v>8</v>
      </c>
      <c r="B31" s="883" t="s">
        <v>18</v>
      </c>
      <c r="C31" s="19">
        <v>1000</v>
      </c>
      <c r="D31" s="13">
        <v>6885050</v>
      </c>
      <c r="E31" s="14">
        <v>376.2</v>
      </c>
      <c r="F31" s="15">
        <f t="shared" si="1"/>
        <v>2590155.81</v>
      </c>
      <c r="G31" s="15"/>
      <c r="H31" s="15"/>
      <c r="I31" s="15"/>
    </row>
    <row r="32" spans="1:10" ht="30" x14ac:dyDescent="0.2">
      <c r="A32" s="116">
        <v>9</v>
      </c>
      <c r="B32" s="876" t="s">
        <v>327</v>
      </c>
      <c r="C32" s="37">
        <v>1</v>
      </c>
      <c r="D32" s="13">
        <v>5</v>
      </c>
      <c r="E32" s="13">
        <v>14630</v>
      </c>
      <c r="F32" s="15">
        <f t="shared" si="1"/>
        <v>73150</v>
      </c>
      <c r="G32" s="15"/>
      <c r="H32" s="15"/>
      <c r="I32" s="15"/>
    </row>
    <row r="33" spans="1:12" ht="45" x14ac:dyDescent="0.2">
      <c r="A33" s="117">
        <v>10</v>
      </c>
      <c r="B33" s="884" t="s">
        <v>19</v>
      </c>
      <c r="C33" s="12">
        <v>1000</v>
      </c>
      <c r="D33" s="13">
        <v>1617</v>
      </c>
      <c r="E33" s="21">
        <v>15824.15</v>
      </c>
      <c r="F33" s="15">
        <f t="shared" si="1"/>
        <v>25587.650550000002</v>
      </c>
      <c r="G33" s="15"/>
      <c r="H33" s="15"/>
      <c r="I33" s="15"/>
    </row>
    <row r="34" spans="1:12" s="152" customFormat="1" ht="30" x14ac:dyDescent="0.2">
      <c r="A34" s="987">
        <v>11</v>
      </c>
      <c r="B34" s="884" t="s">
        <v>20</v>
      </c>
      <c r="C34" s="12">
        <v>100</v>
      </c>
      <c r="D34" s="13">
        <v>0</v>
      </c>
      <c r="E34" s="13">
        <v>0</v>
      </c>
      <c r="F34" s="13">
        <v>0</v>
      </c>
      <c r="G34" s="13"/>
      <c r="H34" s="13"/>
      <c r="I34" s="13"/>
      <c r="J34" s="877" t="e">
        <f>#REF!*37</f>
        <v>#REF!</v>
      </c>
    </row>
    <row r="35" spans="1:12" s="152" customFormat="1" x14ac:dyDescent="0.2">
      <c r="A35" s="988"/>
      <c r="B35" s="884" t="s">
        <v>21</v>
      </c>
      <c r="C35" s="12">
        <v>100</v>
      </c>
      <c r="D35" s="13">
        <v>41070.554165017595</v>
      </c>
      <c r="E35" s="21">
        <v>34694.300000000003</v>
      </c>
      <c r="F35" s="15">
        <f t="shared" ref="F35:F44" si="2">E35*D35/C35</f>
        <v>14249141.273673702</v>
      </c>
      <c r="G35" s="15"/>
      <c r="H35" s="15"/>
      <c r="I35" s="15"/>
      <c r="J35" s="877"/>
      <c r="K35" s="885">
        <f>SUM(D35:D35)</f>
        <v>41070.554165017595</v>
      </c>
      <c r="L35" s="886">
        <v>23362466.852632541</v>
      </c>
    </row>
    <row r="36" spans="1:12" x14ac:dyDescent="0.2">
      <c r="A36" s="989"/>
      <c r="B36" s="884" t="s">
        <v>107</v>
      </c>
      <c r="C36" s="12">
        <v>100</v>
      </c>
      <c r="D36" s="13">
        <v>12898.728125000001</v>
      </c>
      <c r="E36" s="14">
        <v>47135.9</v>
      </c>
      <c r="F36" s="15">
        <f t="shared" si="2"/>
        <v>6079931.5902718762</v>
      </c>
      <c r="G36" s="15"/>
      <c r="H36" s="15"/>
      <c r="I36" s="15"/>
      <c r="K36" s="882">
        <f>SUM(D36:D36)</f>
        <v>12898.728125000001</v>
      </c>
    </row>
    <row r="37" spans="1:12" s="152" customFormat="1" x14ac:dyDescent="0.2">
      <c r="A37" s="44">
        <v>12</v>
      </c>
      <c r="B37" s="884" t="s">
        <v>22</v>
      </c>
      <c r="C37" s="12">
        <v>100</v>
      </c>
      <c r="D37" s="13">
        <v>58371.555499999995</v>
      </c>
      <c r="E37" s="21">
        <v>32675.95</v>
      </c>
      <c r="F37" s="15">
        <f t="shared" si="2"/>
        <v>19073460.28940225</v>
      </c>
      <c r="G37" s="15"/>
      <c r="H37" s="15"/>
      <c r="I37" s="15"/>
      <c r="J37" s="877" t="e">
        <f>#REF!*37</f>
        <v>#REF!</v>
      </c>
      <c r="K37" s="885"/>
    </row>
    <row r="38" spans="1:12" s="152" customFormat="1" ht="30" x14ac:dyDescent="0.2">
      <c r="A38" s="44">
        <v>13</v>
      </c>
      <c r="B38" s="884" t="s">
        <v>23</v>
      </c>
      <c r="C38" s="19">
        <v>100</v>
      </c>
      <c r="D38" s="13">
        <v>643.5</v>
      </c>
      <c r="E38" s="14">
        <v>11851.2</v>
      </c>
      <c r="F38" s="15">
        <f t="shared" si="2"/>
        <v>76262.472000000009</v>
      </c>
      <c r="G38" s="15"/>
      <c r="H38" s="15"/>
      <c r="I38" s="15"/>
    </row>
    <row r="39" spans="1:12" s="887" customFormat="1" ht="45" x14ac:dyDescent="0.2">
      <c r="A39" s="44">
        <v>14</v>
      </c>
      <c r="B39" s="884" t="s">
        <v>92</v>
      </c>
      <c r="C39" s="19">
        <v>100</v>
      </c>
      <c r="D39" s="13">
        <v>11220.609375</v>
      </c>
      <c r="E39" s="14">
        <v>11460.2</v>
      </c>
      <c r="F39" s="15">
        <f t="shared" si="2"/>
        <v>1285904.2755937499</v>
      </c>
      <c r="G39" s="15"/>
      <c r="H39" s="15"/>
      <c r="I39" s="15"/>
      <c r="J39" s="877" t="e">
        <f>#REF!*37</f>
        <v>#REF!</v>
      </c>
      <c r="K39" s="877"/>
    </row>
    <row r="40" spans="1:12" s="891" customFormat="1" ht="30" x14ac:dyDescent="0.2">
      <c r="A40" s="124">
        <v>15</v>
      </c>
      <c r="B40" s="888" t="s">
        <v>272</v>
      </c>
      <c r="C40" s="889">
        <v>100</v>
      </c>
      <c r="D40" s="13">
        <v>427.5</v>
      </c>
      <c r="E40" s="14">
        <v>11851.6</v>
      </c>
      <c r="F40" s="15">
        <f t="shared" si="2"/>
        <v>50665.59</v>
      </c>
      <c r="G40" s="15"/>
      <c r="H40" s="15"/>
      <c r="I40" s="15"/>
    </row>
    <row r="41" spans="1:12" x14ac:dyDescent="0.2">
      <c r="A41" s="117">
        <v>16</v>
      </c>
      <c r="B41" s="884" t="s">
        <v>24</v>
      </c>
      <c r="C41" s="12">
        <v>100</v>
      </c>
      <c r="D41" s="13">
        <v>1348.1015625</v>
      </c>
      <c r="E41" s="21">
        <v>37620.6</v>
      </c>
      <c r="F41" s="15">
        <f t="shared" si="2"/>
        <v>507163.89642187499</v>
      </c>
      <c r="G41" s="15"/>
      <c r="H41" s="15"/>
      <c r="I41" s="15"/>
    </row>
    <row r="42" spans="1:12" x14ac:dyDescent="0.2">
      <c r="A42" s="117">
        <v>17</v>
      </c>
      <c r="B42" s="884" t="s">
        <v>25</v>
      </c>
      <c r="C42" s="19">
        <v>100</v>
      </c>
      <c r="D42" s="13">
        <v>3805.7250000000004</v>
      </c>
      <c r="E42" s="21">
        <v>4334.75</v>
      </c>
      <c r="F42" s="15">
        <f t="shared" si="2"/>
        <v>164968.6644375</v>
      </c>
      <c r="G42" s="15"/>
      <c r="H42" s="15"/>
      <c r="I42" s="15"/>
    </row>
    <row r="43" spans="1:12" ht="30" x14ac:dyDescent="0.2">
      <c r="A43" s="117">
        <v>18</v>
      </c>
      <c r="B43" s="884" t="s">
        <v>115</v>
      </c>
      <c r="C43" s="19">
        <v>100</v>
      </c>
      <c r="D43" s="13">
        <v>61675.404300000002</v>
      </c>
      <c r="E43" s="21">
        <v>7379.1</v>
      </c>
      <c r="F43" s="15">
        <f t="shared" si="2"/>
        <v>4551089.7587013002</v>
      </c>
      <c r="G43" s="15"/>
      <c r="H43" s="15"/>
      <c r="I43" s="15"/>
      <c r="J43" s="877" t="e">
        <f>#REF!*37</f>
        <v>#REF!</v>
      </c>
      <c r="K43" s="882"/>
    </row>
    <row r="44" spans="1:12" x14ac:dyDescent="0.2">
      <c r="A44" s="117">
        <v>19</v>
      </c>
      <c r="B44" s="884" t="s">
        <v>27</v>
      </c>
      <c r="C44" s="24">
        <v>1</v>
      </c>
      <c r="D44" s="13">
        <v>8250</v>
      </c>
      <c r="E44" s="21">
        <v>30.5</v>
      </c>
      <c r="F44" s="15">
        <f t="shared" si="2"/>
        <v>251625</v>
      </c>
      <c r="G44" s="15"/>
      <c r="H44" s="15"/>
      <c r="I44" s="15"/>
    </row>
    <row r="45" spans="1:12" s="152" customFormat="1" ht="45.75" x14ac:dyDescent="0.2">
      <c r="A45" s="987">
        <v>20</v>
      </c>
      <c r="B45" s="892" t="s">
        <v>36</v>
      </c>
      <c r="C45" s="23"/>
      <c r="D45" s="13">
        <v>0</v>
      </c>
      <c r="E45" s="23"/>
      <c r="F45" s="23"/>
      <c r="G45" s="23"/>
      <c r="H45" s="23"/>
      <c r="I45" s="23"/>
    </row>
    <row r="46" spans="1:12" x14ac:dyDescent="0.2">
      <c r="A46" s="988"/>
      <c r="B46" s="884" t="s">
        <v>29</v>
      </c>
      <c r="C46" s="12">
        <v>100</v>
      </c>
      <c r="D46" s="13">
        <v>70.784999999999997</v>
      </c>
      <c r="E46" s="21">
        <v>14042.6</v>
      </c>
      <c r="F46" s="15">
        <f t="shared" ref="F46:F69" si="3">E46*D46/C46</f>
        <v>9940.0544100000006</v>
      </c>
      <c r="G46" s="15"/>
      <c r="H46" s="15"/>
      <c r="I46" s="15"/>
    </row>
    <row r="47" spans="1:12" x14ac:dyDescent="0.2">
      <c r="A47" s="988"/>
      <c r="B47" s="884" t="s">
        <v>38</v>
      </c>
      <c r="C47" s="12">
        <v>100</v>
      </c>
      <c r="D47" s="13">
        <v>5036.5815499999999</v>
      </c>
      <c r="E47" s="13">
        <v>14042.6</v>
      </c>
      <c r="F47" s="15">
        <f t="shared" si="3"/>
        <v>707267.00074029993</v>
      </c>
      <c r="G47" s="15"/>
      <c r="H47" s="15"/>
      <c r="I47" s="15"/>
      <c r="J47" s="877" t="e">
        <f>#REF!*37</f>
        <v>#REF!</v>
      </c>
      <c r="K47" s="877" t="e">
        <f>D47-J47</f>
        <v>#REF!</v>
      </c>
      <c r="L47" s="882"/>
    </row>
    <row r="48" spans="1:12" x14ac:dyDescent="0.2">
      <c r="A48" s="988"/>
      <c r="B48" s="884" t="s">
        <v>61</v>
      </c>
      <c r="C48" s="12">
        <v>100</v>
      </c>
      <c r="D48" s="13">
        <v>30772.144598416897</v>
      </c>
      <c r="E48" s="13">
        <v>14042.6</v>
      </c>
      <c r="F48" s="15">
        <f t="shared" si="3"/>
        <v>4321209.177377291</v>
      </c>
      <c r="G48" s="15"/>
      <c r="H48" s="15"/>
      <c r="I48" s="15"/>
      <c r="J48" s="877" t="e">
        <f>#REF!*37</f>
        <v>#REF!</v>
      </c>
      <c r="K48" s="877" t="e">
        <f>D48-J48</f>
        <v>#REF!</v>
      </c>
      <c r="L48" s="882"/>
    </row>
    <row r="49" spans="1:12" s="887" customFormat="1" x14ac:dyDescent="0.2">
      <c r="A49" s="988"/>
      <c r="B49" s="884" t="s">
        <v>62</v>
      </c>
      <c r="C49" s="12">
        <v>100</v>
      </c>
      <c r="D49" s="13">
        <v>106108.05618023523</v>
      </c>
      <c r="E49" s="13">
        <v>14042.6</v>
      </c>
      <c r="F49" s="15">
        <f t="shared" si="3"/>
        <v>14900329.897165714</v>
      </c>
      <c r="G49" s="15"/>
      <c r="H49" s="15"/>
      <c r="I49" s="15"/>
      <c r="J49" s="894"/>
    </row>
    <row r="50" spans="1:12" s="887" customFormat="1" x14ac:dyDescent="0.2">
      <c r="A50" s="988"/>
      <c r="B50" s="884" t="s">
        <v>64</v>
      </c>
      <c r="C50" s="12">
        <v>100</v>
      </c>
      <c r="D50" s="13">
        <v>2183.8000000000002</v>
      </c>
      <c r="E50" s="13">
        <v>14042.6</v>
      </c>
      <c r="F50" s="15">
        <f t="shared" si="3"/>
        <v>306662.29880000005</v>
      </c>
      <c r="G50" s="15"/>
      <c r="H50" s="15"/>
      <c r="I50" s="15"/>
    </row>
    <row r="51" spans="1:12" s="887" customFormat="1" x14ac:dyDescent="0.2">
      <c r="A51" s="988"/>
      <c r="B51" s="884" t="s">
        <v>65</v>
      </c>
      <c r="C51" s="12">
        <v>100</v>
      </c>
      <c r="D51" s="13">
        <v>268.5</v>
      </c>
      <c r="E51" s="13">
        <v>14042.6</v>
      </c>
      <c r="F51" s="15">
        <f t="shared" si="3"/>
        <v>37704.381000000001</v>
      </c>
      <c r="G51" s="15"/>
      <c r="H51" s="15"/>
      <c r="I51" s="15"/>
    </row>
    <row r="52" spans="1:12" x14ac:dyDescent="0.2">
      <c r="A52" s="988"/>
      <c r="B52" s="884" t="s">
        <v>141</v>
      </c>
      <c r="C52" s="12">
        <v>100</v>
      </c>
      <c r="D52" s="13">
        <v>24736.495222999998</v>
      </c>
      <c r="E52" s="13">
        <v>14042.6</v>
      </c>
      <c r="F52" s="15">
        <f t="shared" si="3"/>
        <v>3473647.0781849981</v>
      </c>
      <c r="G52" s="15"/>
      <c r="H52" s="15"/>
      <c r="I52" s="15"/>
      <c r="J52" s="877" t="e">
        <f>#REF!*37</f>
        <v>#REF!</v>
      </c>
      <c r="K52" s="877" t="e">
        <f>D52-J52</f>
        <v>#REF!</v>
      </c>
      <c r="L52" s="882">
        <f>SUM(F186:F222)</f>
        <v>80212234.679585844</v>
      </c>
    </row>
    <row r="53" spans="1:12" x14ac:dyDescent="0.2">
      <c r="A53" s="988"/>
      <c r="B53" s="884" t="s">
        <v>143</v>
      </c>
      <c r="C53" s="12">
        <v>100</v>
      </c>
      <c r="D53" s="13">
        <v>1234.2670312499999</v>
      </c>
      <c r="E53" s="13">
        <v>14042.6</v>
      </c>
      <c r="F53" s="15">
        <f t="shared" si="3"/>
        <v>173323.18213031252</v>
      </c>
      <c r="G53" s="15"/>
      <c r="H53" s="15"/>
      <c r="I53" s="15"/>
      <c r="J53" s="877" t="e">
        <f>#REF!*37</f>
        <v>#REF!</v>
      </c>
      <c r="K53" s="877" t="e">
        <f>D53-J53</f>
        <v>#REF!</v>
      </c>
      <c r="L53" s="882"/>
    </row>
    <row r="54" spans="1:12" s="887" customFormat="1" x14ac:dyDescent="0.2">
      <c r="A54" s="989"/>
      <c r="B54" s="884" t="s">
        <v>207</v>
      </c>
      <c r="C54" s="12">
        <v>100</v>
      </c>
      <c r="D54" s="13">
        <v>15224.763780000005</v>
      </c>
      <c r="E54" s="13">
        <v>14042.6</v>
      </c>
      <c r="F54" s="15">
        <f t="shared" si="3"/>
        <v>2137952.6785702808</v>
      </c>
      <c r="G54" s="15"/>
      <c r="H54" s="15"/>
      <c r="I54" s="15"/>
    </row>
    <row r="55" spans="1:12" s="152" customFormat="1" x14ac:dyDescent="0.2">
      <c r="A55" s="118">
        <v>21</v>
      </c>
      <c r="B55" s="892" t="s">
        <v>30</v>
      </c>
      <c r="C55" s="12">
        <v>1</v>
      </c>
      <c r="D55" s="13">
        <v>786.04000000000008</v>
      </c>
      <c r="E55" s="25">
        <v>546.95000000000005</v>
      </c>
      <c r="F55" s="15">
        <f t="shared" si="3"/>
        <v>429924.5780000001</v>
      </c>
      <c r="G55" s="15"/>
      <c r="H55" s="15"/>
      <c r="I55" s="15"/>
    </row>
    <row r="56" spans="1:12" s="152" customFormat="1" ht="30" x14ac:dyDescent="0.2">
      <c r="A56" s="118">
        <v>22</v>
      </c>
      <c r="B56" s="892" t="s">
        <v>31</v>
      </c>
      <c r="C56" s="26">
        <v>100</v>
      </c>
      <c r="D56" s="13">
        <v>1796.0099999999998</v>
      </c>
      <c r="E56" s="25">
        <v>30006.1</v>
      </c>
      <c r="F56" s="15">
        <f t="shared" si="3"/>
        <v>538912.55660999985</v>
      </c>
      <c r="G56" s="15"/>
      <c r="H56" s="15"/>
      <c r="I56" s="15"/>
    </row>
    <row r="57" spans="1:12" s="152" customFormat="1" x14ac:dyDescent="0.2">
      <c r="A57" s="44">
        <v>23</v>
      </c>
      <c r="B57" s="892" t="s">
        <v>32</v>
      </c>
      <c r="C57" s="24">
        <v>1</v>
      </c>
      <c r="D57" s="13">
        <v>457</v>
      </c>
      <c r="E57" s="25">
        <v>115.4</v>
      </c>
      <c r="F57" s="15">
        <f t="shared" si="3"/>
        <v>52737.8</v>
      </c>
      <c r="G57" s="15"/>
      <c r="H57" s="15"/>
      <c r="I57" s="15"/>
    </row>
    <row r="58" spans="1:12" s="152" customFormat="1" x14ac:dyDescent="0.2">
      <c r="A58" s="44">
        <v>24</v>
      </c>
      <c r="B58" s="892" t="s">
        <v>33</v>
      </c>
      <c r="C58" s="27">
        <v>1</v>
      </c>
      <c r="D58" s="13">
        <v>457</v>
      </c>
      <c r="E58" s="25">
        <v>141.9</v>
      </c>
      <c r="F58" s="15">
        <f t="shared" si="3"/>
        <v>64848.3</v>
      </c>
      <c r="G58" s="15"/>
      <c r="H58" s="15"/>
      <c r="I58" s="15"/>
    </row>
    <row r="59" spans="1:12" s="152" customFormat="1" x14ac:dyDescent="0.2">
      <c r="A59" s="44">
        <v>25</v>
      </c>
      <c r="B59" s="892" t="s">
        <v>34</v>
      </c>
      <c r="C59" s="19">
        <v>100</v>
      </c>
      <c r="D59" s="13">
        <v>1599.5</v>
      </c>
      <c r="E59" s="25">
        <v>4307.55</v>
      </c>
      <c r="F59" s="15">
        <f t="shared" si="3"/>
        <v>68899.26225</v>
      </c>
      <c r="G59" s="15"/>
      <c r="H59" s="15"/>
      <c r="I59" s="15"/>
    </row>
    <row r="60" spans="1:12" s="152" customFormat="1" x14ac:dyDescent="0.2">
      <c r="A60" s="44">
        <v>26</v>
      </c>
      <c r="B60" s="892" t="s">
        <v>35</v>
      </c>
      <c r="C60" s="24">
        <v>1</v>
      </c>
      <c r="D60" s="13">
        <v>4570</v>
      </c>
      <c r="E60" s="25">
        <v>30.5</v>
      </c>
      <c r="F60" s="15">
        <f t="shared" si="3"/>
        <v>139385</v>
      </c>
      <c r="G60" s="15"/>
      <c r="H60" s="15"/>
      <c r="I60" s="15"/>
    </row>
    <row r="61" spans="1:12" s="152" customFormat="1" ht="30" x14ac:dyDescent="0.2">
      <c r="A61" s="118">
        <v>27</v>
      </c>
      <c r="B61" s="884" t="s">
        <v>328</v>
      </c>
      <c r="C61" s="179">
        <v>1000</v>
      </c>
      <c r="D61" s="13">
        <v>245</v>
      </c>
      <c r="E61" s="25">
        <v>546.95000000000005</v>
      </c>
      <c r="F61" s="15">
        <f t="shared" si="3"/>
        <v>134.00274999999999</v>
      </c>
      <c r="G61" s="15"/>
      <c r="H61" s="15"/>
      <c r="I61" s="15"/>
    </row>
    <row r="62" spans="1:12" s="152" customFormat="1" ht="30" x14ac:dyDescent="0.2">
      <c r="A62" s="118">
        <v>28</v>
      </c>
      <c r="B62" s="884" t="s">
        <v>329</v>
      </c>
      <c r="C62" s="895">
        <v>100</v>
      </c>
      <c r="D62" s="13">
        <v>367.5</v>
      </c>
      <c r="E62" s="25">
        <v>30006.1</v>
      </c>
      <c r="F62" s="15">
        <f t="shared" si="3"/>
        <v>110272.4175</v>
      </c>
      <c r="G62" s="15"/>
      <c r="H62" s="15"/>
      <c r="I62" s="15"/>
    </row>
    <row r="63" spans="1:12" s="152" customFormat="1" ht="45" x14ac:dyDescent="0.2">
      <c r="A63" s="44">
        <v>29</v>
      </c>
      <c r="B63" s="884" t="s">
        <v>330</v>
      </c>
      <c r="C63" s="896">
        <v>1</v>
      </c>
      <c r="D63" s="13">
        <v>560</v>
      </c>
      <c r="E63" s="25">
        <v>115.4</v>
      </c>
      <c r="F63" s="15">
        <f t="shared" si="3"/>
        <v>64624</v>
      </c>
      <c r="G63" s="15"/>
      <c r="H63" s="15"/>
      <c r="I63" s="15"/>
    </row>
    <row r="64" spans="1:12" s="152" customFormat="1" ht="30" x14ac:dyDescent="0.2">
      <c r="A64" s="44">
        <v>30</v>
      </c>
      <c r="B64" s="884" t="s">
        <v>331</v>
      </c>
      <c r="C64" s="895">
        <v>100</v>
      </c>
      <c r="D64" s="13">
        <v>323.40000000000003</v>
      </c>
      <c r="E64" s="25">
        <v>141.9</v>
      </c>
      <c r="F64" s="15">
        <f t="shared" si="3"/>
        <v>458.90460000000007</v>
      </c>
      <c r="G64" s="15"/>
      <c r="H64" s="15"/>
      <c r="I64" s="15"/>
    </row>
    <row r="65" spans="1:13" x14ac:dyDescent="0.2">
      <c r="A65" s="117">
        <v>31</v>
      </c>
      <c r="B65" s="897" t="s">
        <v>333</v>
      </c>
      <c r="C65" s="898">
        <v>100</v>
      </c>
      <c r="D65" s="13">
        <v>1823.0675000000001</v>
      </c>
      <c r="E65" s="25">
        <v>2633.4</v>
      </c>
      <c r="F65" s="15">
        <f t="shared" si="3"/>
        <v>48008.659545000002</v>
      </c>
      <c r="G65" s="15"/>
      <c r="H65" s="15"/>
      <c r="I65" s="15"/>
    </row>
    <row r="66" spans="1:13" ht="45" x14ac:dyDescent="0.2">
      <c r="A66" s="117">
        <v>32</v>
      </c>
      <c r="B66" s="897" t="s">
        <v>57</v>
      </c>
      <c r="C66" s="12">
        <v>100</v>
      </c>
      <c r="D66" s="13">
        <v>4635</v>
      </c>
      <c r="E66" s="25">
        <v>4017.8</v>
      </c>
      <c r="F66" s="15">
        <f t="shared" si="3"/>
        <v>186225.03</v>
      </c>
      <c r="G66" s="15"/>
      <c r="H66" s="15"/>
      <c r="I66" s="15"/>
      <c r="K66" s="882"/>
    </row>
    <row r="67" spans="1:13" ht="30" x14ac:dyDescent="0.2">
      <c r="A67" s="117">
        <v>33</v>
      </c>
      <c r="B67" s="897" t="s">
        <v>336</v>
      </c>
      <c r="C67" s="12">
        <v>100</v>
      </c>
      <c r="D67" s="13">
        <v>13340.27</v>
      </c>
      <c r="E67" s="25">
        <v>27086.400000000001</v>
      </c>
      <c r="F67" s="15">
        <f t="shared" si="3"/>
        <v>3613398.89328</v>
      </c>
      <c r="G67" s="15"/>
      <c r="H67" s="15"/>
      <c r="I67" s="15"/>
    </row>
    <row r="68" spans="1:13" s="887" customFormat="1" ht="60" x14ac:dyDescent="0.2">
      <c r="A68" s="118">
        <v>34</v>
      </c>
      <c r="B68" s="884" t="s">
        <v>39</v>
      </c>
      <c r="C68" s="12">
        <v>1000</v>
      </c>
      <c r="D68" s="13">
        <v>588089.4261981172</v>
      </c>
      <c r="E68" s="14">
        <v>12735.6</v>
      </c>
      <c r="F68" s="15">
        <f t="shared" si="3"/>
        <v>7489671.6962887421</v>
      </c>
      <c r="G68" s="15"/>
      <c r="H68" s="15"/>
      <c r="I68" s="15"/>
      <c r="J68" s="894">
        <f>SUM(F68:F182)</f>
        <v>704518649.62020278</v>
      </c>
      <c r="L68" s="886">
        <v>63826446.624435835</v>
      </c>
      <c r="M68" s="894"/>
    </row>
    <row r="69" spans="1:13" s="887" customFormat="1" ht="60" x14ac:dyDescent="0.2">
      <c r="A69" s="122">
        <v>35</v>
      </c>
      <c r="B69" s="884" t="s">
        <v>98</v>
      </c>
      <c r="C69" s="29">
        <v>100</v>
      </c>
      <c r="D69" s="13">
        <v>1015459.2095243642</v>
      </c>
      <c r="E69" s="14">
        <v>30376.9</v>
      </c>
      <c r="F69" s="15">
        <f t="shared" si="3"/>
        <v>308465028.61800659</v>
      </c>
      <c r="G69" s="15"/>
      <c r="H69" s="15"/>
      <c r="I69" s="15"/>
      <c r="J69" s="877" t="e">
        <f>#REF!*37</f>
        <v>#REF!</v>
      </c>
      <c r="K69" s="877"/>
    </row>
    <row r="70" spans="1:13" ht="75.75" x14ac:dyDescent="0.2">
      <c r="A70" s="44">
        <v>36</v>
      </c>
      <c r="B70" s="884" t="s">
        <v>41</v>
      </c>
      <c r="C70" s="12"/>
      <c r="D70" s="13">
        <v>0</v>
      </c>
      <c r="E70" s="893"/>
      <c r="F70" s="893"/>
      <c r="G70" s="893"/>
      <c r="H70" s="893"/>
      <c r="I70" s="893"/>
    </row>
    <row r="71" spans="1:13" ht="60" x14ac:dyDescent="0.2">
      <c r="A71" s="44" t="s">
        <v>42</v>
      </c>
      <c r="B71" s="884" t="s">
        <v>43</v>
      </c>
      <c r="C71" s="12">
        <v>1</v>
      </c>
      <c r="D71" s="13">
        <v>174842.05310147052</v>
      </c>
      <c r="E71" s="14">
        <v>817.55</v>
      </c>
      <c r="F71" s="15">
        <f t="shared" ref="F71:F81" si="4">E71*D71/C71</f>
        <v>142942120.51310721</v>
      </c>
      <c r="G71" s="15"/>
      <c r="H71" s="15"/>
      <c r="I71" s="15"/>
      <c r="J71" s="882"/>
    </row>
    <row r="72" spans="1:13" ht="60" x14ac:dyDescent="0.2">
      <c r="A72" s="44" t="s">
        <v>44</v>
      </c>
      <c r="B72" s="884" t="s">
        <v>45</v>
      </c>
      <c r="C72" s="12">
        <v>1</v>
      </c>
      <c r="D72" s="13">
        <v>77484.511800000007</v>
      </c>
      <c r="E72" s="14">
        <v>670.5</v>
      </c>
      <c r="F72" s="15">
        <f t="shared" si="4"/>
        <v>51953365.161900006</v>
      </c>
      <c r="G72" s="15"/>
      <c r="H72" s="15"/>
      <c r="I72" s="15"/>
      <c r="J72" s="882"/>
    </row>
    <row r="73" spans="1:13" ht="30" x14ac:dyDescent="0.2">
      <c r="A73" s="44">
        <v>37</v>
      </c>
      <c r="B73" s="902" t="s">
        <v>71</v>
      </c>
      <c r="C73" s="31">
        <v>1</v>
      </c>
      <c r="D73" s="13">
        <v>6423.48</v>
      </c>
      <c r="E73" s="14">
        <v>809.4</v>
      </c>
      <c r="F73" s="15">
        <f t="shared" si="4"/>
        <v>5199164.7119999994</v>
      </c>
      <c r="G73" s="15"/>
      <c r="H73" s="15"/>
      <c r="I73" s="15"/>
      <c r="J73" s="882"/>
    </row>
    <row r="74" spans="1:13" ht="30" x14ac:dyDescent="0.2">
      <c r="A74" s="44">
        <v>38</v>
      </c>
      <c r="B74" s="884" t="s">
        <v>46</v>
      </c>
      <c r="C74" s="19">
        <v>100</v>
      </c>
      <c r="D74" s="13">
        <v>99728.813576470522</v>
      </c>
      <c r="E74" s="25">
        <v>1645.1</v>
      </c>
      <c r="F74" s="15">
        <f t="shared" si="4"/>
        <v>1640638.7121465164</v>
      </c>
      <c r="G74" s="15"/>
      <c r="H74" s="15"/>
      <c r="I74" s="15"/>
      <c r="J74" s="882"/>
    </row>
    <row r="75" spans="1:13" s="887" customFormat="1" ht="30" x14ac:dyDescent="0.2">
      <c r="A75" s="44">
        <v>39</v>
      </c>
      <c r="B75" s="884" t="s">
        <v>111</v>
      </c>
      <c r="C75" s="36">
        <v>1</v>
      </c>
      <c r="D75" s="13">
        <v>11417</v>
      </c>
      <c r="E75" s="25">
        <v>514.9</v>
      </c>
      <c r="F75" s="15">
        <f t="shared" si="4"/>
        <v>5878613.2999999998</v>
      </c>
      <c r="G75" s="15"/>
      <c r="H75" s="15"/>
      <c r="I75" s="15"/>
      <c r="J75" s="877" t="e">
        <f>#REF!*37</f>
        <v>#REF!</v>
      </c>
      <c r="K75" s="877"/>
    </row>
    <row r="76" spans="1:13" s="887" customFormat="1" x14ac:dyDescent="0.2">
      <c r="A76" s="121">
        <v>40</v>
      </c>
      <c r="B76" s="904" t="s">
        <v>87</v>
      </c>
      <c r="C76" s="36">
        <v>1</v>
      </c>
      <c r="D76" s="13">
        <v>48</v>
      </c>
      <c r="E76" s="33">
        <v>378.75</v>
      </c>
      <c r="F76" s="15">
        <f t="shared" si="4"/>
        <v>18180</v>
      </c>
      <c r="G76" s="15"/>
      <c r="H76" s="15"/>
      <c r="I76" s="15"/>
    </row>
    <row r="77" spans="1:13" ht="30" x14ac:dyDescent="0.2">
      <c r="A77" s="44">
        <v>41</v>
      </c>
      <c r="B77" s="884" t="s">
        <v>47</v>
      </c>
      <c r="C77" s="31">
        <v>1</v>
      </c>
      <c r="D77" s="13">
        <v>169.5</v>
      </c>
      <c r="E77" s="25">
        <v>303.8</v>
      </c>
      <c r="F77" s="15">
        <f t="shared" si="4"/>
        <v>51494.1</v>
      </c>
      <c r="G77" s="15"/>
      <c r="H77" s="15"/>
      <c r="I77" s="15"/>
    </row>
    <row r="78" spans="1:13" ht="75" x14ac:dyDescent="0.2">
      <c r="A78" s="44">
        <v>41</v>
      </c>
      <c r="B78" s="884" t="s">
        <v>164</v>
      </c>
      <c r="C78" s="36">
        <v>1</v>
      </c>
      <c r="D78" s="13">
        <v>624</v>
      </c>
      <c r="E78" s="13">
        <v>2150.35</v>
      </c>
      <c r="F78" s="15">
        <f t="shared" si="4"/>
        <v>1341818.3999999999</v>
      </c>
      <c r="G78" s="15"/>
      <c r="H78" s="15"/>
      <c r="I78" s="15"/>
    </row>
    <row r="79" spans="1:13" s="887" customFormat="1" ht="90" x14ac:dyDescent="0.2">
      <c r="A79" s="44">
        <v>43</v>
      </c>
      <c r="B79" s="897" t="s">
        <v>422</v>
      </c>
      <c r="C79" s="12">
        <v>100</v>
      </c>
      <c r="D79" s="13">
        <v>4715</v>
      </c>
      <c r="E79" s="14">
        <v>10003.5</v>
      </c>
      <c r="F79" s="15">
        <f t="shared" si="4"/>
        <v>471665.02500000002</v>
      </c>
      <c r="G79" s="15"/>
      <c r="H79" s="15"/>
      <c r="I79" s="15"/>
      <c r="J79" s="894"/>
    </row>
    <row r="80" spans="1:13" s="887" customFormat="1" ht="75" x14ac:dyDescent="0.2">
      <c r="A80" s="44">
        <v>44</v>
      </c>
      <c r="B80" s="897" t="s">
        <v>423</v>
      </c>
      <c r="C80" s="12">
        <v>100</v>
      </c>
      <c r="D80" s="13">
        <v>2615</v>
      </c>
      <c r="E80" s="14">
        <v>13527.4</v>
      </c>
      <c r="F80" s="15">
        <f t="shared" si="4"/>
        <v>353741.51</v>
      </c>
      <c r="G80" s="15"/>
      <c r="H80" s="15"/>
      <c r="I80" s="15"/>
    </row>
    <row r="81" spans="1:14" s="887" customFormat="1" ht="30" x14ac:dyDescent="0.2">
      <c r="A81" s="44">
        <v>45</v>
      </c>
      <c r="B81" s="897" t="s">
        <v>50</v>
      </c>
      <c r="C81" s="31">
        <v>1</v>
      </c>
      <c r="D81" s="13">
        <v>700</v>
      </c>
      <c r="E81" s="14">
        <v>64.2</v>
      </c>
      <c r="F81" s="15">
        <f t="shared" si="4"/>
        <v>44940</v>
      </c>
      <c r="G81" s="15"/>
      <c r="H81" s="15"/>
      <c r="I81" s="15"/>
    </row>
    <row r="82" spans="1:14" s="887" customFormat="1" ht="75" x14ac:dyDescent="0.2">
      <c r="A82" s="44">
        <v>46</v>
      </c>
      <c r="B82" s="897" t="s">
        <v>392</v>
      </c>
      <c r="C82" s="19"/>
      <c r="D82" s="13">
        <v>0</v>
      </c>
      <c r="E82" s="14"/>
      <c r="F82" s="14"/>
      <c r="G82" s="14"/>
      <c r="H82" s="14"/>
      <c r="I82" s="14"/>
    </row>
    <row r="83" spans="1:14" s="887" customFormat="1" ht="30" x14ac:dyDescent="0.2">
      <c r="A83" s="44" t="s">
        <v>51</v>
      </c>
      <c r="B83" s="897" t="s">
        <v>52</v>
      </c>
      <c r="C83" s="19">
        <v>100</v>
      </c>
      <c r="D83" s="13">
        <v>5230</v>
      </c>
      <c r="E83" s="25">
        <v>4549.95</v>
      </c>
      <c r="F83" s="15">
        <f t="shared" ref="F83:F89" si="5">E83*D83/C83</f>
        <v>237962.38500000001</v>
      </c>
      <c r="G83" s="15"/>
      <c r="H83" s="15"/>
      <c r="I83" s="15"/>
    </row>
    <row r="84" spans="1:14" s="887" customFormat="1" ht="30" x14ac:dyDescent="0.2">
      <c r="A84" s="44" t="s">
        <v>53</v>
      </c>
      <c r="B84" s="897" t="s">
        <v>54</v>
      </c>
      <c r="C84" s="19">
        <v>100</v>
      </c>
      <c r="D84" s="13">
        <v>5230</v>
      </c>
      <c r="E84" s="25">
        <v>2639.45</v>
      </c>
      <c r="F84" s="15">
        <f t="shared" si="5"/>
        <v>138043.23499999999</v>
      </c>
      <c r="G84" s="15"/>
      <c r="H84" s="15"/>
      <c r="I84" s="15"/>
    </row>
    <row r="85" spans="1:14" s="887" customFormat="1" ht="30" x14ac:dyDescent="0.2">
      <c r="A85" s="44" t="s">
        <v>55</v>
      </c>
      <c r="B85" s="897" t="s">
        <v>56</v>
      </c>
      <c r="C85" s="19">
        <v>100</v>
      </c>
      <c r="D85" s="13">
        <v>5230</v>
      </c>
      <c r="E85" s="25">
        <v>1960.75</v>
      </c>
      <c r="F85" s="15">
        <f t="shared" si="5"/>
        <v>102547.22500000001</v>
      </c>
      <c r="G85" s="15"/>
      <c r="H85" s="15"/>
      <c r="I85" s="15"/>
    </row>
    <row r="86" spans="1:14" s="887" customFormat="1" x14ac:dyDescent="0.2">
      <c r="A86" s="120">
        <v>47</v>
      </c>
      <c r="B86" s="905" t="s">
        <v>419</v>
      </c>
      <c r="C86" s="12">
        <v>1000</v>
      </c>
      <c r="D86" s="13">
        <v>123165</v>
      </c>
      <c r="E86" s="25">
        <v>10533.6</v>
      </c>
      <c r="F86" s="15">
        <f t="shared" si="5"/>
        <v>1297370.844</v>
      </c>
      <c r="G86" s="15"/>
      <c r="H86" s="15"/>
      <c r="I86" s="15"/>
    </row>
    <row r="87" spans="1:14" s="887" customFormat="1" x14ac:dyDescent="0.2">
      <c r="A87" s="121">
        <v>48</v>
      </c>
      <c r="B87" s="884" t="s">
        <v>88</v>
      </c>
      <c r="C87" s="19">
        <v>100</v>
      </c>
      <c r="D87" s="13">
        <v>15594.5</v>
      </c>
      <c r="E87" s="25">
        <v>4850.3999999999996</v>
      </c>
      <c r="F87" s="15">
        <f t="shared" si="5"/>
        <v>756395.62800000003</v>
      </c>
      <c r="G87" s="15"/>
      <c r="H87" s="15"/>
      <c r="I87" s="15"/>
    </row>
    <row r="88" spans="1:14" s="887" customFormat="1" x14ac:dyDescent="0.2">
      <c r="A88" s="121">
        <v>49</v>
      </c>
      <c r="B88" s="904" t="s">
        <v>168</v>
      </c>
      <c r="C88" s="12">
        <v>100</v>
      </c>
      <c r="D88" s="13">
        <v>2100</v>
      </c>
      <c r="E88" s="13">
        <v>13527.4</v>
      </c>
      <c r="F88" s="15">
        <f t="shared" si="5"/>
        <v>284075.40000000002</v>
      </c>
      <c r="G88" s="15"/>
      <c r="H88" s="15"/>
      <c r="I88" s="15"/>
    </row>
    <row r="89" spans="1:14" s="887" customFormat="1" ht="75" x14ac:dyDescent="0.2">
      <c r="A89" s="121">
        <v>50</v>
      </c>
      <c r="B89" s="904" t="s">
        <v>169</v>
      </c>
      <c r="C89" s="19">
        <v>100</v>
      </c>
      <c r="D89" s="13">
        <v>2800</v>
      </c>
      <c r="E89" s="40">
        <v>4549.95</v>
      </c>
      <c r="F89" s="15">
        <f t="shared" si="5"/>
        <v>127398.6</v>
      </c>
      <c r="G89" s="15"/>
      <c r="H89" s="15"/>
      <c r="I89" s="15"/>
    </row>
    <row r="90" spans="1:14" s="887" customFormat="1" ht="30" x14ac:dyDescent="0.2">
      <c r="A90" s="121">
        <v>51</v>
      </c>
      <c r="B90" s="904" t="s">
        <v>165</v>
      </c>
      <c r="C90" s="35" t="s">
        <v>166</v>
      </c>
      <c r="D90" s="13">
        <v>304.64</v>
      </c>
      <c r="E90" s="33">
        <v>72</v>
      </c>
      <c r="F90" s="15">
        <f>E90*D90</f>
        <v>21934.079999999998</v>
      </c>
      <c r="G90" s="15"/>
      <c r="H90" s="15"/>
      <c r="I90" s="15"/>
    </row>
    <row r="91" spans="1:14" s="887" customFormat="1" ht="30" x14ac:dyDescent="0.2">
      <c r="A91" s="44">
        <v>52</v>
      </c>
      <c r="B91" s="884" t="s">
        <v>385</v>
      </c>
      <c r="C91" s="12">
        <v>1</v>
      </c>
      <c r="D91" s="13">
        <v>202.95000000000002</v>
      </c>
      <c r="E91" s="25">
        <v>17752.2</v>
      </c>
      <c r="F91" s="15">
        <f t="shared" ref="F91:F96" si="6">E91*D91/C91</f>
        <v>3602808.99</v>
      </c>
      <c r="G91" s="15"/>
      <c r="H91" s="15"/>
      <c r="I91" s="15"/>
    </row>
    <row r="92" spans="1:14" s="887" customFormat="1" x14ac:dyDescent="0.2">
      <c r="A92" s="121">
        <v>53</v>
      </c>
      <c r="B92" s="906" t="s">
        <v>424</v>
      </c>
      <c r="C92" s="29">
        <v>1</v>
      </c>
      <c r="D92" s="13">
        <v>-26974.04</v>
      </c>
      <c r="E92" s="30">
        <v>170</v>
      </c>
      <c r="F92" s="15">
        <f t="shared" si="6"/>
        <v>-4585586.8</v>
      </c>
      <c r="G92" s="15"/>
      <c r="H92" s="15"/>
      <c r="I92" s="15"/>
      <c r="N92" s="877">
        <f>K93-J93</f>
        <v>-323045052.04827404</v>
      </c>
    </row>
    <row r="93" spans="1:14" s="887" customFormat="1" x14ac:dyDescent="0.2">
      <c r="A93" s="121">
        <v>54</v>
      </c>
      <c r="B93" s="906" t="s">
        <v>425</v>
      </c>
      <c r="C93" s="405">
        <v>100</v>
      </c>
      <c r="D93" s="13">
        <v>-1823.07</v>
      </c>
      <c r="E93" s="30">
        <v>4100</v>
      </c>
      <c r="F93" s="15">
        <f t="shared" si="6"/>
        <v>-74745.87</v>
      </c>
      <c r="G93" s="15"/>
      <c r="H93" s="15"/>
      <c r="I93" s="15"/>
      <c r="J93" s="894">
        <f>SUM(F65:F93)</f>
        <v>531606278.04827404</v>
      </c>
      <c r="K93" s="886">
        <v>208561226</v>
      </c>
      <c r="L93" s="877">
        <f>K93-J93</f>
        <v>-323045052.04827404</v>
      </c>
      <c r="N93" s="877">
        <f>N92+O97</f>
        <v>-326079072.54057777</v>
      </c>
    </row>
    <row r="94" spans="1:14" s="887" customFormat="1" x14ac:dyDescent="0.2">
      <c r="A94" s="118">
        <v>55</v>
      </c>
      <c r="B94" s="884" t="s">
        <v>66</v>
      </c>
      <c r="C94" s="12">
        <v>1000</v>
      </c>
      <c r="D94" s="13">
        <v>333466.16890399996</v>
      </c>
      <c r="E94" s="14">
        <v>12038.4</v>
      </c>
      <c r="F94" s="15">
        <f t="shared" si="6"/>
        <v>4014399.1277339128</v>
      </c>
      <c r="G94" s="15"/>
      <c r="H94" s="15"/>
      <c r="I94" s="15"/>
      <c r="J94" s="894"/>
      <c r="L94" s="886">
        <v>36383456.567040272</v>
      </c>
    </row>
    <row r="95" spans="1:14" s="887" customFormat="1" ht="30" x14ac:dyDescent="0.2">
      <c r="A95" s="118">
        <v>56</v>
      </c>
      <c r="B95" s="884" t="s">
        <v>70</v>
      </c>
      <c r="C95" s="12">
        <v>100</v>
      </c>
      <c r="D95" s="13">
        <v>13799.150000000001</v>
      </c>
      <c r="E95" s="25">
        <v>35727</v>
      </c>
      <c r="F95" s="15">
        <f t="shared" si="6"/>
        <v>4930022.3205000004</v>
      </c>
      <c r="G95" s="15"/>
      <c r="H95" s="15"/>
      <c r="I95" s="15"/>
      <c r="J95" s="894"/>
    </row>
    <row r="96" spans="1:14" s="887" customFormat="1" x14ac:dyDescent="0.2">
      <c r="A96" s="44">
        <v>57</v>
      </c>
      <c r="B96" s="907" t="s">
        <v>72</v>
      </c>
      <c r="C96" s="34">
        <v>1</v>
      </c>
      <c r="D96" s="13">
        <v>1670</v>
      </c>
      <c r="E96" s="14">
        <v>1381</v>
      </c>
      <c r="F96" s="15">
        <f t="shared" si="6"/>
        <v>2306270</v>
      </c>
      <c r="G96" s="15"/>
      <c r="H96" s="15"/>
      <c r="I96" s="15"/>
    </row>
    <row r="97" spans="1:15" s="887" customFormat="1" x14ac:dyDescent="0.2">
      <c r="A97" s="117">
        <v>58</v>
      </c>
      <c r="B97" s="884" t="s">
        <v>158</v>
      </c>
      <c r="C97" s="12">
        <v>100</v>
      </c>
      <c r="D97" s="13">
        <v>93240</v>
      </c>
      <c r="E97" s="25">
        <v>3762</v>
      </c>
      <c r="F97" s="15">
        <v>3507688.8</v>
      </c>
      <c r="G97" s="15"/>
      <c r="H97" s="15"/>
      <c r="I97" s="15"/>
      <c r="J97" s="886">
        <v>89611262</v>
      </c>
      <c r="K97" s="894">
        <f>SUM(F97:F111)</f>
        <v>92645282.492303729</v>
      </c>
      <c r="L97" s="877">
        <f>K97-J97</f>
        <v>3034020.4923037291</v>
      </c>
      <c r="O97" s="877">
        <f>J97-K97</f>
        <v>-3034020.4923037291</v>
      </c>
    </row>
    <row r="98" spans="1:15" s="887" customFormat="1" ht="30" x14ac:dyDescent="0.2">
      <c r="A98" s="118">
        <v>59</v>
      </c>
      <c r="B98" s="884" t="s">
        <v>159</v>
      </c>
      <c r="C98" s="12">
        <v>100</v>
      </c>
      <c r="D98" s="13">
        <v>126000</v>
      </c>
      <c r="E98" s="25">
        <v>4743.75</v>
      </c>
      <c r="F98" s="15">
        <f t="shared" ref="F98:F108" si="7">E98*D98/C98</f>
        <v>5977125</v>
      </c>
      <c r="G98" s="15"/>
      <c r="H98" s="15"/>
      <c r="I98" s="15"/>
      <c r="M98" s="877">
        <f>L97+L93</f>
        <v>-320011031.55597031</v>
      </c>
    </row>
    <row r="99" spans="1:15" s="887" customFormat="1" ht="30" x14ac:dyDescent="0.2">
      <c r="A99" s="118">
        <v>60</v>
      </c>
      <c r="B99" s="884" t="s">
        <v>75</v>
      </c>
      <c r="C99" s="12">
        <v>100</v>
      </c>
      <c r="D99" s="13">
        <v>50517.799999999988</v>
      </c>
      <c r="E99" s="25">
        <v>6849</v>
      </c>
      <c r="F99" s="15">
        <f t="shared" si="7"/>
        <v>3459964.1219999995</v>
      </c>
      <c r="G99" s="15"/>
      <c r="H99" s="15"/>
      <c r="I99" s="15"/>
    </row>
    <row r="100" spans="1:15" s="887" customFormat="1" x14ac:dyDescent="0.2">
      <c r="A100" s="44">
        <v>61</v>
      </c>
      <c r="B100" s="883" t="s">
        <v>76</v>
      </c>
      <c r="C100" s="19">
        <v>100</v>
      </c>
      <c r="D100" s="13">
        <v>94646.546860000017</v>
      </c>
      <c r="E100" s="25">
        <v>2265.1</v>
      </c>
      <c r="F100" s="15">
        <f t="shared" si="7"/>
        <v>2143838.9329258604</v>
      </c>
      <c r="G100" s="15"/>
      <c r="H100" s="15"/>
      <c r="I100" s="15"/>
    </row>
    <row r="101" spans="1:15" s="887" customFormat="1" x14ac:dyDescent="0.2">
      <c r="A101" s="44">
        <v>62</v>
      </c>
      <c r="B101" s="883" t="s">
        <v>77</v>
      </c>
      <c r="C101" s="19">
        <v>100</v>
      </c>
      <c r="D101" s="13">
        <v>15600.14</v>
      </c>
      <c r="E101" s="25">
        <v>1660.5</v>
      </c>
      <c r="F101" s="15">
        <f t="shared" si="7"/>
        <v>259040.3247</v>
      </c>
      <c r="G101" s="15"/>
      <c r="H101" s="15"/>
      <c r="I101" s="15"/>
    </row>
    <row r="102" spans="1:15" s="887" customFormat="1" x14ac:dyDescent="0.2">
      <c r="A102" s="118">
        <v>63</v>
      </c>
      <c r="B102" s="884" t="s">
        <v>78</v>
      </c>
      <c r="C102" s="12">
        <v>100</v>
      </c>
      <c r="D102" s="13">
        <v>32048.504830399994</v>
      </c>
      <c r="E102" s="25">
        <v>18564.099999999999</v>
      </c>
      <c r="F102" s="15">
        <f t="shared" si="7"/>
        <v>5949516.4852202842</v>
      </c>
      <c r="G102" s="15"/>
      <c r="H102" s="15"/>
      <c r="I102" s="15"/>
    </row>
    <row r="103" spans="1:15" s="887" customFormat="1" x14ac:dyDescent="0.2">
      <c r="A103" s="118">
        <v>64</v>
      </c>
      <c r="B103" s="884" t="s">
        <v>79</v>
      </c>
      <c r="C103" s="12">
        <v>100</v>
      </c>
      <c r="D103" s="13">
        <v>32048.504830399994</v>
      </c>
      <c r="E103" s="25">
        <v>18564.099999999999</v>
      </c>
      <c r="F103" s="15">
        <f t="shared" si="7"/>
        <v>5949516.4852202842</v>
      </c>
      <c r="G103" s="15"/>
      <c r="H103" s="15"/>
      <c r="I103" s="15"/>
    </row>
    <row r="104" spans="1:15" s="887" customFormat="1" x14ac:dyDescent="0.2">
      <c r="A104" s="118">
        <v>65</v>
      </c>
      <c r="B104" s="884" t="s">
        <v>80</v>
      </c>
      <c r="C104" s="12">
        <v>100</v>
      </c>
      <c r="D104" s="13">
        <v>5305.0890000000009</v>
      </c>
      <c r="E104" s="25">
        <v>18017.599999999999</v>
      </c>
      <c r="F104" s="15">
        <f t="shared" si="7"/>
        <v>955849.71566400002</v>
      </c>
      <c r="G104" s="15"/>
      <c r="H104" s="15"/>
      <c r="I104" s="15"/>
    </row>
    <row r="105" spans="1:15" s="887" customFormat="1" x14ac:dyDescent="0.2">
      <c r="A105" s="118">
        <v>66</v>
      </c>
      <c r="B105" s="884" t="s">
        <v>81</v>
      </c>
      <c r="C105" s="12">
        <v>100</v>
      </c>
      <c r="D105" s="13">
        <v>5305.0890000000009</v>
      </c>
      <c r="E105" s="25">
        <v>18017.599999999999</v>
      </c>
      <c r="F105" s="15">
        <f t="shared" si="7"/>
        <v>955849.71566400002</v>
      </c>
      <c r="G105" s="15"/>
      <c r="H105" s="15"/>
      <c r="I105" s="15"/>
    </row>
    <row r="106" spans="1:15" s="887" customFormat="1" x14ac:dyDescent="0.2">
      <c r="A106" s="118">
        <v>67</v>
      </c>
      <c r="B106" s="884" t="s">
        <v>82</v>
      </c>
      <c r="C106" s="12">
        <v>100</v>
      </c>
      <c r="D106" s="13">
        <v>97109.842880000026</v>
      </c>
      <c r="E106" s="25">
        <v>11511</v>
      </c>
      <c r="F106" s="15">
        <f t="shared" si="7"/>
        <v>11178314.013916802</v>
      </c>
      <c r="G106" s="15"/>
      <c r="H106" s="15"/>
      <c r="I106" s="15"/>
    </row>
    <row r="107" spans="1:15" s="887" customFormat="1" x14ac:dyDescent="0.2">
      <c r="A107" s="118">
        <v>68</v>
      </c>
      <c r="B107" s="884" t="s">
        <v>83</v>
      </c>
      <c r="C107" s="12">
        <v>100</v>
      </c>
      <c r="D107" s="13">
        <v>15372.419999999998</v>
      </c>
      <c r="E107" s="25">
        <v>10570.5</v>
      </c>
      <c r="F107" s="15">
        <f t="shared" si="7"/>
        <v>1624941.6560999998</v>
      </c>
      <c r="G107" s="15"/>
      <c r="H107" s="15"/>
      <c r="I107" s="15"/>
    </row>
    <row r="108" spans="1:15" s="887" customFormat="1" ht="30" x14ac:dyDescent="0.2">
      <c r="A108" s="118">
        <v>69</v>
      </c>
      <c r="B108" s="908" t="s">
        <v>84</v>
      </c>
      <c r="C108" s="12">
        <v>100</v>
      </c>
      <c r="D108" s="13">
        <v>364527.73397300002</v>
      </c>
      <c r="E108" s="25">
        <v>14042.6</v>
      </c>
      <c r="F108" s="15">
        <f t="shared" si="7"/>
        <v>51189171.570892505</v>
      </c>
      <c r="G108" s="15"/>
      <c r="H108" s="15"/>
      <c r="I108" s="15"/>
    </row>
    <row r="109" spans="1:15" s="887" customFormat="1" x14ac:dyDescent="0.2">
      <c r="A109" s="990">
        <v>70</v>
      </c>
      <c r="B109" s="883" t="s">
        <v>334</v>
      </c>
      <c r="C109" s="12"/>
      <c r="D109" s="13">
        <v>0</v>
      </c>
      <c r="E109" s="12"/>
      <c r="F109" s="15" t="s">
        <v>440</v>
      </c>
      <c r="G109" s="15"/>
      <c r="H109" s="15"/>
      <c r="I109" s="15"/>
    </row>
    <row r="110" spans="1:15" s="887" customFormat="1" x14ac:dyDescent="0.2">
      <c r="A110" s="991"/>
      <c r="B110" s="883" t="s">
        <v>337</v>
      </c>
      <c r="C110" s="29">
        <v>1</v>
      </c>
      <c r="D110" s="13">
        <v>2535</v>
      </c>
      <c r="E110" s="25">
        <v>-170</v>
      </c>
      <c r="F110" s="15">
        <f t="shared" ref="F110:F116" si="8">E110*D110/C110</f>
        <v>-430950</v>
      </c>
      <c r="G110" s="15"/>
      <c r="H110" s="15"/>
      <c r="I110" s="15"/>
    </row>
    <row r="111" spans="1:15" s="887" customFormat="1" x14ac:dyDescent="0.2">
      <c r="A111" s="992"/>
      <c r="B111" s="883" t="s">
        <v>335</v>
      </c>
      <c r="C111" s="12">
        <v>100</v>
      </c>
      <c r="D111" s="13">
        <v>1819.13</v>
      </c>
      <c r="E111" s="25">
        <v>-4100</v>
      </c>
      <c r="F111" s="15">
        <f t="shared" si="8"/>
        <v>-74584.33</v>
      </c>
      <c r="G111" s="15"/>
      <c r="H111" s="15"/>
      <c r="I111" s="15"/>
      <c r="J111" s="894">
        <f>SUM(F112:F155)</f>
        <v>55936171.433729991</v>
      </c>
      <c r="K111" s="886">
        <f>1364663*37</f>
        <v>50492531</v>
      </c>
    </row>
    <row r="112" spans="1:15" s="887" customFormat="1" ht="45" x14ac:dyDescent="0.2">
      <c r="A112" s="118">
        <v>71</v>
      </c>
      <c r="B112" s="884" t="s">
        <v>90</v>
      </c>
      <c r="C112" s="12">
        <v>1000</v>
      </c>
      <c r="D112" s="13">
        <v>20161.000607832604</v>
      </c>
      <c r="E112" s="14">
        <v>15824.15</v>
      </c>
      <c r="F112" s="15">
        <f t="shared" si="8"/>
        <v>319030.6977684343</v>
      </c>
      <c r="G112" s="15"/>
      <c r="H112" s="15"/>
      <c r="I112" s="15"/>
      <c r="J112" s="877" t="e">
        <f>#REF!*37</f>
        <v>#REF!</v>
      </c>
      <c r="K112" s="877" t="e">
        <f>D112-J112</f>
        <v>#REF!</v>
      </c>
      <c r="L112" s="894">
        <f>SUM(F112:F155)</f>
        <v>55936171.433729991</v>
      </c>
    </row>
    <row r="113" spans="1:12" s="887" customFormat="1" ht="60" x14ac:dyDescent="0.2">
      <c r="A113" s="118">
        <v>72</v>
      </c>
      <c r="B113" s="908" t="s">
        <v>91</v>
      </c>
      <c r="C113" s="19">
        <v>1</v>
      </c>
      <c r="D113" s="13">
        <v>18814.5</v>
      </c>
      <c r="E113" s="25">
        <v>12.55</v>
      </c>
      <c r="F113" s="15">
        <f t="shared" si="8"/>
        <v>236121.97500000001</v>
      </c>
      <c r="G113" s="15"/>
      <c r="H113" s="15"/>
      <c r="I113" s="15"/>
      <c r="J113" s="877" t="e">
        <f>#REF!*37</f>
        <v>#REF!</v>
      </c>
      <c r="K113" s="877" t="e">
        <f t="shared" ref="K113:K155" si="9">D113-J113</f>
        <v>#REF!</v>
      </c>
    </row>
    <row r="114" spans="1:12" s="887" customFormat="1" ht="45" x14ac:dyDescent="0.2">
      <c r="A114" s="44">
        <v>73</v>
      </c>
      <c r="B114" s="884" t="s">
        <v>93</v>
      </c>
      <c r="C114" s="19">
        <v>100</v>
      </c>
      <c r="D114" s="13">
        <v>13211.49</v>
      </c>
      <c r="E114" s="14">
        <v>7607.35</v>
      </c>
      <c r="F114" s="15">
        <f t="shared" si="8"/>
        <v>1005044.2845149999</v>
      </c>
      <c r="G114" s="15"/>
      <c r="H114" s="15"/>
      <c r="I114" s="15"/>
      <c r="J114" s="877" t="e">
        <f>#REF!*37</f>
        <v>#REF!</v>
      </c>
      <c r="K114" s="877"/>
    </row>
    <row r="115" spans="1:12" s="887" customFormat="1" x14ac:dyDescent="0.2">
      <c r="A115" s="44">
        <v>74</v>
      </c>
      <c r="B115" s="884" t="s">
        <v>94</v>
      </c>
      <c r="C115" s="12">
        <v>1000</v>
      </c>
      <c r="D115" s="13">
        <v>37224.369999999995</v>
      </c>
      <c r="E115" s="14">
        <v>7547.75</v>
      </c>
      <c r="F115" s="15">
        <f t="shared" si="8"/>
        <v>280960.23866749997</v>
      </c>
      <c r="G115" s="15"/>
      <c r="H115" s="15"/>
      <c r="I115" s="15"/>
      <c r="J115" s="877" t="e">
        <f>#REF!*37</f>
        <v>#REF!</v>
      </c>
      <c r="K115" s="877"/>
    </row>
    <row r="116" spans="1:12" s="887" customFormat="1" ht="30" x14ac:dyDescent="0.2">
      <c r="A116" s="44">
        <v>75</v>
      </c>
      <c r="B116" s="884" t="s">
        <v>95</v>
      </c>
      <c r="C116" s="12">
        <v>100</v>
      </c>
      <c r="D116" s="13">
        <v>10763.3</v>
      </c>
      <c r="E116" s="14">
        <v>35830.6</v>
      </c>
      <c r="F116" s="15">
        <f t="shared" si="8"/>
        <v>3856554.9697999996</v>
      </c>
      <c r="G116" s="15"/>
      <c r="H116" s="15"/>
      <c r="I116" s="15"/>
      <c r="J116" s="877" t="e">
        <f>#REF!*37</f>
        <v>#REF!</v>
      </c>
      <c r="K116" s="877" t="e">
        <f t="shared" si="9"/>
        <v>#REF!</v>
      </c>
    </row>
    <row r="117" spans="1:12" s="887" customFormat="1" ht="75.75" x14ac:dyDescent="0.2">
      <c r="A117" s="44">
        <v>76</v>
      </c>
      <c r="B117" s="884" t="s">
        <v>41</v>
      </c>
      <c r="C117" s="20"/>
      <c r="D117" s="13">
        <v>0</v>
      </c>
      <c r="E117" s="13">
        <f>SUM(D117:D117)</f>
        <v>0</v>
      </c>
      <c r="F117" s="13">
        <f>SUM(D117:E117)</f>
        <v>0</v>
      </c>
      <c r="G117" s="13"/>
      <c r="H117" s="13"/>
      <c r="I117" s="13"/>
      <c r="J117" s="877" t="e">
        <f>#REF!*37</f>
        <v>#REF!</v>
      </c>
      <c r="K117" s="877" t="e">
        <f t="shared" si="9"/>
        <v>#REF!</v>
      </c>
    </row>
    <row r="118" spans="1:12" s="887" customFormat="1" ht="60" x14ac:dyDescent="0.2">
      <c r="A118" s="44" t="s">
        <v>42</v>
      </c>
      <c r="B118" s="884" t="s">
        <v>96</v>
      </c>
      <c r="C118" s="12">
        <v>1</v>
      </c>
      <c r="D118" s="13">
        <v>5704.1345999999994</v>
      </c>
      <c r="E118" s="14">
        <v>741.85</v>
      </c>
      <c r="F118" s="15">
        <f t="shared" ref="F118:F134" si="10">E118*D118/C118</f>
        <v>4231612.2530100001</v>
      </c>
      <c r="G118" s="15"/>
      <c r="H118" s="15"/>
      <c r="I118" s="15"/>
      <c r="J118" s="877" t="e">
        <f>#REF!*37</f>
        <v>#REF!</v>
      </c>
      <c r="K118" s="877" t="e">
        <f t="shared" si="9"/>
        <v>#REF!</v>
      </c>
    </row>
    <row r="119" spans="1:12" s="887" customFormat="1" ht="60" x14ac:dyDescent="0.2">
      <c r="A119" s="44" t="s">
        <v>44</v>
      </c>
      <c r="B119" s="884" t="s">
        <v>97</v>
      </c>
      <c r="C119" s="12">
        <v>1</v>
      </c>
      <c r="D119" s="13">
        <v>681.08906249999995</v>
      </c>
      <c r="E119" s="14">
        <v>595</v>
      </c>
      <c r="F119" s="15">
        <f t="shared" si="10"/>
        <v>405247.9921875</v>
      </c>
      <c r="G119" s="15"/>
      <c r="H119" s="15"/>
      <c r="I119" s="15"/>
      <c r="J119" s="877" t="e">
        <f>#REF!*37</f>
        <v>#REF!</v>
      </c>
      <c r="K119" s="877" t="e">
        <f t="shared" si="9"/>
        <v>#REF!</v>
      </c>
    </row>
    <row r="120" spans="1:12" s="887" customFormat="1" ht="120" x14ac:dyDescent="0.2">
      <c r="A120" s="44">
        <v>77</v>
      </c>
      <c r="B120" s="884" t="s">
        <v>99</v>
      </c>
      <c r="C120" s="19">
        <v>1</v>
      </c>
      <c r="D120" s="13">
        <v>1184</v>
      </c>
      <c r="E120" s="14">
        <v>2180.6999999999998</v>
      </c>
      <c r="F120" s="15">
        <f t="shared" si="10"/>
        <v>2581948.7999999998</v>
      </c>
      <c r="G120" s="15"/>
      <c r="H120" s="15"/>
      <c r="I120" s="15"/>
      <c r="J120" s="877" t="e">
        <f>#REF!*37</f>
        <v>#REF!</v>
      </c>
      <c r="K120" s="877" t="e">
        <f t="shared" si="9"/>
        <v>#REF!</v>
      </c>
    </row>
    <row r="121" spans="1:12" s="887" customFormat="1" ht="45" x14ac:dyDescent="0.2">
      <c r="A121" s="44">
        <v>78</v>
      </c>
      <c r="B121" s="884" t="s">
        <v>100</v>
      </c>
      <c r="C121" s="19">
        <v>1</v>
      </c>
      <c r="D121" s="13">
        <v>5302</v>
      </c>
      <c r="E121" s="14">
        <v>457.1</v>
      </c>
      <c r="F121" s="15">
        <f t="shared" si="10"/>
        <v>2423544.2000000002</v>
      </c>
      <c r="G121" s="15"/>
      <c r="H121" s="15"/>
      <c r="I121" s="15"/>
      <c r="J121" s="877" t="e">
        <f>#REF!*37</f>
        <v>#REF!</v>
      </c>
      <c r="K121" s="877"/>
    </row>
    <row r="122" spans="1:12" s="887" customFormat="1" ht="30" x14ac:dyDescent="0.2">
      <c r="A122" s="44">
        <v>79</v>
      </c>
      <c r="B122" s="884" t="s">
        <v>101</v>
      </c>
      <c r="C122" s="19">
        <v>1</v>
      </c>
      <c r="D122" s="13">
        <v>1813</v>
      </c>
      <c r="E122" s="14">
        <v>2767</v>
      </c>
      <c r="F122" s="15">
        <f t="shared" si="10"/>
        <v>5016571</v>
      </c>
      <c r="G122" s="15"/>
      <c r="H122" s="15"/>
      <c r="I122" s="15"/>
      <c r="J122" s="877" t="e">
        <f>#REF!*37</f>
        <v>#REF!</v>
      </c>
      <c r="K122" s="877" t="e">
        <f t="shared" si="9"/>
        <v>#REF!</v>
      </c>
    </row>
    <row r="123" spans="1:12" s="887" customFormat="1" ht="45" x14ac:dyDescent="0.2">
      <c r="A123" s="44">
        <v>80</v>
      </c>
      <c r="B123" s="884" t="s">
        <v>102</v>
      </c>
      <c r="C123" s="19">
        <v>100</v>
      </c>
      <c r="D123" s="13">
        <v>3535.8125</v>
      </c>
      <c r="E123" s="14">
        <v>13179.6</v>
      </c>
      <c r="F123" s="15">
        <f t="shared" si="10"/>
        <v>466005.94425000006</v>
      </c>
      <c r="G123" s="15"/>
      <c r="H123" s="15"/>
      <c r="I123" s="15"/>
      <c r="J123" s="877" t="e">
        <f>#REF!*37</f>
        <v>#REF!</v>
      </c>
      <c r="K123" s="877" t="e">
        <f t="shared" si="9"/>
        <v>#REF!</v>
      </c>
    </row>
    <row r="124" spans="1:12" s="887" customFormat="1" x14ac:dyDescent="0.2">
      <c r="A124" s="44">
        <v>81</v>
      </c>
      <c r="B124" s="884" t="s">
        <v>103</v>
      </c>
      <c r="C124" s="19">
        <v>1</v>
      </c>
      <c r="D124" s="13">
        <v>43350.188849999999</v>
      </c>
      <c r="E124" s="14">
        <v>11</v>
      </c>
      <c r="F124" s="15">
        <f t="shared" si="10"/>
        <v>476852.07734999998</v>
      </c>
      <c r="G124" s="15"/>
      <c r="H124" s="15"/>
      <c r="I124" s="15"/>
      <c r="J124" s="877" t="e">
        <f>#REF!*37</f>
        <v>#REF!</v>
      </c>
      <c r="K124" s="877"/>
    </row>
    <row r="125" spans="1:12" s="887" customFormat="1" x14ac:dyDescent="0.2">
      <c r="A125" s="44">
        <v>82</v>
      </c>
      <c r="B125" s="884" t="s">
        <v>104</v>
      </c>
      <c r="C125" s="12">
        <v>100</v>
      </c>
      <c r="D125" s="13">
        <v>8934.8274999999994</v>
      </c>
      <c r="E125" s="25">
        <v>3987</v>
      </c>
      <c r="F125" s="15">
        <f t="shared" si="10"/>
        <v>356231.57242500002</v>
      </c>
      <c r="G125" s="15"/>
      <c r="H125" s="15"/>
      <c r="I125" s="15"/>
      <c r="J125" s="877" t="e">
        <f>#REF!*37</f>
        <v>#REF!</v>
      </c>
      <c r="K125" s="877"/>
    </row>
    <row r="126" spans="1:12" s="887" customFormat="1" ht="30" x14ac:dyDescent="0.2">
      <c r="A126" s="44">
        <v>83</v>
      </c>
      <c r="B126" s="884" t="s">
        <v>105</v>
      </c>
      <c r="C126" s="12">
        <v>100</v>
      </c>
      <c r="D126" s="13">
        <v>10919.7875</v>
      </c>
      <c r="E126" s="25">
        <v>12801.2</v>
      </c>
      <c r="F126" s="15">
        <f t="shared" si="10"/>
        <v>1397863.83745</v>
      </c>
      <c r="G126" s="15"/>
      <c r="H126" s="15"/>
      <c r="I126" s="15"/>
      <c r="J126" s="877" t="e">
        <f>#REF!*37</f>
        <v>#REF!</v>
      </c>
      <c r="K126" s="877"/>
    </row>
    <row r="127" spans="1:12" s="887" customFormat="1" x14ac:dyDescent="0.2">
      <c r="A127" s="44">
        <v>84</v>
      </c>
      <c r="B127" s="884" t="s">
        <v>108</v>
      </c>
      <c r="C127" s="19">
        <v>100</v>
      </c>
      <c r="D127" s="13">
        <v>140437.41625000001</v>
      </c>
      <c r="E127" s="25">
        <v>4614.1000000000004</v>
      </c>
      <c r="F127" s="15">
        <f t="shared" si="10"/>
        <v>6479922.8231912507</v>
      </c>
      <c r="G127" s="15"/>
      <c r="H127" s="15"/>
      <c r="I127" s="15"/>
      <c r="J127" s="877" t="e">
        <f>#REF!*37</f>
        <v>#REF!</v>
      </c>
      <c r="K127" s="877" t="e">
        <f t="shared" si="9"/>
        <v>#REF!</v>
      </c>
      <c r="L127" s="894"/>
    </row>
    <row r="128" spans="1:12" s="887" customFormat="1" ht="30" x14ac:dyDescent="0.2">
      <c r="A128" s="44">
        <v>85</v>
      </c>
      <c r="B128" s="884" t="s">
        <v>109</v>
      </c>
      <c r="C128" s="19">
        <v>100</v>
      </c>
      <c r="D128" s="13">
        <v>4237.2400000000007</v>
      </c>
      <c r="E128" s="25">
        <v>5264.65</v>
      </c>
      <c r="F128" s="15">
        <f t="shared" si="10"/>
        <v>223075.85566000003</v>
      </c>
      <c r="G128" s="15"/>
      <c r="H128" s="15"/>
      <c r="I128" s="15"/>
      <c r="J128" s="877" t="e">
        <f>#REF!*37</f>
        <v>#REF!</v>
      </c>
      <c r="K128" s="877" t="e">
        <f t="shared" si="9"/>
        <v>#REF!</v>
      </c>
    </row>
    <row r="129" spans="1:12" s="887" customFormat="1" ht="45" x14ac:dyDescent="0.2">
      <c r="A129" s="44">
        <v>86</v>
      </c>
      <c r="B129" s="884" t="s">
        <v>110</v>
      </c>
      <c r="C129" s="19">
        <v>100</v>
      </c>
      <c r="D129" s="13">
        <v>83405.59</v>
      </c>
      <c r="E129" s="25">
        <v>5012.6499999999996</v>
      </c>
      <c r="F129" s="15">
        <f t="shared" si="10"/>
        <v>4180830.3071349994</v>
      </c>
      <c r="G129" s="15"/>
      <c r="H129" s="15"/>
      <c r="I129" s="15"/>
      <c r="J129" s="877" t="e">
        <f>#REF!*37</f>
        <v>#REF!</v>
      </c>
      <c r="K129" s="877" t="e">
        <f t="shared" si="9"/>
        <v>#REF!</v>
      </c>
      <c r="L129" s="894"/>
    </row>
    <row r="130" spans="1:12" s="887" customFormat="1" x14ac:dyDescent="0.2">
      <c r="A130" s="44">
        <v>87</v>
      </c>
      <c r="B130" s="884" t="s">
        <v>112</v>
      </c>
      <c r="C130" s="37">
        <v>1</v>
      </c>
      <c r="D130" s="13">
        <v>658</v>
      </c>
      <c r="E130" s="25">
        <v>849.7</v>
      </c>
      <c r="F130" s="15">
        <f t="shared" si="10"/>
        <v>559102.6</v>
      </c>
      <c r="G130" s="15"/>
      <c r="H130" s="15"/>
      <c r="I130" s="15"/>
      <c r="J130" s="877" t="e">
        <f>#REF!*37</f>
        <v>#REF!</v>
      </c>
      <c r="K130" s="877" t="e">
        <f t="shared" si="9"/>
        <v>#REF!</v>
      </c>
      <c r="L130" s="894"/>
    </row>
    <row r="131" spans="1:12" s="887" customFormat="1" x14ac:dyDescent="0.2">
      <c r="A131" s="44">
        <v>88</v>
      </c>
      <c r="B131" s="884" t="s">
        <v>113</v>
      </c>
      <c r="C131" s="37">
        <v>1</v>
      </c>
      <c r="D131" s="13">
        <v>154</v>
      </c>
      <c r="E131" s="25">
        <v>1159.6500000000001</v>
      </c>
      <c r="F131" s="15">
        <f t="shared" si="10"/>
        <v>178586.1</v>
      </c>
      <c r="G131" s="15"/>
      <c r="H131" s="15"/>
      <c r="I131" s="15"/>
      <c r="J131" s="877" t="e">
        <f>#REF!*37</f>
        <v>#REF!</v>
      </c>
      <c r="K131" s="877" t="e">
        <f t="shared" si="9"/>
        <v>#REF!</v>
      </c>
      <c r="L131" s="894"/>
    </row>
    <row r="132" spans="1:12" s="887" customFormat="1" x14ac:dyDescent="0.2">
      <c r="A132" s="44">
        <v>89</v>
      </c>
      <c r="B132" s="884" t="s">
        <v>114</v>
      </c>
      <c r="C132" s="19">
        <v>100</v>
      </c>
      <c r="D132" s="13">
        <v>118808.22750000001</v>
      </c>
      <c r="E132" s="25">
        <v>1548.2</v>
      </c>
      <c r="F132" s="15">
        <f t="shared" si="10"/>
        <v>1839388.9781550001</v>
      </c>
      <c r="G132" s="15"/>
      <c r="H132" s="15"/>
      <c r="I132" s="15"/>
      <c r="J132" s="877" t="e">
        <f>#REF!*37</f>
        <v>#REF!</v>
      </c>
      <c r="K132" s="877" t="e">
        <f t="shared" si="9"/>
        <v>#REF!</v>
      </c>
      <c r="L132" s="894"/>
    </row>
    <row r="133" spans="1:12" s="887" customFormat="1" x14ac:dyDescent="0.2">
      <c r="A133" s="44">
        <v>90</v>
      </c>
      <c r="B133" s="884" t="s">
        <v>116</v>
      </c>
      <c r="C133" s="19">
        <v>100</v>
      </c>
      <c r="D133" s="13">
        <v>12309</v>
      </c>
      <c r="E133" s="25">
        <v>3052.4</v>
      </c>
      <c r="F133" s="15">
        <f t="shared" si="10"/>
        <v>375719.91600000003</v>
      </c>
      <c r="G133" s="15"/>
      <c r="H133" s="15"/>
      <c r="I133" s="15"/>
      <c r="J133" s="877" t="e">
        <f>#REF!*37</f>
        <v>#REF!</v>
      </c>
      <c r="K133" s="877" t="e">
        <f t="shared" si="9"/>
        <v>#REF!</v>
      </c>
      <c r="L133" s="894"/>
    </row>
    <row r="134" spans="1:12" s="887" customFormat="1" ht="45" x14ac:dyDescent="0.2">
      <c r="A134" s="44">
        <v>91</v>
      </c>
      <c r="B134" s="876" t="s">
        <v>117</v>
      </c>
      <c r="C134" s="29">
        <v>100</v>
      </c>
      <c r="D134" s="13">
        <v>12393.472738818833</v>
      </c>
      <c r="E134" s="14">
        <v>37098.85</v>
      </c>
      <c r="F134" s="15">
        <f t="shared" si="10"/>
        <v>4597835.8611652907</v>
      </c>
      <c r="G134" s="15"/>
      <c r="H134" s="15"/>
      <c r="I134" s="15"/>
      <c r="J134" s="877" t="e">
        <f>#REF!*37</f>
        <v>#REF!</v>
      </c>
      <c r="K134" s="877" t="e">
        <f t="shared" si="9"/>
        <v>#REF!</v>
      </c>
    </row>
    <row r="135" spans="1:12" s="887" customFormat="1" ht="30" x14ac:dyDescent="0.2">
      <c r="A135" s="987">
        <v>92</v>
      </c>
      <c r="B135" s="884" t="s">
        <v>118</v>
      </c>
      <c r="C135" s="20"/>
      <c r="D135" s="13">
        <v>0</v>
      </c>
      <c r="E135" s="20"/>
      <c r="F135" s="20"/>
      <c r="G135" s="20"/>
      <c r="H135" s="20"/>
      <c r="I135" s="20"/>
      <c r="J135" s="877" t="e">
        <f>#REF!*37</f>
        <v>#REF!</v>
      </c>
      <c r="K135" s="877" t="e">
        <f t="shared" si="9"/>
        <v>#REF!</v>
      </c>
    </row>
    <row r="136" spans="1:12" s="887" customFormat="1" x14ac:dyDescent="0.2">
      <c r="A136" s="988"/>
      <c r="B136" s="884" t="s">
        <v>148</v>
      </c>
      <c r="C136" s="36">
        <v>1</v>
      </c>
      <c r="D136" s="13">
        <v>12520</v>
      </c>
      <c r="E136" s="25">
        <v>112.25</v>
      </c>
      <c r="F136" s="15">
        <f>E136*D136/C136</f>
        <v>1405370</v>
      </c>
      <c r="G136" s="15"/>
      <c r="H136" s="15"/>
      <c r="I136" s="15"/>
      <c r="J136" s="877" t="e">
        <f>#REF!*37</f>
        <v>#REF!</v>
      </c>
      <c r="K136" s="877" t="e">
        <f t="shared" si="9"/>
        <v>#REF!</v>
      </c>
      <c r="L136" s="894"/>
    </row>
    <row r="137" spans="1:12" s="887" customFormat="1" x14ac:dyDescent="0.2">
      <c r="A137" s="988"/>
      <c r="B137" s="884" t="s">
        <v>149</v>
      </c>
      <c r="C137" s="36">
        <v>1</v>
      </c>
      <c r="D137" s="13">
        <v>6560</v>
      </c>
      <c r="E137" s="25">
        <v>133.6</v>
      </c>
      <c r="F137" s="15">
        <f>E137*D137/C137</f>
        <v>876416</v>
      </c>
      <c r="G137" s="15"/>
      <c r="H137" s="15"/>
      <c r="I137" s="15"/>
      <c r="J137" s="877" t="e">
        <f>#REF!*37</f>
        <v>#REF!</v>
      </c>
      <c r="K137" s="877" t="e">
        <f t="shared" si="9"/>
        <v>#REF!</v>
      </c>
      <c r="L137" s="894"/>
    </row>
    <row r="138" spans="1:12" s="887" customFormat="1" x14ac:dyDescent="0.2">
      <c r="A138" s="989"/>
      <c r="B138" s="884" t="s">
        <v>471</v>
      </c>
      <c r="C138" s="36">
        <v>1</v>
      </c>
      <c r="D138" s="13">
        <v>555</v>
      </c>
      <c r="E138" s="25">
        <v>231.55</v>
      </c>
      <c r="F138" s="15">
        <f>E138*D138/C138</f>
        <v>128510.25</v>
      </c>
      <c r="G138" s="15"/>
      <c r="H138" s="15"/>
      <c r="I138" s="15"/>
      <c r="J138" s="877" t="e">
        <f>#REF!*37</f>
        <v>#REF!</v>
      </c>
      <c r="K138" s="877" t="e">
        <f t="shared" si="9"/>
        <v>#REF!</v>
      </c>
    </row>
    <row r="139" spans="1:12" s="887" customFormat="1" ht="60" x14ac:dyDescent="0.2">
      <c r="A139" s="987">
        <v>93</v>
      </c>
      <c r="B139" s="884" t="s">
        <v>123</v>
      </c>
      <c r="C139" s="20"/>
      <c r="D139" s="13">
        <v>0</v>
      </c>
      <c r="E139" s="20"/>
      <c r="F139" s="20"/>
      <c r="G139" s="20"/>
      <c r="H139" s="20"/>
      <c r="I139" s="20"/>
      <c r="J139" s="877" t="e">
        <f>#REF!*37</f>
        <v>#REF!</v>
      </c>
      <c r="K139" s="877" t="e">
        <f t="shared" si="9"/>
        <v>#REF!</v>
      </c>
    </row>
    <row r="140" spans="1:12" s="887" customFormat="1" x14ac:dyDescent="0.2">
      <c r="A140" s="988"/>
      <c r="B140" s="884" t="s">
        <v>150</v>
      </c>
      <c r="C140" s="36">
        <v>1</v>
      </c>
      <c r="D140" s="13">
        <v>36960</v>
      </c>
      <c r="E140" s="25">
        <v>35.700000000000003</v>
      </c>
      <c r="F140" s="15">
        <f>E140*D140/C140</f>
        <v>1319472</v>
      </c>
      <c r="G140" s="15"/>
      <c r="H140" s="15"/>
      <c r="I140" s="15"/>
      <c r="J140" s="877" t="e">
        <f>#REF!*37</f>
        <v>#REF!</v>
      </c>
      <c r="K140" s="877" t="e">
        <f t="shared" si="9"/>
        <v>#REF!</v>
      </c>
      <c r="L140" s="894"/>
    </row>
    <row r="141" spans="1:12" s="887" customFormat="1" x14ac:dyDescent="0.2">
      <c r="A141" s="989"/>
      <c r="B141" s="884" t="s">
        <v>151</v>
      </c>
      <c r="C141" s="36">
        <v>1</v>
      </c>
      <c r="D141" s="13">
        <v>13020</v>
      </c>
      <c r="E141" s="25">
        <v>56.3</v>
      </c>
      <c r="F141" s="15">
        <f>E141*D141/C141</f>
        <v>733026</v>
      </c>
      <c r="G141" s="15"/>
      <c r="H141" s="15"/>
      <c r="I141" s="15"/>
      <c r="J141" s="877" t="e">
        <f>#REF!*37</f>
        <v>#REF!</v>
      </c>
      <c r="K141" s="877" t="e">
        <f t="shared" si="9"/>
        <v>#REF!</v>
      </c>
      <c r="L141" s="894"/>
    </row>
    <row r="142" spans="1:12" s="887" customFormat="1" ht="45" x14ac:dyDescent="0.2">
      <c r="A142" s="44">
        <v>94</v>
      </c>
      <c r="B142" s="884" t="s">
        <v>126</v>
      </c>
      <c r="C142" s="36">
        <v>1</v>
      </c>
      <c r="D142" s="13">
        <v>19680</v>
      </c>
      <c r="E142" s="25">
        <v>237.65</v>
      </c>
      <c r="F142" s="15">
        <f>E142*D142/C142</f>
        <v>4676952</v>
      </c>
      <c r="G142" s="15"/>
      <c r="H142" s="15"/>
      <c r="I142" s="15"/>
      <c r="J142" s="877" t="e">
        <f>#REF!*37</f>
        <v>#REF!</v>
      </c>
      <c r="K142" s="877" t="e">
        <f t="shared" si="9"/>
        <v>#REF!</v>
      </c>
      <c r="L142" s="894"/>
    </row>
    <row r="143" spans="1:12" s="887" customFormat="1" ht="30" x14ac:dyDescent="0.2">
      <c r="A143" s="987">
        <v>95</v>
      </c>
      <c r="B143" s="884" t="s">
        <v>127</v>
      </c>
      <c r="C143" s="20"/>
      <c r="D143" s="13">
        <v>0</v>
      </c>
      <c r="E143" s="20"/>
      <c r="F143" s="20"/>
      <c r="G143" s="20"/>
      <c r="H143" s="20"/>
      <c r="I143" s="20"/>
      <c r="J143" s="877" t="e">
        <f>#REF!*37</f>
        <v>#REF!</v>
      </c>
      <c r="K143" s="877" t="e">
        <f t="shared" si="9"/>
        <v>#REF!</v>
      </c>
    </row>
    <row r="144" spans="1:12" s="887" customFormat="1" x14ac:dyDescent="0.2">
      <c r="A144" s="988"/>
      <c r="B144" s="884" t="s">
        <v>152</v>
      </c>
      <c r="C144" s="38">
        <v>1</v>
      </c>
      <c r="D144" s="13">
        <v>219</v>
      </c>
      <c r="E144" s="25">
        <v>382.3</v>
      </c>
      <c r="F144" s="15">
        <f t="shared" ref="F144:F174" si="11">E144*D144/C144</f>
        <v>83723.7</v>
      </c>
      <c r="G144" s="15"/>
      <c r="H144" s="15"/>
      <c r="I144" s="15"/>
      <c r="J144" s="877" t="e">
        <f>#REF!*37</f>
        <v>#REF!</v>
      </c>
      <c r="K144" s="877" t="e">
        <f t="shared" si="9"/>
        <v>#REF!</v>
      </c>
      <c r="L144" s="894"/>
    </row>
    <row r="145" spans="1:12" s="887" customFormat="1" x14ac:dyDescent="0.2">
      <c r="A145" s="988"/>
      <c r="B145" s="884" t="s">
        <v>153</v>
      </c>
      <c r="C145" s="38">
        <v>1</v>
      </c>
      <c r="D145" s="13">
        <v>432</v>
      </c>
      <c r="E145" s="25">
        <v>522.75</v>
      </c>
      <c r="F145" s="15">
        <f t="shared" si="11"/>
        <v>225828</v>
      </c>
      <c r="G145" s="15"/>
      <c r="H145" s="15"/>
      <c r="I145" s="15"/>
      <c r="J145" s="877" t="e">
        <f>#REF!*37</f>
        <v>#REF!</v>
      </c>
      <c r="K145" s="877" t="e">
        <f t="shared" si="9"/>
        <v>#REF!</v>
      </c>
      <c r="L145" s="894"/>
    </row>
    <row r="146" spans="1:12" s="887" customFormat="1" x14ac:dyDescent="0.2">
      <c r="A146" s="989"/>
      <c r="B146" s="884" t="s">
        <v>154</v>
      </c>
      <c r="C146" s="38">
        <v>1</v>
      </c>
      <c r="D146" s="13">
        <v>128</v>
      </c>
      <c r="E146" s="25">
        <v>668.8</v>
      </c>
      <c r="F146" s="15">
        <f t="shared" si="11"/>
        <v>85606.399999999994</v>
      </c>
      <c r="G146" s="15"/>
      <c r="H146" s="15"/>
      <c r="I146" s="15"/>
      <c r="J146" s="877" t="e">
        <f>#REF!*37</f>
        <v>#REF!</v>
      </c>
      <c r="K146" s="877" t="e">
        <f t="shared" si="9"/>
        <v>#REF!</v>
      </c>
      <c r="L146" s="894"/>
    </row>
    <row r="147" spans="1:12" s="887" customFormat="1" ht="30" x14ac:dyDescent="0.2">
      <c r="A147" s="44">
        <v>96</v>
      </c>
      <c r="B147" s="884" t="s">
        <v>131</v>
      </c>
      <c r="C147" s="38">
        <v>1</v>
      </c>
      <c r="D147" s="13">
        <v>4100</v>
      </c>
      <c r="E147" s="25">
        <v>102.7</v>
      </c>
      <c r="F147" s="15">
        <f t="shared" si="11"/>
        <v>421070</v>
      </c>
      <c r="G147" s="15"/>
      <c r="H147" s="15"/>
      <c r="I147" s="15"/>
      <c r="J147" s="877" t="e">
        <f>#REF!*37</f>
        <v>#REF!</v>
      </c>
      <c r="K147" s="877" t="e">
        <f t="shared" si="9"/>
        <v>#REF!</v>
      </c>
    </row>
    <row r="148" spans="1:12" s="887" customFormat="1" x14ac:dyDescent="0.2">
      <c r="A148" s="44">
        <v>97</v>
      </c>
      <c r="B148" s="884" t="s">
        <v>132</v>
      </c>
      <c r="C148" s="38">
        <v>1</v>
      </c>
      <c r="D148" s="13">
        <v>744</v>
      </c>
      <c r="E148" s="25">
        <v>96.3</v>
      </c>
      <c r="F148" s="15">
        <f t="shared" si="11"/>
        <v>71647.199999999997</v>
      </c>
      <c r="G148" s="15"/>
      <c r="H148" s="15"/>
      <c r="I148" s="15"/>
      <c r="J148" s="877" t="e">
        <f>#REF!*37</f>
        <v>#REF!</v>
      </c>
      <c r="K148" s="877" t="e">
        <f t="shared" si="9"/>
        <v>#REF!</v>
      </c>
      <c r="L148" s="894"/>
    </row>
    <row r="149" spans="1:12" s="887" customFormat="1" ht="30" x14ac:dyDescent="0.2">
      <c r="A149" s="44">
        <v>98</v>
      </c>
      <c r="B149" s="884" t="s">
        <v>134</v>
      </c>
      <c r="C149" s="38">
        <v>1</v>
      </c>
      <c r="D149" s="13">
        <v>37</v>
      </c>
      <c r="E149" s="25">
        <v>213.1</v>
      </c>
      <c r="F149" s="15">
        <f t="shared" si="11"/>
        <v>7884.7</v>
      </c>
      <c r="G149" s="15"/>
      <c r="H149" s="15"/>
      <c r="I149" s="15"/>
      <c r="J149" s="877" t="e">
        <f>#REF!*37</f>
        <v>#REF!</v>
      </c>
      <c r="K149" s="877" t="e">
        <f t="shared" si="9"/>
        <v>#REF!</v>
      </c>
    </row>
    <row r="150" spans="1:12" s="887" customFormat="1" ht="105" x14ac:dyDescent="0.2">
      <c r="A150" s="44">
        <v>99</v>
      </c>
      <c r="B150" s="884" t="s">
        <v>135</v>
      </c>
      <c r="C150" s="37">
        <v>1</v>
      </c>
      <c r="D150" s="13">
        <v>37</v>
      </c>
      <c r="E150" s="25">
        <v>24422.65</v>
      </c>
      <c r="F150" s="15">
        <f t="shared" si="11"/>
        <v>903638.05</v>
      </c>
      <c r="G150" s="15"/>
      <c r="H150" s="15"/>
      <c r="I150" s="15"/>
      <c r="J150" s="877" t="e">
        <f>#REF!*37</f>
        <v>#REF!</v>
      </c>
      <c r="K150" s="877" t="e">
        <f t="shared" si="9"/>
        <v>#REF!</v>
      </c>
    </row>
    <row r="151" spans="1:12" s="887" customFormat="1" ht="60" x14ac:dyDescent="0.2">
      <c r="A151" s="44">
        <v>100</v>
      </c>
      <c r="B151" s="884" t="s">
        <v>136</v>
      </c>
      <c r="C151" s="37">
        <v>1</v>
      </c>
      <c r="D151" s="13">
        <v>222</v>
      </c>
      <c r="E151" s="25">
        <v>1453.75</v>
      </c>
      <c r="F151" s="15">
        <f t="shared" si="11"/>
        <v>322732.5</v>
      </c>
      <c r="G151" s="15"/>
      <c r="H151" s="15"/>
      <c r="I151" s="15"/>
      <c r="J151" s="877" t="e">
        <f>#REF!*37</f>
        <v>#REF!</v>
      </c>
      <c r="K151" s="877" t="e">
        <f t="shared" si="9"/>
        <v>#REF!</v>
      </c>
    </row>
    <row r="152" spans="1:12" ht="90" x14ac:dyDescent="0.2">
      <c r="A152" s="44">
        <v>101</v>
      </c>
      <c r="B152" s="884" t="s">
        <v>137</v>
      </c>
      <c r="C152" s="37">
        <v>1</v>
      </c>
      <c r="D152" s="13">
        <v>74</v>
      </c>
      <c r="E152" s="25">
        <v>13796.3</v>
      </c>
      <c r="F152" s="15">
        <f t="shared" si="11"/>
        <v>1020926.2</v>
      </c>
      <c r="G152" s="15"/>
      <c r="H152" s="15"/>
      <c r="I152" s="15"/>
      <c r="J152" s="877" t="e">
        <f>#REF!*37</f>
        <v>#REF!</v>
      </c>
      <c r="K152" s="877" t="e">
        <f t="shared" si="9"/>
        <v>#REF!</v>
      </c>
    </row>
    <row r="153" spans="1:12" ht="90" x14ac:dyDescent="0.2">
      <c r="A153" s="44">
        <v>102</v>
      </c>
      <c r="B153" s="884" t="s">
        <v>138</v>
      </c>
      <c r="C153" s="37">
        <v>1</v>
      </c>
      <c r="D153" s="13">
        <v>37</v>
      </c>
      <c r="E153" s="25">
        <v>19859.400000000001</v>
      </c>
      <c r="F153" s="15">
        <f t="shared" si="11"/>
        <v>734797.8</v>
      </c>
      <c r="G153" s="15"/>
      <c r="H153" s="15"/>
      <c r="I153" s="15"/>
      <c r="J153" s="877" t="e">
        <f>#REF!*37</f>
        <v>#REF!</v>
      </c>
      <c r="K153" s="877" t="e">
        <f t="shared" si="9"/>
        <v>#REF!</v>
      </c>
    </row>
    <row r="154" spans="1:12" ht="45" x14ac:dyDescent="0.2">
      <c r="A154" s="44">
        <v>103</v>
      </c>
      <c r="B154" s="884" t="s">
        <v>139</v>
      </c>
      <c r="C154" s="37">
        <v>1</v>
      </c>
      <c r="D154" s="13">
        <v>707</v>
      </c>
      <c r="E154" s="25">
        <v>1995.3</v>
      </c>
      <c r="F154" s="15">
        <f t="shared" si="11"/>
        <v>1410677.0999999999</v>
      </c>
      <c r="G154" s="15"/>
      <c r="H154" s="15"/>
      <c r="I154" s="15"/>
      <c r="J154" s="877" t="e">
        <f>#REF!*37</f>
        <v>#REF!</v>
      </c>
      <c r="K154" s="877" t="e">
        <f t="shared" si="9"/>
        <v>#REF!</v>
      </c>
      <c r="L154" s="882"/>
    </row>
    <row r="155" spans="1:12" x14ac:dyDescent="0.2">
      <c r="A155" s="44">
        <v>104</v>
      </c>
      <c r="B155" s="884" t="s">
        <v>140</v>
      </c>
      <c r="C155" s="37">
        <v>1</v>
      </c>
      <c r="D155" s="13">
        <v>111</v>
      </c>
      <c r="E155" s="25">
        <v>178.75</v>
      </c>
      <c r="F155" s="15">
        <f t="shared" si="11"/>
        <v>19841.25</v>
      </c>
      <c r="G155" s="15"/>
      <c r="H155" s="15"/>
      <c r="I155" s="15"/>
      <c r="J155" s="877" t="e">
        <f>#REF!*37</f>
        <v>#REF!</v>
      </c>
      <c r="K155" s="877" t="e">
        <f t="shared" si="9"/>
        <v>#REF!</v>
      </c>
    </row>
    <row r="156" spans="1:12" s="887" customFormat="1" ht="45" x14ac:dyDescent="0.2">
      <c r="A156" s="44">
        <v>105</v>
      </c>
      <c r="B156" s="884" t="s">
        <v>171</v>
      </c>
      <c r="C156" s="19">
        <v>100</v>
      </c>
      <c r="D156" s="13">
        <v>5447.5326000000005</v>
      </c>
      <c r="E156" s="14">
        <v>13179.6</v>
      </c>
      <c r="F156" s="15">
        <f t="shared" si="11"/>
        <v>717963.00654960005</v>
      </c>
      <c r="G156" s="15"/>
      <c r="H156" s="15"/>
      <c r="I156" s="15"/>
    </row>
    <row r="157" spans="1:12" s="887" customFormat="1" ht="105" x14ac:dyDescent="0.2">
      <c r="A157" s="44">
        <v>106</v>
      </c>
      <c r="B157" s="884" t="s">
        <v>172</v>
      </c>
      <c r="C157" s="22">
        <v>1</v>
      </c>
      <c r="D157" s="13">
        <v>1983.6000000000001</v>
      </c>
      <c r="E157" s="14">
        <v>2180.6999999999998</v>
      </c>
      <c r="F157" s="15">
        <f t="shared" si="11"/>
        <v>4325636.5199999996</v>
      </c>
      <c r="G157" s="15"/>
      <c r="H157" s="15"/>
      <c r="I157" s="15"/>
    </row>
    <row r="158" spans="1:12" s="887" customFormat="1" ht="30" x14ac:dyDescent="0.2">
      <c r="A158" s="44">
        <v>107</v>
      </c>
      <c r="B158" s="884" t="s">
        <v>173</v>
      </c>
      <c r="C158" s="19">
        <v>1</v>
      </c>
      <c r="D158" s="13">
        <v>908</v>
      </c>
      <c r="E158" s="14">
        <v>2767</v>
      </c>
      <c r="F158" s="15">
        <f t="shared" si="11"/>
        <v>2512436</v>
      </c>
      <c r="G158" s="15"/>
      <c r="H158" s="15"/>
      <c r="I158" s="15"/>
    </row>
    <row r="159" spans="1:12" s="887" customFormat="1" x14ac:dyDescent="0.2">
      <c r="A159" s="44">
        <v>108</v>
      </c>
      <c r="B159" s="884" t="s">
        <v>174</v>
      </c>
      <c r="C159" s="19">
        <v>100</v>
      </c>
      <c r="D159" s="13">
        <v>19399.646999999997</v>
      </c>
      <c r="E159" s="25">
        <v>1212.3499999999999</v>
      </c>
      <c r="F159" s="15">
        <f t="shared" si="11"/>
        <v>235191.62040449996</v>
      </c>
      <c r="G159" s="15"/>
      <c r="H159" s="15"/>
      <c r="I159" s="15"/>
    </row>
    <row r="160" spans="1:12" s="887" customFormat="1" ht="30" x14ac:dyDescent="0.2">
      <c r="A160" s="44">
        <v>109</v>
      </c>
      <c r="B160" s="884" t="s">
        <v>175</v>
      </c>
      <c r="C160" s="37">
        <v>1</v>
      </c>
      <c r="D160" s="13">
        <v>369</v>
      </c>
      <c r="E160" s="25">
        <v>680.75</v>
      </c>
      <c r="F160" s="15">
        <f t="shared" si="11"/>
        <v>251196.75</v>
      </c>
      <c r="G160" s="15"/>
      <c r="H160" s="15"/>
      <c r="I160" s="15"/>
    </row>
    <row r="161" spans="1:12" s="887" customFormat="1" ht="45" x14ac:dyDescent="0.2">
      <c r="A161" s="44">
        <v>110</v>
      </c>
      <c r="B161" s="884" t="s">
        <v>190</v>
      </c>
      <c r="C161" s="36">
        <v>1</v>
      </c>
      <c r="D161" s="13">
        <v>111.86</v>
      </c>
      <c r="E161" s="25">
        <v>1125.2</v>
      </c>
      <c r="F161" s="15">
        <f t="shared" si="11"/>
        <v>125864.872</v>
      </c>
      <c r="G161" s="15"/>
      <c r="H161" s="15"/>
      <c r="I161" s="15"/>
    </row>
    <row r="162" spans="1:12" s="887" customFormat="1" x14ac:dyDescent="0.2">
      <c r="A162" s="44">
        <v>111</v>
      </c>
      <c r="B162" s="884" t="s">
        <v>176</v>
      </c>
      <c r="C162" s="19">
        <v>1</v>
      </c>
      <c r="D162" s="13">
        <v>2800</v>
      </c>
      <c r="E162" s="25">
        <v>603</v>
      </c>
      <c r="F162" s="15">
        <f t="shared" si="11"/>
        <v>1688400</v>
      </c>
      <c r="G162" s="15"/>
      <c r="H162" s="15"/>
      <c r="I162" s="15"/>
    </row>
    <row r="163" spans="1:12" s="887" customFormat="1" ht="45" x14ac:dyDescent="0.2">
      <c r="A163" s="44">
        <v>112</v>
      </c>
      <c r="B163" s="884" t="s">
        <v>177</v>
      </c>
      <c r="C163" s="19">
        <v>1</v>
      </c>
      <c r="D163" s="13">
        <v>9477.0586000000003</v>
      </c>
      <c r="E163" s="25">
        <v>205.4</v>
      </c>
      <c r="F163" s="15">
        <f t="shared" si="11"/>
        <v>1946587.8364400002</v>
      </c>
      <c r="G163" s="15"/>
      <c r="H163" s="15"/>
      <c r="I163" s="15"/>
    </row>
    <row r="164" spans="1:12" s="887" customFormat="1" x14ac:dyDescent="0.2">
      <c r="A164" s="44">
        <v>113</v>
      </c>
      <c r="B164" s="884" t="s">
        <v>178</v>
      </c>
      <c r="C164" s="12">
        <v>100</v>
      </c>
      <c r="D164" s="13">
        <v>2287.9699999999998</v>
      </c>
      <c r="E164" s="25">
        <v>18017.599999999999</v>
      </c>
      <c r="F164" s="15">
        <f t="shared" si="11"/>
        <v>412237.2827199999</v>
      </c>
      <c r="G164" s="15"/>
      <c r="H164" s="15"/>
      <c r="I164" s="15"/>
    </row>
    <row r="165" spans="1:12" s="887" customFormat="1" ht="60" x14ac:dyDescent="0.2">
      <c r="A165" s="44">
        <v>114</v>
      </c>
      <c r="B165" s="884" t="s">
        <v>179</v>
      </c>
      <c r="C165" s="19">
        <v>100</v>
      </c>
      <c r="D165" s="13">
        <v>5447.5326000000005</v>
      </c>
      <c r="E165" s="25">
        <v>29658.5</v>
      </c>
      <c r="F165" s="15">
        <f t="shared" si="11"/>
        <v>1615656.4561709999</v>
      </c>
      <c r="G165" s="15"/>
      <c r="H165" s="15"/>
      <c r="I165" s="15"/>
    </row>
    <row r="166" spans="1:12" s="887" customFormat="1" ht="60" x14ac:dyDescent="0.2">
      <c r="A166" s="44">
        <v>115</v>
      </c>
      <c r="B166" s="884" t="s">
        <v>180</v>
      </c>
      <c r="C166" s="19">
        <v>100</v>
      </c>
      <c r="D166" s="13">
        <v>385.13000000000005</v>
      </c>
      <c r="E166" s="25">
        <v>19146.849999999999</v>
      </c>
      <c r="F166" s="15">
        <f t="shared" si="11"/>
        <v>73740.263405000005</v>
      </c>
      <c r="G166" s="15"/>
      <c r="H166" s="15"/>
      <c r="I166" s="15"/>
    </row>
    <row r="167" spans="1:12" s="887" customFormat="1" ht="30" x14ac:dyDescent="0.2">
      <c r="A167" s="44">
        <v>116</v>
      </c>
      <c r="B167" s="884" t="s">
        <v>181</v>
      </c>
      <c r="C167" s="36">
        <v>1</v>
      </c>
      <c r="D167" s="13">
        <v>2922.31</v>
      </c>
      <c r="E167" s="25">
        <v>39.6</v>
      </c>
      <c r="F167" s="15">
        <f t="shared" si="11"/>
        <v>115723.476</v>
      </c>
      <c r="G167" s="15"/>
      <c r="H167" s="15"/>
      <c r="I167" s="15"/>
    </row>
    <row r="168" spans="1:12" s="887" customFormat="1" x14ac:dyDescent="0.2">
      <c r="A168" s="44">
        <v>117</v>
      </c>
      <c r="B168" s="884" t="s">
        <v>183</v>
      </c>
      <c r="C168" s="38">
        <v>1</v>
      </c>
      <c r="D168" s="13">
        <v>596</v>
      </c>
      <c r="E168" s="25">
        <v>178.75</v>
      </c>
      <c r="F168" s="15">
        <f t="shared" si="11"/>
        <v>106535</v>
      </c>
      <c r="G168" s="15"/>
      <c r="H168" s="15"/>
      <c r="I168" s="15"/>
      <c r="L168" s="894"/>
    </row>
    <row r="169" spans="1:12" s="887" customFormat="1" ht="60.75" x14ac:dyDescent="0.2">
      <c r="A169" s="44">
        <v>118</v>
      </c>
      <c r="B169" s="884" t="s">
        <v>184</v>
      </c>
      <c r="C169" s="37">
        <v>1</v>
      </c>
      <c r="D169" s="13">
        <v>5</v>
      </c>
      <c r="E169" s="25">
        <v>5616.25</v>
      </c>
      <c r="F169" s="15">
        <f t="shared" si="11"/>
        <v>28081.25</v>
      </c>
      <c r="G169" s="15"/>
      <c r="H169" s="15"/>
      <c r="I169" s="15"/>
    </row>
    <row r="170" spans="1:12" s="887" customFormat="1" ht="60.75" x14ac:dyDescent="0.2">
      <c r="A170" s="44">
        <v>119</v>
      </c>
      <c r="B170" s="884" t="s">
        <v>185</v>
      </c>
      <c r="C170" s="37">
        <v>1</v>
      </c>
      <c r="D170" s="13">
        <v>29</v>
      </c>
      <c r="E170" s="25">
        <v>1453.75</v>
      </c>
      <c r="F170" s="15">
        <f t="shared" si="11"/>
        <v>42158.75</v>
      </c>
      <c r="G170" s="15"/>
      <c r="H170" s="15"/>
      <c r="I170" s="15"/>
    </row>
    <row r="171" spans="1:12" s="887" customFormat="1" ht="45" x14ac:dyDescent="0.2">
      <c r="A171" s="44">
        <v>120</v>
      </c>
      <c r="B171" s="884" t="s">
        <v>186</v>
      </c>
      <c r="C171" s="38">
        <v>1</v>
      </c>
      <c r="D171" s="13">
        <v>34</v>
      </c>
      <c r="E171" s="25">
        <v>11398.45</v>
      </c>
      <c r="F171" s="15">
        <f t="shared" si="11"/>
        <v>387547.30000000005</v>
      </c>
      <c r="G171" s="15"/>
      <c r="H171" s="15"/>
      <c r="I171" s="15"/>
    </row>
    <row r="172" spans="1:12" s="887" customFormat="1" x14ac:dyDescent="0.2">
      <c r="A172" s="120">
        <v>121</v>
      </c>
      <c r="B172" s="905" t="s">
        <v>58</v>
      </c>
      <c r="C172" s="12">
        <v>1000</v>
      </c>
      <c r="D172" s="13">
        <v>58871.790000000008</v>
      </c>
      <c r="E172" s="25">
        <v>10533.6</v>
      </c>
      <c r="F172" s="15">
        <f t="shared" si="11"/>
        <v>620131.88714400004</v>
      </c>
      <c r="G172" s="15"/>
      <c r="H172" s="15"/>
      <c r="I172" s="15"/>
    </row>
    <row r="173" spans="1:12" s="887" customFormat="1" ht="30" x14ac:dyDescent="0.2">
      <c r="A173" s="120">
        <v>122</v>
      </c>
      <c r="B173" s="905" t="s">
        <v>194</v>
      </c>
      <c r="C173" s="12">
        <v>1000</v>
      </c>
      <c r="D173" s="13">
        <v>58871.790000000008</v>
      </c>
      <c r="E173" s="25">
        <v>1437.5</v>
      </c>
      <c r="F173" s="15">
        <f t="shared" si="11"/>
        <v>84628.19812500001</v>
      </c>
      <c r="G173" s="15"/>
      <c r="H173" s="15"/>
      <c r="I173" s="15"/>
    </row>
    <row r="174" spans="1:12" s="887" customFormat="1" ht="30" x14ac:dyDescent="0.2">
      <c r="A174" s="993">
        <v>123</v>
      </c>
      <c r="B174" s="905" t="s">
        <v>195</v>
      </c>
      <c r="C174" s="12">
        <v>1000</v>
      </c>
      <c r="D174" s="13">
        <v>14550.010000000002</v>
      </c>
      <c r="E174" s="25">
        <v>5033.7</v>
      </c>
      <c r="F174" s="15">
        <f t="shared" si="11"/>
        <v>73240.385337000014</v>
      </c>
      <c r="G174" s="15"/>
      <c r="H174" s="15"/>
      <c r="I174" s="15"/>
    </row>
    <row r="175" spans="1:12" s="887" customFormat="1" x14ac:dyDescent="0.2">
      <c r="A175" s="994"/>
      <c r="B175" s="905" t="s">
        <v>196</v>
      </c>
      <c r="C175" s="43"/>
      <c r="D175" s="13">
        <v>0</v>
      </c>
      <c r="E175" s="43"/>
      <c r="F175" s="43"/>
      <c r="G175" s="43"/>
      <c r="H175" s="43"/>
      <c r="I175" s="43"/>
    </row>
    <row r="176" spans="1:12" s="887" customFormat="1" x14ac:dyDescent="0.2">
      <c r="A176" s="994"/>
      <c r="B176" s="905" t="s">
        <v>197</v>
      </c>
      <c r="C176" s="19">
        <v>100</v>
      </c>
      <c r="D176" s="13">
        <v>2500</v>
      </c>
      <c r="E176" s="14">
        <v>6512.05</v>
      </c>
      <c r="F176" s="15">
        <f>E176*D176/C176</f>
        <v>162801.25</v>
      </c>
      <c r="G176" s="15"/>
      <c r="H176" s="15"/>
      <c r="I176" s="15"/>
    </row>
    <row r="177" spans="1:12" s="887" customFormat="1" x14ac:dyDescent="0.2">
      <c r="A177" s="995"/>
      <c r="B177" s="905" t="s">
        <v>198</v>
      </c>
      <c r="C177" s="19">
        <v>100</v>
      </c>
      <c r="D177" s="13">
        <v>3876</v>
      </c>
      <c r="E177" s="14">
        <v>7363.45</v>
      </c>
      <c r="F177" s="15">
        <f>E177*D177/C177</f>
        <v>285407.32199999999</v>
      </c>
      <c r="G177" s="15"/>
      <c r="H177" s="15"/>
      <c r="I177" s="15"/>
    </row>
    <row r="178" spans="1:12" s="887" customFormat="1" x14ac:dyDescent="0.2">
      <c r="A178" s="993">
        <v>124</v>
      </c>
      <c r="B178" s="905" t="s">
        <v>199</v>
      </c>
      <c r="C178" s="43"/>
      <c r="D178" s="13">
        <v>0</v>
      </c>
      <c r="E178" s="43"/>
      <c r="F178" s="43"/>
      <c r="G178" s="43"/>
      <c r="H178" s="43"/>
      <c r="I178" s="43"/>
    </row>
    <row r="179" spans="1:12" s="887" customFormat="1" x14ac:dyDescent="0.2">
      <c r="A179" s="994"/>
      <c r="B179" s="905" t="s">
        <v>200</v>
      </c>
      <c r="C179" s="12">
        <v>100</v>
      </c>
      <c r="D179" s="13">
        <v>856.25</v>
      </c>
      <c r="E179" s="13">
        <v>49016.9</v>
      </c>
      <c r="F179" s="15">
        <f>E179*D179/C179</f>
        <v>419707.20624999999</v>
      </c>
      <c r="G179" s="15"/>
      <c r="H179" s="15"/>
      <c r="I179" s="15"/>
    </row>
    <row r="180" spans="1:12" s="887" customFormat="1" x14ac:dyDescent="0.2">
      <c r="A180" s="995"/>
      <c r="B180" s="905" t="s">
        <v>201</v>
      </c>
      <c r="C180" s="12">
        <v>100</v>
      </c>
      <c r="D180" s="13">
        <v>1327.53</v>
      </c>
      <c r="E180" s="13">
        <v>51301.8</v>
      </c>
      <c r="F180" s="15">
        <f>E180*D180/C180</f>
        <v>681046.78554000007</v>
      </c>
      <c r="G180" s="15"/>
      <c r="H180" s="15"/>
      <c r="I180" s="15"/>
    </row>
    <row r="181" spans="1:12" s="887" customFormat="1" ht="30" x14ac:dyDescent="0.2">
      <c r="A181" s="120">
        <v>125</v>
      </c>
      <c r="B181" s="905" t="s">
        <v>202</v>
      </c>
      <c r="C181" s="36">
        <v>1</v>
      </c>
      <c r="D181" s="13">
        <v>637.6</v>
      </c>
      <c r="E181" s="14">
        <v>17.3</v>
      </c>
      <c r="F181" s="15">
        <f>E181*D181/C181</f>
        <v>11030.480000000001</v>
      </c>
      <c r="G181" s="15"/>
      <c r="H181" s="15"/>
      <c r="I181" s="15"/>
    </row>
    <row r="182" spans="1:12" s="887" customFormat="1" x14ac:dyDescent="0.2">
      <c r="A182" s="120">
        <v>126</v>
      </c>
      <c r="B182" s="905" t="s">
        <v>203</v>
      </c>
      <c r="C182" s="19">
        <v>100</v>
      </c>
      <c r="D182" s="13">
        <v>318.8</v>
      </c>
      <c r="E182" s="25">
        <v>1539.8</v>
      </c>
      <c r="F182" s="15">
        <f>E182*D182/C182</f>
        <v>4908.8823999999995</v>
      </c>
      <c r="G182" s="15"/>
      <c r="H182" s="15"/>
      <c r="I182" s="15"/>
    </row>
    <row r="183" spans="1:12" s="887" customFormat="1" ht="45.75" x14ac:dyDescent="0.2">
      <c r="A183" s="118">
        <v>127</v>
      </c>
      <c r="B183" s="884" t="s">
        <v>204</v>
      </c>
      <c r="C183" s="12">
        <v>1000</v>
      </c>
      <c r="D183" s="13">
        <v>46483.393100000008</v>
      </c>
      <c r="E183" s="14">
        <v>15824.15</v>
      </c>
      <c r="F183" s="15">
        <f>E183*D183/C183</f>
        <v>735560.18492336513</v>
      </c>
      <c r="G183" s="15"/>
      <c r="H183" s="15"/>
      <c r="I183" s="15"/>
      <c r="J183" s="894">
        <f>SUM(F183:F185)</f>
        <v>1507963.2006953652</v>
      </c>
      <c r="K183" s="887">
        <v>31715324</v>
      </c>
      <c r="L183" s="877">
        <f>K183-J183</f>
        <v>30207360.799304634</v>
      </c>
    </row>
    <row r="184" spans="1:12" s="887" customFormat="1" ht="75" x14ac:dyDescent="0.2">
      <c r="A184" s="44">
        <v>128</v>
      </c>
      <c r="B184" s="884" t="s">
        <v>85</v>
      </c>
      <c r="C184" s="20"/>
      <c r="D184" s="13">
        <v>0</v>
      </c>
      <c r="E184" s="20"/>
      <c r="F184" s="20"/>
      <c r="G184" s="20"/>
      <c r="H184" s="20"/>
      <c r="I184" s="20"/>
    </row>
    <row r="185" spans="1:12" s="887" customFormat="1" x14ac:dyDescent="0.2">
      <c r="A185" s="44">
        <v>129</v>
      </c>
      <c r="B185" s="883" t="s">
        <v>206</v>
      </c>
      <c r="C185" s="12">
        <v>100</v>
      </c>
      <c r="D185" s="13">
        <v>11277.602800000002</v>
      </c>
      <c r="E185" s="25">
        <v>6849</v>
      </c>
      <c r="F185" s="15">
        <f t="shared" ref="F185:F195" si="12">E185*D185/C185</f>
        <v>772403.01577200007</v>
      </c>
      <c r="G185" s="15"/>
      <c r="H185" s="15"/>
      <c r="I185" s="15"/>
    </row>
    <row r="186" spans="1:12" ht="45.75" x14ac:dyDescent="0.2">
      <c r="A186" s="118">
        <v>130</v>
      </c>
      <c r="B186" s="884" t="s">
        <v>301</v>
      </c>
      <c r="C186" s="12">
        <v>1000</v>
      </c>
      <c r="D186" s="13">
        <v>72531.663749999992</v>
      </c>
      <c r="E186" s="14">
        <v>15824.15</v>
      </c>
      <c r="F186" s="15">
        <f t="shared" si="12"/>
        <v>1147751.9269295624</v>
      </c>
      <c r="G186" s="15"/>
      <c r="H186" s="15"/>
      <c r="I186" s="15"/>
      <c r="J186" s="882">
        <f>SUM(F186:F222)</f>
        <v>80212234.679585844</v>
      </c>
    </row>
    <row r="187" spans="1:12" x14ac:dyDescent="0.2">
      <c r="A187" s="118">
        <v>131</v>
      </c>
      <c r="B187" s="884" t="s">
        <v>302</v>
      </c>
      <c r="C187" s="19">
        <v>1</v>
      </c>
      <c r="D187" s="13">
        <v>88776.1875</v>
      </c>
      <c r="E187" s="25">
        <v>12.55</v>
      </c>
      <c r="F187" s="15">
        <f t="shared" si="12"/>
        <v>1114141.153125</v>
      </c>
      <c r="G187" s="15"/>
      <c r="H187" s="15"/>
      <c r="I187" s="15"/>
    </row>
    <row r="188" spans="1:12" ht="30" x14ac:dyDescent="0.2">
      <c r="A188" s="44">
        <v>132</v>
      </c>
      <c r="B188" s="884" t="s">
        <v>303</v>
      </c>
      <c r="C188" s="12">
        <v>100</v>
      </c>
      <c r="D188" s="13">
        <v>47794.11</v>
      </c>
      <c r="E188" s="14">
        <v>35830.6</v>
      </c>
      <c r="F188" s="15">
        <f t="shared" si="12"/>
        <v>17124916.377659999</v>
      </c>
      <c r="G188" s="15"/>
      <c r="H188" s="15"/>
      <c r="I188" s="15"/>
    </row>
    <row r="189" spans="1:12" s="887" customFormat="1" ht="135.75" x14ac:dyDescent="0.2">
      <c r="A189" s="122">
        <v>133</v>
      </c>
      <c r="B189" s="884" t="s">
        <v>304</v>
      </c>
      <c r="C189" s="12">
        <v>1</v>
      </c>
      <c r="D189" s="13">
        <v>21724.43</v>
      </c>
      <c r="E189" s="14">
        <v>741.85</v>
      </c>
      <c r="F189" s="15">
        <f t="shared" si="12"/>
        <v>16116268.395500001</v>
      </c>
      <c r="G189" s="15"/>
      <c r="H189" s="15"/>
      <c r="I189" s="15"/>
    </row>
    <row r="190" spans="1:12" s="887" customFormat="1" ht="120" x14ac:dyDescent="0.2">
      <c r="A190" s="44">
        <v>134</v>
      </c>
      <c r="B190" s="884" t="s">
        <v>99</v>
      </c>
      <c r="C190" s="19">
        <v>1</v>
      </c>
      <c r="D190" s="13">
        <v>3276</v>
      </c>
      <c r="E190" s="14">
        <v>2180.6999999999998</v>
      </c>
      <c r="F190" s="15">
        <f t="shared" si="12"/>
        <v>7143973.1999999993</v>
      </c>
      <c r="G190" s="15"/>
      <c r="H190" s="15"/>
      <c r="I190" s="15"/>
    </row>
    <row r="191" spans="1:12" s="887" customFormat="1" ht="60" x14ac:dyDescent="0.2">
      <c r="A191" s="44">
        <v>135</v>
      </c>
      <c r="B191" s="884" t="s">
        <v>305</v>
      </c>
      <c r="C191" s="19">
        <v>1</v>
      </c>
      <c r="D191" s="13">
        <v>3822</v>
      </c>
      <c r="E191" s="14">
        <v>638.85</v>
      </c>
      <c r="F191" s="15">
        <f t="shared" si="12"/>
        <v>2441684.7000000002</v>
      </c>
      <c r="G191" s="15"/>
      <c r="H191" s="15"/>
      <c r="I191" s="15"/>
    </row>
    <row r="192" spans="1:12" s="887" customFormat="1" ht="45" x14ac:dyDescent="0.2">
      <c r="A192" s="118">
        <v>136</v>
      </c>
      <c r="B192" s="884" t="s">
        <v>102</v>
      </c>
      <c r="C192" s="19">
        <v>100</v>
      </c>
      <c r="D192" s="13">
        <v>33854.84375</v>
      </c>
      <c r="E192" s="14">
        <v>13179.6</v>
      </c>
      <c r="F192" s="15">
        <f t="shared" si="12"/>
        <v>4461932.9868750004</v>
      </c>
      <c r="G192" s="15"/>
      <c r="H192" s="15"/>
      <c r="I192" s="15"/>
    </row>
    <row r="193" spans="1:9" s="887" customFormat="1" ht="60" x14ac:dyDescent="0.2">
      <c r="A193" s="118">
        <v>137</v>
      </c>
      <c r="B193" s="884" t="s">
        <v>179</v>
      </c>
      <c r="C193" s="19">
        <v>100</v>
      </c>
      <c r="D193" s="13">
        <v>22325.37125</v>
      </c>
      <c r="E193" s="25">
        <v>29658.5</v>
      </c>
      <c r="F193" s="15">
        <f t="shared" si="12"/>
        <v>6621370.2321812501</v>
      </c>
      <c r="G193" s="15"/>
      <c r="H193" s="15"/>
      <c r="I193" s="15"/>
    </row>
    <row r="194" spans="1:9" s="887" customFormat="1" ht="45" x14ac:dyDescent="0.2">
      <c r="A194" s="118">
        <v>138</v>
      </c>
      <c r="B194" s="884" t="s">
        <v>500</v>
      </c>
      <c r="C194" s="19">
        <v>100</v>
      </c>
      <c r="D194" s="13">
        <v>14054.039999999999</v>
      </c>
      <c r="E194" s="25">
        <v>19146.849999999999</v>
      </c>
      <c r="F194" s="15">
        <f t="shared" si="12"/>
        <v>2690905.95774</v>
      </c>
      <c r="G194" s="15"/>
      <c r="H194" s="15"/>
      <c r="I194" s="15"/>
    </row>
    <row r="195" spans="1:9" s="887" customFormat="1" ht="30" x14ac:dyDescent="0.2">
      <c r="A195" s="118">
        <v>139</v>
      </c>
      <c r="B195" s="884" t="s">
        <v>501</v>
      </c>
      <c r="C195" s="36">
        <v>1</v>
      </c>
      <c r="D195" s="13">
        <v>22750</v>
      </c>
      <c r="E195" s="25">
        <v>39.6</v>
      </c>
      <c r="F195" s="15">
        <f t="shared" si="12"/>
        <v>900900</v>
      </c>
      <c r="G195" s="15"/>
      <c r="H195" s="15"/>
      <c r="I195" s="15"/>
    </row>
    <row r="196" spans="1:9" s="887" customFormat="1" ht="30" x14ac:dyDescent="0.2">
      <c r="A196" s="44">
        <v>140</v>
      </c>
      <c r="B196" s="876" t="s">
        <v>106</v>
      </c>
      <c r="C196" s="20"/>
      <c r="D196" s="13">
        <v>0</v>
      </c>
      <c r="E196" s="20"/>
      <c r="F196" s="20"/>
      <c r="G196" s="20"/>
      <c r="H196" s="20"/>
      <c r="I196" s="20"/>
    </row>
    <row r="197" spans="1:9" s="887" customFormat="1" ht="30" x14ac:dyDescent="0.2">
      <c r="A197" s="44">
        <v>141</v>
      </c>
      <c r="B197" s="884" t="s">
        <v>162</v>
      </c>
      <c r="C197" s="19">
        <v>100</v>
      </c>
      <c r="D197" s="13">
        <v>21116.55</v>
      </c>
      <c r="E197" s="25">
        <v>5264.65</v>
      </c>
      <c r="F197" s="15">
        <f t="shared" ref="F197:F203" si="13">E197*D197/C197</f>
        <v>1111712.449575</v>
      </c>
      <c r="G197" s="15"/>
      <c r="H197" s="15"/>
      <c r="I197" s="15"/>
    </row>
    <row r="198" spans="1:9" s="887" customFormat="1" x14ac:dyDescent="0.2">
      <c r="A198" s="44">
        <v>142</v>
      </c>
      <c r="B198" s="884" t="s">
        <v>306</v>
      </c>
      <c r="C198" s="37">
        <v>1</v>
      </c>
      <c r="D198" s="13">
        <v>182</v>
      </c>
      <c r="E198" s="25">
        <v>656.85</v>
      </c>
      <c r="F198" s="15">
        <f t="shared" si="13"/>
        <v>119546.7</v>
      </c>
      <c r="G198" s="15"/>
      <c r="H198" s="15"/>
      <c r="I198" s="15"/>
    </row>
    <row r="199" spans="1:9" s="887" customFormat="1" ht="30" x14ac:dyDescent="0.2">
      <c r="A199" s="44">
        <v>143</v>
      </c>
      <c r="B199" s="884" t="s">
        <v>308</v>
      </c>
      <c r="C199" s="38">
        <v>1</v>
      </c>
      <c r="D199" s="13">
        <v>91</v>
      </c>
      <c r="E199" s="25">
        <v>4105.05</v>
      </c>
      <c r="F199" s="15">
        <f t="shared" si="13"/>
        <v>373559.55</v>
      </c>
      <c r="G199" s="15"/>
      <c r="H199" s="15"/>
      <c r="I199" s="15"/>
    </row>
    <row r="200" spans="1:9" s="887" customFormat="1" ht="30" x14ac:dyDescent="0.2">
      <c r="A200" s="44">
        <v>144</v>
      </c>
      <c r="B200" s="884" t="s">
        <v>309</v>
      </c>
      <c r="C200" s="38">
        <v>1</v>
      </c>
      <c r="D200" s="13">
        <v>273</v>
      </c>
      <c r="E200" s="25">
        <v>463.15</v>
      </c>
      <c r="F200" s="15">
        <f t="shared" si="13"/>
        <v>126439.95</v>
      </c>
      <c r="G200" s="15"/>
      <c r="H200" s="15"/>
      <c r="I200" s="15"/>
    </row>
    <row r="201" spans="1:9" s="887" customFormat="1" x14ac:dyDescent="0.2">
      <c r="A201" s="44">
        <v>145</v>
      </c>
      <c r="B201" s="884" t="s">
        <v>310</v>
      </c>
      <c r="C201" s="38">
        <v>1</v>
      </c>
      <c r="D201" s="13">
        <v>364</v>
      </c>
      <c r="E201" s="25">
        <v>1639.2</v>
      </c>
      <c r="F201" s="15">
        <f t="shared" si="13"/>
        <v>596668.80000000005</v>
      </c>
      <c r="G201" s="15"/>
      <c r="H201" s="15"/>
      <c r="I201" s="15"/>
    </row>
    <row r="202" spans="1:9" s="887" customFormat="1" ht="30" x14ac:dyDescent="0.2">
      <c r="A202" s="44">
        <v>146</v>
      </c>
      <c r="B202" s="884" t="s">
        <v>311</v>
      </c>
      <c r="C202" s="38">
        <v>1</v>
      </c>
      <c r="D202" s="13">
        <v>91</v>
      </c>
      <c r="E202" s="25">
        <v>8069.2</v>
      </c>
      <c r="F202" s="15">
        <f t="shared" si="13"/>
        <v>734297.2</v>
      </c>
      <c r="G202" s="15"/>
      <c r="H202" s="15"/>
      <c r="I202" s="15"/>
    </row>
    <row r="203" spans="1:9" s="887" customFormat="1" x14ac:dyDescent="0.2">
      <c r="A203" s="44">
        <v>147</v>
      </c>
      <c r="B203" s="884" t="s">
        <v>312</v>
      </c>
      <c r="C203" s="37">
        <v>1</v>
      </c>
      <c r="D203" s="13">
        <v>364</v>
      </c>
      <c r="E203" s="25">
        <v>2374.25</v>
      </c>
      <c r="F203" s="15">
        <f t="shared" si="13"/>
        <v>864227</v>
      </c>
      <c r="G203" s="15"/>
      <c r="H203" s="15"/>
      <c r="I203" s="15"/>
    </row>
    <row r="204" spans="1:9" s="887" customFormat="1" ht="90" x14ac:dyDescent="0.2">
      <c r="A204" s="44">
        <v>148</v>
      </c>
      <c r="B204" s="884" t="s">
        <v>313</v>
      </c>
      <c r="C204" s="20"/>
      <c r="D204" s="13">
        <v>0</v>
      </c>
      <c r="E204" s="20"/>
      <c r="F204" s="20"/>
      <c r="G204" s="20"/>
      <c r="H204" s="20"/>
      <c r="I204" s="20"/>
    </row>
    <row r="205" spans="1:9" s="887" customFormat="1" x14ac:dyDescent="0.2">
      <c r="A205" s="44" t="s">
        <v>60</v>
      </c>
      <c r="B205" s="884" t="s">
        <v>314</v>
      </c>
      <c r="C205" s="36">
        <v>1</v>
      </c>
      <c r="D205" s="13">
        <v>9100</v>
      </c>
      <c r="E205" s="25">
        <v>62.95</v>
      </c>
      <c r="F205" s="15">
        <f>E205*D205/C205</f>
        <v>572845</v>
      </c>
      <c r="G205" s="15"/>
      <c r="H205" s="15"/>
      <c r="I205" s="15"/>
    </row>
    <row r="206" spans="1:9" s="887" customFormat="1" x14ac:dyDescent="0.2">
      <c r="A206" s="44" t="s">
        <v>37</v>
      </c>
      <c r="B206" s="884" t="s">
        <v>315</v>
      </c>
      <c r="C206" s="36">
        <v>1</v>
      </c>
      <c r="D206" s="13">
        <v>4550</v>
      </c>
      <c r="E206" s="25">
        <v>87.1</v>
      </c>
      <c r="F206" s="15">
        <f>E206*D206/C206</f>
        <v>396305</v>
      </c>
      <c r="G206" s="15"/>
      <c r="H206" s="15"/>
      <c r="I206" s="15"/>
    </row>
    <row r="207" spans="1:9" s="887" customFormat="1" ht="30" x14ac:dyDescent="0.2">
      <c r="A207" s="44">
        <v>149</v>
      </c>
      <c r="B207" s="884" t="s">
        <v>316</v>
      </c>
      <c r="C207" s="38">
        <v>1</v>
      </c>
      <c r="D207" s="13">
        <v>91</v>
      </c>
      <c r="E207" s="25">
        <v>1457.7</v>
      </c>
      <c r="F207" s="15">
        <f>E207*D207/C207</f>
        <v>132650.70000000001</v>
      </c>
      <c r="G207" s="15"/>
      <c r="H207" s="15"/>
      <c r="I207" s="15"/>
    </row>
    <row r="208" spans="1:9" s="887" customFormat="1" ht="30" x14ac:dyDescent="0.2">
      <c r="A208" s="44">
        <v>150</v>
      </c>
      <c r="B208" s="884" t="s">
        <v>317</v>
      </c>
      <c r="C208" s="38">
        <v>1</v>
      </c>
      <c r="D208" s="13">
        <v>91</v>
      </c>
      <c r="E208" s="25">
        <v>15209.1</v>
      </c>
      <c r="F208" s="15">
        <f>E208*D208/C208</f>
        <v>1384028.1</v>
      </c>
      <c r="G208" s="15"/>
      <c r="H208" s="15"/>
      <c r="I208" s="15"/>
    </row>
    <row r="209" spans="1:12" s="887" customFormat="1" x14ac:dyDescent="0.2">
      <c r="A209" s="987">
        <v>151</v>
      </c>
      <c r="B209" s="884" t="s">
        <v>318</v>
      </c>
      <c r="C209" s="25"/>
      <c r="D209" s="13">
        <v>0</v>
      </c>
      <c r="E209" s="25"/>
      <c r="F209" s="25"/>
      <c r="G209" s="25"/>
      <c r="H209" s="25"/>
      <c r="I209" s="25"/>
    </row>
    <row r="210" spans="1:12" s="887" customFormat="1" x14ac:dyDescent="0.2">
      <c r="A210" s="988"/>
      <c r="B210" s="884" t="s">
        <v>319</v>
      </c>
      <c r="C210" s="38">
        <v>1</v>
      </c>
      <c r="D210" s="13">
        <v>91</v>
      </c>
      <c r="E210" s="25">
        <v>1380</v>
      </c>
      <c r="F210" s="15">
        <f t="shared" ref="F210:F254" si="14">E210*D210/C210</f>
        <v>125580</v>
      </c>
      <c r="G210" s="15"/>
      <c r="H210" s="15"/>
      <c r="I210" s="15"/>
    </row>
    <row r="211" spans="1:12" s="887" customFormat="1" x14ac:dyDescent="0.2">
      <c r="A211" s="988"/>
      <c r="B211" s="884" t="s">
        <v>320</v>
      </c>
      <c r="C211" s="38">
        <v>1</v>
      </c>
      <c r="D211" s="13">
        <v>91</v>
      </c>
      <c r="E211" s="25">
        <v>1610</v>
      </c>
      <c r="F211" s="15">
        <f t="shared" si="14"/>
        <v>146510</v>
      </c>
      <c r="G211" s="15"/>
      <c r="H211" s="15"/>
      <c r="I211" s="15"/>
    </row>
    <row r="212" spans="1:12" s="887" customFormat="1" x14ac:dyDescent="0.2">
      <c r="A212" s="989"/>
      <c r="B212" s="884" t="s">
        <v>321</v>
      </c>
      <c r="C212" s="38">
        <v>1</v>
      </c>
      <c r="D212" s="13">
        <v>91</v>
      </c>
      <c r="E212" s="25">
        <v>1035</v>
      </c>
      <c r="F212" s="15">
        <f t="shared" si="14"/>
        <v>94185</v>
      </c>
      <c r="G212" s="15"/>
      <c r="H212" s="15"/>
      <c r="I212" s="15"/>
    </row>
    <row r="213" spans="1:12" s="887" customFormat="1" x14ac:dyDescent="0.2">
      <c r="A213" s="44">
        <v>152</v>
      </c>
      <c r="B213" s="884" t="s">
        <v>322</v>
      </c>
      <c r="C213" s="38">
        <v>1</v>
      </c>
      <c r="D213" s="13">
        <v>91</v>
      </c>
      <c r="E213" s="25">
        <v>1999.2</v>
      </c>
      <c r="F213" s="15">
        <f t="shared" si="14"/>
        <v>181927.2</v>
      </c>
      <c r="G213" s="15"/>
      <c r="H213" s="15"/>
      <c r="I213" s="15"/>
    </row>
    <row r="214" spans="1:12" s="887" customFormat="1" x14ac:dyDescent="0.2">
      <c r="A214" s="44">
        <v>153</v>
      </c>
      <c r="B214" s="884" t="s">
        <v>133</v>
      </c>
      <c r="C214" s="38">
        <v>1</v>
      </c>
      <c r="D214" s="13">
        <v>256</v>
      </c>
      <c r="E214" s="25">
        <v>204.7</v>
      </c>
      <c r="F214" s="15">
        <f t="shared" si="14"/>
        <v>52403.199999999997</v>
      </c>
      <c r="G214" s="15"/>
      <c r="H214" s="15"/>
      <c r="I214" s="15"/>
      <c r="J214" s="877" t="e">
        <f>#REF!*37</f>
        <v>#REF!</v>
      </c>
      <c r="K214" s="877" t="e">
        <f>D214-J214</f>
        <v>#REF!</v>
      </c>
      <c r="L214" s="894"/>
    </row>
    <row r="215" spans="1:12" s="887" customFormat="1" x14ac:dyDescent="0.2">
      <c r="A215" s="44">
        <v>154</v>
      </c>
      <c r="B215" s="884" t="s">
        <v>155</v>
      </c>
      <c r="C215" s="38">
        <v>1</v>
      </c>
      <c r="D215" s="13">
        <v>182</v>
      </c>
      <c r="E215" s="25">
        <v>213.1</v>
      </c>
      <c r="F215" s="15">
        <f t="shared" si="14"/>
        <v>38784.199999999997</v>
      </c>
      <c r="G215" s="15"/>
      <c r="H215" s="15"/>
      <c r="I215" s="15"/>
    </row>
    <row r="216" spans="1:12" s="887" customFormat="1" ht="90" x14ac:dyDescent="0.2">
      <c r="A216" s="44">
        <v>155</v>
      </c>
      <c r="B216" s="884" t="s">
        <v>163</v>
      </c>
      <c r="C216" s="37">
        <v>1</v>
      </c>
      <c r="D216" s="13">
        <v>91</v>
      </c>
      <c r="E216" s="25">
        <v>24422.65</v>
      </c>
      <c r="F216" s="15">
        <f t="shared" si="14"/>
        <v>2222461.15</v>
      </c>
      <c r="G216" s="15"/>
      <c r="H216" s="15"/>
      <c r="I216" s="15"/>
    </row>
    <row r="217" spans="1:12" s="887" customFormat="1" ht="60.75" x14ac:dyDescent="0.2">
      <c r="A217" s="44">
        <v>156</v>
      </c>
      <c r="B217" s="884" t="s">
        <v>184</v>
      </c>
      <c r="C217" s="37">
        <v>1</v>
      </c>
      <c r="D217" s="13">
        <v>91</v>
      </c>
      <c r="E217" s="25">
        <v>5616.25</v>
      </c>
      <c r="F217" s="15">
        <f t="shared" si="14"/>
        <v>511078.75</v>
      </c>
      <c r="G217" s="15"/>
      <c r="H217" s="15"/>
      <c r="I217" s="15"/>
    </row>
    <row r="218" spans="1:12" s="887" customFormat="1" ht="60.75" x14ac:dyDescent="0.2">
      <c r="A218" s="44">
        <v>157</v>
      </c>
      <c r="B218" s="884" t="s">
        <v>185</v>
      </c>
      <c r="C218" s="37">
        <v>1</v>
      </c>
      <c r="D218" s="13">
        <v>364</v>
      </c>
      <c r="E218" s="25">
        <v>1453.75</v>
      </c>
      <c r="F218" s="15">
        <f t="shared" si="14"/>
        <v>529165</v>
      </c>
      <c r="G218" s="15"/>
      <c r="H218" s="15"/>
      <c r="I218" s="15"/>
    </row>
    <row r="219" spans="1:12" s="887" customFormat="1" x14ac:dyDescent="0.2">
      <c r="A219" s="44">
        <v>158</v>
      </c>
      <c r="B219" s="884" t="s">
        <v>323</v>
      </c>
      <c r="C219" s="38">
        <v>1</v>
      </c>
      <c r="D219" s="13">
        <v>91</v>
      </c>
      <c r="E219" s="25">
        <v>83.75</v>
      </c>
      <c r="F219" s="15">
        <f t="shared" si="14"/>
        <v>7621.25</v>
      </c>
      <c r="G219" s="15"/>
      <c r="H219" s="15"/>
      <c r="I219" s="15"/>
    </row>
    <row r="220" spans="1:12" s="887" customFormat="1" ht="45" x14ac:dyDescent="0.2">
      <c r="A220" s="44">
        <v>159</v>
      </c>
      <c r="B220" s="884" t="s">
        <v>324</v>
      </c>
      <c r="C220" s="38">
        <v>1</v>
      </c>
      <c r="D220" s="13">
        <v>91</v>
      </c>
      <c r="E220" s="25">
        <v>10815.4</v>
      </c>
      <c r="F220" s="15">
        <f t="shared" si="14"/>
        <v>984201.4</v>
      </c>
      <c r="G220" s="15"/>
      <c r="H220" s="15"/>
      <c r="I220" s="15"/>
    </row>
    <row r="221" spans="1:12" s="887" customFormat="1" ht="45" x14ac:dyDescent="0.2">
      <c r="A221" s="44">
        <v>160</v>
      </c>
      <c r="B221" s="884" t="s">
        <v>325</v>
      </c>
      <c r="C221" s="38">
        <v>1</v>
      </c>
      <c r="D221" s="13">
        <v>91</v>
      </c>
      <c r="E221" s="25">
        <v>663.65</v>
      </c>
      <c r="F221" s="15">
        <f t="shared" si="14"/>
        <v>60392.15</v>
      </c>
      <c r="G221" s="15"/>
      <c r="H221" s="15"/>
      <c r="I221" s="15"/>
    </row>
    <row r="222" spans="1:12" ht="30" x14ac:dyDescent="0.2">
      <c r="A222" s="44">
        <v>161</v>
      </c>
      <c r="B222" s="884" t="s">
        <v>326</v>
      </c>
      <c r="C222" s="38">
        <v>1</v>
      </c>
      <c r="D222" s="13">
        <v>91</v>
      </c>
      <c r="E222" s="25">
        <v>99800</v>
      </c>
      <c r="F222" s="15">
        <f t="shared" si="14"/>
        <v>9081800</v>
      </c>
      <c r="G222" s="15"/>
      <c r="H222" s="15"/>
      <c r="I222" s="15"/>
    </row>
    <row r="223" spans="1:12" s="891" customFormat="1" x14ac:dyDescent="0.2">
      <c r="A223" s="44">
        <v>162</v>
      </c>
      <c r="B223" s="888" t="s">
        <v>210</v>
      </c>
      <c r="C223" s="910">
        <v>1</v>
      </c>
      <c r="D223" s="13">
        <v>25</v>
      </c>
      <c r="E223" s="911">
        <v>71344</v>
      </c>
      <c r="F223" s="105">
        <f t="shared" si="14"/>
        <v>1783600</v>
      </c>
      <c r="G223" s="105"/>
      <c r="H223" s="105"/>
      <c r="I223" s="105"/>
    </row>
    <row r="224" spans="1:12" s="891" customFormat="1" x14ac:dyDescent="0.2">
      <c r="A224" s="44">
        <v>163</v>
      </c>
      <c r="B224" s="888" t="s">
        <v>211</v>
      </c>
      <c r="C224" s="910">
        <v>1</v>
      </c>
      <c r="D224" s="13">
        <v>700</v>
      </c>
      <c r="E224" s="911">
        <v>71680</v>
      </c>
      <c r="F224" s="15">
        <f t="shared" si="14"/>
        <v>50176000</v>
      </c>
      <c r="G224" s="15"/>
      <c r="H224" s="15"/>
      <c r="I224" s="15"/>
    </row>
    <row r="225" spans="1:12" s="891" customFormat="1" x14ac:dyDescent="0.2">
      <c r="A225" s="44">
        <v>164</v>
      </c>
      <c r="B225" s="888" t="s">
        <v>212</v>
      </c>
      <c r="C225" s="910">
        <v>1</v>
      </c>
      <c r="D225" s="13">
        <v>840</v>
      </c>
      <c r="E225" s="911">
        <v>5488</v>
      </c>
      <c r="F225" s="15">
        <f t="shared" si="14"/>
        <v>4609920</v>
      </c>
      <c r="G225" s="15"/>
      <c r="H225" s="15"/>
      <c r="I225" s="15"/>
    </row>
    <row r="226" spans="1:12" s="891" customFormat="1" x14ac:dyDescent="0.2">
      <c r="A226" s="44">
        <v>165</v>
      </c>
      <c r="B226" s="888" t="s">
        <v>213</v>
      </c>
      <c r="C226" s="910">
        <v>1</v>
      </c>
      <c r="D226" s="13">
        <v>1760</v>
      </c>
      <c r="E226" s="911">
        <v>8333</v>
      </c>
      <c r="F226" s="15">
        <f t="shared" si="14"/>
        <v>14666080</v>
      </c>
      <c r="G226" s="15"/>
      <c r="H226" s="15"/>
      <c r="I226" s="15"/>
    </row>
    <row r="227" spans="1:12" s="891" customFormat="1" x14ac:dyDescent="0.2">
      <c r="A227" s="44">
        <v>166</v>
      </c>
      <c r="B227" s="888" t="s">
        <v>214</v>
      </c>
      <c r="C227" s="910">
        <v>1</v>
      </c>
      <c r="D227" s="13">
        <v>1530</v>
      </c>
      <c r="E227" s="911">
        <v>4250</v>
      </c>
      <c r="F227" s="15">
        <f t="shared" si="14"/>
        <v>6502500</v>
      </c>
      <c r="G227" s="15"/>
      <c r="H227" s="15"/>
      <c r="I227" s="15"/>
    </row>
    <row r="228" spans="1:12" s="891" customFormat="1" x14ac:dyDescent="0.2">
      <c r="A228" s="44">
        <v>167</v>
      </c>
      <c r="B228" s="888" t="s">
        <v>483</v>
      </c>
      <c r="C228" s="910">
        <v>1</v>
      </c>
      <c r="D228" s="13">
        <v>1200</v>
      </c>
      <c r="E228" s="911">
        <v>609</v>
      </c>
      <c r="F228" s="15">
        <f t="shared" si="14"/>
        <v>730800</v>
      </c>
      <c r="G228" s="15"/>
      <c r="H228" s="15"/>
      <c r="I228" s="15"/>
    </row>
    <row r="229" spans="1:12" s="891" customFormat="1" x14ac:dyDescent="0.2">
      <c r="A229" s="44">
        <v>168</v>
      </c>
      <c r="B229" s="888" t="s">
        <v>216</v>
      </c>
      <c r="C229" s="910">
        <v>1</v>
      </c>
      <c r="D229" s="13">
        <f>65+2350</f>
        <v>2415</v>
      </c>
      <c r="E229" s="911">
        <v>1797</v>
      </c>
      <c r="F229" s="15">
        <f t="shared" si="14"/>
        <v>4339755</v>
      </c>
      <c r="G229" s="15"/>
      <c r="H229" s="15"/>
      <c r="I229" s="15"/>
    </row>
    <row r="230" spans="1:12" s="891" customFormat="1" x14ac:dyDescent="0.2">
      <c r="A230" s="44">
        <v>169</v>
      </c>
      <c r="B230" s="888" t="s">
        <v>217</v>
      </c>
      <c r="C230" s="910">
        <v>1</v>
      </c>
      <c r="D230" s="13">
        <v>1000</v>
      </c>
      <c r="E230" s="911">
        <v>599</v>
      </c>
      <c r="F230" s="15">
        <f t="shared" si="14"/>
        <v>599000</v>
      </c>
      <c r="G230" s="15"/>
      <c r="H230" s="15"/>
      <c r="I230" s="15"/>
      <c r="K230" s="891">
        <f>3390*245</f>
        <v>830550</v>
      </c>
      <c r="L230" s="891">
        <f>3390*246</f>
        <v>833940</v>
      </c>
    </row>
    <row r="231" spans="1:12" s="891" customFormat="1" x14ac:dyDescent="0.2">
      <c r="A231" s="44">
        <v>170</v>
      </c>
      <c r="B231" s="888" t="s">
        <v>218</v>
      </c>
      <c r="C231" s="910">
        <v>1</v>
      </c>
      <c r="D231" s="13">
        <v>700</v>
      </c>
      <c r="E231" s="911">
        <v>358</v>
      </c>
      <c r="F231" s="15">
        <f t="shared" si="14"/>
        <v>250600</v>
      </c>
      <c r="G231" s="15"/>
      <c r="H231" s="15"/>
      <c r="I231" s="15"/>
    </row>
    <row r="232" spans="1:12" s="891" customFormat="1" x14ac:dyDescent="0.2">
      <c r="A232" s="44">
        <v>171</v>
      </c>
      <c r="B232" s="888" t="s">
        <v>219</v>
      </c>
      <c r="C232" s="910">
        <v>1</v>
      </c>
      <c r="D232" s="13">
        <v>500</v>
      </c>
      <c r="E232" s="911">
        <v>208</v>
      </c>
      <c r="F232" s="15">
        <f t="shared" si="14"/>
        <v>104000</v>
      </c>
      <c r="G232" s="15"/>
      <c r="H232" s="15"/>
      <c r="I232" s="15"/>
    </row>
    <row r="233" spans="1:12" s="891" customFormat="1" x14ac:dyDescent="0.2">
      <c r="A233" s="44">
        <v>172</v>
      </c>
      <c r="B233" s="888" t="s">
        <v>220</v>
      </c>
      <c r="C233" s="910">
        <v>1</v>
      </c>
      <c r="D233" s="13">
        <v>500</v>
      </c>
      <c r="E233" s="911">
        <v>184</v>
      </c>
      <c r="F233" s="15">
        <f t="shared" si="14"/>
        <v>92000</v>
      </c>
      <c r="G233" s="15"/>
      <c r="H233" s="15"/>
      <c r="I233" s="15"/>
    </row>
    <row r="234" spans="1:12" s="891" customFormat="1" x14ac:dyDescent="0.2">
      <c r="A234" s="44">
        <v>173</v>
      </c>
      <c r="B234" s="888" t="s">
        <v>221</v>
      </c>
      <c r="C234" s="910">
        <v>1</v>
      </c>
      <c r="D234" s="13">
        <v>200</v>
      </c>
      <c r="E234" s="911">
        <v>49</v>
      </c>
      <c r="F234" s="15">
        <f t="shared" si="14"/>
        <v>9800</v>
      </c>
      <c r="G234" s="15"/>
      <c r="H234" s="15"/>
      <c r="I234" s="15"/>
    </row>
    <row r="235" spans="1:12" s="891" customFormat="1" x14ac:dyDescent="0.2">
      <c r="A235" s="44">
        <v>174</v>
      </c>
      <c r="B235" s="888" t="s">
        <v>222</v>
      </c>
      <c r="C235" s="910">
        <v>1</v>
      </c>
      <c r="D235" s="13">
        <v>150</v>
      </c>
      <c r="E235" s="911">
        <v>3935</v>
      </c>
      <c r="F235" s="15">
        <f t="shared" si="14"/>
        <v>590250</v>
      </c>
      <c r="G235" s="15"/>
      <c r="H235" s="15"/>
      <c r="I235" s="15"/>
    </row>
    <row r="236" spans="1:12" s="891" customFormat="1" x14ac:dyDescent="0.2">
      <c r="A236" s="44">
        <v>175</v>
      </c>
      <c r="B236" s="888" t="s">
        <v>223</v>
      </c>
      <c r="C236" s="912">
        <v>1</v>
      </c>
      <c r="D236" s="13">
        <v>1870</v>
      </c>
      <c r="E236" s="911">
        <v>399</v>
      </c>
      <c r="F236" s="15">
        <f t="shared" si="14"/>
        <v>746130</v>
      </c>
      <c r="G236" s="15"/>
      <c r="H236" s="15"/>
      <c r="I236" s="15"/>
    </row>
    <row r="237" spans="1:12" s="891" customFormat="1" x14ac:dyDescent="0.2">
      <c r="A237" s="44">
        <v>176</v>
      </c>
      <c r="B237" s="888" t="s">
        <v>224</v>
      </c>
      <c r="C237" s="910">
        <v>1</v>
      </c>
      <c r="D237" s="13">
        <f>58200+3390</f>
        <v>61590</v>
      </c>
      <c r="E237" s="911">
        <v>245</v>
      </c>
      <c r="F237" s="15">
        <f t="shared" si="14"/>
        <v>15089550</v>
      </c>
      <c r="G237" s="15"/>
      <c r="H237" s="15"/>
      <c r="I237" s="15"/>
      <c r="J237" s="891">
        <f>SUM(F223:F237)</f>
        <v>100289985</v>
      </c>
    </row>
    <row r="238" spans="1:12" s="891" customFormat="1" x14ac:dyDescent="0.2">
      <c r="A238" s="44">
        <v>177</v>
      </c>
      <c r="B238" s="888" t="s">
        <v>225</v>
      </c>
      <c r="C238" s="910">
        <v>1</v>
      </c>
      <c r="D238" s="13">
        <v>2</v>
      </c>
      <c r="E238" s="911">
        <v>2189000</v>
      </c>
      <c r="F238" s="15">
        <f t="shared" si="14"/>
        <v>4378000</v>
      </c>
      <c r="G238" s="15"/>
      <c r="H238" s="15"/>
      <c r="I238" s="15"/>
      <c r="J238" s="913">
        <f>SUM(F238:F250)</f>
        <v>43272829</v>
      </c>
    </row>
    <row r="239" spans="1:12" s="891" customFormat="1" x14ac:dyDescent="0.2">
      <c r="A239" s="44">
        <v>178</v>
      </c>
      <c r="B239" s="888" t="s">
        <v>226</v>
      </c>
      <c r="C239" s="910">
        <v>1</v>
      </c>
      <c r="D239" s="13">
        <v>5</v>
      </c>
      <c r="E239" s="911">
        <v>506760</v>
      </c>
      <c r="F239" s="15">
        <f t="shared" si="14"/>
        <v>2533800</v>
      </c>
      <c r="G239" s="15"/>
      <c r="H239" s="15"/>
      <c r="I239" s="15"/>
    </row>
    <row r="240" spans="1:12" s="891" customFormat="1" x14ac:dyDescent="0.2">
      <c r="A240" s="44">
        <v>179</v>
      </c>
      <c r="B240" s="888" t="s">
        <v>227</v>
      </c>
      <c r="C240" s="910">
        <v>1</v>
      </c>
      <c r="D240" s="13">
        <v>5</v>
      </c>
      <c r="E240" s="911">
        <v>400567</v>
      </c>
      <c r="F240" s="15">
        <f t="shared" si="14"/>
        <v>2002835</v>
      </c>
      <c r="G240" s="15"/>
      <c r="H240" s="15"/>
      <c r="I240" s="15"/>
    </row>
    <row r="241" spans="1:11" s="891" customFormat="1" x14ac:dyDescent="0.2">
      <c r="A241" s="44">
        <v>180</v>
      </c>
      <c r="B241" s="888" t="s">
        <v>228</v>
      </c>
      <c r="C241" s="910">
        <v>1</v>
      </c>
      <c r="D241" s="13">
        <v>46</v>
      </c>
      <c r="E241" s="911">
        <v>286340</v>
      </c>
      <c r="F241" s="15">
        <f t="shared" si="14"/>
        <v>13171640</v>
      </c>
      <c r="G241" s="15"/>
      <c r="H241" s="15"/>
      <c r="I241" s="15"/>
    </row>
    <row r="242" spans="1:11" s="891" customFormat="1" x14ac:dyDescent="0.2">
      <c r="A242" s="44">
        <v>181</v>
      </c>
      <c r="B242" s="888" t="s">
        <v>229</v>
      </c>
      <c r="C242" s="910">
        <v>1</v>
      </c>
      <c r="D242" s="13">
        <v>60</v>
      </c>
      <c r="E242" s="911">
        <v>24290</v>
      </c>
      <c r="F242" s="15">
        <f t="shared" si="14"/>
        <v>1457400</v>
      </c>
      <c r="G242" s="15"/>
      <c r="H242" s="15"/>
      <c r="I242" s="15"/>
    </row>
    <row r="243" spans="1:11" s="891" customFormat="1" x14ac:dyDescent="0.2">
      <c r="A243" s="44">
        <v>182</v>
      </c>
      <c r="B243" s="888" t="s">
        <v>230</v>
      </c>
      <c r="C243" s="910">
        <v>1</v>
      </c>
      <c r="D243" s="13">
        <v>1283</v>
      </c>
      <c r="E243" s="911">
        <v>198</v>
      </c>
      <c r="F243" s="15">
        <f t="shared" si="14"/>
        <v>254034</v>
      </c>
      <c r="G243" s="15"/>
      <c r="H243" s="15"/>
      <c r="I243" s="15"/>
    </row>
    <row r="244" spans="1:11" s="891" customFormat="1" x14ac:dyDescent="0.2">
      <c r="A244" s="44">
        <v>183</v>
      </c>
      <c r="B244" s="888" t="s">
        <v>231</v>
      </c>
      <c r="C244" s="910">
        <v>1</v>
      </c>
      <c r="D244" s="13">
        <f>33+150</f>
        <v>183</v>
      </c>
      <c r="E244" s="911">
        <v>18250</v>
      </c>
      <c r="F244" s="15">
        <f t="shared" si="14"/>
        <v>3339750</v>
      </c>
      <c r="G244" s="15"/>
      <c r="H244" s="15"/>
      <c r="I244" s="15"/>
      <c r="J244" s="891">
        <f>155000/198</f>
        <v>782.82828282828279</v>
      </c>
      <c r="K244" s="891">
        <f>500+783</f>
        <v>1283</v>
      </c>
    </row>
    <row r="245" spans="1:11" s="891" customFormat="1" x14ac:dyDescent="0.2">
      <c r="A245" s="44">
        <v>184</v>
      </c>
      <c r="B245" s="888" t="s">
        <v>232</v>
      </c>
      <c r="C245" s="910">
        <v>1</v>
      </c>
      <c r="D245" s="13">
        <v>50</v>
      </c>
      <c r="E245" s="911">
        <v>4770</v>
      </c>
      <c r="F245" s="15">
        <f t="shared" si="14"/>
        <v>238500</v>
      </c>
      <c r="G245" s="15"/>
      <c r="H245" s="15"/>
      <c r="I245" s="15"/>
    </row>
    <row r="246" spans="1:11" s="891" customFormat="1" x14ac:dyDescent="0.2">
      <c r="A246" s="44">
        <v>185</v>
      </c>
      <c r="B246" s="888" t="s">
        <v>233</v>
      </c>
      <c r="C246" s="910">
        <v>1</v>
      </c>
      <c r="D246" s="13">
        <v>50</v>
      </c>
      <c r="E246" s="911">
        <v>10900</v>
      </c>
      <c r="F246" s="15">
        <f t="shared" si="14"/>
        <v>545000</v>
      </c>
      <c r="G246" s="15"/>
      <c r="H246" s="15"/>
      <c r="I246" s="15"/>
    </row>
    <row r="247" spans="1:11" s="891" customFormat="1" x14ac:dyDescent="0.2">
      <c r="A247" s="44">
        <v>186</v>
      </c>
      <c r="B247" s="888" t="s">
        <v>484</v>
      </c>
      <c r="C247" s="910">
        <v>1</v>
      </c>
      <c r="D247" s="13">
        <v>527</v>
      </c>
      <c r="E247" s="911">
        <v>23650</v>
      </c>
      <c r="F247" s="15">
        <f t="shared" si="14"/>
        <v>12463550</v>
      </c>
      <c r="G247" s="15"/>
      <c r="H247" s="15"/>
      <c r="I247" s="15"/>
    </row>
    <row r="248" spans="1:11" s="891" customFormat="1" ht="30" x14ac:dyDescent="0.2">
      <c r="A248" s="44">
        <v>187</v>
      </c>
      <c r="B248" s="888" t="s">
        <v>235</v>
      </c>
      <c r="C248" s="910">
        <v>1</v>
      </c>
      <c r="D248" s="13">
        <v>200</v>
      </c>
      <c r="E248" s="911">
        <v>3378.5</v>
      </c>
      <c r="F248" s="15">
        <f t="shared" si="14"/>
        <v>675700</v>
      </c>
      <c r="G248" s="15"/>
      <c r="H248" s="15"/>
      <c r="I248" s="15"/>
    </row>
    <row r="249" spans="1:11" s="891" customFormat="1" ht="45" x14ac:dyDescent="0.2">
      <c r="A249" s="44">
        <v>188</v>
      </c>
      <c r="B249" s="888" t="s">
        <v>236</v>
      </c>
      <c r="C249" s="910">
        <v>1</v>
      </c>
      <c r="D249" s="13">
        <v>200</v>
      </c>
      <c r="E249" s="911">
        <v>6949.8</v>
      </c>
      <c r="F249" s="15">
        <f t="shared" si="14"/>
        <v>1389960</v>
      </c>
      <c r="G249" s="15"/>
      <c r="H249" s="15"/>
      <c r="I249" s="15"/>
    </row>
    <row r="250" spans="1:11" s="891" customFormat="1" ht="30" x14ac:dyDescent="0.2">
      <c r="A250" s="44">
        <v>189</v>
      </c>
      <c r="B250" s="888" t="s">
        <v>237</v>
      </c>
      <c r="C250" s="910">
        <v>1</v>
      </c>
      <c r="D250" s="13">
        <v>200</v>
      </c>
      <c r="E250" s="911">
        <v>4113.3</v>
      </c>
      <c r="F250" s="15">
        <f t="shared" si="14"/>
        <v>822660</v>
      </c>
      <c r="G250" s="15"/>
      <c r="H250" s="15"/>
      <c r="I250" s="15"/>
    </row>
    <row r="251" spans="1:11" s="891" customFormat="1" x14ac:dyDescent="0.2">
      <c r="A251" s="44">
        <v>190</v>
      </c>
      <c r="B251" s="888" t="s">
        <v>238</v>
      </c>
      <c r="C251" s="910">
        <v>1</v>
      </c>
      <c r="D251" s="13">
        <f>1300+5000</f>
        <v>6300</v>
      </c>
      <c r="E251" s="911">
        <v>975</v>
      </c>
      <c r="F251" s="15">
        <f t="shared" si="14"/>
        <v>6142500</v>
      </c>
      <c r="G251" s="15"/>
      <c r="H251" s="15"/>
      <c r="I251" s="15"/>
    </row>
    <row r="252" spans="1:11" s="891" customFormat="1" x14ac:dyDescent="0.2">
      <c r="A252" s="44">
        <v>191</v>
      </c>
      <c r="B252" s="888" t="s">
        <v>239</v>
      </c>
      <c r="C252" s="910">
        <v>1</v>
      </c>
      <c r="D252" s="13">
        <v>50</v>
      </c>
      <c r="E252" s="911">
        <v>48900</v>
      </c>
      <c r="F252" s="15">
        <f t="shared" si="14"/>
        <v>2445000</v>
      </c>
      <c r="G252" s="15"/>
      <c r="H252" s="15"/>
      <c r="I252" s="15"/>
    </row>
    <row r="253" spans="1:11" s="891" customFormat="1" x14ac:dyDescent="0.2">
      <c r="A253" s="44">
        <v>192</v>
      </c>
      <c r="B253" s="888" t="s">
        <v>240</v>
      </c>
      <c r="C253" s="910">
        <v>1</v>
      </c>
      <c r="D253" s="13">
        <v>17</v>
      </c>
      <c r="E253" s="911">
        <v>31300</v>
      </c>
      <c r="F253" s="15">
        <f t="shared" si="14"/>
        <v>532100</v>
      </c>
      <c r="G253" s="15"/>
      <c r="H253" s="15"/>
      <c r="I253" s="15"/>
    </row>
    <row r="254" spans="1:11" s="891" customFormat="1" x14ac:dyDescent="0.2">
      <c r="A254" s="44">
        <v>193</v>
      </c>
      <c r="B254" s="888" t="s">
        <v>242</v>
      </c>
      <c r="C254" s="910">
        <v>1</v>
      </c>
      <c r="D254" s="13">
        <f>28+80</f>
        <v>108</v>
      </c>
      <c r="E254" s="911">
        <v>10530</v>
      </c>
      <c r="F254" s="15">
        <f t="shared" si="14"/>
        <v>1137240</v>
      </c>
      <c r="G254" s="15"/>
      <c r="H254" s="15"/>
      <c r="I254" s="15"/>
    </row>
    <row r="255" spans="1:11" s="891" customFormat="1" x14ac:dyDescent="0.2">
      <c r="A255" s="44">
        <v>194</v>
      </c>
      <c r="B255" s="888" t="s">
        <v>482</v>
      </c>
      <c r="C255" s="910">
        <v>1</v>
      </c>
      <c r="D255" s="13">
        <v>0</v>
      </c>
      <c r="E255" s="911">
        <v>16263340</v>
      </c>
      <c r="F255" s="15">
        <f t="shared" ref="F255:F259" si="15">E255</f>
        <v>16263340</v>
      </c>
      <c r="G255" s="15"/>
      <c r="H255" s="15"/>
      <c r="I255" s="15"/>
    </row>
    <row r="256" spans="1:11" s="891" customFormat="1" x14ac:dyDescent="0.2">
      <c r="A256" s="44">
        <v>195</v>
      </c>
      <c r="B256" s="888" t="s">
        <v>481</v>
      </c>
      <c r="C256" s="910">
        <v>1</v>
      </c>
      <c r="D256" s="13">
        <v>0</v>
      </c>
      <c r="E256" s="911">
        <v>5598490</v>
      </c>
      <c r="F256" s="15">
        <f>E256</f>
        <v>5598490</v>
      </c>
      <c r="G256" s="15"/>
      <c r="H256" s="15"/>
      <c r="I256" s="15"/>
    </row>
    <row r="257" spans="1:11" s="891" customFormat="1" x14ac:dyDescent="0.2">
      <c r="A257" s="44">
        <v>196</v>
      </c>
      <c r="B257" s="888" t="s">
        <v>480</v>
      </c>
      <c r="C257" s="910">
        <v>1</v>
      </c>
      <c r="D257" s="13">
        <v>0</v>
      </c>
      <c r="E257" s="911">
        <v>1034832</v>
      </c>
      <c r="F257" s="15">
        <f t="shared" si="15"/>
        <v>1034832</v>
      </c>
      <c r="G257" s="15"/>
      <c r="H257" s="15"/>
      <c r="I257" s="15"/>
    </row>
    <row r="258" spans="1:11" s="891" customFormat="1" x14ac:dyDescent="0.2">
      <c r="A258" s="44">
        <v>197</v>
      </c>
      <c r="B258" s="888" t="s">
        <v>478</v>
      </c>
      <c r="C258" s="910">
        <v>1</v>
      </c>
      <c r="D258" s="13">
        <v>0</v>
      </c>
      <c r="E258" s="914">
        <v>8064000</v>
      </c>
      <c r="F258" s="15">
        <f t="shared" si="15"/>
        <v>8064000</v>
      </c>
      <c r="G258" s="15"/>
      <c r="H258" s="15"/>
      <c r="I258" s="15"/>
    </row>
    <row r="259" spans="1:11" s="891" customFormat="1" x14ac:dyDescent="0.2">
      <c r="A259" s="44">
        <v>198</v>
      </c>
      <c r="B259" s="888" t="s">
        <v>479</v>
      </c>
      <c r="C259" s="910">
        <v>1</v>
      </c>
      <c r="D259" s="13">
        <v>0</v>
      </c>
      <c r="E259" s="914">
        <v>42000000</v>
      </c>
      <c r="F259" s="15">
        <f t="shared" si="15"/>
        <v>42000000</v>
      </c>
      <c r="G259" s="15"/>
      <c r="H259" s="15"/>
      <c r="I259" s="15"/>
    </row>
    <row r="260" spans="1:11" s="891" customFormat="1" x14ac:dyDescent="0.2">
      <c r="A260" s="44">
        <v>199</v>
      </c>
      <c r="B260" s="888" t="s">
        <v>269</v>
      </c>
      <c r="C260" s="915">
        <v>1</v>
      </c>
      <c r="D260" s="13">
        <v>2</v>
      </c>
      <c r="E260" s="911">
        <v>2375000</v>
      </c>
      <c r="F260" s="15">
        <f t="shared" ref="F260:F280" si="16">E260*D260/C260</f>
        <v>4750000</v>
      </c>
      <c r="G260" s="15"/>
      <c r="H260" s="15"/>
      <c r="I260" s="15"/>
      <c r="J260" s="913">
        <f>SUM(F260:F268)</f>
        <v>7856248</v>
      </c>
      <c r="K260" s="891">
        <v>14594316</v>
      </c>
    </row>
    <row r="261" spans="1:11" s="891" customFormat="1" x14ac:dyDescent="0.2">
      <c r="A261" s="44">
        <v>200</v>
      </c>
      <c r="B261" s="888" t="s">
        <v>263</v>
      </c>
      <c r="C261" s="915">
        <v>1</v>
      </c>
      <c r="D261" s="13">
        <v>2</v>
      </c>
      <c r="E261" s="911">
        <v>904422</v>
      </c>
      <c r="F261" s="15">
        <f t="shared" si="16"/>
        <v>1808844</v>
      </c>
      <c r="G261" s="15"/>
      <c r="H261" s="15"/>
      <c r="I261" s="15"/>
      <c r="K261" s="918">
        <f>K260-J260</f>
        <v>6738068</v>
      </c>
    </row>
    <row r="262" spans="1:11" s="891" customFormat="1" x14ac:dyDescent="0.2">
      <c r="A262" s="44">
        <v>201</v>
      </c>
      <c r="B262" s="888" t="s">
        <v>264</v>
      </c>
      <c r="C262" s="915">
        <v>1</v>
      </c>
      <c r="D262" s="13">
        <v>7</v>
      </c>
      <c r="E262" s="911">
        <v>24290</v>
      </c>
      <c r="F262" s="15">
        <f t="shared" si="16"/>
        <v>170030</v>
      </c>
      <c r="G262" s="15"/>
      <c r="H262" s="15"/>
      <c r="I262" s="15"/>
    </row>
    <row r="263" spans="1:11" s="891" customFormat="1" x14ac:dyDescent="0.2">
      <c r="A263" s="44">
        <v>202</v>
      </c>
      <c r="B263" s="888" t="s">
        <v>250</v>
      </c>
      <c r="C263" s="915">
        <v>1</v>
      </c>
      <c r="D263" s="13">
        <v>6</v>
      </c>
      <c r="E263" s="911">
        <v>15786</v>
      </c>
      <c r="F263" s="15">
        <f t="shared" si="16"/>
        <v>94716</v>
      </c>
      <c r="G263" s="15"/>
      <c r="H263" s="15"/>
      <c r="I263" s="15"/>
    </row>
    <row r="264" spans="1:11" s="891" customFormat="1" x14ac:dyDescent="0.2">
      <c r="A264" s="44">
        <v>203</v>
      </c>
      <c r="B264" s="888" t="s">
        <v>251</v>
      </c>
      <c r="C264" s="915">
        <v>1</v>
      </c>
      <c r="D264" s="13">
        <v>12</v>
      </c>
      <c r="E264" s="911">
        <v>33000</v>
      </c>
      <c r="F264" s="15">
        <f t="shared" si="16"/>
        <v>396000</v>
      </c>
      <c r="G264" s="15"/>
      <c r="H264" s="15"/>
      <c r="I264" s="15"/>
    </row>
    <row r="265" spans="1:11" s="891" customFormat="1" x14ac:dyDescent="0.2">
      <c r="A265" s="44">
        <v>204</v>
      </c>
      <c r="B265" s="888" t="s">
        <v>254</v>
      </c>
      <c r="C265" s="915">
        <v>1</v>
      </c>
      <c r="D265" s="13">
        <v>9</v>
      </c>
      <c r="E265" s="911">
        <v>35200</v>
      </c>
      <c r="F265" s="15">
        <f t="shared" si="16"/>
        <v>316800</v>
      </c>
      <c r="G265" s="15"/>
      <c r="H265" s="15"/>
      <c r="I265" s="15"/>
    </row>
    <row r="266" spans="1:11" s="891" customFormat="1" x14ac:dyDescent="0.2">
      <c r="A266" s="44">
        <v>205</v>
      </c>
      <c r="B266" s="888" t="s">
        <v>257</v>
      </c>
      <c r="C266" s="915">
        <v>1</v>
      </c>
      <c r="D266" s="13">
        <v>14</v>
      </c>
      <c r="E266" s="911">
        <v>3591</v>
      </c>
      <c r="F266" s="15">
        <f t="shared" si="16"/>
        <v>50274</v>
      </c>
      <c r="G266" s="15"/>
      <c r="H266" s="15"/>
      <c r="I266" s="15"/>
    </row>
    <row r="267" spans="1:11" s="891" customFormat="1" x14ac:dyDescent="0.2">
      <c r="A267" s="44">
        <v>206</v>
      </c>
      <c r="B267" s="888" t="s">
        <v>258</v>
      </c>
      <c r="C267" s="915">
        <v>1</v>
      </c>
      <c r="D267" s="13">
        <v>58</v>
      </c>
      <c r="E267" s="911">
        <v>1498</v>
      </c>
      <c r="F267" s="15">
        <f t="shared" si="16"/>
        <v>86884</v>
      </c>
      <c r="G267" s="15"/>
      <c r="H267" s="15"/>
      <c r="I267" s="15"/>
    </row>
    <row r="268" spans="1:11" s="891" customFormat="1" x14ac:dyDescent="0.2">
      <c r="A268" s="44">
        <v>207</v>
      </c>
      <c r="B268" s="888" t="s">
        <v>259</v>
      </c>
      <c r="C268" s="912">
        <v>1</v>
      </c>
      <c r="D268" s="13">
        <v>420</v>
      </c>
      <c r="E268" s="911">
        <v>435</v>
      </c>
      <c r="F268" s="15">
        <f t="shared" si="16"/>
        <v>182700</v>
      </c>
      <c r="G268" s="15"/>
      <c r="H268" s="15"/>
      <c r="I268" s="15"/>
    </row>
    <row r="269" spans="1:11" s="891" customFormat="1" ht="60" x14ac:dyDescent="0.2">
      <c r="A269" s="44">
        <v>208</v>
      </c>
      <c r="B269" s="888" t="s">
        <v>472</v>
      </c>
      <c r="C269" s="919">
        <v>100</v>
      </c>
      <c r="D269" s="13">
        <v>49390</v>
      </c>
      <c r="E269" s="921">
        <v>69347.899999999994</v>
      </c>
      <c r="F269" s="15">
        <f t="shared" si="16"/>
        <v>34250927.809999995</v>
      </c>
      <c r="G269" s="15"/>
      <c r="H269" s="15"/>
      <c r="I269" s="15"/>
      <c r="K269" s="891" t="e">
        <f>#REF!+#REF!</f>
        <v>#REF!</v>
      </c>
    </row>
    <row r="270" spans="1:11" s="891" customFormat="1" ht="45" x14ac:dyDescent="0.2">
      <c r="A270" s="44">
        <v>209</v>
      </c>
      <c r="B270" s="888" t="s">
        <v>270</v>
      </c>
      <c r="C270" s="922">
        <v>1000</v>
      </c>
      <c r="D270" s="13">
        <v>2062.9820000000004</v>
      </c>
      <c r="E270" s="921">
        <v>15824.15</v>
      </c>
      <c r="F270" s="15">
        <f t="shared" si="16"/>
        <v>32644.936615300008</v>
      </c>
      <c r="G270" s="15"/>
      <c r="H270" s="15"/>
      <c r="I270" s="15"/>
      <c r="K270" s="891" t="e">
        <f>K269-240554556</f>
        <v>#REF!</v>
      </c>
    </row>
    <row r="271" spans="1:11" s="891" customFormat="1" ht="97.9" customHeight="1" x14ac:dyDescent="0.2">
      <c r="A271" s="44">
        <v>210</v>
      </c>
      <c r="B271" s="888" t="s">
        <v>275</v>
      </c>
      <c r="C271" s="889">
        <v>1</v>
      </c>
      <c r="D271" s="13">
        <v>6650</v>
      </c>
      <c r="E271" s="921">
        <v>1985.95</v>
      </c>
      <c r="F271" s="15">
        <f t="shared" si="16"/>
        <v>13206567.5</v>
      </c>
      <c r="G271" s="15"/>
      <c r="H271" s="15"/>
      <c r="I271" s="15"/>
    </row>
    <row r="272" spans="1:11" s="891" customFormat="1" ht="45" x14ac:dyDescent="0.2">
      <c r="A272" s="44">
        <v>211</v>
      </c>
      <c r="B272" s="888" t="s">
        <v>276</v>
      </c>
      <c r="C272" s="919">
        <v>1</v>
      </c>
      <c r="D272" s="13">
        <v>14250</v>
      </c>
      <c r="E272" s="921">
        <v>234.95</v>
      </c>
      <c r="F272" s="15">
        <f t="shared" si="16"/>
        <v>3348037.5</v>
      </c>
      <c r="G272" s="15"/>
      <c r="H272" s="15"/>
      <c r="I272" s="15"/>
    </row>
    <row r="273" spans="1:10" s="891" customFormat="1" ht="45" x14ac:dyDescent="0.2">
      <c r="A273" s="44">
        <v>212</v>
      </c>
      <c r="B273" s="888" t="s">
        <v>277</v>
      </c>
      <c r="C273" s="919">
        <v>1</v>
      </c>
      <c r="D273" s="13">
        <v>28500</v>
      </c>
      <c r="E273" s="921">
        <v>56.3</v>
      </c>
      <c r="F273" s="15">
        <f t="shared" si="16"/>
        <v>1604550</v>
      </c>
      <c r="G273" s="15"/>
      <c r="H273" s="15"/>
      <c r="I273" s="15"/>
      <c r="J273" s="913">
        <f>SUM(F269:F273)</f>
        <v>52442727.746615298</v>
      </c>
    </row>
    <row r="274" spans="1:10" s="891" customFormat="1" ht="195.75" x14ac:dyDescent="0.2">
      <c r="A274" s="44">
        <v>213</v>
      </c>
      <c r="B274" s="925" t="s">
        <v>473</v>
      </c>
      <c r="C274" s="37">
        <v>1</v>
      </c>
      <c r="D274" s="13">
        <v>37</v>
      </c>
      <c r="E274" s="56">
        <v>4350150</v>
      </c>
      <c r="F274" s="15">
        <f t="shared" si="16"/>
        <v>160955550</v>
      </c>
      <c r="G274" s="15"/>
      <c r="H274" s="15"/>
      <c r="I274" s="15"/>
    </row>
    <row r="275" spans="1:10" s="891" customFormat="1" ht="240.75" x14ac:dyDescent="0.2">
      <c r="A275" s="44">
        <v>214</v>
      </c>
      <c r="B275" s="888" t="s">
        <v>474</v>
      </c>
      <c r="C275" s="37">
        <v>1</v>
      </c>
      <c r="D275" s="13">
        <v>8</v>
      </c>
      <c r="E275" s="911">
        <v>3886124</v>
      </c>
      <c r="F275" s="15">
        <f t="shared" si="16"/>
        <v>31088992</v>
      </c>
      <c r="G275" s="15"/>
      <c r="H275" s="15"/>
      <c r="I275" s="15"/>
    </row>
    <row r="276" spans="1:10" s="891" customFormat="1" ht="255" x14ac:dyDescent="0.2">
      <c r="A276" s="44">
        <v>215</v>
      </c>
      <c r="B276" s="888" t="s">
        <v>338</v>
      </c>
      <c r="C276" s="111">
        <v>1</v>
      </c>
      <c r="D276" s="13">
        <v>6</v>
      </c>
      <c r="E276" s="926">
        <v>4140119</v>
      </c>
      <c r="F276" s="15">
        <f t="shared" si="16"/>
        <v>24840714</v>
      </c>
      <c r="G276" s="15"/>
      <c r="H276" s="15"/>
      <c r="I276" s="15"/>
    </row>
    <row r="277" spans="1:10" s="891" customFormat="1" ht="256.5" x14ac:dyDescent="0.2">
      <c r="A277" s="44">
        <v>216</v>
      </c>
      <c r="B277" s="888" t="s">
        <v>475</v>
      </c>
      <c r="C277" s="37">
        <v>1</v>
      </c>
      <c r="D277" s="13">
        <v>1</v>
      </c>
      <c r="E277" s="59">
        <v>8178639</v>
      </c>
      <c r="F277" s="15">
        <f t="shared" si="16"/>
        <v>8178639</v>
      </c>
      <c r="G277" s="15"/>
      <c r="H277" s="15"/>
      <c r="I277" s="15"/>
    </row>
    <row r="278" spans="1:10" s="891" customFormat="1" ht="280.14999999999998" customHeight="1" x14ac:dyDescent="0.2">
      <c r="A278" s="44">
        <v>217</v>
      </c>
      <c r="B278" s="876" t="s">
        <v>476</v>
      </c>
      <c r="C278" s="37">
        <v>1</v>
      </c>
      <c r="D278" s="13">
        <v>8</v>
      </c>
      <c r="E278" s="59">
        <v>13004544</v>
      </c>
      <c r="F278" s="15">
        <f t="shared" si="16"/>
        <v>104036352</v>
      </c>
      <c r="G278" s="15"/>
      <c r="H278" s="15"/>
      <c r="I278" s="15"/>
    </row>
    <row r="279" spans="1:10" s="891" customFormat="1" ht="45" x14ac:dyDescent="0.2">
      <c r="A279" s="44">
        <v>218</v>
      </c>
      <c r="B279" s="888" t="s">
        <v>299</v>
      </c>
      <c r="C279" s="37">
        <v>1</v>
      </c>
      <c r="D279" s="13">
        <v>4</v>
      </c>
      <c r="E279" s="59">
        <v>1472223</v>
      </c>
      <c r="F279" s="15">
        <f t="shared" si="16"/>
        <v>5888892</v>
      </c>
      <c r="G279" s="15"/>
      <c r="H279" s="15"/>
      <c r="I279" s="15"/>
    </row>
    <row r="280" spans="1:10" s="891" customFormat="1" ht="45" x14ac:dyDescent="0.2">
      <c r="A280" s="44">
        <v>219</v>
      </c>
      <c r="B280" s="888" t="s">
        <v>297</v>
      </c>
      <c r="C280" s="37">
        <v>1</v>
      </c>
      <c r="D280" s="13">
        <v>1</v>
      </c>
      <c r="E280" s="59">
        <v>1315342</v>
      </c>
      <c r="F280" s="15">
        <f t="shared" si="16"/>
        <v>1315342</v>
      </c>
      <c r="G280" s="15"/>
      <c r="H280" s="15"/>
      <c r="I280" s="15"/>
    </row>
    <row r="281" spans="1:10" s="891" customFormat="1" ht="30" x14ac:dyDescent="0.2">
      <c r="A281" s="44">
        <v>220</v>
      </c>
      <c r="B281" s="888" t="s">
        <v>390</v>
      </c>
      <c r="C281" s="919">
        <v>1</v>
      </c>
      <c r="D281" s="13">
        <v>8140</v>
      </c>
      <c r="E281" s="49">
        <v>864.05</v>
      </c>
      <c r="F281" s="15">
        <f>E281*D281</f>
        <v>7033367</v>
      </c>
      <c r="G281" s="15"/>
      <c r="H281" s="15"/>
      <c r="I281" s="15"/>
    </row>
    <row r="282" spans="1:10" s="891" customFormat="1" ht="30" x14ac:dyDescent="0.2">
      <c r="A282" s="44">
        <v>221</v>
      </c>
      <c r="B282" s="888" t="s">
        <v>279</v>
      </c>
      <c r="C282" s="37">
        <v>1</v>
      </c>
      <c r="D282" s="13">
        <v>1628</v>
      </c>
      <c r="E282" s="49">
        <v>80</v>
      </c>
      <c r="F282" s="15">
        <f>E282*D282/C282</f>
        <v>130240</v>
      </c>
      <c r="G282" s="15"/>
      <c r="H282" s="15"/>
      <c r="I282" s="15"/>
    </row>
    <row r="283" spans="1:10" s="891" customFormat="1" x14ac:dyDescent="0.2">
      <c r="A283" s="44">
        <v>222</v>
      </c>
      <c r="B283" s="888" t="s">
        <v>280</v>
      </c>
      <c r="C283" s="927" t="s">
        <v>281</v>
      </c>
      <c r="D283" s="13">
        <v>37</v>
      </c>
      <c r="E283" s="49">
        <v>232.8</v>
      </c>
      <c r="F283" s="15">
        <f>E283*D283</f>
        <v>8613.6</v>
      </c>
      <c r="G283" s="15"/>
      <c r="H283" s="15"/>
      <c r="I283" s="15"/>
    </row>
    <row r="284" spans="1:10" s="891" customFormat="1" ht="45" x14ac:dyDescent="0.2">
      <c r="A284" s="44">
        <v>223</v>
      </c>
      <c r="B284" s="888" t="s">
        <v>282</v>
      </c>
      <c r="C284" s="919">
        <v>1</v>
      </c>
      <c r="D284" s="13">
        <v>2590</v>
      </c>
      <c r="E284" s="49">
        <v>5371</v>
      </c>
      <c r="F284" s="15">
        <f>E284*D284</f>
        <v>13910890</v>
      </c>
      <c r="G284" s="15"/>
      <c r="H284" s="15"/>
      <c r="I284" s="15"/>
    </row>
    <row r="285" spans="1:10" s="891" customFormat="1" ht="30" x14ac:dyDescent="0.2">
      <c r="A285" s="44">
        <v>224</v>
      </c>
      <c r="B285" s="888" t="s">
        <v>283</v>
      </c>
      <c r="C285" s="37">
        <v>1</v>
      </c>
      <c r="D285" s="13">
        <v>74</v>
      </c>
      <c r="E285" s="49">
        <v>35582</v>
      </c>
      <c r="F285" s="15">
        <f>E285*D285/C285</f>
        <v>2633068</v>
      </c>
      <c r="G285" s="15"/>
      <c r="H285" s="15"/>
      <c r="I285" s="15"/>
    </row>
    <row r="286" spans="1:10" s="891" customFormat="1" ht="60" x14ac:dyDescent="0.2">
      <c r="A286" s="44">
        <v>225</v>
      </c>
      <c r="B286" s="888" t="s">
        <v>284</v>
      </c>
      <c r="C286" s="919">
        <v>1</v>
      </c>
      <c r="D286" s="13">
        <v>4440</v>
      </c>
      <c r="E286" s="49">
        <v>3866.45</v>
      </c>
      <c r="F286" s="15">
        <f>E286*D286</f>
        <v>17167038</v>
      </c>
      <c r="G286" s="15"/>
      <c r="H286" s="15"/>
      <c r="I286" s="15"/>
    </row>
    <row r="287" spans="1:10" s="891" customFormat="1" ht="45" x14ac:dyDescent="0.2">
      <c r="A287" s="44">
        <v>226</v>
      </c>
      <c r="B287" s="888" t="s">
        <v>285</v>
      </c>
      <c r="C287" s="919">
        <v>1</v>
      </c>
      <c r="D287" s="13">
        <v>740</v>
      </c>
      <c r="E287" s="49">
        <v>3583</v>
      </c>
      <c r="F287" s="15">
        <f>E287*D287</f>
        <v>2651420</v>
      </c>
      <c r="G287" s="15"/>
      <c r="H287" s="15"/>
      <c r="I287" s="15"/>
    </row>
    <row r="288" spans="1:10" s="891" customFormat="1" ht="60" x14ac:dyDescent="0.2">
      <c r="A288" s="44">
        <v>227</v>
      </c>
      <c r="B288" s="888" t="s">
        <v>286</v>
      </c>
      <c r="C288" s="919">
        <v>1</v>
      </c>
      <c r="D288" s="13">
        <v>370</v>
      </c>
      <c r="E288" s="49">
        <v>3735.5</v>
      </c>
      <c r="F288" s="15">
        <f>E288*D288</f>
        <v>1382135</v>
      </c>
      <c r="G288" s="15"/>
      <c r="H288" s="15"/>
      <c r="I288" s="15"/>
    </row>
    <row r="289" spans="1:10" s="891" customFormat="1" ht="30" x14ac:dyDescent="0.2">
      <c r="A289" s="44">
        <v>228</v>
      </c>
      <c r="B289" s="888" t="s">
        <v>287</v>
      </c>
      <c r="C289" s="37">
        <v>1</v>
      </c>
      <c r="D289" s="13">
        <v>148</v>
      </c>
      <c r="E289" s="49">
        <v>1148</v>
      </c>
      <c r="F289" s="15">
        <f>E289*D289/C289</f>
        <v>169904</v>
      </c>
      <c r="G289" s="15"/>
      <c r="H289" s="15"/>
      <c r="I289" s="15"/>
    </row>
    <row r="290" spans="1:10" s="891" customFormat="1" x14ac:dyDescent="0.2">
      <c r="A290" s="44">
        <v>229</v>
      </c>
      <c r="B290" s="888" t="s">
        <v>288</v>
      </c>
      <c r="C290" s="922">
        <v>1</v>
      </c>
      <c r="D290" s="13">
        <v>6520.88</v>
      </c>
      <c r="E290" s="49">
        <v>186.65</v>
      </c>
      <c r="F290" s="15">
        <f>E290*D290</f>
        <v>1217122.2520000001</v>
      </c>
      <c r="G290" s="15"/>
      <c r="H290" s="15"/>
      <c r="I290" s="15"/>
    </row>
    <row r="291" spans="1:10" s="891" customFormat="1" ht="30" x14ac:dyDescent="0.2">
      <c r="A291" s="44">
        <v>230</v>
      </c>
      <c r="B291" s="888" t="s">
        <v>387</v>
      </c>
      <c r="C291" s="946">
        <v>1</v>
      </c>
      <c r="D291" s="13">
        <v>2664</v>
      </c>
      <c r="E291" s="49">
        <v>3253.1</v>
      </c>
      <c r="F291" s="15">
        <f>E291*D291</f>
        <v>8666258.4000000004</v>
      </c>
      <c r="G291" s="15"/>
      <c r="H291" s="15"/>
      <c r="I291" s="15"/>
    </row>
    <row r="292" spans="1:10" s="891" customFormat="1" ht="30" x14ac:dyDescent="0.2">
      <c r="A292" s="44">
        <v>231</v>
      </c>
      <c r="B292" s="888" t="s">
        <v>291</v>
      </c>
      <c r="C292" s="919">
        <v>1</v>
      </c>
      <c r="D292" s="13">
        <v>1850</v>
      </c>
      <c r="E292" s="49">
        <v>924.05</v>
      </c>
      <c r="F292" s="15">
        <f>E292*D292</f>
        <v>1709492.5</v>
      </c>
      <c r="G292" s="15"/>
      <c r="H292" s="15"/>
      <c r="I292" s="15"/>
    </row>
    <row r="293" spans="1:10" s="891" customFormat="1" ht="45" x14ac:dyDescent="0.2">
      <c r="A293" s="44">
        <v>232</v>
      </c>
      <c r="B293" s="888" t="s">
        <v>292</v>
      </c>
      <c r="C293" s="922">
        <v>1000</v>
      </c>
      <c r="D293" s="13">
        <v>118400</v>
      </c>
      <c r="E293" s="49">
        <v>11293.9</v>
      </c>
      <c r="F293" s="15">
        <f>E293*D293/C293</f>
        <v>1337197.76</v>
      </c>
      <c r="G293" s="15"/>
      <c r="H293" s="15"/>
      <c r="I293" s="15"/>
    </row>
    <row r="294" spans="1:10" s="891" customFormat="1" ht="60" x14ac:dyDescent="0.2">
      <c r="A294" s="44">
        <v>233</v>
      </c>
      <c r="B294" s="888" t="s">
        <v>294</v>
      </c>
      <c r="C294" s="919">
        <v>1</v>
      </c>
      <c r="D294" s="13">
        <v>14800</v>
      </c>
      <c r="E294" s="49">
        <v>3565</v>
      </c>
      <c r="F294" s="15">
        <f>E294*D294</f>
        <v>52762000</v>
      </c>
      <c r="G294" s="15"/>
      <c r="H294" s="15"/>
      <c r="I294" s="15"/>
    </row>
    <row r="295" spans="1:10" s="891" customFormat="1" ht="60" x14ac:dyDescent="0.2">
      <c r="A295" s="44">
        <v>234</v>
      </c>
      <c r="B295" s="888" t="s">
        <v>296</v>
      </c>
      <c r="C295" s="919">
        <v>1</v>
      </c>
      <c r="D295" s="13">
        <v>555</v>
      </c>
      <c r="E295" s="49">
        <v>500.3</v>
      </c>
      <c r="F295" s="15">
        <f>E295*D295</f>
        <v>277666.5</v>
      </c>
      <c r="G295" s="15"/>
      <c r="H295" s="15"/>
      <c r="I295" s="15"/>
      <c r="J295" s="913">
        <f>SUM(F281:F295)</f>
        <v>111056413.01199999</v>
      </c>
    </row>
    <row r="296" spans="1:10" s="891" customFormat="1" ht="195" x14ac:dyDescent="0.2">
      <c r="A296" s="44">
        <v>235</v>
      </c>
      <c r="B296" s="888" t="s">
        <v>300</v>
      </c>
      <c r="C296" s="37">
        <v>1</v>
      </c>
      <c r="D296" s="13">
        <v>87</v>
      </c>
      <c r="E296" s="911">
        <v>1950150</v>
      </c>
      <c r="F296" s="15">
        <f t="shared" ref="F296:F304" si="17">E296*D296/C296</f>
        <v>169663050</v>
      </c>
      <c r="G296" s="15"/>
      <c r="H296" s="15"/>
      <c r="I296" s="15"/>
    </row>
    <row r="297" spans="1:10" s="891" customFormat="1" x14ac:dyDescent="0.2">
      <c r="A297" s="44">
        <v>236</v>
      </c>
      <c r="B297" s="876" t="s">
        <v>339</v>
      </c>
      <c r="C297" s="37">
        <v>1</v>
      </c>
      <c r="D297" s="13">
        <v>1</v>
      </c>
      <c r="E297" s="65">
        <v>1829000</v>
      </c>
      <c r="F297" s="15">
        <f t="shared" si="17"/>
        <v>1829000</v>
      </c>
      <c r="G297" s="15"/>
      <c r="H297" s="15"/>
      <c r="I297" s="15"/>
    </row>
    <row r="298" spans="1:10" s="891" customFormat="1" ht="90" x14ac:dyDescent="0.2">
      <c r="A298" s="44">
        <v>237</v>
      </c>
      <c r="B298" s="876" t="s">
        <v>340</v>
      </c>
      <c r="C298" s="37">
        <v>1</v>
      </c>
      <c r="D298" s="13">
        <v>1</v>
      </c>
      <c r="E298" s="65">
        <v>4250000</v>
      </c>
      <c r="F298" s="15">
        <f t="shared" si="17"/>
        <v>4250000</v>
      </c>
      <c r="G298" s="15"/>
      <c r="H298" s="15"/>
      <c r="I298" s="15"/>
    </row>
    <row r="299" spans="1:10" s="891" customFormat="1" ht="75" x14ac:dyDescent="0.2">
      <c r="A299" s="44">
        <v>238</v>
      </c>
      <c r="B299" s="876" t="s">
        <v>341</v>
      </c>
      <c r="C299" s="37">
        <v>1</v>
      </c>
      <c r="D299" s="13">
        <v>1</v>
      </c>
      <c r="E299" s="49">
        <v>1475000</v>
      </c>
      <c r="F299" s="15">
        <f t="shared" si="17"/>
        <v>1475000</v>
      </c>
      <c r="G299" s="15"/>
      <c r="H299" s="15"/>
      <c r="I299" s="15"/>
    </row>
    <row r="300" spans="1:10" s="891" customFormat="1" ht="45" x14ac:dyDescent="0.2">
      <c r="A300" s="44">
        <v>239</v>
      </c>
      <c r="B300" s="876" t="s">
        <v>342</v>
      </c>
      <c r="C300" s="37">
        <v>1</v>
      </c>
      <c r="D300" s="13">
        <v>4</v>
      </c>
      <c r="E300" s="49">
        <v>129800</v>
      </c>
      <c r="F300" s="15">
        <f t="shared" si="17"/>
        <v>519200</v>
      </c>
      <c r="G300" s="15"/>
      <c r="H300" s="15"/>
      <c r="I300" s="15"/>
    </row>
    <row r="301" spans="1:10" s="891" customFormat="1" ht="90" x14ac:dyDescent="0.2">
      <c r="A301" s="44">
        <v>240</v>
      </c>
      <c r="B301" s="876" t="s">
        <v>343</v>
      </c>
      <c r="C301" s="37">
        <v>1</v>
      </c>
      <c r="D301" s="13">
        <v>2</v>
      </c>
      <c r="E301" s="49">
        <v>850000</v>
      </c>
      <c r="F301" s="15">
        <f t="shared" si="17"/>
        <v>1700000</v>
      </c>
      <c r="G301" s="15"/>
      <c r="H301" s="15"/>
      <c r="I301" s="15"/>
    </row>
    <row r="302" spans="1:10" s="891" customFormat="1" ht="210.75" x14ac:dyDescent="0.2">
      <c r="A302" s="44">
        <v>241</v>
      </c>
      <c r="B302" s="888" t="s">
        <v>477</v>
      </c>
      <c r="C302" s="37">
        <v>1</v>
      </c>
      <c r="D302" s="13">
        <v>6</v>
      </c>
      <c r="E302" s="66">
        <v>5061387.5</v>
      </c>
      <c r="F302" s="15">
        <f t="shared" si="17"/>
        <v>30368325</v>
      </c>
      <c r="G302" s="15"/>
      <c r="H302" s="15"/>
      <c r="I302" s="15"/>
    </row>
    <row r="303" spans="1:10" s="891" customFormat="1" ht="210" x14ac:dyDescent="0.2">
      <c r="A303" s="44">
        <v>242</v>
      </c>
      <c r="B303" s="888" t="s">
        <v>426</v>
      </c>
      <c r="C303" s="37">
        <v>1</v>
      </c>
      <c r="D303" s="13">
        <v>7</v>
      </c>
      <c r="E303" s="66">
        <v>4116450</v>
      </c>
      <c r="F303" s="15">
        <f t="shared" si="17"/>
        <v>28815150</v>
      </c>
      <c r="G303" s="15"/>
      <c r="H303" s="15"/>
      <c r="I303" s="15"/>
    </row>
    <row r="304" spans="1:10" s="891" customFormat="1" ht="210" x14ac:dyDescent="0.2">
      <c r="A304" s="44">
        <v>243</v>
      </c>
      <c r="B304" s="888" t="s">
        <v>427</v>
      </c>
      <c r="C304" s="37">
        <v>1</v>
      </c>
      <c r="D304" s="13">
        <v>1</v>
      </c>
      <c r="E304" s="66">
        <v>8787425</v>
      </c>
      <c r="F304" s="15">
        <f t="shared" si="17"/>
        <v>8787425</v>
      </c>
      <c r="G304" s="15"/>
      <c r="H304" s="15"/>
      <c r="I304" s="15"/>
    </row>
    <row r="305" spans="1:17" s="887" customFormat="1" x14ac:dyDescent="0.2">
      <c r="A305" s="44">
        <v>244</v>
      </c>
      <c r="B305" s="876" t="s">
        <v>429</v>
      </c>
      <c r="C305" s="22" t="s">
        <v>347</v>
      </c>
      <c r="D305" s="13">
        <v>0</v>
      </c>
      <c r="E305" s="30"/>
      <c r="F305" s="15">
        <v>1300000</v>
      </c>
      <c r="G305" s="15"/>
      <c r="H305" s="15"/>
      <c r="I305" s="15"/>
    </row>
    <row r="306" spans="1:17" s="887" customFormat="1" x14ac:dyDescent="0.2">
      <c r="A306" s="44">
        <v>245</v>
      </c>
      <c r="B306" s="876" t="s">
        <v>428</v>
      </c>
      <c r="C306" s="22" t="s">
        <v>347</v>
      </c>
      <c r="D306" s="13">
        <v>0</v>
      </c>
      <c r="E306" s="30"/>
      <c r="F306" s="15">
        <v>700000</v>
      </c>
      <c r="G306" s="15"/>
      <c r="H306" s="15"/>
      <c r="I306" s="15"/>
    </row>
    <row r="307" spans="1:17" s="887" customFormat="1" x14ac:dyDescent="0.2">
      <c r="A307" s="44">
        <v>246</v>
      </c>
      <c r="B307" s="876" t="s">
        <v>432</v>
      </c>
      <c r="C307" s="22" t="s">
        <v>347</v>
      </c>
      <c r="D307" s="13">
        <v>0</v>
      </c>
      <c r="E307" s="30"/>
      <c r="F307" s="15">
        <v>500000</v>
      </c>
      <c r="G307" s="15"/>
      <c r="H307" s="15"/>
      <c r="I307" s="15"/>
    </row>
    <row r="308" spans="1:17" s="887" customFormat="1" x14ac:dyDescent="0.2">
      <c r="A308" s="44">
        <v>247</v>
      </c>
      <c r="B308" s="876" t="s">
        <v>430</v>
      </c>
      <c r="C308" s="22" t="s">
        <v>347</v>
      </c>
      <c r="D308" s="13">
        <v>0</v>
      </c>
      <c r="E308" s="30"/>
      <c r="F308" s="15">
        <v>500000</v>
      </c>
      <c r="G308" s="15"/>
      <c r="H308" s="15"/>
      <c r="I308" s="15"/>
    </row>
    <row r="309" spans="1:17" s="887" customFormat="1" x14ac:dyDescent="0.2">
      <c r="A309" s="44">
        <v>248</v>
      </c>
      <c r="B309" s="876" t="s">
        <v>431</v>
      </c>
      <c r="C309" s="22" t="s">
        <v>347</v>
      </c>
      <c r="D309" s="13">
        <v>0</v>
      </c>
      <c r="E309" s="30"/>
      <c r="F309" s="15">
        <v>500000</v>
      </c>
      <c r="G309" s="15"/>
      <c r="H309" s="15"/>
      <c r="I309" s="15"/>
    </row>
    <row r="310" spans="1:17" s="887" customFormat="1" x14ac:dyDescent="0.2">
      <c r="A310" s="44">
        <v>249</v>
      </c>
      <c r="B310" s="884" t="s">
        <v>433</v>
      </c>
      <c r="C310" s="22" t="s">
        <v>347</v>
      </c>
      <c r="D310" s="13">
        <v>0</v>
      </c>
      <c r="E310" s="30"/>
      <c r="F310" s="15">
        <v>250000</v>
      </c>
      <c r="G310" s="15"/>
      <c r="H310" s="15"/>
      <c r="I310" s="15"/>
    </row>
    <row r="311" spans="1:17" s="887" customFormat="1" x14ac:dyDescent="0.2">
      <c r="A311" s="44">
        <v>250</v>
      </c>
      <c r="B311" s="884" t="s">
        <v>434</v>
      </c>
      <c r="C311" s="22" t="s">
        <v>347</v>
      </c>
      <c r="D311" s="13">
        <v>0</v>
      </c>
      <c r="E311" s="30"/>
      <c r="F311" s="15">
        <v>250000</v>
      </c>
      <c r="G311" s="15"/>
      <c r="H311" s="15"/>
      <c r="I311" s="15"/>
    </row>
    <row r="312" spans="1:17" s="887" customFormat="1" x14ac:dyDescent="0.2">
      <c r="A312" s="44">
        <v>251</v>
      </c>
      <c r="B312" s="884" t="s">
        <v>354</v>
      </c>
      <c r="C312" s="22" t="s">
        <v>347</v>
      </c>
      <c r="D312" s="13">
        <v>5</v>
      </c>
      <c r="E312" s="40">
        <v>100000</v>
      </c>
      <c r="F312" s="15">
        <v>500000</v>
      </c>
      <c r="G312" s="15"/>
      <c r="H312" s="15"/>
      <c r="I312" s="15"/>
    </row>
    <row r="313" spans="1:17" s="887" customFormat="1" ht="15.75" x14ac:dyDescent="0.2">
      <c r="A313" s="44">
        <v>252</v>
      </c>
      <c r="B313" s="928" t="s">
        <v>355</v>
      </c>
      <c r="C313" s="22" t="s">
        <v>347</v>
      </c>
      <c r="D313" s="13">
        <v>1</v>
      </c>
      <c r="E313" s="30"/>
      <c r="F313" s="15">
        <v>1500000</v>
      </c>
      <c r="G313" s="15"/>
      <c r="H313" s="15"/>
      <c r="I313" s="15"/>
    </row>
    <row r="314" spans="1:17" s="887" customFormat="1" ht="15.75" x14ac:dyDescent="0.2">
      <c r="A314" s="44">
        <v>253</v>
      </c>
      <c r="B314" s="928" t="s">
        <v>356</v>
      </c>
      <c r="C314" s="22" t="s">
        <v>347</v>
      </c>
      <c r="D314" s="13">
        <v>3</v>
      </c>
      <c r="E314" s="40">
        <v>500000</v>
      </c>
      <c r="F314" s="15">
        <v>1500000</v>
      </c>
      <c r="G314" s="15"/>
      <c r="H314" s="15"/>
      <c r="I314" s="15"/>
    </row>
    <row r="315" spans="1:17" s="887" customFormat="1" ht="15.75" x14ac:dyDescent="0.2">
      <c r="A315" s="44">
        <v>254</v>
      </c>
      <c r="B315" s="928" t="s">
        <v>357</v>
      </c>
      <c r="C315" s="22" t="s">
        <v>347</v>
      </c>
      <c r="D315" s="13">
        <v>1</v>
      </c>
      <c r="E315" s="30"/>
      <c r="F315" s="15">
        <v>500000</v>
      </c>
      <c r="G315" s="15"/>
      <c r="H315" s="15"/>
      <c r="I315" s="15"/>
    </row>
    <row r="316" spans="1:17" x14ac:dyDescent="0.2">
      <c r="A316" s="44">
        <v>255</v>
      </c>
      <c r="B316" s="884" t="s">
        <v>435</v>
      </c>
      <c r="C316" s="22" t="s">
        <v>347</v>
      </c>
      <c r="D316" s="13">
        <v>1</v>
      </c>
      <c r="E316" s="30"/>
      <c r="F316" s="15">
        <v>125000</v>
      </c>
      <c r="G316" s="15"/>
      <c r="H316" s="15"/>
      <c r="I316" s="15"/>
    </row>
    <row r="317" spans="1:17" x14ac:dyDescent="0.2">
      <c r="A317" s="44">
        <v>256</v>
      </c>
      <c r="B317" s="884" t="s">
        <v>436</v>
      </c>
      <c r="C317" s="22" t="s">
        <v>347</v>
      </c>
      <c r="D317" s="13">
        <v>1</v>
      </c>
      <c r="E317" s="30"/>
      <c r="F317" s="15">
        <v>100000</v>
      </c>
      <c r="G317" s="15"/>
      <c r="H317" s="15"/>
      <c r="I317" s="15"/>
      <c r="O317" s="891"/>
      <c r="P317" s="891"/>
      <c r="Q317" s="891">
        <f>O317+P317</f>
        <v>0</v>
      </c>
    </row>
    <row r="318" spans="1:17" x14ac:dyDescent="0.2">
      <c r="A318" s="44">
        <v>257</v>
      </c>
      <c r="B318" s="884" t="s">
        <v>437</v>
      </c>
      <c r="C318" s="22" t="s">
        <v>347</v>
      </c>
      <c r="D318" s="13">
        <v>1</v>
      </c>
      <c r="E318" s="30"/>
      <c r="F318" s="15">
        <v>100000</v>
      </c>
      <c r="G318" s="15"/>
      <c r="H318" s="15"/>
      <c r="I318" s="15"/>
      <c r="O318" s="891">
        <v>187601.82</v>
      </c>
      <c r="P318" s="891">
        <v>40000</v>
      </c>
      <c r="Q318" s="891">
        <f t="shared" ref="Q318:Q326" si="18">O318+P318</f>
        <v>227601.82</v>
      </c>
    </row>
    <row r="319" spans="1:17" x14ac:dyDescent="0.2">
      <c r="A319" s="44">
        <v>258</v>
      </c>
      <c r="B319" s="884" t="s">
        <v>438</v>
      </c>
      <c r="C319" s="22" t="s">
        <v>347</v>
      </c>
      <c r="D319" s="13">
        <v>1</v>
      </c>
      <c r="E319" s="30"/>
      <c r="F319" s="15">
        <v>175000</v>
      </c>
      <c r="G319" s="15"/>
      <c r="H319" s="15"/>
      <c r="I319" s="15"/>
      <c r="O319" s="891">
        <v>101544.2</v>
      </c>
      <c r="P319" s="891">
        <v>40000</v>
      </c>
      <c r="Q319" s="891">
        <f t="shared" si="18"/>
        <v>141544.20000000001</v>
      </c>
    </row>
    <row r="320" spans="1:17" ht="15.75" thickBot="1" x14ac:dyDescent="0.25">
      <c r="A320" s="869">
        <v>259</v>
      </c>
      <c r="B320" s="950" t="s">
        <v>439</v>
      </c>
      <c r="C320" s="951" t="s">
        <v>347</v>
      </c>
      <c r="D320" s="952">
        <v>1</v>
      </c>
      <c r="E320" s="953"/>
      <c r="F320" s="954">
        <v>500000</v>
      </c>
      <c r="G320" s="954"/>
      <c r="H320" s="954"/>
      <c r="I320" s="954"/>
      <c r="J320" s="882">
        <f>SUM(F305:F320)</f>
        <v>9000000</v>
      </c>
      <c r="O320" s="891">
        <v>134924</v>
      </c>
      <c r="P320" s="891">
        <v>40000</v>
      </c>
      <c r="Q320" s="891">
        <f t="shared" si="18"/>
        <v>174924</v>
      </c>
    </row>
    <row r="321" spans="1:17" ht="36.6" customHeight="1" thickBot="1" x14ac:dyDescent="0.25">
      <c r="A321" s="1010" t="s">
        <v>498</v>
      </c>
      <c r="B321" s="1011"/>
      <c r="C321" s="1011"/>
      <c r="D321" s="955"/>
      <c r="E321" s="955"/>
      <c r="F321" s="955"/>
      <c r="G321" s="955"/>
      <c r="H321" s="955"/>
      <c r="I321" s="956"/>
      <c r="O321" s="891">
        <v>207719.6</v>
      </c>
      <c r="P321" s="891">
        <v>40000</v>
      </c>
      <c r="Q321" s="891">
        <f t="shared" si="18"/>
        <v>247719.6</v>
      </c>
    </row>
    <row r="322" spans="1:17" x14ac:dyDescent="0.2">
      <c r="B322" s="930"/>
      <c r="O322" s="891">
        <v>274993.59999999998</v>
      </c>
      <c r="P322" s="891">
        <v>156780</v>
      </c>
      <c r="Q322" s="891">
        <f t="shared" si="18"/>
        <v>431773.6</v>
      </c>
    </row>
    <row r="323" spans="1:17" x14ac:dyDescent="0.2">
      <c r="B323" s="930"/>
      <c r="E323" s="933" t="s">
        <v>415</v>
      </c>
      <c r="F323" s="934">
        <f>SUM(F5:F320)</f>
        <v>2262037920.5902777</v>
      </c>
      <c r="G323" s="936"/>
      <c r="H323" s="936"/>
      <c r="I323" s="936"/>
      <c r="O323" s="891">
        <v>141014</v>
      </c>
      <c r="P323" s="891">
        <v>40000</v>
      </c>
      <c r="Q323" s="891">
        <f t="shared" si="18"/>
        <v>181014</v>
      </c>
    </row>
    <row r="324" spans="1:17" x14ac:dyDescent="0.2">
      <c r="F324" s="936"/>
      <c r="G324" s="936"/>
      <c r="H324" s="936"/>
      <c r="I324" s="936"/>
      <c r="O324" s="891">
        <v>301093.59999999998</v>
      </c>
      <c r="P324" s="891">
        <v>156780</v>
      </c>
      <c r="Q324" s="891">
        <f t="shared" si="18"/>
        <v>457873.6</v>
      </c>
    </row>
    <row r="325" spans="1:17" x14ac:dyDescent="0.2">
      <c r="E325" s="933" t="s">
        <v>416</v>
      </c>
      <c r="F325" s="934">
        <v>2279229198.29</v>
      </c>
      <c r="G325" s="936"/>
      <c r="H325" s="936"/>
      <c r="I325" s="936"/>
      <c r="O325" s="891">
        <v>143304</v>
      </c>
      <c r="P325" s="891">
        <v>40000</v>
      </c>
      <c r="Q325" s="891">
        <f t="shared" si="18"/>
        <v>183304</v>
      </c>
    </row>
    <row r="326" spans="1:17" x14ac:dyDescent="0.2">
      <c r="F326" s="936"/>
      <c r="G326" s="936"/>
      <c r="H326" s="936"/>
      <c r="I326" s="936"/>
      <c r="O326" s="891">
        <v>1426668.4</v>
      </c>
      <c r="P326" s="891">
        <v>156780</v>
      </c>
      <c r="Q326" s="891">
        <f t="shared" si="18"/>
        <v>1583448.4</v>
      </c>
    </row>
    <row r="327" spans="1:17" ht="15.75" x14ac:dyDescent="0.25">
      <c r="E327" s="933" t="s">
        <v>417</v>
      </c>
      <c r="F327" s="937">
        <f>F323-F325</f>
        <v>-17191277.69972229</v>
      </c>
      <c r="G327" s="949"/>
      <c r="H327" s="949"/>
      <c r="I327" s="949"/>
      <c r="J327" s="870">
        <f>16069459</f>
        <v>16069459</v>
      </c>
      <c r="O327" s="891"/>
      <c r="P327" s="891"/>
      <c r="Q327" s="891">
        <f>SUM(Q317:Q326)</f>
        <v>3629203.2199999997</v>
      </c>
    </row>
    <row r="328" spans="1:17" x14ac:dyDescent="0.2">
      <c r="J328" s="870">
        <v>4726644</v>
      </c>
    </row>
    <row r="329" spans="1:17" x14ac:dyDescent="0.2">
      <c r="F329" s="933">
        <f>F327+J329+J330+J331+L330+L334+K329+K330</f>
        <v>6363.3002777099609</v>
      </c>
      <c r="J329" s="870">
        <f>J327-J328</f>
        <v>11342815</v>
      </c>
      <c r="K329" s="870">
        <v>2000000</v>
      </c>
    </row>
    <row r="330" spans="1:17" x14ac:dyDescent="0.2">
      <c r="J330" s="891">
        <v>3629203</v>
      </c>
      <c r="K330" s="870">
        <v>225000</v>
      </c>
    </row>
    <row r="331" spans="1:17" x14ac:dyDescent="0.2">
      <c r="J331" s="870">
        <v>623</v>
      </c>
    </row>
    <row r="332" spans="1:17" x14ac:dyDescent="0.2">
      <c r="A332" s="870"/>
      <c r="B332" s="938"/>
      <c r="C332" s="870"/>
      <c r="D332" s="870"/>
      <c r="E332" s="870"/>
      <c r="F332" s="870"/>
      <c r="G332" s="870"/>
      <c r="H332" s="870"/>
      <c r="I332" s="870"/>
      <c r="J332" s="933">
        <f>SUM(J329:J331)</f>
        <v>14972641</v>
      </c>
      <c r="M332" s="877">
        <f>M331+N353</f>
        <v>0</v>
      </c>
    </row>
    <row r="334" spans="1:17" x14ac:dyDescent="0.2">
      <c r="A334" s="870"/>
      <c r="B334" s="938"/>
      <c r="C334" s="870"/>
      <c r="D334" s="870"/>
      <c r="E334" s="870"/>
      <c r="F334" s="870"/>
      <c r="G334" s="870"/>
      <c r="H334" s="870"/>
      <c r="I334" s="870"/>
      <c r="O334" s="877"/>
    </row>
  </sheetData>
  <mergeCells count="22">
    <mergeCell ref="E3:E4"/>
    <mergeCell ref="A143:A146"/>
    <mergeCell ref="A174:A177"/>
    <mergeCell ref="A178:A180"/>
    <mergeCell ref="A209:A212"/>
    <mergeCell ref="D3:D4"/>
    <mergeCell ref="A321:C321"/>
    <mergeCell ref="I3:I4"/>
    <mergeCell ref="G3:H3"/>
    <mergeCell ref="A2:I2"/>
    <mergeCell ref="A1:I1"/>
    <mergeCell ref="A139:A141"/>
    <mergeCell ref="A7:A22"/>
    <mergeCell ref="A23:A27"/>
    <mergeCell ref="A34:A36"/>
    <mergeCell ref="A45:A54"/>
    <mergeCell ref="A109:A111"/>
    <mergeCell ref="A135:A138"/>
    <mergeCell ref="A3:A4"/>
    <mergeCell ref="B3:B4"/>
    <mergeCell ref="C3:C4"/>
    <mergeCell ref="F3:F4"/>
  </mergeCells>
  <printOptions horizontalCentered="1"/>
  <pageMargins left="0.39370078740157483" right="7.874015748031496E-2" top="0.27559055118110237" bottom="0.9055118110236221" header="0.31496062992125984" footer="0.31496062992125984"/>
  <pageSetup paperSize="9" scale="6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FA7F-0D01-40E6-95C4-3744DC0515C9}">
  <sheetPr>
    <pageSetUpPr fitToPage="1"/>
  </sheetPr>
  <dimension ref="A1:Q334"/>
  <sheetViews>
    <sheetView view="pageBreakPreview" zoomScale="70" zoomScaleNormal="70" zoomScaleSheetLayoutView="70" workbookViewId="0">
      <pane xSplit="1" ySplit="4" topLeftCell="B153" activePane="bottomRight" state="frozen"/>
      <selection pane="topRight" activeCell="B1" sqref="B1"/>
      <selection pane="bottomLeft" activeCell="A5" sqref="A5"/>
      <selection pane="bottomRight" activeCell="B155" sqref="B155"/>
    </sheetView>
  </sheetViews>
  <sheetFormatPr defaultColWidth="9.140625" defaultRowHeight="15" x14ac:dyDescent="0.2"/>
  <cols>
    <col min="1" max="1" width="4.85546875" style="929" bestFit="1" customWidth="1"/>
    <col min="2" max="2" width="100.28515625" style="935" customWidth="1"/>
    <col min="3" max="3" width="18.28515625" style="931" customWidth="1"/>
    <col min="4" max="4" width="17.140625" style="933" bestFit="1" customWidth="1"/>
    <col min="5" max="5" width="16.140625" style="933" customWidth="1"/>
    <col min="6" max="9" width="18.7109375" style="933" customWidth="1"/>
    <col min="10" max="10" width="21.28515625" style="870" customWidth="1"/>
    <col min="11" max="14" width="18.7109375" style="870" bestFit="1" customWidth="1"/>
    <col min="15" max="15" width="16.140625" style="870" bestFit="1" customWidth="1"/>
    <col min="16" max="16" width="8.7109375" style="870" bestFit="1" customWidth="1"/>
    <col min="17" max="17" width="13.7109375" style="870" bestFit="1" customWidth="1"/>
    <col min="18" max="16384" width="9.140625" style="870"/>
  </cols>
  <sheetData>
    <row r="1" spans="1:12" s="891" customFormat="1" ht="20.25" x14ac:dyDescent="0.3">
      <c r="A1" s="1004" t="s">
        <v>499</v>
      </c>
      <c r="B1" s="1004"/>
      <c r="C1" s="1004"/>
      <c r="D1" s="1004"/>
      <c r="E1" s="1004"/>
      <c r="F1" s="1004"/>
      <c r="G1" s="1004"/>
      <c r="H1" s="1004"/>
      <c r="I1" s="1004"/>
    </row>
    <row r="2" spans="1:12" ht="18.75" thickBot="1" x14ac:dyDescent="0.25">
      <c r="A2" s="1021" t="s">
        <v>1</v>
      </c>
      <c r="B2" s="1021"/>
      <c r="C2" s="1021"/>
      <c r="D2" s="1021"/>
      <c r="E2" s="1021"/>
      <c r="F2" s="1021"/>
      <c r="G2" s="1021"/>
      <c r="H2" s="1021"/>
      <c r="I2" s="1021"/>
      <c r="J2" s="948"/>
      <c r="K2" s="948"/>
      <c r="L2" s="948"/>
    </row>
    <row r="3" spans="1:12" s="947" customFormat="1" ht="21.6" customHeight="1" thickTop="1" x14ac:dyDescent="0.2">
      <c r="A3" s="1022" t="s">
        <v>2</v>
      </c>
      <c r="B3" s="1024" t="s">
        <v>3</v>
      </c>
      <c r="C3" s="1024" t="s">
        <v>4</v>
      </c>
      <c r="D3" s="1026" t="s">
        <v>391</v>
      </c>
      <c r="E3" s="1028" t="s">
        <v>489</v>
      </c>
      <c r="F3" s="1030" t="s">
        <v>7</v>
      </c>
      <c r="G3" s="1032" t="s">
        <v>489</v>
      </c>
      <c r="H3" s="1032"/>
      <c r="I3" s="1033" t="s">
        <v>487</v>
      </c>
    </row>
    <row r="4" spans="1:12" s="947" customFormat="1" ht="31.15" customHeight="1" thickBot="1" x14ac:dyDescent="0.25">
      <c r="A4" s="1023"/>
      <c r="B4" s="1025"/>
      <c r="C4" s="1025"/>
      <c r="D4" s="1027"/>
      <c r="E4" s="1029"/>
      <c r="F4" s="1031"/>
      <c r="G4" s="963" t="s">
        <v>502</v>
      </c>
      <c r="H4" s="963" t="s">
        <v>503</v>
      </c>
      <c r="I4" s="1034"/>
    </row>
    <row r="5" spans="1:12" ht="45.75" thickTop="1" x14ac:dyDescent="0.2">
      <c r="A5" s="880">
        <v>1</v>
      </c>
      <c r="B5" s="958" t="s">
        <v>8</v>
      </c>
      <c r="C5" s="959">
        <v>1000</v>
      </c>
      <c r="D5" s="960">
        <v>69775243.960000008</v>
      </c>
      <c r="E5" s="961">
        <v>4640.7</v>
      </c>
      <c r="F5" s="962">
        <f>E5*D5/C5</f>
        <v>323805974.645172</v>
      </c>
      <c r="G5" s="962"/>
      <c r="H5" s="962"/>
      <c r="I5" s="962"/>
      <c r="K5" s="877"/>
    </row>
    <row r="6" spans="1:12" ht="19.149999999999999" customHeight="1" x14ac:dyDescent="0.2">
      <c r="A6" s="116">
        <v>2</v>
      </c>
      <c r="B6" s="876" t="s">
        <v>9</v>
      </c>
      <c r="C6" s="12">
        <v>1000</v>
      </c>
      <c r="D6" s="13">
        <v>26864727.169999998</v>
      </c>
      <c r="E6" s="14">
        <v>940.9</v>
      </c>
      <c r="F6" s="15">
        <f>E6*D6/C6</f>
        <v>25277021.794252999</v>
      </c>
      <c r="G6" s="15"/>
      <c r="H6" s="15"/>
      <c r="I6" s="15"/>
    </row>
    <row r="7" spans="1:12" ht="30" x14ac:dyDescent="0.2">
      <c r="A7" s="984">
        <v>3</v>
      </c>
      <c r="B7" s="876" t="s">
        <v>10</v>
      </c>
      <c r="C7" s="33"/>
      <c r="D7" s="13">
        <v>0</v>
      </c>
      <c r="E7" s="14">
        <v>0</v>
      </c>
      <c r="F7" s="14">
        <v>0</v>
      </c>
      <c r="G7" s="14"/>
      <c r="H7" s="14"/>
      <c r="I7" s="14"/>
    </row>
    <row r="8" spans="1:12" x14ac:dyDescent="0.2">
      <c r="A8" s="985"/>
      <c r="B8" s="878" t="s">
        <v>11</v>
      </c>
      <c r="C8" s="12">
        <v>1000</v>
      </c>
      <c r="D8" s="13">
        <v>546147.5</v>
      </c>
      <c r="E8" s="14">
        <v>1073.2</v>
      </c>
      <c r="F8" s="15">
        <f t="shared" ref="F8:F22" si="0">E8*D8/C8</f>
        <v>586125.49699999997</v>
      </c>
      <c r="G8" s="15"/>
      <c r="H8" s="15"/>
      <c r="I8" s="15"/>
    </row>
    <row r="9" spans="1:12" x14ac:dyDescent="0.2">
      <c r="A9" s="985"/>
      <c r="B9" s="876" t="s">
        <v>144</v>
      </c>
      <c r="C9" s="12">
        <v>1000</v>
      </c>
      <c r="D9" s="13">
        <v>989635</v>
      </c>
      <c r="E9" s="14">
        <v>1743.95</v>
      </c>
      <c r="F9" s="15">
        <f t="shared" si="0"/>
        <v>1725873.9582499999</v>
      </c>
      <c r="G9" s="15"/>
      <c r="H9" s="15"/>
      <c r="I9" s="15"/>
    </row>
    <row r="10" spans="1:12" x14ac:dyDescent="0.2">
      <c r="A10" s="985"/>
      <c r="B10" s="876" t="s">
        <v>455</v>
      </c>
      <c r="C10" s="12">
        <v>1000</v>
      </c>
      <c r="D10" s="13">
        <v>275885.29000000004</v>
      </c>
      <c r="E10" s="14">
        <v>2414.6999999999998</v>
      </c>
      <c r="F10" s="15">
        <f t="shared" si="0"/>
        <v>666180.20976300002</v>
      </c>
      <c r="G10" s="15"/>
      <c r="H10" s="15"/>
      <c r="I10" s="15"/>
    </row>
    <row r="11" spans="1:12" x14ac:dyDescent="0.2">
      <c r="A11" s="985"/>
      <c r="B11" s="876" t="s">
        <v>456</v>
      </c>
      <c r="C11" s="12">
        <v>1000</v>
      </c>
      <c r="D11" s="13">
        <v>62477.500000000007</v>
      </c>
      <c r="E11" s="14">
        <v>6677.8</v>
      </c>
      <c r="F11" s="15">
        <f t="shared" si="0"/>
        <v>417212.24950000003</v>
      </c>
      <c r="G11" s="15"/>
      <c r="H11" s="15"/>
      <c r="I11" s="15"/>
    </row>
    <row r="12" spans="1:12" x14ac:dyDescent="0.2">
      <c r="A12" s="985"/>
      <c r="B12" s="876" t="s">
        <v>457</v>
      </c>
      <c r="C12" s="12">
        <v>1000</v>
      </c>
      <c r="D12" s="13">
        <v>549295</v>
      </c>
      <c r="E12" s="14">
        <v>6751.2</v>
      </c>
      <c r="F12" s="15">
        <f t="shared" si="0"/>
        <v>3708400.4040000001</v>
      </c>
      <c r="G12" s="15"/>
      <c r="H12" s="15"/>
      <c r="I12" s="15"/>
    </row>
    <row r="13" spans="1:12" x14ac:dyDescent="0.2">
      <c r="A13" s="985"/>
      <c r="B13" s="876" t="s">
        <v>458</v>
      </c>
      <c r="C13" s="12">
        <v>1000</v>
      </c>
      <c r="D13" s="13">
        <v>555572.5</v>
      </c>
      <c r="E13" s="39">
        <v>6751.2</v>
      </c>
      <c r="F13" s="15">
        <f t="shared" si="0"/>
        <v>3750781.0619999999</v>
      </c>
      <c r="G13" s="15"/>
      <c r="H13" s="15"/>
      <c r="I13" s="15"/>
    </row>
    <row r="14" spans="1:12" x14ac:dyDescent="0.2">
      <c r="A14" s="985"/>
      <c r="B14" s="876" t="s">
        <v>459</v>
      </c>
      <c r="C14" s="12">
        <v>1000</v>
      </c>
      <c r="D14" s="13">
        <v>18740</v>
      </c>
      <c r="E14" s="14">
        <v>6824.6</v>
      </c>
      <c r="F14" s="15">
        <f t="shared" si="0"/>
        <v>127893.004</v>
      </c>
      <c r="G14" s="15"/>
      <c r="H14" s="15"/>
      <c r="I14" s="15"/>
    </row>
    <row r="15" spans="1:12" x14ac:dyDescent="0.2">
      <c r="A15" s="985"/>
      <c r="B15" s="876" t="s">
        <v>460</v>
      </c>
      <c r="C15" s="12">
        <v>1000</v>
      </c>
      <c r="D15" s="13">
        <v>53390</v>
      </c>
      <c r="E15" s="33">
        <v>6971.4</v>
      </c>
      <c r="F15" s="15">
        <f t="shared" si="0"/>
        <v>372203.04599999997</v>
      </c>
      <c r="G15" s="15"/>
      <c r="H15" s="15"/>
      <c r="I15" s="15"/>
    </row>
    <row r="16" spans="1:12" x14ac:dyDescent="0.2">
      <c r="A16" s="985"/>
      <c r="B16" s="876" t="s">
        <v>461</v>
      </c>
      <c r="C16" s="12">
        <v>1000</v>
      </c>
      <c r="D16" s="13">
        <v>75040</v>
      </c>
      <c r="E16" s="39">
        <v>6971.4</v>
      </c>
      <c r="F16" s="15">
        <f t="shared" si="0"/>
        <v>523133.85600000003</v>
      </c>
      <c r="G16" s="15"/>
      <c r="H16" s="15"/>
      <c r="I16" s="15"/>
    </row>
    <row r="17" spans="1:10" x14ac:dyDescent="0.2">
      <c r="A17" s="985"/>
      <c r="B17" s="876" t="s">
        <v>462</v>
      </c>
      <c r="C17" s="12">
        <v>1000</v>
      </c>
      <c r="D17" s="13">
        <v>98265.75</v>
      </c>
      <c r="E17" s="14">
        <v>7044.8</v>
      </c>
      <c r="F17" s="15">
        <f t="shared" si="0"/>
        <v>692262.55560000008</v>
      </c>
      <c r="G17" s="15"/>
      <c r="H17" s="15"/>
      <c r="I17" s="15"/>
    </row>
    <row r="18" spans="1:10" x14ac:dyDescent="0.2">
      <c r="A18" s="985"/>
      <c r="B18" s="876" t="s">
        <v>463</v>
      </c>
      <c r="C18" s="12">
        <v>1000</v>
      </c>
      <c r="D18" s="13">
        <v>187560</v>
      </c>
      <c r="E18" s="33">
        <v>7191.6</v>
      </c>
      <c r="F18" s="15">
        <f t="shared" si="0"/>
        <v>1348856.496</v>
      </c>
      <c r="G18" s="15"/>
      <c r="H18" s="15"/>
      <c r="I18" s="15"/>
    </row>
    <row r="19" spans="1:10" x14ac:dyDescent="0.2">
      <c r="A19" s="985"/>
      <c r="B19" s="876" t="s">
        <v>464</v>
      </c>
      <c r="C19" s="12">
        <v>1000</v>
      </c>
      <c r="D19" s="13">
        <v>54772.5</v>
      </c>
      <c r="E19" s="14">
        <v>7338.4</v>
      </c>
      <c r="F19" s="15">
        <f t="shared" si="0"/>
        <v>401942.51400000002</v>
      </c>
      <c r="G19" s="15"/>
      <c r="H19" s="15"/>
      <c r="I19" s="15"/>
    </row>
    <row r="20" spans="1:10" x14ac:dyDescent="0.2">
      <c r="A20" s="985"/>
      <c r="B20" s="876" t="s">
        <v>465</v>
      </c>
      <c r="C20" s="12">
        <v>1000</v>
      </c>
      <c r="D20" s="13">
        <v>125720</v>
      </c>
      <c r="E20" s="14">
        <v>7411.8</v>
      </c>
      <c r="F20" s="15">
        <f t="shared" si="0"/>
        <v>931811.49600000004</v>
      </c>
      <c r="G20" s="15"/>
      <c r="H20" s="15"/>
      <c r="I20" s="15"/>
    </row>
    <row r="21" spans="1:10" x14ac:dyDescent="0.2">
      <c r="A21" s="985"/>
      <c r="B21" s="879" t="s">
        <v>466</v>
      </c>
      <c r="C21" s="12">
        <v>1000</v>
      </c>
      <c r="D21" s="13">
        <v>70367.5</v>
      </c>
      <c r="E21" s="14">
        <v>7558.6</v>
      </c>
      <c r="F21" s="15">
        <f t="shared" si="0"/>
        <v>531879.7855</v>
      </c>
      <c r="G21" s="15"/>
      <c r="H21" s="15"/>
      <c r="I21" s="15"/>
    </row>
    <row r="22" spans="1:10" x14ac:dyDescent="0.2">
      <c r="A22" s="986"/>
      <c r="B22" s="876" t="s">
        <v>467</v>
      </c>
      <c r="C22" s="12">
        <v>1000</v>
      </c>
      <c r="D22" s="13">
        <v>4869.33</v>
      </c>
      <c r="E22" s="14">
        <v>7934.1</v>
      </c>
      <c r="F22" s="15">
        <f t="shared" si="0"/>
        <v>38633.751153000005</v>
      </c>
      <c r="G22" s="15"/>
      <c r="H22" s="15"/>
      <c r="I22" s="15"/>
    </row>
    <row r="23" spans="1:10" x14ac:dyDescent="0.2">
      <c r="A23" s="984">
        <v>4</v>
      </c>
      <c r="B23" s="879" t="s">
        <v>157</v>
      </c>
      <c r="C23" s="12">
        <v>1000</v>
      </c>
      <c r="D23" s="13">
        <v>0</v>
      </c>
      <c r="E23" s="13">
        <v>0</v>
      </c>
      <c r="F23" s="13">
        <v>0</v>
      </c>
      <c r="G23" s="13"/>
      <c r="H23" s="13"/>
      <c r="I23" s="13"/>
    </row>
    <row r="24" spans="1:10" x14ac:dyDescent="0.2">
      <c r="A24" s="985"/>
      <c r="B24" s="876" t="s">
        <v>468</v>
      </c>
      <c r="C24" s="12">
        <v>1000</v>
      </c>
      <c r="D24" s="13">
        <v>140702.28500000003</v>
      </c>
      <c r="E24" s="13">
        <v>10936.05</v>
      </c>
      <c r="F24" s="15">
        <f t="shared" ref="F24:F33" si="1">E24*D24/C24</f>
        <v>1538727.2238742502</v>
      </c>
      <c r="G24" s="15"/>
      <c r="H24" s="15"/>
      <c r="I24" s="15"/>
    </row>
    <row r="25" spans="1:10" x14ac:dyDescent="0.2">
      <c r="A25" s="985"/>
      <c r="B25" s="879" t="s">
        <v>469</v>
      </c>
      <c r="C25" s="12">
        <v>1000</v>
      </c>
      <c r="D25" s="13">
        <v>1887045.5</v>
      </c>
      <c r="E25" s="14">
        <v>11606.8</v>
      </c>
      <c r="F25" s="15">
        <f t="shared" si="1"/>
        <v>21902559.709399998</v>
      </c>
      <c r="G25" s="15"/>
      <c r="H25" s="15"/>
      <c r="I25" s="15"/>
    </row>
    <row r="26" spans="1:10" x14ac:dyDescent="0.2">
      <c r="A26" s="985"/>
      <c r="B26" s="876" t="s">
        <v>455</v>
      </c>
      <c r="C26" s="12">
        <v>1000</v>
      </c>
      <c r="D26" s="13">
        <v>97969.465000000011</v>
      </c>
      <c r="E26" s="13">
        <v>12948.3</v>
      </c>
      <c r="F26" s="15">
        <f t="shared" si="1"/>
        <v>1268538.0236595001</v>
      </c>
      <c r="G26" s="15"/>
      <c r="H26" s="15"/>
      <c r="I26" s="15"/>
    </row>
    <row r="27" spans="1:10" x14ac:dyDescent="0.2">
      <c r="A27" s="986"/>
      <c r="B27" s="876" t="s">
        <v>470</v>
      </c>
      <c r="C27" s="12">
        <v>1000</v>
      </c>
      <c r="D27" s="13">
        <v>159193.80000000005</v>
      </c>
      <c r="E27" s="13">
        <v>18092.2</v>
      </c>
      <c r="F27" s="15">
        <f t="shared" si="1"/>
        <v>2880166.0683600013</v>
      </c>
      <c r="G27" s="15"/>
      <c r="H27" s="15"/>
      <c r="I27" s="15"/>
    </row>
    <row r="28" spans="1:10" x14ac:dyDescent="0.2">
      <c r="A28" s="116">
        <v>5</v>
      </c>
      <c r="B28" s="881" t="s">
        <v>418</v>
      </c>
      <c r="C28" s="12">
        <v>1000</v>
      </c>
      <c r="D28" s="13">
        <v>1340460.5752499998</v>
      </c>
      <c r="E28" s="13">
        <v>5266.8</v>
      </c>
      <c r="F28" s="15">
        <f t="shared" si="1"/>
        <v>7059937.7577266991</v>
      </c>
      <c r="G28" s="15"/>
      <c r="H28" s="15"/>
      <c r="I28" s="15"/>
      <c r="J28" s="882"/>
    </row>
    <row r="29" spans="1:10" ht="30" x14ac:dyDescent="0.2">
      <c r="A29" s="116">
        <v>6</v>
      </c>
      <c r="B29" s="876" t="s">
        <v>189</v>
      </c>
      <c r="C29" s="37">
        <v>1</v>
      </c>
      <c r="D29" s="13">
        <v>1254</v>
      </c>
      <c r="E29" s="39">
        <v>1326.2</v>
      </c>
      <c r="F29" s="15">
        <f t="shared" si="1"/>
        <v>1663054.8</v>
      </c>
      <c r="G29" s="15"/>
      <c r="H29" s="15"/>
      <c r="I29" s="15"/>
    </row>
    <row r="30" spans="1:10" ht="45" x14ac:dyDescent="0.2">
      <c r="A30" s="116">
        <v>7</v>
      </c>
      <c r="B30" s="876" t="s">
        <v>17</v>
      </c>
      <c r="C30" s="18">
        <v>1</v>
      </c>
      <c r="D30" s="13">
        <v>1740</v>
      </c>
      <c r="E30" s="14">
        <v>1935.4</v>
      </c>
      <c r="F30" s="15">
        <f t="shared" si="1"/>
        <v>3367596</v>
      </c>
      <c r="G30" s="15"/>
      <c r="H30" s="15"/>
      <c r="I30" s="15"/>
    </row>
    <row r="31" spans="1:10" x14ac:dyDescent="0.2">
      <c r="A31" s="116">
        <v>8</v>
      </c>
      <c r="B31" s="883" t="s">
        <v>18</v>
      </c>
      <c r="C31" s="19">
        <v>1000</v>
      </c>
      <c r="D31" s="13">
        <v>6885050</v>
      </c>
      <c r="E31" s="14">
        <v>376.2</v>
      </c>
      <c r="F31" s="15">
        <f t="shared" si="1"/>
        <v>2590155.81</v>
      </c>
      <c r="G31" s="15"/>
      <c r="H31" s="15"/>
      <c r="I31" s="15"/>
    </row>
    <row r="32" spans="1:10" ht="30" x14ac:dyDescent="0.2">
      <c r="A32" s="116">
        <v>9</v>
      </c>
      <c r="B32" s="876" t="s">
        <v>327</v>
      </c>
      <c r="C32" s="37">
        <v>1</v>
      </c>
      <c r="D32" s="13">
        <v>5</v>
      </c>
      <c r="E32" s="13">
        <v>14630</v>
      </c>
      <c r="F32" s="15">
        <f t="shared" si="1"/>
        <v>73150</v>
      </c>
      <c r="G32" s="15"/>
      <c r="H32" s="15"/>
      <c r="I32" s="15"/>
    </row>
    <row r="33" spans="1:12" ht="45" x14ac:dyDescent="0.2">
      <c r="A33" s="117">
        <v>10</v>
      </c>
      <c r="B33" s="884" t="s">
        <v>19</v>
      </c>
      <c r="C33" s="12">
        <v>1000</v>
      </c>
      <c r="D33" s="13">
        <v>1617</v>
      </c>
      <c r="E33" s="21">
        <v>15824.15</v>
      </c>
      <c r="F33" s="15">
        <f t="shared" si="1"/>
        <v>25587.650550000002</v>
      </c>
      <c r="G33" s="15"/>
      <c r="H33" s="15"/>
      <c r="I33" s="15"/>
    </row>
    <row r="34" spans="1:12" s="152" customFormat="1" ht="30" x14ac:dyDescent="0.2">
      <c r="A34" s="987">
        <v>11</v>
      </c>
      <c r="B34" s="884" t="s">
        <v>20</v>
      </c>
      <c r="C34" s="12">
        <v>100</v>
      </c>
      <c r="D34" s="13">
        <v>0</v>
      </c>
      <c r="E34" s="13">
        <v>0</v>
      </c>
      <c r="F34" s="13">
        <v>0</v>
      </c>
      <c r="G34" s="13"/>
      <c r="H34" s="13"/>
      <c r="I34" s="13"/>
      <c r="J34" s="877" t="e">
        <f>#REF!*37</f>
        <v>#REF!</v>
      </c>
    </row>
    <row r="35" spans="1:12" s="152" customFormat="1" x14ac:dyDescent="0.2">
      <c r="A35" s="988"/>
      <c r="B35" s="884" t="s">
        <v>21</v>
      </c>
      <c r="C35" s="12">
        <v>100</v>
      </c>
      <c r="D35" s="13">
        <v>41070.554165017595</v>
      </c>
      <c r="E35" s="21">
        <v>34694.300000000003</v>
      </c>
      <c r="F35" s="15">
        <f t="shared" ref="F35:F44" si="2">E35*D35/C35</f>
        <v>14249141.273673702</v>
      </c>
      <c r="G35" s="15"/>
      <c r="H35" s="15"/>
      <c r="I35" s="15"/>
      <c r="J35" s="877"/>
      <c r="K35" s="885">
        <f>SUM(D35:D35)</f>
        <v>41070.554165017595</v>
      </c>
      <c r="L35" s="886">
        <v>23362466.852632541</v>
      </c>
    </row>
    <row r="36" spans="1:12" x14ac:dyDescent="0.2">
      <c r="A36" s="989"/>
      <c r="B36" s="884" t="s">
        <v>107</v>
      </c>
      <c r="C36" s="12">
        <v>100</v>
      </c>
      <c r="D36" s="13">
        <v>12898.728125000001</v>
      </c>
      <c r="E36" s="14">
        <v>47135.9</v>
      </c>
      <c r="F36" s="15">
        <f t="shared" si="2"/>
        <v>6079931.5902718762</v>
      </c>
      <c r="G36" s="15"/>
      <c r="H36" s="15"/>
      <c r="I36" s="15"/>
      <c r="K36" s="882">
        <f>SUM(D36:D36)</f>
        <v>12898.728125000001</v>
      </c>
    </row>
    <row r="37" spans="1:12" s="152" customFormat="1" x14ac:dyDescent="0.2">
      <c r="A37" s="44">
        <v>12</v>
      </c>
      <c r="B37" s="884" t="s">
        <v>22</v>
      </c>
      <c r="C37" s="12">
        <v>100</v>
      </c>
      <c r="D37" s="13">
        <v>58371.555499999995</v>
      </c>
      <c r="E37" s="21">
        <v>32675.95</v>
      </c>
      <c r="F37" s="15">
        <f t="shared" si="2"/>
        <v>19073460.28940225</v>
      </c>
      <c r="G37" s="15"/>
      <c r="H37" s="15"/>
      <c r="I37" s="15"/>
      <c r="J37" s="877" t="e">
        <f>#REF!*37</f>
        <v>#REF!</v>
      </c>
      <c r="K37" s="885"/>
    </row>
    <row r="38" spans="1:12" s="152" customFormat="1" ht="30" x14ac:dyDescent="0.2">
      <c r="A38" s="44">
        <v>13</v>
      </c>
      <c r="B38" s="884" t="s">
        <v>23</v>
      </c>
      <c r="C38" s="19">
        <v>100</v>
      </c>
      <c r="D38" s="13">
        <v>643.5</v>
      </c>
      <c r="E38" s="14">
        <v>11851.2</v>
      </c>
      <c r="F38" s="15">
        <f t="shared" si="2"/>
        <v>76262.472000000009</v>
      </c>
      <c r="G38" s="15"/>
      <c r="H38" s="15"/>
      <c r="I38" s="15"/>
    </row>
    <row r="39" spans="1:12" s="887" customFormat="1" ht="45" x14ac:dyDescent="0.2">
      <c r="A39" s="44">
        <v>14</v>
      </c>
      <c r="B39" s="884" t="s">
        <v>92</v>
      </c>
      <c r="C39" s="19">
        <v>100</v>
      </c>
      <c r="D39" s="13">
        <v>11220.609375</v>
      </c>
      <c r="E39" s="14">
        <v>11460.2</v>
      </c>
      <c r="F39" s="15">
        <f t="shared" si="2"/>
        <v>1285904.2755937499</v>
      </c>
      <c r="G39" s="15"/>
      <c r="H39" s="15"/>
      <c r="I39" s="15"/>
      <c r="J39" s="877" t="e">
        <f>#REF!*37</f>
        <v>#REF!</v>
      </c>
      <c r="K39" s="877"/>
    </row>
    <row r="40" spans="1:12" s="891" customFormat="1" ht="30" x14ac:dyDescent="0.2">
      <c r="A40" s="124">
        <v>15</v>
      </c>
      <c r="B40" s="888" t="s">
        <v>272</v>
      </c>
      <c r="C40" s="889">
        <v>100</v>
      </c>
      <c r="D40" s="13">
        <v>427.5</v>
      </c>
      <c r="E40" s="14">
        <v>11851.6</v>
      </c>
      <c r="F40" s="15">
        <f t="shared" si="2"/>
        <v>50665.59</v>
      </c>
      <c r="G40" s="15"/>
      <c r="H40" s="15"/>
      <c r="I40" s="15"/>
    </row>
    <row r="41" spans="1:12" x14ac:dyDescent="0.2">
      <c r="A41" s="117">
        <v>16</v>
      </c>
      <c r="B41" s="884" t="s">
        <v>24</v>
      </c>
      <c r="C41" s="12">
        <v>100</v>
      </c>
      <c r="D41" s="13">
        <v>1348.1015625</v>
      </c>
      <c r="E41" s="21">
        <v>37620.6</v>
      </c>
      <c r="F41" s="15">
        <f t="shared" si="2"/>
        <v>507163.89642187499</v>
      </c>
      <c r="G41" s="15"/>
      <c r="H41" s="15"/>
      <c r="I41" s="15"/>
    </row>
    <row r="42" spans="1:12" x14ac:dyDescent="0.2">
      <c r="A42" s="117">
        <v>17</v>
      </c>
      <c r="B42" s="884" t="s">
        <v>25</v>
      </c>
      <c r="C42" s="19">
        <v>100</v>
      </c>
      <c r="D42" s="13">
        <v>3805.7250000000004</v>
      </c>
      <c r="E42" s="21">
        <v>4334.75</v>
      </c>
      <c r="F42" s="15">
        <f t="shared" si="2"/>
        <v>164968.6644375</v>
      </c>
      <c r="G42" s="15"/>
      <c r="H42" s="15"/>
      <c r="I42" s="15"/>
    </row>
    <row r="43" spans="1:12" ht="30" x14ac:dyDescent="0.2">
      <c r="A43" s="117">
        <v>18</v>
      </c>
      <c r="B43" s="884" t="s">
        <v>115</v>
      </c>
      <c r="C43" s="19">
        <v>100</v>
      </c>
      <c r="D43" s="13">
        <v>61675.404300000002</v>
      </c>
      <c r="E43" s="21">
        <v>7379.1</v>
      </c>
      <c r="F43" s="15">
        <f t="shared" si="2"/>
        <v>4551089.7587013002</v>
      </c>
      <c r="G43" s="15"/>
      <c r="H43" s="15"/>
      <c r="I43" s="15"/>
      <c r="J43" s="877" t="e">
        <f>#REF!*37</f>
        <v>#REF!</v>
      </c>
      <c r="K43" s="882"/>
    </row>
    <row r="44" spans="1:12" x14ac:dyDescent="0.2">
      <c r="A44" s="117">
        <v>19</v>
      </c>
      <c r="B44" s="884" t="s">
        <v>27</v>
      </c>
      <c r="C44" s="24">
        <v>1</v>
      </c>
      <c r="D44" s="13">
        <v>8250</v>
      </c>
      <c r="E44" s="21">
        <v>30.5</v>
      </c>
      <c r="F44" s="15">
        <f t="shared" si="2"/>
        <v>251625</v>
      </c>
      <c r="G44" s="15"/>
      <c r="H44" s="15"/>
      <c r="I44" s="15"/>
    </row>
    <row r="45" spans="1:12" s="152" customFormat="1" ht="45.75" x14ac:dyDescent="0.2">
      <c r="A45" s="987">
        <v>20</v>
      </c>
      <c r="B45" s="892" t="s">
        <v>36</v>
      </c>
      <c r="C45" s="23"/>
      <c r="D45" s="13">
        <v>0</v>
      </c>
      <c r="E45" s="23"/>
      <c r="F45" s="23"/>
      <c r="G45" s="23"/>
      <c r="H45" s="23"/>
      <c r="I45" s="23"/>
    </row>
    <row r="46" spans="1:12" x14ac:dyDescent="0.2">
      <c r="A46" s="988"/>
      <c r="B46" s="884" t="s">
        <v>29</v>
      </c>
      <c r="C46" s="12">
        <v>100</v>
      </c>
      <c r="D46" s="13">
        <v>70.784999999999997</v>
      </c>
      <c r="E46" s="21">
        <v>14042.6</v>
      </c>
      <c r="F46" s="15">
        <f t="shared" ref="F46:F69" si="3">E46*D46/C46</f>
        <v>9940.0544100000006</v>
      </c>
      <c r="G46" s="15"/>
      <c r="H46" s="15"/>
      <c r="I46" s="15"/>
    </row>
    <row r="47" spans="1:12" x14ac:dyDescent="0.2">
      <c r="A47" s="988"/>
      <c r="B47" s="884" t="s">
        <v>38</v>
      </c>
      <c r="C47" s="12">
        <v>100</v>
      </c>
      <c r="D47" s="13">
        <v>5036.5815499999999</v>
      </c>
      <c r="E47" s="13">
        <v>14042.6</v>
      </c>
      <c r="F47" s="15">
        <f t="shared" si="3"/>
        <v>707267.00074029993</v>
      </c>
      <c r="G47" s="15"/>
      <c r="H47" s="15"/>
      <c r="I47" s="15"/>
      <c r="J47" s="877" t="e">
        <f>#REF!*37</f>
        <v>#REF!</v>
      </c>
      <c r="K47" s="877" t="e">
        <f>D47-J47</f>
        <v>#REF!</v>
      </c>
      <c r="L47" s="882"/>
    </row>
    <row r="48" spans="1:12" x14ac:dyDescent="0.2">
      <c r="A48" s="988"/>
      <c r="B48" s="884" t="s">
        <v>61</v>
      </c>
      <c r="C48" s="12">
        <v>100</v>
      </c>
      <c r="D48" s="13">
        <v>30772.144598416897</v>
      </c>
      <c r="E48" s="13">
        <v>14042.6</v>
      </c>
      <c r="F48" s="15">
        <f t="shared" si="3"/>
        <v>4321209.177377291</v>
      </c>
      <c r="G48" s="15"/>
      <c r="H48" s="15"/>
      <c r="I48" s="15"/>
      <c r="J48" s="877" t="e">
        <f>#REF!*37</f>
        <v>#REF!</v>
      </c>
      <c r="K48" s="877" t="e">
        <f>D48-J48</f>
        <v>#REF!</v>
      </c>
      <c r="L48" s="882"/>
    </row>
    <row r="49" spans="1:12" s="887" customFormat="1" x14ac:dyDescent="0.2">
      <c r="A49" s="988"/>
      <c r="B49" s="884" t="s">
        <v>62</v>
      </c>
      <c r="C49" s="12">
        <v>100</v>
      </c>
      <c r="D49" s="13">
        <v>106108.05618023523</v>
      </c>
      <c r="E49" s="13">
        <v>14042.6</v>
      </c>
      <c r="F49" s="15">
        <f t="shared" si="3"/>
        <v>14900329.897165714</v>
      </c>
      <c r="G49" s="15"/>
      <c r="H49" s="15"/>
      <c r="I49" s="15"/>
      <c r="J49" s="894"/>
    </row>
    <row r="50" spans="1:12" s="887" customFormat="1" x14ac:dyDescent="0.2">
      <c r="A50" s="988"/>
      <c r="B50" s="884" t="s">
        <v>64</v>
      </c>
      <c r="C50" s="12">
        <v>100</v>
      </c>
      <c r="D50" s="13">
        <v>2183.8000000000002</v>
      </c>
      <c r="E50" s="13">
        <v>14042.6</v>
      </c>
      <c r="F50" s="15">
        <f t="shared" si="3"/>
        <v>306662.29880000005</v>
      </c>
      <c r="G50" s="15"/>
      <c r="H50" s="15"/>
      <c r="I50" s="15"/>
    </row>
    <row r="51" spans="1:12" s="887" customFormat="1" x14ac:dyDescent="0.2">
      <c r="A51" s="988"/>
      <c r="B51" s="884" t="s">
        <v>65</v>
      </c>
      <c r="C51" s="12">
        <v>100</v>
      </c>
      <c r="D51" s="13">
        <v>268.5</v>
      </c>
      <c r="E51" s="13">
        <v>14042.6</v>
      </c>
      <c r="F51" s="15">
        <f t="shared" si="3"/>
        <v>37704.381000000001</v>
      </c>
      <c r="G51" s="15"/>
      <c r="H51" s="15"/>
      <c r="I51" s="15"/>
    </row>
    <row r="52" spans="1:12" x14ac:dyDescent="0.2">
      <c r="A52" s="988"/>
      <c r="B52" s="884" t="s">
        <v>141</v>
      </c>
      <c r="C52" s="12">
        <v>100</v>
      </c>
      <c r="D52" s="13">
        <v>24736.495222999998</v>
      </c>
      <c r="E52" s="13">
        <v>14042.6</v>
      </c>
      <c r="F52" s="15">
        <f t="shared" si="3"/>
        <v>3473647.0781849981</v>
      </c>
      <c r="G52" s="15"/>
      <c r="H52" s="15"/>
      <c r="I52" s="15"/>
      <c r="J52" s="877" t="e">
        <f>#REF!*37</f>
        <v>#REF!</v>
      </c>
      <c r="K52" s="877" t="e">
        <f>D52-J52</f>
        <v>#REF!</v>
      </c>
      <c r="L52" s="882">
        <f>SUM(F186:F222)</f>
        <v>80212234.679585844</v>
      </c>
    </row>
    <row r="53" spans="1:12" x14ac:dyDescent="0.2">
      <c r="A53" s="988"/>
      <c r="B53" s="884" t="s">
        <v>143</v>
      </c>
      <c r="C53" s="12">
        <v>100</v>
      </c>
      <c r="D53" s="13">
        <v>1234.2670312499999</v>
      </c>
      <c r="E53" s="13">
        <v>14042.6</v>
      </c>
      <c r="F53" s="15">
        <f t="shared" si="3"/>
        <v>173323.18213031252</v>
      </c>
      <c r="G53" s="15"/>
      <c r="H53" s="15"/>
      <c r="I53" s="15"/>
      <c r="J53" s="877" t="e">
        <f>#REF!*37</f>
        <v>#REF!</v>
      </c>
      <c r="K53" s="877" t="e">
        <f>D53-J53</f>
        <v>#REF!</v>
      </c>
      <c r="L53" s="882"/>
    </row>
    <row r="54" spans="1:12" s="887" customFormat="1" x14ac:dyDescent="0.2">
      <c r="A54" s="989"/>
      <c r="B54" s="884" t="s">
        <v>207</v>
      </c>
      <c r="C54" s="12">
        <v>100</v>
      </c>
      <c r="D54" s="13">
        <v>15224.763780000005</v>
      </c>
      <c r="E54" s="13">
        <v>14042.6</v>
      </c>
      <c r="F54" s="15">
        <f t="shared" si="3"/>
        <v>2137952.6785702808</v>
      </c>
      <c r="G54" s="15"/>
      <c r="H54" s="15"/>
      <c r="I54" s="15"/>
    </row>
    <row r="55" spans="1:12" s="152" customFormat="1" x14ac:dyDescent="0.2">
      <c r="A55" s="118">
        <v>21</v>
      </c>
      <c r="B55" s="892" t="s">
        <v>30</v>
      </c>
      <c r="C55" s="12">
        <v>1</v>
      </c>
      <c r="D55" s="13">
        <v>786.04000000000008</v>
      </c>
      <c r="E55" s="25">
        <v>546.95000000000005</v>
      </c>
      <c r="F55" s="15">
        <f t="shared" si="3"/>
        <v>429924.5780000001</v>
      </c>
      <c r="G55" s="15"/>
      <c r="H55" s="15"/>
      <c r="I55" s="15"/>
    </row>
    <row r="56" spans="1:12" s="152" customFormat="1" ht="30" x14ac:dyDescent="0.2">
      <c r="A56" s="118">
        <v>22</v>
      </c>
      <c r="B56" s="892" t="s">
        <v>31</v>
      </c>
      <c r="C56" s="26">
        <v>100</v>
      </c>
      <c r="D56" s="13">
        <v>1796.0099999999998</v>
      </c>
      <c r="E56" s="25">
        <v>30006.1</v>
      </c>
      <c r="F56" s="15">
        <f t="shared" si="3"/>
        <v>538912.55660999985</v>
      </c>
      <c r="G56" s="15"/>
      <c r="H56" s="15"/>
      <c r="I56" s="15"/>
    </row>
    <row r="57" spans="1:12" s="152" customFormat="1" x14ac:dyDescent="0.2">
      <c r="A57" s="44">
        <v>23</v>
      </c>
      <c r="B57" s="892" t="s">
        <v>32</v>
      </c>
      <c r="C57" s="24">
        <v>1</v>
      </c>
      <c r="D57" s="13">
        <v>457</v>
      </c>
      <c r="E57" s="25">
        <v>115.4</v>
      </c>
      <c r="F57" s="15">
        <f t="shared" si="3"/>
        <v>52737.8</v>
      </c>
      <c r="G57" s="15"/>
      <c r="H57" s="15"/>
      <c r="I57" s="15"/>
    </row>
    <row r="58" spans="1:12" s="152" customFormat="1" x14ac:dyDescent="0.2">
      <c r="A58" s="44">
        <v>24</v>
      </c>
      <c r="B58" s="892" t="s">
        <v>33</v>
      </c>
      <c r="C58" s="27">
        <v>1</v>
      </c>
      <c r="D58" s="13">
        <v>457</v>
      </c>
      <c r="E58" s="25">
        <v>141.9</v>
      </c>
      <c r="F58" s="15">
        <f t="shared" si="3"/>
        <v>64848.3</v>
      </c>
      <c r="G58" s="15"/>
      <c r="H58" s="15"/>
      <c r="I58" s="15"/>
    </row>
    <row r="59" spans="1:12" s="152" customFormat="1" x14ac:dyDescent="0.2">
      <c r="A59" s="44">
        <v>25</v>
      </c>
      <c r="B59" s="892" t="s">
        <v>34</v>
      </c>
      <c r="C59" s="19">
        <v>100</v>
      </c>
      <c r="D59" s="13">
        <v>1599.5</v>
      </c>
      <c r="E59" s="25">
        <v>4307.55</v>
      </c>
      <c r="F59" s="15">
        <f t="shared" si="3"/>
        <v>68899.26225</v>
      </c>
      <c r="G59" s="15"/>
      <c r="H59" s="15"/>
      <c r="I59" s="15"/>
    </row>
    <row r="60" spans="1:12" s="152" customFormat="1" x14ac:dyDescent="0.2">
      <c r="A60" s="44">
        <v>26</v>
      </c>
      <c r="B60" s="892" t="s">
        <v>35</v>
      </c>
      <c r="C60" s="24">
        <v>1</v>
      </c>
      <c r="D60" s="13">
        <v>4570</v>
      </c>
      <c r="E60" s="25">
        <v>30.5</v>
      </c>
      <c r="F60" s="15">
        <f t="shared" si="3"/>
        <v>139385</v>
      </c>
      <c r="G60" s="15"/>
      <c r="H60" s="15"/>
      <c r="I60" s="15"/>
    </row>
    <row r="61" spans="1:12" s="152" customFormat="1" ht="30" x14ac:dyDescent="0.2">
      <c r="A61" s="118">
        <v>27</v>
      </c>
      <c r="B61" s="884" t="s">
        <v>328</v>
      </c>
      <c r="C61" s="179">
        <v>1000</v>
      </c>
      <c r="D61" s="13">
        <v>245</v>
      </c>
      <c r="E61" s="25">
        <v>546.95000000000005</v>
      </c>
      <c r="F61" s="15">
        <f t="shared" si="3"/>
        <v>134.00274999999999</v>
      </c>
      <c r="G61" s="15"/>
      <c r="H61" s="15"/>
      <c r="I61" s="15"/>
    </row>
    <row r="62" spans="1:12" s="152" customFormat="1" ht="30" x14ac:dyDescent="0.2">
      <c r="A62" s="118">
        <v>28</v>
      </c>
      <c r="B62" s="884" t="s">
        <v>329</v>
      </c>
      <c r="C62" s="895">
        <v>100</v>
      </c>
      <c r="D62" s="13">
        <v>367.5</v>
      </c>
      <c r="E62" s="25">
        <v>30006.1</v>
      </c>
      <c r="F62" s="15">
        <f t="shared" si="3"/>
        <v>110272.4175</v>
      </c>
      <c r="G62" s="15"/>
      <c r="H62" s="15"/>
      <c r="I62" s="15"/>
    </row>
    <row r="63" spans="1:12" s="152" customFormat="1" ht="45" x14ac:dyDescent="0.2">
      <c r="A63" s="44">
        <v>29</v>
      </c>
      <c r="B63" s="884" t="s">
        <v>330</v>
      </c>
      <c r="C63" s="896">
        <v>1</v>
      </c>
      <c r="D63" s="13">
        <v>560</v>
      </c>
      <c r="E63" s="25">
        <v>115.4</v>
      </c>
      <c r="F63" s="15">
        <f t="shared" si="3"/>
        <v>64624</v>
      </c>
      <c r="G63" s="15"/>
      <c r="H63" s="15"/>
      <c r="I63" s="15"/>
    </row>
    <row r="64" spans="1:12" s="152" customFormat="1" ht="30" x14ac:dyDescent="0.2">
      <c r="A64" s="44">
        <v>30</v>
      </c>
      <c r="B64" s="884" t="s">
        <v>331</v>
      </c>
      <c r="C64" s="895">
        <v>100</v>
      </c>
      <c r="D64" s="13">
        <v>323.40000000000003</v>
      </c>
      <c r="E64" s="25">
        <v>141.9</v>
      </c>
      <c r="F64" s="15">
        <f t="shared" si="3"/>
        <v>458.90460000000007</v>
      </c>
      <c r="G64" s="15"/>
      <c r="H64" s="15"/>
      <c r="I64" s="15"/>
    </row>
    <row r="65" spans="1:13" x14ac:dyDescent="0.2">
      <c r="A65" s="117">
        <v>31</v>
      </c>
      <c r="B65" s="897" t="s">
        <v>333</v>
      </c>
      <c r="C65" s="898">
        <v>100</v>
      </c>
      <c r="D65" s="13">
        <v>1823.0675000000001</v>
      </c>
      <c r="E65" s="25">
        <v>2633.4</v>
      </c>
      <c r="F65" s="15">
        <f t="shared" si="3"/>
        <v>48008.659545000002</v>
      </c>
      <c r="G65" s="15"/>
      <c r="H65" s="15"/>
      <c r="I65" s="15"/>
    </row>
    <row r="66" spans="1:13" ht="45" x14ac:dyDescent="0.2">
      <c r="A66" s="117">
        <v>32</v>
      </c>
      <c r="B66" s="897" t="s">
        <v>57</v>
      </c>
      <c r="C66" s="12">
        <v>100</v>
      </c>
      <c r="D66" s="13">
        <v>4635</v>
      </c>
      <c r="E66" s="25">
        <v>4017.8</v>
      </c>
      <c r="F66" s="15">
        <f t="shared" si="3"/>
        <v>186225.03</v>
      </c>
      <c r="G66" s="15"/>
      <c r="H66" s="15"/>
      <c r="I66" s="15"/>
      <c r="K66" s="882"/>
    </row>
    <row r="67" spans="1:13" ht="30" x14ac:dyDescent="0.2">
      <c r="A67" s="117">
        <v>33</v>
      </c>
      <c r="B67" s="897" t="s">
        <v>336</v>
      </c>
      <c r="C67" s="12">
        <v>100</v>
      </c>
      <c r="D67" s="13">
        <v>13340.27</v>
      </c>
      <c r="E67" s="25">
        <v>27086.400000000001</v>
      </c>
      <c r="F67" s="15">
        <f t="shared" si="3"/>
        <v>3613398.89328</v>
      </c>
      <c r="G67" s="15"/>
      <c r="H67" s="15"/>
      <c r="I67" s="15"/>
    </row>
    <row r="68" spans="1:13" s="887" customFormat="1" ht="60" x14ac:dyDescent="0.2">
      <c r="A68" s="118">
        <v>34</v>
      </c>
      <c r="B68" s="884" t="s">
        <v>39</v>
      </c>
      <c r="C68" s="12">
        <v>1000</v>
      </c>
      <c r="D68" s="13">
        <v>588089.4261981172</v>
      </c>
      <c r="E68" s="14">
        <v>12735.6</v>
      </c>
      <c r="F68" s="15">
        <f t="shared" si="3"/>
        <v>7489671.6962887421</v>
      </c>
      <c r="G68" s="15"/>
      <c r="H68" s="15"/>
      <c r="I68" s="15"/>
      <c r="J68" s="894">
        <f>SUM(F68:F182)</f>
        <v>704518649.62020278</v>
      </c>
      <c r="L68" s="886">
        <v>63826446.624435835</v>
      </c>
      <c r="M68" s="894"/>
    </row>
    <row r="69" spans="1:13" s="887" customFormat="1" ht="60" x14ac:dyDescent="0.2">
      <c r="A69" s="122">
        <v>35</v>
      </c>
      <c r="B69" s="884" t="s">
        <v>98</v>
      </c>
      <c r="C69" s="29">
        <v>100</v>
      </c>
      <c r="D69" s="13">
        <v>1015459.2095243642</v>
      </c>
      <c r="E69" s="14">
        <v>30376.9</v>
      </c>
      <c r="F69" s="15">
        <f t="shared" si="3"/>
        <v>308465028.61800659</v>
      </c>
      <c r="G69" s="15"/>
      <c r="H69" s="15"/>
      <c r="I69" s="15"/>
      <c r="J69" s="877" t="e">
        <f>#REF!*37</f>
        <v>#REF!</v>
      </c>
      <c r="K69" s="877"/>
    </row>
    <row r="70" spans="1:13" ht="75.75" x14ac:dyDescent="0.2">
      <c r="A70" s="44">
        <v>36</v>
      </c>
      <c r="B70" s="884" t="s">
        <v>41</v>
      </c>
      <c r="C70" s="12"/>
      <c r="D70" s="13">
        <v>0</v>
      </c>
      <c r="E70" s="893"/>
      <c r="F70" s="893"/>
      <c r="G70" s="893"/>
      <c r="H70" s="893"/>
      <c r="I70" s="893"/>
    </row>
    <row r="71" spans="1:13" ht="60" x14ac:dyDescent="0.2">
      <c r="A71" s="44" t="s">
        <v>42</v>
      </c>
      <c r="B71" s="884" t="s">
        <v>43</v>
      </c>
      <c r="C71" s="12">
        <v>1</v>
      </c>
      <c r="D71" s="13">
        <v>174842.05310147052</v>
      </c>
      <c r="E71" s="14">
        <v>817.55</v>
      </c>
      <c r="F71" s="15">
        <f t="shared" ref="F71:F81" si="4">E71*D71/C71</f>
        <v>142942120.51310721</v>
      </c>
      <c r="G71" s="15"/>
      <c r="H71" s="15"/>
      <c r="I71" s="15"/>
      <c r="J71" s="882"/>
    </row>
    <row r="72" spans="1:13" ht="60" x14ac:dyDescent="0.2">
      <c r="A72" s="44" t="s">
        <v>44</v>
      </c>
      <c r="B72" s="884" t="s">
        <v>45</v>
      </c>
      <c r="C72" s="12">
        <v>1</v>
      </c>
      <c r="D72" s="13">
        <v>77484.511800000007</v>
      </c>
      <c r="E72" s="14">
        <v>670.5</v>
      </c>
      <c r="F72" s="15">
        <f t="shared" si="4"/>
        <v>51953365.161900006</v>
      </c>
      <c r="G72" s="15"/>
      <c r="H72" s="15"/>
      <c r="I72" s="15"/>
      <c r="J72" s="882"/>
    </row>
    <row r="73" spans="1:13" ht="30" x14ac:dyDescent="0.2">
      <c r="A73" s="44">
        <v>37</v>
      </c>
      <c r="B73" s="902" t="s">
        <v>71</v>
      </c>
      <c r="C73" s="31">
        <v>1</v>
      </c>
      <c r="D73" s="13">
        <v>6423.48</v>
      </c>
      <c r="E73" s="14">
        <v>809.4</v>
      </c>
      <c r="F73" s="15">
        <f t="shared" si="4"/>
        <v>5199164.7119999994</v>
      </c>
      <c r="G73" s="15"/>
      <c r="H73" s="15"/>
      <c r="I73" s="15"/>
      <c r="J73" s="882"/>
    </row>
    <row r="74" spans="1:13" ht="30" x14ac:dyDescent="0.2">
      <c r="A74" s="44">
        <v>38</v>
      </c>
      <c r="B74" s="884" t="s">
        <v>46</v>
      </c>
      <c r="C74" s="19">
        <v>100</v>
      </c>
      <c r="D74" s="13">
        <v>99728.813576470522</v>
      </c>
      <c r="E74" s="25">
        <v>1645.1</v>
      </c>
      <c r="F74" s="15">
        <f t="shared" si="4"/>
        <v>1640638.7121465164</v>
      </c>
      <c r="G74" s="15"/>
      <c r="H74" s="15"/>
      <c r="I74" s="15"/>
      <c r="J74" s="882"/>
    </row>
    <row r="75" spans="1:13" s="887" customFormat="1" ht="30" x14ac:dyDescent="0.2">
      <c r="A75" s="44">
        <v>39</v>
      </c>
      <c r="B75" s="884" t="s">
        <v>111</v>
      </c>
      <c r="C75" s="36">
        <v>1</v>
      </c>
      <c r="D75" s="13">
        <v>11417</v>
      </c>
      <c r="E75" s="25">
        <v>514.9</v>
      </c>
      <c r="F75" s="15">
        <f t="shared" si="4"/>
        <v>5878613.2999999998</v>
      </c>
      <c r="G75" s="15"/>
      <c r="H75" s="15"/>
      <c r="I75" s="15"/>
      <c r="J75" s="877" t="e">
        <f>#REF!*37</f>
        <v>#REF!</v>
      </c>
      <c r="K75" s="877"/>
    </row>
    <row r="76" spans="1:13" s="887" customFormat="1" x14ac:dyDescent="0.2">
      <c r="A76" s="121">
        <v>40</v>
      </c>
      <c r="B76" s="904" t="s">
        <v>87</v>
      </c>
      <c r="C76" s="36">
        <v>1</v>
      </c>
      <c r="D76" s="13">
        <v>48</v>
      </c>
      <c r="E76" s="33">
        <v>378.75</v>
      </c>
      <c r="F76" s="15">
        <f t="shared" si="4"/>
        <v>18180</v>
      </c>
      <c r="G76" s="15"/>
      <c r="H76" s="15"/>
      <c r="I76" s="15"/>
    </row>
    <row r="77" spans="1:13" ht="30" x14ac:dyDescent="0.2">
      <c r="A77" s="44">
        <v>41</v>
      </c>
      <c r="B77" s="884" t="s">
        <v>47</v>
      </c>
      <c r="C77" s="31">
        <v>1</v>
      </c>
      <c r="D77" s="13">
        <v>169.5</v>
      </c>
      <c r="E77" s="25">
        <v>303.8</v>
      </c>
      <c r="F77" s="15">
        <f t="shared" si="4"/>
        <v>51494.1</v>
      </c>
      <c r="G77" s="15"/>
      <c r="H77" s="15"/>
      <c r="I77" s="15"/>
    </row>
    <row r="78" spans="1:13" ht="75" x14ac:dyDescent="0.2">
      <c r="A78" s="44">
        <v>41</v>
      </c>
      <c r="B78" s="884" t="s">
        <v>164</v>
      </c>
      <c r="C78" s="36">
        <v>1</v>
      </c>
      <c r="D78" s="13">
        <v>624</v>
      </c>
      <c r="E78" s="13">
        <v>2150.35</v>
      </c>
      <c r="F78" s="15">
        <f t="shared" si="4"/>
        <v>1341818.3999999999</v>
      </c>
      <c r="G78" s="15"/>
      <c r="H78" s="15"/>
      <c r="I78" s="15"/>
    </row>
    <row r="79" spans="1:13" s="887" customFormat="1" ht="90" x14ac:dyDescent="0.2">
      <c r="A79" s="44">
        <v>43</v>
      </c>
      <c r="B79" s="897" t="s">
        <v>422</v>
      </c>
      <c r="C79" s="12">
        <v>100</v>
      </c>
      <c r="D79" s="13">
        <v>4715</v>
      </c>
      <c r="E79" s="14">
        <v>10003.5</v>
      </c>
      <c r="F79" s="15">
        <f t="shared" si="4"/>
        <v>471665.02500000002</v>
      </c>
      <c r="G79" s="15"/>
      <c r="H79" s="15"/>
      <c r="I79" s="15"/>
      <c r="J79" s="894"/>
    </row>
    <row r="80" spans="1:13" s="887" customFormat="1" ht="75" x14ac:dyDescent="0.2">
      <c r="A80" s="44">
        <v>44</v>
      </c>
      <c r="B80" s="897" t="s">
        <v>423</v>
      </c>
      <c r="C80" s="12">
        <v>100</v>
      </c>
      <c r="D80" s="13">
        <v>2615</v>
      </c>
      <c r="E80" s="14">
        <v>13527.4</v>
      </c>
      <c r="F80" s="15">
        <f t="shared" si="4"/>
        <v>353741.51</v>
      </c>
      <c r="G80" s="15"/>
      <c r="H80" s="15"/>
      <c r="I80" s="15"/>
    </row>
    <row r="81" spans="1:14" s="887" customFormat="1" ht="30" x14ac:dyDescent="0.2">
      <c r="A81" s="44">
        <v>45</v>
      </c>
      <c r="B81" s="897" t="s">
        <v>50</v>
      </c>
      <c r="C81" s="31">
        <v>1</v>
      </c>
      <c r="D81" s="13">
        <v>700</v>
      </c>
      <c r="E81" s="14">
        <v>64.2</v>
      </c>
      <c r="F81" s="15">
        <f t="shared" si="4"/>
        <v>44940</v>
      </c>
      <c r="G81" s="15"/>
      <c r="H81" s="15"/>
      <c r="I81" s="15"/>
    </row>
    <row r="82" spans="1:14" s="887" customFormat="1" ht="75" x14ac:dyDescent="0.2">
      <c r="A82" s="44">
        <v>46</v>
      </c>
      <c r="B82" s="897" t="s">
        <v>392</v>
      </c>
      <c r="C82" s="19"/>
      <c r="D82" s="13">
        <v>0</v>
      </c>
      <c r="E82" s="14"/>
      <c r="F82" s="14"/>
      <c r="G82" s="14"/>
      <c r="H82" s="14"/>
      <c r="I82" s="14"/>
    </row>
    <row r="83" spans="1:14" s="887" customFormat="1" ht="30" x14ac:dyDescent="0.2">
      <c r="A83" s="44" t="s">
        <v>51</v>
      </c>
      <c r="B83" s="897" t="s">
        <v>52</v>
      </c>
      <c r="C83" s="19">
        <v>100</v>
      </c>
      <c r="D83" s="13">
        <v>5230</v>
      </c>
      <c r="E83" s="25">
        <v>4549.95</v>
      </c>
      <c r="F83" s="15">
        <f t="shared" ref="F83:F89" si="5">E83*D83/C83</f>
        <v>237962.38500000001</v>
      </c>
      <c r="G83" s="15"/>
      <c r="H83" s="15"/>
      <c r="I83" s="15"/>
    </row>
    <row r="84" spans="1:14" s="887" customFormat="1" ht="30" x14ac:dyDescent="0.2">
      <c r="A84" s="44" t="s">
        <v>53</v>
      </c>
      <c r="B84" s="897" t="s">
        <v>54</v>
      </c>
      <c r="C84" s="19">
        <v>100</v>
      </c>
      <c r="D84" s="13">
        <v>5230</v>
      </c>
      <c r="E84" s="25">
        <v>2639.45</v>
      </c>
      <c r="F84" s="15">
        <f t="shared" si="5"/>
        <v>138043.23499999999</v>
      </c>
      <c r="G84" s="15"/>
      <c r="H84" s="15"/>
      <c r="I84" s="15"/>
    </row>
    <row r="85" spans="1:14" s="887" customFormat="1" ht="30" x14ac:dyDescent="0.2">
      <c r="A85" s="44" t="s">
        <v>55</v>
      </c>
      <c r="B85" s="897" t="s">
        <v>56</v>
      </c>
      <c r="C85" s="19">
        <v>100</v>
      </c>
      <c r="D85" s="13">
        <v>5230</v>
      </c>
      <c r="E85" s="25">
        <v>1960.75</v>
      </c>
      <c r="F85" s="15">
        <f t="shared" si="5"/>
        <v>102547.22500000001</v>
      </c>
      <c r="G85" s="15"/>
      <c r="H85" s="15"/>
      <c r="I85" s="15"/>
    </row>
    <row r="86" spans="1:14" s="887" customFormat="1" x14ac:dyDescent="0.2">
      <c r="A86" s="120">
        <v>47</v>
      </c>
      <c r="B86" s="905" t="s">
        <v>419</v>
      </c>
      <c r="C86" s="12">
        <v>1000</v>
      </c>
      <c r="D86" s="13">
        <v>123165</v>
      </c>
      <c r="E86" s="25">
        <v>10533.6</v>
      </c>
      <c r="F86" s="15">
        <f t="shared" si="5"/>
        <v>1297370.844</v>
      </c>
      <c r="G86" s="15"/>
      <c r="H86" s="15"/>
      <c r="I86" s="15"/>
    </row>
    <row r="87" spans="1:14" s="887" customFormat="1" x14ac:dyDescent="0.2">
      <c r="A87" s="121">
        <v>48</v>
      </c>
      <c r="B87" s="884" t="s">
        <v>88</v>
      </c>
      <c r="C87" s="19">
        <v>100</v>
      </c>
      <c r="D87" s="13">
        <v>15594.5</v>
      </c>
      <c r="E87" s="25">
        <v>4850.3999999999996</v>
      </c>
      <c r="F87" s="15">
        <f t="shared" si="5"/>
        <v>756395.62800000003</v>
      </c>
      <c r="G87" s="15"/>
      <c r="H87" s="15"/>
      <c r="I87" s="15"/>
    </row>
    <row r="88" spans="1:14" s="887" customFormat="1" x14ac:dyDescent="0.2">
      <c r="A88" s="121">
        <v>49</v>
      </c>
      <c r="B88" s="904" t="s">
        <v>168</v>
      </c>
      <c r="C88" s="12">
        <v>100</v>
      </c>
      <c r="D88" s="13">
        <v>2100</v>
      </c>
      <c r="E88" s="13">
        <v>13527.4</v>
      </c>
      <c r="F88" s="15">
        <f t="shared" si="5"/>
        <v>284075.40000000002</v>
      </c>
      <c r="G88" s="15"/>
      <c r="H88" s="15"/>
      <c r="I88" s="15"/>
    </row>
    <row r="89" spans="1:14" s="887" customFormat="1" ht="75" x14ac:dyDescent="0.2">
      <c r="A89" s="121">
        <v>50</v>
      </c>
      <c r="B89" s="904" t="s">
        <v>169</v>
      </c>
      <c r="C89" s="19">
        <v>100</v>
      </c>
      <c r="D89" s="13">
        <v>2800</v>
      </c>
      <c r="E89" s="40">
        <v>4549.95</v>
      </c>
      <c r="F89" s="15">
        <f t="shared" si="5"/>
        <v>127398.6</v>
      </c>
      <c r="G89" s="15"/>
      <c r="H89" s="15"/>
      <c r="I89" s="15"/>
    </row>
    <row r="90" spans="1:14" s="887" customFormat="1" ht="30" x14ac:dyDescent="0.2">
      <c r="A90" s="121">
        <v>51</v>
      </c>
      <c r="B90" s="904" t="s">
        <v>165</v>
      </c>
      <c r="C90" s="35" t="s">
        <v>166</v>
      </c>
      <c r="D90" s="13">
        <v>304.64</v>
      </c>
      <c r="E90" s="33">
        <v>72</v>
      </c>
      <c r="F90" s="15">
        <f>E90*D90</f>
        <v>21934.079999999998</v>
      </c>
      <c r="G90" s="15"/>
      <c r="H90" s="15"/>
      <c r="I90" s="15"/>
    </row>
    <row r="91" spans="1:14" s="887" customFormat="1" ht="30" x14ac:dyDescent="0.2">
      <c r="A91" s="44">
        <v>52</v>
      </c>
      <c r="B91" s="884" t="s">
        <v>385</v>
      </c>
      <c r="C91" s="12">
        <v>1</v>
      </c>
      <c r="D91" s="13">
        <v>202.95000000000002</v>
      </c>
      <c r="E91" s="25">
        <v>17752.2</v>
      </c>
      <c r="F91" s="15">
        <f t="shared" ref="F91:F96" si="6">E91*D91/C91</f>
        <v>3602808.99</v>
      </c>
      <c r="G91" s="15"/>
      <c r="H91" s="15"/>
      <c r="I91" s="15"/>
    </row>
    <row r="92" spans="1:14" s="887" customFormat="1" x14ac:dyDescent="0.2">
      <c r="A92" s="121">
        <v>53</v>
      </c>
      <c r="B92" s="906" t="s">
        <v>424</v>
      </c>
      <c r="C92" s="29">
        <v>1</v>
      </c>
      <c r="D92" s="13">
        <v>-26974.04</v>
      </c>
      <c r="E92" s="30">
        <v>170</v>
      </c>
      <c r="F92" s="15">
        <f t="shared" si="6"/>
        <v>-4585586.8</v>
      </c>
      <c r="G92" s="15"/>
      <c r="H92" s="15"/>
      <c r="I92" s="15"/>
      <c r="N92" s="877">
        <f>K93-J93</f>
        <v>-323045052.04827404</v>
      </c>
    </row>
    <row r="93" spans="1:14" s="887" customFormat="1" x14ac:dyDescent="0.2">
      <c r="A93" s="121">
        <v>54</v>
      </c>
      <c r="B93" s="906" t="s">
        <v>425</v>
      </c>
      <c r="C93" s="405">
        <v>100</v>
      </c>
      <c r="D93" s="13">
        <v>-1823.07</v>
      </c>
      <c r="E93" s="30">
        <v>4100</v>
      </c>
      <c r="F93" s="15">
        <f t="shared" si="6"/>
        <v>-74745.87</v>
      </c>
      <c r="G93" s="15"/>
      <c r="H93" s="15"/>
      <c r="I93" s="15"/>
      <c r="J93" s="894">
        <f>SUM(F65:F93)</f>
        <v>531606278.04827404</v>
      </c>
      <c r="K93" s="886">
        <v>208561226</v>
      </c>
      <c r="L93" s="877">
        <f>K93-J93</f>
        <v>-323045052.04827404</v>
      </c>
      <c r="N93" s="877">
        <f>N92+O97</f>
        <v>-326079072.54057777</v>
      </c>
    </row>
    <row r="94" spans="1:14" s="887" customFormat="1" x14ac:dyDescent="0.2">
      <c r="A94" s="118">
        <v>55</v>
      </c>
      <c r="B94" s="884" t="s">
        <v>66</v>
      </c>
      <c r="C94" s="12">
        <v>1000</v>
      </c>
      <c r="D94" s="13">
        <v>333466.16890399996</v>
      </c>
      <c r="E94" s="14">
        <v>12038.4</v>
      </c>
      <c r="F94" s="15">
        <f t="shared" si="6"/>
        <v>4014399.1277339128</v>
      </c>
      <c r="G94" s="15"/>
      <c r="H94" s="15"/>
      <c r="I94" s="15"/>
      <c r="J94" s="894"/>
      <c r="L94" s="886">
        <v>36383456.567040272</v>
      </c>
    </row>
    <row r="95" spans="1:14" s="887" customFormat="1" ht="30" x14ac:dyDescent="0.2">
      <c r="A95" s="118">
        <v>56</v>
      </c>
      <c r="B95" s="884" t="s">
        <v>70</v>
      </c>
      <c r="C95" s="12">
        <v>100</v>
      </c>
      <c r="D95" s="13">
        <v>13799.150000000001</v>
      </c>
      <c r="E95" s="25">
        <v>35727</v>
      </c>
      <c r="F95" s="15">
        <f t="shared" si="6"/>
        <v>4930022.3205000004</v>
      </c>
      <c r="G95" s="15"/>
      <c r="H95" s="15"/>
      <c r="I95" s="15"/>
      <c r="J95" s="894"/>
    </row>
    <row r="96" spans="1:14" s="887" customFormat="1" x14ac:dyDescent="0.2">
      <c r="A96" s="44">
        <v>57</v>
      </c>
      <c r="B96" s="907" t="s">
        <v>72</v>
      </c>
      <c r="C96" s="31">
        <v>1</v>
      </c>
      <c r="D96" s="13">
        <v>1670</v>
      </c>
      <c r="E96" s="14">
        <v>1381</v>
      </c>
      <c r="F96" s="15">
        <f t="shared" si="6"/>
        <v>2306270</v>
      </c>
      <c r="G96" s="15"/>
      <c r="H96" s="15"/>
      <c r="I96" s="15"/>
    </row>
    <row r="97" spans="1:15" s="887" customFormat="1" x14ac:dyDescent="0.2">
      <c r="A97" s="117">
        <v>58</v>
      </c>
      <c r="B97" s="884" t="s">
        <v>158</v>
      </c>
      <c r="C97" s="12">
        <v>100</v>
      </c>
      <c r="D97" s="13">
        <v>93240</v>
      </c>
      <c r="E97" s="25">
        <v>3762</v>
      </c>
      <c r="F97" s="15">
        <v>3507688.8</v>
      </c>
      <c r="G97" s="15"/>
      <c r="H97" s="15"/>
      <c r="I97" s="15"/>
      <c r="J97" s="886">
        <v>89611262</v>
      </c>
      <c r="K97" s="894">
        <f>SUM(F97:F111)</f>
        <v>92645282.492303729</v>
      </c>
      <c r="L97" s="877">
        <f>K97-J97</f>
        <v>3034020.4923037291</v>
      </c>
      <c r="O97" s="877">
        <f>J97-K97</f>
        <v>-3034020.4923037291</v>
      </c>
    </row>
    <row r="98" spans="1:15" s="887" customFormat="1" ht="30" x14ac:dyDescent="0.2">
      <c r="A98" s="118">
        <v>59</v>
      </c>
      <c r="B98" s="884" t="s">
        <v>159</v>
      </c>
      <c r="C98" s="12">
        <v>100</v>
      </c>
      <c r="D98" s="13">
        <v>126000</v>
      </c>
      <c r="E98" s="25">
        <v>4743.75</v>
      </c>
      <c r="F98" s="15">
        <f t="shared" ref="F98:F108" si="7">E98*D98/C98</f>
        <v>5977125</v>
      </c>
      <c r="G98" s="15"/>
      <c r="H98" s="15"/>
      <c r="I98" s="15"/>
      <c r="M98" s="877">
        <f>L97+L93</f>
        <v>-320011031.55597031</v>
      </c>
    </row>
    <row r="99" spans="1:15" s="887" customFormat="1" ht="30" x14ac:dyDescent="0.2">
      <c r="A99" s="118">
        <v>60</v>
      </c>
      <c r="B99" s="884" t="s">
        <v>75</v>
      </c>
      <c r="C99" s="12">
        <v>100</v>
      </c>
      <c r="D99" s="13">
        <v>50517.799999999988</v>
      </c>
      <c r="E99" s="25">
        <v>6849</v>
      </c>
      <c r="F99" s="15">
        <f t="shared" si="7"/>
        <v>3459964.1219999995</v>
      </c>
      <c r="G99" s="15"/>
      <c r="H99" s="15"/>
      <c r="I99" s="15"/>
    </row>
    <row r="100" spans="1:15" s="887" customFormat="1" x14ac:dyDescent="0.2">
      <c r="A100" s="44">
        <v>61</v>
      </c>
      <c r="B100" s="883" t="s">
        <v>76</v>
      </c>
      <c r="C100" s="19">
        <v>100</v>
      </c>
      <c r="D100" s="13">
        <v>94646.546860000017</v>
      </c>
      <c r="E100" s="25">
        <v>2265.1</v>
      </c>
      <c r="F100" s="15">
        <f t="shared" si="7"/>
        <v>2143838.9329258604</v>
      </c>
      <c r="G100" s="15"/>
      <c r="H100" s="15"/>
      <c r="I100" s="15"/>
    </row>
    <row r="101" spans="1:15" s="887" customFormat="1" x14ac:dyDescent="0.2">
      <c r="A101" s="44">
        <v>62</v>
      </c>
      <c r="B101" s="883" t="s">
        <v>77</v>
      </c>
      <c r="C101" s="19">
        <v>100</v>
      </c>
      <c r="D101" s="13">
        <v>15600.14</v>
      </c>
      <c r="E101" s="25">
        <v>1660.5</v>
      </c>
      <c r="F101" s="15">
        <f t="shared" si="7"/>
        <v>259040.3247</v>
      </c>
      <c r="G101" s="15"/>
      <c r="H101" s="15"/>
      <c r="I101" s="15"/>
    </row>
    <row r="102" spans="1:15" s="887" customFormat="1" x14ac:dyDescent="0.2">
      <c r="A102" s="118">
        <v>63</v>
      </c>
      <c r="B102" s="884" t="s">
        <v>78</v>
      </c>
      <c r="C102" s="12">
        <v>100</v>
      </c>
      <c r="D102" s="13">
        <v>32048.504830399994</v>
      </c>
      <c r="E102" s="25">
        <v>18564.099999999999</v>
      </c>
      <c r="F102" s="15">
        <f t="shared" si="7"/>
        <v>5949516.4852202842</v>
      </c>
      <c r="G102" s="15"/>
      <c r="H102" s="15"/>
      <c r="I102" s="15"/>
    </row>
    <row r="103" spans="1:15" s="887" customFormat="1" x14ac:dyDescent="0.2">
      <c r="A103" s="118">
        <v>64</v>
      </c>
      <c r="B103" s="884" t="s">
        <v>79</v>
      </c>
      <c r="C103" s="12">
        <v>100</v>
      </c>
      <c r="D103" s="13">
        <v>32048.504830399994</v>
      </c>
      <c r="E103" s="25">
        <v>18564.099999999999</v>
      </c>
      <c r="F103" s="15">
        <f t="shared" si="7"/>
        <v>5949516.4852202842</v>
      </c>
      <c r="G103" s="15"/>
      <c r="H103" s="15"/>
      <c r="I103" s="15"/>
    </row>
    <row r="104" spans="1:15" s="887" customFormat="1" x14ac:dyDescent="0.2">
      <c r="A104" s="118">
        <v>65</v>
      </c>
      <c r="B104" s="884" t="s">
        <v>80</v>
      </c>
      <c r="C104" s="12">
        <v>100</v>
      </c>
      <c r="D104" s="13">
        <v>5305.0890000000009</v>
      </c>
      <c r="E104" s="25">
        <v>18017.599999999999</v>
      </c>
      <c r="F104" s="15">
        <f t="shared" si="7"/>
        <v>955849.71566400002</v>
      </c>
      <c r="G104" s="15"/>
      <c r="H104" s="15"/>
      <c r="I104" s="15"/>
    </row>
    <row r="105" spans="1:15" s="887" customFormat="1" x14ac:dyDescent="0.2">
      <c r="A105" s="118">
        <v>66</v>
      </c>
      <c r="B105" s="884" t="s">
        <v>81</v>
      </c>
      <c r="C105" s="12">
        <v>100</v>
      </c>
      <c r="D105" s="13">
        <v>5305.0890000000009</v>
      </c>
      <c r="E105" s="25">
        <v>18017.599999999999</v>
      </c>
      <c r="F105" s="15">
        <f t="shared" si="7"/>
        <v>955849.71566400002</v>
      </c>
      <c r="G105" s="15"/>
      <c r="H105" s="15"/>
      <c r="I105" s="15"/>
    </row>
    <row r="106" spans="1:15" s="887" customFormat="1" x14ac:dyDescent="0.2">
      <c r="A106" s="118">
        <v>67</v>
      </c>
      <c r="B106" s="884" t="s">
        <v>82</v>
      </c>
      <c r="C106" s="12">
        <v>100</v>
      </c>
      <c r="D106" s="13">
        <v>97109.842880000026</v>
      </c>
      <c r="E106" s="25">
        <v>11511</v>
      </c>
      <c r="F106" s="15">
        <f t="shared" si="7"/>
        <v>11178314.013916802</v>
      </c>
      <c r="G106" s="15"/>
      <c r="H106" s="15"/>
      <c r="I106" s="15"/>
    </row>
    <row r="107" spans="1:15" s="887" customFormat="1" x14ac:dyDescent="0.2">
      <c r="A107" s="118">
        <v>68</v>
      </c>
      <c r="B107" s="884" t="s">
        <v>83</v>
      </c>
      <c r="C107" s="12">
        <v>100</v>
      </c>
      <c r="D107" s="13">
        <v>15372.419999999998</v>
      </c>
      <c r="E107" s="25">
        <v>10570.5</v>
      </c>
      <c r="F107" s="15">
        <f t="shared" si="7"/>
        <v>1624941.6560999998</v>
      </c>
      <c r="G107" s="15"/>
      <c r="H107" s="15"/>
      <c r="I107" s="15"/>
    </row>
    <row r="108" spans="1:15" s="887" customFormat="1" ht="30" x14ac:dyDescent="0.2">
      <c r="A108" s="118">
        <v>69</v>
      </c>
      <c r="B108" s="908" t="s">
        <v>84</v>
      </c>
      <c r="C108" s="12">
        <v>100</v>
      </c>
      <c r="D108" s="13">
        <v>364527.73397300002</v>
      </c>
      <c r="E108" s="25">
        <v>14042.6</v>
      </c>
      <c r="F108" s="15">
        <f t="shared" si="7"/>
        <v>51189171.570892505</v>
      </c>
      <c r="G108" s="15"/>
      <c r="H108" s="15"/>
      <c r="I108" s="15"/>
    </row>
    <row r="109" spans="1:15" s="887" customFormat="1" x14ac:dyDescent="0.2">
      <c r="A109" s="990">
        <v>70</v>
      </c>
      <c r="B109" s="883" t="s">
        <v>334</v>
      </c>
      <c r="C109" s="12"/>
      <c r="D109" s="13">
        <v>0</v>
      </c>
      <c r="E109" s="12"/>
      <c r="F109" s="15" t="s">
        <v>440</v>
      </c>
      <c r="G109" s="15"/>
      <c r="H109" s="15"/>
      <c r="I109" s="15"/>
    </row>
    <row r="110" spans="1:15" s="887" customFormat="1" x14ac:dyDescent="0.2">
      <c r="A110" s="991"/>
      <c r="B110" s="883" t="s">
        <v>337</v>
      </c>
      <c r="C110" s="29">
        <v>1</v>
      </c>
      <c r="D110" s="13">
        <v>2535</v>
      </c>
      <c r="E110" s="25">
        <v>-170</v>
      </c>
      <c r="F110" s="15">
        <f t="shared" ref="F110:F116" si="8">E110*D110/C110</f>
        <v>-430950</v>
      </c>
      <c r="G110" s="15"/>
      <c r="H110" s="15"/>
      <c r="I110" s="15"/>
    </row>
    <row r="111" spans="1:15" s="887" customFormat="1" x14ac:dyDescent="0.2">
      <c r="A111" s="992"/>
      <c r="B111" s="883" t="s">
        <v>335</v>
      </c>
      <c r="C111" s="12">
        <v>100</v>
      </c>
      <c r="D111" s="13">
        <v>1819.13</v>
      </c>
      <c r="E111" s="25">
        <v>-4100</v>
      </c>
      <c r="F111" s="15">
        <f t="shared" si="8"/>
        <v>-74584.33</v>
      </c>
      <c r="G111" s="15"/>
      <c r="H111" s="15"/>
      <c r="I111" s="15"/>
      <c r="J111" s="894">
        <f>SUM(F112:F155)</f>
        <v>55936171.433729991</v>
      </c>
      <c r="K111" s="886">
        <f>1364663*37</f>
        <v>50492531</v>
      </c>
    </row>
    <row r="112" spans="1:15" s="887" customFormat="1" ht="45" x14ac:dyDescent="0.2">
      <c r="A112" s="118">
        <v>71</v>
      </c>
      <c r="B112" s="884" t="s">
        <v>90</v>
      </c>
      <c r="C112" s="12">
        <v>1000</v>
      </c>
      <c r="D112" s="13">
        <v>20161.000607832604</v>
      </c>
      <c r="E112" s="14">
        <v>15824.15</v>
      </c>
      <c r="F112" s="15">
        <f t="shared" si="8"/>
        <v>319030.6977684343</v>
      </c>
      <c r="G112" s="15"/>
      <c r="H112" s="15"/>
      <c r="I112" s="15"/>
      <c r="J112" s="877" t="e">
        <f>#REF!*37</f>
        <v>#REF!</v>
      </c>
      <c r="K112" s="877" t="e">
        <f>D112-J112</f>
        <v>#REF!</v>
      </c>
      <c r="L112" s="894">
        <f>SUM(F112:F155)</f>
        <v>55936171.433729991</v>
      </c>
    </row>
    <row r="113" spans="1:12" s="887" customFormat="1" ht="60" x14ac:dyDescent="0.2">
      <c r="A113" s="118">
        <v>72</v>
      </c>
      <c r="B113" s="908" t="s">
        <v>91</v>
      </c>
      <c r="C113" s="19">
        <v>1</v>
      </c>
      <c r="D113" s="13">
        <v>18814.5</v>
      </c>
      <c r="E113" s="25">
        <v>12.55</v>
      </c>
      <c r="F113" s="15">
        <f t="shared" si="8"/>
        <v>236121.97500000001</v>
      </c>
      <c r="G113" s="15"/>
      <c r="H113" s="15"/>
      <c r="I113" s="15"/>
      <c r="J113" s="877" t="e">
        <f>#REF!*37</f>
        <v>#REF!</v>
      </c>
      <c r="K113" s="877" t="e">
        <f t="shared" ref="K113:K155" si="9">D113-J113</f>
        <v>#REF!</v>
      </c>
    </row>
    <row r="114" spans="1:12" s="887" customFormat="1" ht="45" x14ac:dyDescent="0.2">
      <c r="A114" s="44">
        <v>73</v>
      </c>
      <c r="B114" s="884" t="s">
        <v>93</v>
      </c>
      <c r="C114" s="19">
        <v>100</v>
      </c>
      <c r="D114" s="13">
        <v>13211.49</v>
      </c>
      <c r="E114" s="14">
        <v>7607.35</v>
      </c>
      <c r="F114" s="15">
        <f t="shared" si="8"/>
        <v>1005044.2845149999</v>
      </c>
      <c r="G114" s="15"/>
      <c r="H114" s="15"/>
      <c r="I114" s="15"/>
      <c r="J114" s="877" t="e">
        <f>#REF!*37</f>
        <v>#REF!</v>
      </c>
      <c r="K114" s="877"/>
    </row>
    <row r="115" spans="1:12" s="887" customFormat="1" x14ac:dyDescent="0.2">
      <c r="A115" s="44">
        <v>74</v>
      </c>
      <c r="B115" s="884" t="s">
        <v>94</v>
      </c>
      <c r="C115" s="12">
        <v>1000</v>
      </c>
      <c r="D115" s="13">
        <v>37224.369999999995</v>
      </c>
      <c r="E115" s="14">
        <v>7547.75</v>
      </c>
      <c r="F115" s="15">
        <f t="shared" si="8"/>
        <v>280960.23866749997</v>
      </c>
      <c r="G115" s="15"/>
      <c r="H115" s="15"/>
      <c r="I115" s="15"/>
      <c r="J115" s="877" t="e">
        <f>#REF!*37</f>
        <v>#REF!</v>
      </c>
      <c r="K115" s="877"/>
    </row>
    <row r="116" spans="1:12" s="887" customFormat="1" ht="30" x14ac:dyDescent="0.2">
      <c r="A116" s="44">
        <v>75</v>
      </c>
      <c r="B116" s="884" t="s">
        <v>95</v>
      </c>
      <c r="C116" s="12">
        <v>100</v>
      </c>
      <c r="D116" s="13">
        <v>10763.3</v>
      </c>
      <c r="E116" s="14">
        <v>35830.6</v>
      </c>
      <c r="F116" s="15">
        <f t="shared" si="8"/>
        <v>3856554.9697999996</v>
      </c>
      <c r="G116" s="15"/>
      <c r="H116" s="15"/>
      <c r="I116" s="15"/>
      <c r="J116" s="877" t="e">
        <f>#REF!*37</f>
        <v>#REF!</v>
      </c>
      <c r="K116" s="877" t="e">
        <f t="shared" si="9"/>
        <v>#REF!</v>
      </c>
    </row>
    <row r="117" spans="1:12" s="887" customFormat="1" ht="75.75" x14ac:dyDescent="0.2">
      <c r="A117" s="44">
        <v>76</v>
      </c>
      <c r="B117" s="884" t="s">
        <v>41</v>
      </c>
      <c r="C117" s="20"/>
      <c r="D117" s="13">
        <v>0</v>
      </c>
      <c r="E117" s="13">
        <f>SUM(D117:D117)</f>
        <v>0</v>
      </c>
      <c r="F117" s="13">
        <f>SUM(D117:E117)</f>
        <v>0</v>
      </c>
      <c r="G117" s="13"/>
      <c r="H117" s="13"/>
      <c r="I117" s="13"/>
      <c r="J117" s="877" t="e">
        <f>#REF!*37</f>
        <v>#REF!</v>
      </c>
      <c r="K117" s="877" t="e">
        <f t="shared" si="9"/>
        <v>#REF!</v>
      </c>
    </row>
    <row r="118" spans="1:12" s="887" customFormat="1" ht="60" x14ac:dyDescent="0.2">
      <c r="A118" s="44" t="s">
        <v>42</v>
      </c>
      <c r="B118" s="884" t="s">
        <v>96</v>
      </c>
      <c r="C118" s="12">
        <v>1</v>
      </c>
      <c r="D118" s="13">
        <v>5704.1345999999994</v>
      </c>
      <c r="E118" s="14">
        <v>741.85</v>
      </c>
      <c r="F118" s="15">
        <f t="shared" ref="F118:F134" si="10">E118*D118/C118</f>
        <v>4231612.2530100001</v>
      </c>
      <c r="G118" s="15"/>
      <c r="H118" s="15"/>
      <c r="I118" s="15"/>
      <c r="J118" s="877" t="e">
        <f>#REF!*37</f>
        <v>#REF!</v>
      </c>
      <c r="K118" s="877" t="e">
        <f t="shared" si="9"/>
        <v>#REF!</v>
      </c>
    </row>
    <row r="119" spans="1:12" s="887" customFormat="1" ht="60" x14ac:dyDescent="0.2">
      <c r="A119" s="44" t="s">
        <v>44</v>
      </c>
      <c r="B119" s="884" t="s">
        <v>97</v>
      </c>
      <c r="C119" s="12">
        <v>1</v>
      </c>
      <c r="D119" s="13">
        <v>681.08906249999995</v>
      </c>
      <c r="E119" s="14">
        <v>595</v>
      </c>
      <c r="F119" s="15">
        <f t="shared" si="10"/>
        <v>405247.9921875</v>
      </c>
      <c r="G119" s="15"/>
      <c r="H119" s="15"/>
      <c r="I119" s="15"/>
      <c r="J119" s="877" t="e">
        <f>#REF!*37</f>
        <v>#REF!</v>
      </c>
      <c r="K119" s="877" t="e">
        <f t="shared" si="9"/>
        <v>#REF!</v>
      </c>
    </row>
    <row r="120" spans="1:12" s="887" customFormat="1" ht="120" x14ac:dyDescent="0.2">
      <c r="A120" s="44">
        <v>77</v>
      </c>
      <c r="B120" s="884" t="s">
        <v>99</v>
      </c>
      <c r="C120" s="19">
        <v>1</v>
      </c>
      <c r="D120" s="13">
        <v>1184</v>
      </c>
      <c r="E120" s="14">
        <v>2180.6999999999998</v>
      </c>
      <c r="F120" s="15">
        <f t="shared" si="10"/>
        <v>2581948.7999999998</v>
      </c>
      <c r="G120" s="15"/>
      <c r="H120" s="15"/>
      <c r="I120" s="15"/>
      <c r="J120" s="877" t="e">
        <f>#REF!*37</f>
        <v>#REF!</v>
      </c>
      <c r="K120" s="877" t="e">
        <f t="shared" si="9"/>
        <v>#REF!</v>
      </c>
    </row>
    <row r="121" spans="1:12" s="887" customFormat="1" ht="45" x14ac:dyDescent="0.2">
      <c r="A121" s="44">
        <v>78</v>
      </c>
      <c r="B121" s="884" t="s">
        <v>100</v>
      </c>
      <c r="C121" s="19">
        <v>1</v>
      </c>
      <c r="D121" s="13">
        <v>5302</v>
      </c>
      <c r="E121" s="14">
        <v>457.1</v>
      </c>
      <c r="F121" s="15">
        <f t="shared" si="10"/>
        <v>2423544.2000000002</v>
      </c>
      <c r="G121" s="15"/>
      <c r="H121" s="15"/>
      <c r="I121" s="15"/>
      <c r="J121" s="877" t="e">
        <f>#REF!*37</f>
        <v>#REF!</v>
      </c>
      <c r="K121" s="877"/>
    </row>
    <row r="122" spans="1:12" s="887" customFormat="1" ht="30" x14ac:dyDescent="0.2">
      <c r="A122" s="44">
        <v>79</v>
      </c>
      <c r="B122" s="884" t="s">
        <v>101</v>
      </c>
      <c r="C122" s="19">
        <v>1</v>
      </c>
      <c r="D122" s="13">
        <v>1813</v>
      </c>
      <c r="E122" s="14">
        <v>2767</v>
      </c>
      <c r="F122" s="15">
        <f t="shared" si="10"/>
        <v>5016571</v>
      </c>
      <c r="G122" s="15"/>
      <c r="H122" s="15"/>
      <c r="I122" s="15"/>
      <c r="J122" s="877" t="e">
        <f>#REF!*37</f>
        <v>#REF!</v>
      </c>
      <c r="K122" s="877" t="e">
        <f t="shared" si="9"/>
        <v>#REF!</v>
      </c>
    </row>
    <row r="123" spans="1:12" s="887" customFormat="1" ht="45" x14ac:dyDescent="0.2">
      <c r="A123" s="44">
        <v>80</v>
      </c>
      <c r="B123" s="884" t="s">
        <v>102</v>
      </c>
      <c r="C123" s="19">
        <v>100</v>
      </c>
      <c r="D123" s="13">
        <v>3535.8125</v>
      </c>
      <c r="E123" s="14">
        <v>13179.6</v>
      </c>
      <c r="F123" s="15">
        <f t="shared" si="10"/>
        <v>466005.94425000006</v>
      </c>
      <c r="G123" s="15"/>
      <c r="H123" s="15"/>
      <c r="I123" s="15"/>
      <c r="J123" s="877" t="e">
        <f>#REF!*37</f>
        <v>#REF!</v>
      </c>
      <c r="K123" s="877" t="e">
        <f t="shared" si="9"/>
        <v>#REF!</v>
      </c>
    </row>
    <row r="124" spans="1:12" s="887" customFormat="1" x14ac:dyDescent="0.2">
      <c r="A124" s="44">
        <v>81</v>
      </c>
      <c r="B124" s="884" t="s">
        <v>103</v>
      </c>
      <c r="C124" s="19">
        <v>1</v>
      </c>
      <c r="D124" s="13">
        <v>43350.188849999999</v>
      </c>
      <c r="E124" s="14">
        <v>11</v>
      </c>
      <c r="F124" s="15">
        <f t="shared" si="10"/>
        <v>476852.07734999998</v>
      </c>
      <c r="G124" s="15"/>
      <c r="H124" s="15"/>
      <c r="I124" s="15"/>
      <c r="J124" s="877" t="e">
        <f>#REF!*37</f>
        <v>#REF!</v>
      </c>
      <c r="K124" s="877"/>
    </row>
    <row r="125" spans="1:12" s="887" customFormat="1" x14ac:dyDescent="0.2">
      <c r="A125" s="44">
        <v>82</v>
      </c>
      <c r="B125" s="884" t="s">
        <v>104</v>
      </c>
      <c r="C125" s="12">
        <v>100</v>
      </c>
      <c r="D125" s="13">
        <v>8934.8274999999994</v>
      </c>
      <c r="E125" s="25">
        <v>3987</v>
      </c>
      <c r="F125" s="15">
        <f t="shared" si="10"/>
        <v>356231.57242500002</v>
      </c>
      <c r="G125" s="15"/>
      <c r="H125" s="15"/>
      <c r="I125" s="15"/>
      <c r="J125" s="877" t="e">
        <f>#REF!*37</f>
        <v>#REF!</v>
      </c>
      <c r="K125" s="877"/>
    </row>
    <row r="126" spans="1:12" s="887" customFormat="1" ht="30" x14ac:dyDescent="0.2">
      <c r="A126" s="44">
        <v>83</v>
      </c>
      <c r="B126" s="884" t="s">
        <v>105</v>
      </c>
      <c r="C126" s="12">
        <v>100</v>
      </c>
      <c r="D126" s="13">
        <v>10919.7875</v>
      </c>
      <c r="E126" s="25">
        <v>12801.2</v>
      </c>
      <c r="F126" s="15">
        <f t="shared" si="10"/>
        <v>1397863.83745</v>
      </c>
      <c r="G126" s="15"/>
      <c r="H126" s="15"/>
      <c r="I126" s="15"/>
      <c r="J126" s="877" t="e">
        <f>#REF!*37</f>
        <v>#REF!</v>
      </c>
      <c r="K126" s="877"/>
    </row>
    <row r="127" spans="1:12" s="887" customFormat="1" x14ac:dyDescent="0.2">
      <c r="A127" s="44">
        <v>84</v>
      </c>
      <c r="B127" s="884" t="s">
        <v>108</v>
      </c>
      <c r="C127" s="19">
        <v>100</v>
      </c>
      <c r="D127" s="13">
        <v>140437.41625000001</v>
      </c>
      <c r="E127" s="25">
        <v>4614.1000000000004</v>
      </c>
      <c r="F127" s="15">
        <f t="shared" si="10"/>
        <v>6479922.8231912507</v>
      </c>
      <c r="G127" s="15"/>
      <c r="H127" s="15"/>
      <c r="I127" s="15"/>
      <c r="J127" s="877" t="e">
        <f>#REF!*37</f>
        <v>#REF!</v>
      </c>
      <c r="K127" s="877" t="e">
        <f t="shared" si="9"/>
        <v>#REF!</v>
      </c>
      <c r="L127" s="894"/>
    </row>
    <row r="128" spans="1:12" s="887" customFormat="1" ht="30" x14ac:dyDescent="0.2">
      <c r="A128" s="44">
        <v>85</v>
      </c>
      <c r="B128" s="884" t="s">
        <v>109</v>
      </c>
      <c r="C128" s="19">
        <v>100</v>
      </c>
      <c r="D128" s="13">
        <v>4237.2400000000007</v>
      </c>
      <c r="E128" s="25">
        <v>5264.65</v>
      </c>
      <c r="F128" s="15">
        <f t="shared" si="10"/>
        <v>223075.85566000003</v>
      </c>
      <c r="G128" s="15"/>
      <c r="H128" s="15"/>
      <c r="I128" s="15"/>
      <c r="J128" s="877" t="e">
        <f>#REF!*37</f>
        <v>#REF!</v>
      </c>
      <c r="K128" s="877" t="e">
        <f t="shared" si="9"/>
        <v>#REF!</v>
      </c>
    </row>
    <row r="129" spans="1:12" s="887" customFormat="1" ht="45" x14ac:dyDescent="0.2">
      <c r="A129" s="44">
        <v>86</v>
      </c>
      <c r="B129" s="884" t="s">
        <v>110</v>
      </c>
      <c r="C129" s="19">
        <v>100</v>
      </c>
      <c r="D129" s="13">
        <v>83405.59</v>
      </c>
      <c r="E129" s="25">
        <v>5012.6499999999996</v>
      </c>
      <c r="F129" s="15">
        <f t="shared" si="10"/>
        <v>4180830.3071349994</v>
      </c>
      <c r="G129" s="15"/>
      <c r="H129" s="15"/>
      <c r="I129" s="15"/>
      <c r="J129" s="877" t="e">
        <f>#REF!*37</f>
        <v>#REF!</v>
      </c>
      <c r="K129" s="877" t="e">
        <f t="shared" si="9"/>
        <v>#REF!</v>
      </c>
      <c r="L129" s="894"/>
    </row>
    <row r="130" spans="1:12" s="887" customFormat="1" x14ac:dyDescent="0.2">
      <c r="A130" s="44">
        <v>87</v>
      </c>
      <c r="B130" s="884" t="s">
        <v>112</v>
      </c>
      <c r="C130" s="37">
        <v>1</v>
      </c>
      <c r="D130" s="13">
        <v>658</v>
      </c>
      <c r="E130" s="25">
        <v>849.7</v>
      </c>
      <c r="F130" s="15">
        <f t="shared" si="10"/>
        <v>559102.6</v>
      </c>
      <c r="G130" s="15"/>
      <c r="H130" s="15"/>
      <c r="I130" s="15"/>
      <c r="J130" s="877" t="e">
        <f>#REF!*37</f>
        <v>#REF!</v>
      </c>
      <c r="K130" s="877" t="e">
        <f t="shared" si="9"/>
        <v>#REF!</v>
      </c>
      <c r="L130" s="894"/>
    </row>
    <row r="131" spans="1:12" s="887" customFormat="1" x14ac:dyDescent="0.2">
      <c r="A131" s="44">
        <v>88</v>
      </c>
      <c r="B131" s="884" t="s">
        <v>113</v>
      </c>
      <c r="C131" s="37">
        <v>1</v>
      </c>
      <c r="D131" s="13">
        <v>154</v>
      </c>
      <c r="E131" s="25">
        <v>1159.6500000000001</v>
      </c>
      <c r="F131" s="15">
        <f t="shared" si="10"/>
        <v>178586.1</v>
      </c>
      <c r="G131" s="15"/>
      <c r="H131" s="15"/>
      <c r="I131" s="15"/>
      <c r="J131" s="877" t="e">
        <f>#REF!*37</f>
        <v>#REF!</v>
      </c>
      <c r="K131" s="877" t="e">
        <f t="shared" si="9"/>
        <v>#REF!</v>
      </c>
      <c r="L131" s="894"/>
    </row>
    <row r="132" spans="1:12" s="887" customFormat="1" x14ac:dyDescent="0.2">
      <c r="A132" s="44">
        <v>89</v>
      </c>
      <c r="B132" s="884" t="s">
        <v>114</v>
      </c>
      <c r="C132" s="19">
        <v>100</v>
      </c>
      <c r="D132" s="13">
        <v>118808.22750000001</v>
      </c>
      <c r="E132" s="25">
        <v>1548.2</v>
      </c>
      <c r="F132" s="15">
        <f t="shared" si="10"/>
        <v>1839388.9781550001</v>
      </c>
      <c r="G132" s="15"/>
      <c r="H132" s="15"/>
      <c r="I132" s="15"/>
      <c r="J132" s="877" t="e">
        <f>#REF!*37</f>
        <v>#REF!</v>
      </c>
      <c r="K132" s="877" t="e">
        <f t="shared" si="9"/>
        <v>#REF!</v>
      </c>
      <c r="L132" s="894"/>
    </row>
    <row r="133" spans="1:12" s="887" customFormat="1" x14ac:dyDescent="0.2">
      <c r="A133" s="44">
        <v>90</v>
      </c>
      <c r="B133" s="884" t="s">
        <v>116</v>
      </c>
      <c r="C133" s="19">
        <v>100</v>
      </c>
      <c r="D133" s="13">
        <v>12309</v>
      </c>
      <c r="E133" s="25">
        <v>3052.4</v>
      </c>
      <c r="F133" s="15">
        <f t="shared" si="10"/>
        <v>375719.91600000003</v>
      </c>
      <c r="G133" s="15"/>
      <c r="H133" s="15"/>
      <c r="I133" s="15"/>
      <c r="J133" s="877" t="e">
        <f>#REF!*37</f>
        <v>#REF!</v>
      </c>
      <c r="K133" s="877" t="e">
        <f t="shared" si="9"/>
        <v>#REF!</v>
      </c>
      <c r="L133" s="894"/>
    </row>
    <row r="134" spans="1:12" s="887" customFormat="1" ht="45" x14ac:dyDescent="0.2">
      <c r="A134" s="44">
        <v>91</v>
      </c>
      <c r="B134" s="876" t="s">
        <v>117</v>
      </c>
      <c r="C134" s="29">
        <v>100</v>
      </c>
      <c r="D134" s="13">
        <v>12393.472738818833</v>
      </c>
      <c r="E134" s="14">
        <v>37098.85</v>
      </c>
      <c r="F134" s="15">
        <f t="shared" si="10"/>
        <v>4597835.8611652907</v>
      </c>
      <c r="G134" s="15"/>
      <c r="H134" s="15"/>
      <c r="I134" s="15"/>
      <c r="J134" s="877" t="e">
        <f>#REF!*37</f>
        <v>#REF!</v>
      </c>
      <c r="K134" s="877" t="e">
        <f t="shared" si="9"/>
        <v>#REF!</v>
      </c>
    </row>
    <row r="135" spans="1:12" s="887" customFormat="1" ht="30" x14ac:dyDescent="0.2">
      <c r="A135" s="987">
        <v>92</v>
      </c>
      <c r="B135" s="884" t="s">
        <v>118</v>
      </c>
      <c r="C135" s="20"/>
      <c r="D135" s="13">
        <v>0</v>
      </c>
      <c r="E135" s="20"/>
      <c r="F135" s="20"/>
      <c r="G135" s="20"/>
      <c r="H135" s="20"/>
      <c r="I135" s="20"/>
      <c r="J135" s="877" t="e">
        <f>#REF!*37</f>
        <v>#REF!</v>
      </c>
      <c r="K135" s="877" t="e">
        <f t="shared" si="9"/>
        <v>#REF!</v>
      </c>
    </row>
    <row r="136" spans="1:12" s="887" customFormat="1" x14ac:dyDescent="0.2">
      <c r="A136" s="988"/>
      <c r="B136" s="884" t="s">
        <v>148</v>
      </c>
      <c r="C136" s="36">
        <v>1</v>
      </c>
      <c r="D136" s="13">
        <v>12520</v>
      </c>
      <c r="E136" s="25">
        <v>112.25</v>
      </c>
      <c r="F136" s="15">
        <f>E136*D136/C136</f>
        <v>1405370</v>
      </c>
      <c r="G136" s="15"/>
      <c r="H136" s="15"/>
      <c r="I136" s="15"/>
      <c r="J136" s="877" t="e">
        <f>#REF!*37</f>
        <v>#REF!</v>
      </c>
      <c r="K136" s="877" t="e">
        <f t="shared" si="9"/>
        <v>#REF!</v>
      </c>
      <c r="L136" s="894"/>
    </row>
    <row r="137" spans="1:12" s="887" customFormat="1" x14ac:dyDescent="0.2">
      <c r="A137" s="988"/>
      <c r="B137" s="884" t="s">
        <v>149</v>
      </c>
      <c r="C137" s="36">
        <v>1</v>
      </c>
      <c r="D137" s="13">
        <v>6560</v>
      </c>
      <c r="E137" s="25">
        <v>133.6</v>
      </c>
      <c r="F137" s="15">
        <f>E137*D137/C137</f>
        <v>876416</v>
      </c>
      <c r="G137" s="15"/>
      <c r="H137" s="15"/>
      <c r="I137" s="15"/>
      <c r="J137" s="877" t="e">
        <f>#REF!*37</f>
        <v>#REF!</v>
      </c>
      <c r="K137" s="877" t="e">
        <f t="shared" si="9"/>
        <v>#REF!</v>
      </c>
      <c r="L137" s="894"/>
    </row>
    <row r="138" spans="1:12" s="887" customFormat="1" x14ac:dyDescent="0.2">
      <c r="A138" s="989"/>
      <c r="B138" s="884" t="s">
        <v>471</v>
      </c>
      <c r="C138" s="36">
        <v>1</v>
      </c>
      <c r="D138" s="13">
        <v>555</v>
      </c>
      <c r="E138" s="25">
        <v>231.55</v>
      </c>
      <c r="F138" s="15">
        <f>E138*D138/C138</f>
        <v>128510.25</v>
      </c>
      <c r="G138" s="15"/>
      <c r="H138" s="15"/>
      <c r="I138" s="15"/>
      <c r="J138" s="877" t="e">
        <f>#REF!*37</f>
        <v>#REF!</v>
      </c>
      <c r="K138" s="877" t="e">
        <f t="shared" si="9"/>
        <v>#REF!</v>
      </c>
    </row>
    <row r="139" spans="1:12" s="887" customFormat="1" ht="60" x14ac:dyDescent="0.2">
      <c r="A139" s="987">
        <v>93</v>
      </c>
      <c r="B139" s="884" t="s">
        <v>123</v>
      </c>
      <c r="C139" s="20"/>
      <c r="D139" s="13">
        <v>0</v>
      </c>
      <c r="E139" s="20"/>
      <c r="F139" s="20"/>
      <c r="G139" s="20"/>
      <c r="H139" s="20"/>
      <c r="I139" s="20"/>
      <c r="J139" s="877" t="e">
        <f>#REF!*37</f>
        <v>#REF!</v>
      </c>
      <c r="K139" s="877" t="e">
        <f t="shared" si="9"/>
        <v>#REF!</v>
      </c>
    </row>
    <row r="140" spans="1:12" s="887" customFormat="1" x14ac:dyDescent="0.2">
      <c r="A140" s="988"/>
      <c r="B140" s="884" t="s">
        <v>150</v>
      </c>
      <c r="C140" s="36">
        <v>1</v>
      </c>
      <c r="D140" s="13">
        <v>36960</v>
      </c>
      <c r="E140" s="25">
        <v>35.700000000000003</v>
      </c>
      <c r="F140" s="15">
        <f>E140*D140/C140</f>
        <v>1319472</v>
      </c>
      <c r="G140" s="15"/>
      <c r="H140" s="15"/>
      <c r="I140" s="15"/>
      <c r="J140" s="877" t="e">
        <f>#REF!*37</f>
        <v>#REF!</v>
      </c>
      <c r="K140" s="877" t="e">
        <f t="shared" si="9"/>
        <v>#REF!</v>
      </c>
      <c r="L140" s="894"/>
    </row>
    <row r="141" spans="1:12" s="887" customFormat="1" x14ac:dyDescent="0.2">
      <c r="A141" s="989"/>
      <c r="B141" s="884" t="s">
        <v>151</v>
      </c>
      <c r="C141" s="36">
        <v>1</v>
      </c>
      <c r="D141" s="13">
        <v>13020</v>
      </c>
      <c r="E141" s="25">
        <v>56.3</v>
      </c>
      <c r="F141" s="15">
        <f>E141*D141/C141</f>
        <v>733026</v>
      </c>
      <c r="G141" s="15"/>
      <c r="H141" s="15"/>
      <c r="I141" s="15"/>
      <c r="J141" s="877" t="e">
        <f>#REF!*37</f>
        <v>#REF!</v>
      </c>
      <c r="K141" s="877" t="e">
        <f t="shared" si="9"/>
        <v>#REF!</v>
      </c>
      <c r="L141" s="894"/>
    </row>
    <row r="142" spans="1:12" s="887" customFormat="1" ht="45" x14ac:dyDescent="0.2">
      <c r="A142" s="44">
        <v>94</v>
      </c>
      <c r="B142" s="884" t="s">
        <v>126</v>
      </c>
      <c r="C142" s="36">
        <v>1</v>
      </c>
      <c r="D142" s="13">
        <v>19680</v>
      </c>
      <c r="E142" s="25">
        <v>237.65</v>
      </c>
      <c r="F142" s="15">
        <f>E142*D142/C142</f>
        <v>4676952</v>
      </c>
      <c r="G142" s="15"/>
      <c r="H142" s="15"/>
      <c r="I142" s="15"/>
      <c r="J142" s="877" t="e">
        <f>#REF!*37</f>
        <v>#REF!</v>
      </c>
      <c r="K142" s="877" t="e">
        <f t="shared" si="9"/>
        <v>#REF!</v>
      </c>
      <c r="L142" s="894"/>
    </row>
    <row r="143" spans="1:12" s="887" customFormat="1" ht="30" x14ac:dyDescent="0.2">
      <c r="A143" s="987">
        <v>95</v>
      </c>
      <c r="B143" s="884" t="s">
        <v>127</v>
      </c>
      <c r="C143" s="20"/>
      <c r="D143" s="13">
        <v>0</v>
      </c>
      <c r="E143" s="20"/>
      <c r="F143" s="20"/>
      <c r="G143" s="20"/>
      <c r="H143" s="20"/>
      <c r="I143" s="20"/>
      <c r="J143" s="877" t="e">
        <f>#REF!*37</f>
        <v>#REF!</v>
      </c>
      <c r="K143" s="877" t="e">
        <f t="shared" si="9"/>
        <v>#REF!</v>
      </c>
    </row>
    <row r="144" spans="1:12" s="887" customFormat="1" x14ac:dyDescent="0.2">
      <c r="A144" s="988"/>
      <c r="B144" s="884" t="s">
        <v>152</v>
      </c>
      <c r="C144" s="38">
        <v>1</v>
      </c>
      <c r="D144" s="13">
        <v>219</v>
      </c>
      <c r="E144" s="25">
        <v>382.3</v>
      </c>
      <c r="F144" s="15">
        <f t="shared" ref="F144:F174" si="11">E144*D144/C144</f>
        <v>83723.7</v>
      </c>
      <c r="G144" s="15"/>
      <c r="H144" s="15"/>
      <c r="I144" s="15"/>
      <c r="J144" s="877" t="e">
        <f>#REF!*37</f>
        <v>#REF!</v>
      </c>
      <c r="K144" s="877" t="e">
        <f t="shared" si="9"/>
        <v>#REF!</v>
      </c>
      <c r="L144" s="894"/>
    </row>
    <row r="145" spans="1:12" s="887" customFormat="1" x14ac:dyDescent="0.2">
      <c r="A145" s="988"/>
      <c r="B145" s="884" t="s">
        <v>153</v>
      </c>
      <c r="C145" s="38">
        <v>1</v>
      </c>
      <c r="D145" s="13">
        <v>432</v>
      </c>
      <c r="E145" s="25">
        <v>522.75</v>
      </c>
      <c r="F145" s="15">
        <f t="shared" si="11"/>
        <v>225828</v>
      </c>
      <c r="G145" s="15"/>
      <c r="H145" s="15"/>
      <c r="I145" s="15"/>
      <c r="J145" s="877" t="e">
        <f>#REF!*37</f>
        <v>#REF!</v>
      </c>
      <c r="K145" s="877" t="e">
        <f t="shared" si="9"/>
        <v>#REF!</v>
      </c>
      <c r="L145" s="894"/>
    </row>
    <row r="146" spans="1:12" s="887" customFormat="1" x14ac:dyDescent="0.2">
      <c r="A146" s="989"/>
      <c r="B146" s="884" t="s">
        <v>154</v>
      </c>
      <c r="C146" s="38">
        <v>1</v>
      </c>
      <c r="D146" s="13">
        <v>128</v>
      </c>
      <c r="E146" s="25">
        <v>668.8</v>
      </c>
      <c r="F146" s="15">
        <f t="shared" si="11"/>
        <v>85606.399999999994</v>
      </c>
      <c r="G146" s="15"/>
      <c r="H146" s="15"/>
      <c r="I146" s="15"/>
      <c r="J146" s="877" t="e">
        <f>#REF!*37</f>
        <v>#REF!</v>
      </c>
      <c r="K146" s="877" t="e">
        <f t="shared" si="9"/>
        <v>#REF!</v>
      </c>
      <c r="L146" s="894"/>
    </row>
    <row r="147" spans="1:12" s="887" customFormat="1" ht="30" x14ac:dyDescent="0.2">
      <c r="A147" s="44">
        <v>96</v>
      </c>
      <c r="B147" s="884" t="s">
        <v>131</v>
      </c>
      <c r="C147" s="38">
        <v>1</v>
      </c>
      <c r="D147" s="13">
        <v>4100</v>
      </c>
      <c r="E147" s="25">
        <v>102.7</v>
      </c>
      <c r="F147" s="15">
        <f t="shared" si="11"/>
        <v>421070</v>
      </c>
      <c r="G147" s="15"/>
      <c r="H147" s="15"/>
      <c r="I147" s="15"/>
      <c r="J147" s="877" t="e">
        <f>#REF!*37</f>
        <v>#REF!</v>
      </c>
      <c r="K147" s="877" t="e">
        <f t="shared" si="9"/>
        <v>#REF!</v>
      </c>
    </row>
    <row r="148" spans="1:12" s="887" customFormat="1" x14ac:dyDescent="0.2">
      <c r="A148" s="44">
        <v>97</v>
      </c>
      <c r="B148" s="884" t="s">
        <v>132</v>
      </c>
      <c r="C148" s="38">
        <v>1</v>
      </c>
      <c r="D148" s="13">
        <v>744</v>
      </c>
      <c r="E148" s="25">
        <v>96.3</v>
      </c>
      <c r="F148" s="15">
        <f t="shared" si="11"/>
        <v>71647.199999999997</v>
      </c>
      <c r="G148" s="15"/>
      <c r="H148" s="15"/>
      <c r="I148" s="15"/>
      <c r="J148" s="877" t="e">
        <f>#REF!*37</f>
        <v>#REF!</v>
      </c>
      <c r="K148" s="877" t="e">
        <f t="shared" si="9"/>
        <v>#REF!</v>
      </c>
      <c r="L148" s="894"/>
    </row>
    <row r="149" spans="1:12" s="887" customFormat="1" ht="30" x14ac:dyDescent="0.2">
      <c r="A149" s="44">
        <v>98</v>
      </c>
      <c r="B149" s="884" t="s">
        <v>134</v>
      </c>
      <c r="C149" s="38">
        <v>1</v>
      </c>
      <c r="D149" s="13">
        <v>37</v>
      </c>
      <c r="E149" s="25">
        <v>213.1</v>
      </c>
      <c r="F149" s="15">
        <f t="shared" si="11"/>
        <v>7884.7</v>
      </c>
      <c r="G149" s="15"/>
      <c r="H149" s="15"/>
      <c r="I149" s="15"/>
      <c r="J149" s="877" t="e">
        <f>#REF!*37</f>
        <v>#REF!</v>
      </c>
      <c r="K149" s="877" t="e">
        <f t="shared" si="9"/>
        <v>#REF!</v>
      </c>
    </row>
    <row r="150" spans="1:12" s="887" customFormat="1" ht="105" x14ac:dyDescent="0.2">
      <c r="A150" s="44">
        <v>99</v>
      </c>
      <c r="B150" s="884" t="s">
        <v>135</v>
      </c>
      <c r="C150" s="37">
        <v>1</v>
      </c>
      <c r="D150" s="13">
        <v>37</v>
      </c>
      <c r="E150" s="25">
        <v>24422.65</v>
      </c>
      <c r="F150" s="15">
        <f t="shared" si="11"/>
        <v>903638.05</v>
      </c>
      <c r="G150" s="15"/>
      <c r="H150" s="15"/>
      <c r="I150" s="15"/>
      <c r="J150" s="877" t="e">
        <f>#REF!*37</f>
        <v>#REF!</v>
      </c>
      <c r="K150" s="877" t="e">
        <f t="shared" si="9"/>
        <v>#REF!</v>
      </c>
    </row>
    <row r="151" spans="1:12" s="887" customFormat="1" ht="60" x14ac:dyDescent="0.2">
      <c r="A151" s="44">
        <v>100</v>
      </c>
      <c r="B151" s="884" t="s">
        <v>136</v>
      </c>
      <c r="C151" s="37">
        <v>1</v>
      </c>
      <c r="D151" s="13">
        <v>222</v>
      </c>
      <c r="E151" s="25">
        <v>1453.75</v>
      </c>
      <c r="F151" s="15">
        <f t="shared" si="11"/>
        <v>322732.5</v>
      </c>
      <c r="G151" s="15"/>
      <c r="H151" s="15"/>
      <c r="I151" s="15"/>
      <c r="J151" s="877" t="e">
        <f>#REF!*37</f>
        <v>#REF!</v>
      </c>
      <c r="K151" s="877" t="e">
        <f t="shared" si="9"/>
        <v>#REF!</v>
      </c>
    </row>
    <row r="152" spans="1:12" ht="90" x14ac:dyDescent="0.2">
      <c r="A152" s="44">
        <v>101</v>
      </c>
      <c r="B152" s="884" t="s">
        <v>137</v>
      </c>
      <c r="C152" s="37">
        <v>1</v>
      </c>
      <c r="D152" s="13">
        <v>74</v>
      </c>
      <c r="E152" s="25">
        <v>13796.3</v>
      </c>
      <c r="F152" s="15">
        <f t="shared" si="11"/>
        <v>1020926.2</v>
      </c>
      <c r="G152" s="15"/>
      <c r="H152" s="15"/>
      <c r="I152" s="15"/>
      <c r="J152" s="877" t="e">
        <f>#REF!*37</f>
        <v>#REF!</v>
      </c>
      <c r="K152" s="877" t="e">
        <f t="shared" si="9"/>
        <v>#REF!</v>
      </c>
    </row>
    <row r="153" spans="1:12" ht="90" x14ac:dyDescent="0.2">
      <c r="A153" s="44">
        <v>102</v>
      </c>
      <c r="B153" s="884" t="s">
        <v>138</v>
      </c>
      <c r="C153" s="37">
        <v>1</v>
      </c>
      <c r="D153" s="13">
        <v>37</v>
      </c>
      <c r="E153" s="25">
        <v>19859.400000000001</v>
      </c>
      <c r="F153" s="15">
        <f t="shared" si="11"/>
        <v>734797.8</v>
      </c>
      <c r="G153" s="15"/>
      <c r="H153" s="15"/>
      <c r="I153" s="15"/>
      <c r="J153" s="877" t="e">
        <f>#REF!*37</f>
        <v>#REF!</v>
      </c>
      <c r="K153" s="877" t="e">
        <f t="shared" si="9"/>
        <v>#REF!</v>
      </c>
    </row>
    <row r="154" spans="1:12" ht="45" x14ac:dyDescent="0.2">
      <c r="A154" s="44">
        <v>103</v>
      </c>
      <c r="B154" s="884" t="s">
        <v>139</v>
      </c>
      <c r="C154" s="37">
        <v>1</v>
      </c>
      <c r="D154" s="13">
        <v>707</v>
      </c>
      <c r="E154" s="25">
        <v>1995.3</v>
      </c>
      <c r="F154" s="15">
        <f t="shared" si="11"/>
        <v>1410677.0999999999</v>
      </c>
      <c r="G154" s="15"/>
      <c r="H154" s="15"/>
      <c r="I154" s="15"/>
      <c r="J154" s="877" t="e">
        <f>#REF!*37</f>
        <v>#REF!</v>
      </c>
      <c r="K154" s="877" t="e">
        <f t="shared" si="9"/>
        <v>#REF!</v>
      </c>
      <c r="L154" s="882"/>
    </row>
    <row r="155" spans="1:12" x14ac:dyDescent="0.2">
      <c r="A155" s="44">
        <v>104</v>
      </c>
      <c r="B155" s="884" t="s">
        <v>140</v>
      </c>
      <c r="C155" s="37">
        <v>1</v>
      </c>
      <c r="D155" s="13">
        <v>111</v>
      </c>
      <c r="E155" s="25">
        <v>178.75</v>
      </c>
      <c r="F155" s="15">
        <f t="shared" si="11"/>
        <v>19841.25</v>
      </c>
      <c r="G155" s="15"/>
      <c r="H155" s="15"/>
      <c r="I155" s="15"/>
      <c r="J155" s="877" t="e">
        <f>#REF!*37</f>
        <v>#REF!</v>
      </c>
      <c r="K155" s="877" t="e">
        <f t="shared" si="9"/>
        <v>#REF!</v>
      </c>
    </row>
    <row r="156" spans="1:12" s="887" customFormat="1" ht="45" x14ac:dyDescent="0.2">
      <c r="A156" s="44">
        <v>105</v>
      </c>
      <c r="B156" s="884" t="s">
        <v>171</v>
      </c>
      <c r="C156" s="19">
        <v>100</v>
      </c>
      <c r="D156" s="13">
        <v>5447.5326000000005</v>
      </c>
      <c r="E156" s="14">
        <v>13179.6</v>
      </c>
      <c r="F156" s="15">
        <f t="shared" si="11"/>
        <v>717963.00654960005</v>
      </c>
      <c r="G156" s="15"/>
      <c r="H156" s="15"/>
      <c r="I156" s="15"/>
    </row>
    <row r="157" spans="1:12" s="887" customFormat="1" ht="105" x14ac:dyDescent="0.2">
      <c r="A157" s="44">
        <v>106</v>
      </c>
      <c r="B157" s="884" t="s">
        <v>172</v>
      </c>
      <c r="C157" s="22">
        <v>1</v>
      </c>
      <c r="D157" s="13">
        <v>1983.6000000000001</v>
      </c>
      <c r="E157" s="14">
        <v>2180.6999999999998</v>
      </c>
      <c r="F157" s="15">
        <f t="shared" si="11"/>
        <v>4325636.5199999996</v>
      </c>
      <c r="G157" s="15"/>
      <c r="H157" s="15"/>
      <c r="I157" s="15"/>
    </row>
    <row r="158" spans="1:12" s="887" customFormat="1" ht="30" x14ac:dyDescent="0.2">
      <c r="A158" s="44">
        <v>107</v>
      </c>
      <c r="B158" s="884" t="s">
        <v>173</v>
      </c>
      <c r="C158" s="19">
        <v>1</v>
      </c>
      <c r="D158" s="13">
        <v>908</v>
      </c>
      <c r="E158" s="14">
        <v>2767</v>
      </c>
      <c r="F158" s="15">
        <f t="shared" si="11"/>
        <v>2512436</v>
      </c>
      <c r="G158" s="15"/>
      <c r="H158" s="15"/>
      <c r="I158" s="15"/>
    </row>
    <row r="159" spans="1:12" s="887" customFormat="1" x14ac:dyDescent="0.2">
      <c r="A159" s="44">
        <v>108</v>
      </c>
      <c r="B159" s="884" t="s">
        <v>174</v>
      </c>
      <c r="C159" s="19">
        <v>100</v>
      </c>
      <c r="D159" s="13">
        <v>19399.646999999997</v>
      </c>
      <c r="E159" s="25">
        <v>1212.3499999999999</v>
      </c>
      <c r="F159" s="15">
        <f t="shared" si="11"/>
        <v>235191.62040449996</v>
      </c>
      <c r="G159" s="15"/>
      <c r="H159" s="15"/>
      <c r="I159" s="15"/>
    </row>
    <row r="160" spans="1:12" s="887" customFormat="1" ht="30" x14ac:dyDescent="0.2">
      <c r="A160" s="44">
        <v>109</v>
      </c>
      <c r="B160" s="884" t="s">
        <v>175</v>
      </c>
      <c r="C160" s="37">
        <v>1</v>
      </c>
      <c r="D160" s="13">
        <v>369</v>
      </c>
      <c r="E160" s="25">
        <v>680.75</v>
      </c>
      <c r="F160" s="15">
        <f t="shared" si="11"/>
        <v>251196.75</v>
      </c>
      <c r="G160" s="15"/>
      <c r="H160" s="15"/>
      <c r="I160" s="15"/>
    </row>
    <row r="161" spans="1:12" s="887" customFormat="1" ht="45" x14ac:dyDescent="0.2">
      <c r="A161" s="44">
        <v>110</v>
      </c>
      <c r="B161" s="884" t="s">
        <v>190</v>
      </c>
      <c r="C161" s="36">
        <v>1</v>
      </c>
      <c r="D161" s="13">
        <v>111.86</v>
      </c>
      <c r="E161" s="25">
        <v>1125.2</v>
      </c>
      <c r="F161" s="15">
        <f t="shared" si="11"/>
        <v>125864.872</v>
      </c>
      <c r="G161" s="15"/>
      <c r="H161" s="15"/>
      <c r="I161" s="15"/>
    </row>
    <row r="162" spans="1:12" s="887" customFormat="1" x14ac:dyDescent="0.2">
      <c r="A162" s="44">
        <v>111</v>
      </c>
      <c r="B162" s="884" t="s">
        <v>176</v>
      </c>
      <c r="C162" s="19">
        <v>1</v>
      </c>
      <c r="D162" s="13">
        <v>2800</v>
      </c>
      <c r="E162" s="25">
        <v>603</v>
      </c>
      <c r="F162" s="15">
        <f t="shared" si="11"/>
        <v>1688400</v>
      </c>
      <c r="G162" s="15"/>
      <c r="H162" s="15"/>
      <c r="I162" s="15"/>
    </row>
    <row r="163" spans="1:12" s="887" customFormat="1" ht="45" x14ac:dyDescent="0.2">
      <c r="A163" s="44">
        <v>112</v>
      </c>
      <c r="B163" s="884" t="s">
        <v>177</v>
      </c>
      <c r="C163" s="19">
        <v>1</v>
      </c>
      <c r="D163" s="13">
        <v>9477.0586000000003</v>
      </c>
      <c r="E163" s="25">
        <v>205.4</v>
      </c>
      <c r="F163" s="15">
        <f t="shared" si="11"/>
        <v>1946587.8364400002</v>
      </c>
      <c r="G163" s="15"/>
      <c r="H163" s="15"/>
      <c r="I163" s="15"/>
    </row>
    <row r="164" spans="1:12" s="887" customFormat="1" x14ac:dyDescent="0.2">
      <c r="A164" s="44">
        <v>113</v>
      </c>
      <c r="B164" s="884" t="s">
        <v>178</v>
      </c>
      <c r="C164" s="12">
        <v>100</v>
      </c>
      <c r="D164" s="13">
        <v>2287.9699999999998</v>
      </c>
      <c r="E164" s="25">
        <v>18017.599999999999</v>
      </c>
      <c r="F164" s="15">
        <f t="shared" si="11"/>
        <v>412237.2827199999</v>
      </c>
      <c r="G164" s="15"/>
      <c r="H164" s="15"/>
      <c r="I164" s="15"/>
    </row>
    <row r="165" spans="1:12" s="887" customFormat="1" ht="60" x14ac:dyDescent="0.2">
      <c r="A165" s="44">
        <v>114</v>
      </c>
      <c r="B165" s="884" t="s">
        <v>179</v>
      </c>
      <c r="C165" s="19">
        <v>100</v>
      </c>
      <c r="D165" s="13">
        <v>5447.5326000000005</v>
      </c>
      <c r="E165" s="25">
        <v>29658.5</v>
      </c>
      <c r="F165" s="15">
        <f t="shared" si="11"/>
        <v>1615656.4561709999</v>
      </c>
      <c r="G165" s="15"/>
      <c r="H165" s="15"/>
      <c r="I165" s="15"/>
    </row>
    <row r="166" spans="1:12" s="887" customFormat="1" ht="60" x14ac:dyDescent="0.2">
      <c r="A166" s="44">
        <v>115</v>
      </c>
      <c r="B166" s="884" t="s">
        <v>180</v>
      </c>
      <c r="C166" s="19">
        <v>100</v>
      </c>
      <c r="D166" s="13">
        <v>385.13000000000005</v>
      </c>
      <c r="E166" s="25">
        <v>19146.849999999999</v>
      </c>
      <c r="F166" s="15">
        <f t="shared" si="11"/>
        <v>73740.263405000005</v>
      </c>
      <c r="G166" s="15"/>
      <c r="H166" s="15"/>
      <c r="I166" s="15"/>
    </row>
    <row r="167" spans="1:12" s="887" customFormat="1" ht="30" x14ac:dyDescent="0.2">
      <c r="A167" s="44">
        <v>116</v>
      </c>
      <c r="B167" s="884" t="s">
        <v>181</v>
      </c>
      <c r="C167" s="36">
        <v>1</v>
      </c>
      <c r="D167" s="13">
        <v>2922.31</v>
      </c>
      <c r="E167" s="25">
        <v>39.6</v>
      </c>
      <c r="F167" s="15">
        <f t="shared" si="11"/>
        <v>115723.476</v>
      </c>
      <c r="G167" s="15"/>
      <c r="H167" s="15"/>
      <c r="I167" s="15"/>
    </row>
    <row r="168" spans="1:12" s="887" customFormat="1" x14ac:dyDescent="0.2">
      <c r="A168" s="44">
        <v>117</v>
      </c>
      <c r="B168" s="884" t="s">
        <v>183</v>
      </c>
      <c r="C168" s="38">
        <v>1</v>
      </c>
      <c r="D168" s="13">
        <v>596</v>
      </c>
      <c r="E168" s="25">
        <v>178.75</v>
      </c>
      <c r="F168" s="15">
        <f t="shared" si="11"/>
        <v>106535</v>
      </c>
      <c r="G168" s="15"/>
      <c r="H168" s="15"/>
      <c r="I168" s="15"/>
      <c r="L168" s="894"/>
    </row>
    <row r="169" spans="1:12" s="887" customFormat="1" ht="60.75" x14ac:dyDescent="0.2">
      <c r="A169" s="44">
        <v>118</v>
      </c>
      <c r="B169" s="884" t="s">
        <v>184</v>
      </c>
      <c r="C169" s="37">
        <v>1</v>
      </c>
      <c r="D169" s="13">
        <v>5</v>
      </c>
      <c r="E169" s="25">
        <v>5616.25</v>
      </c>
      <c r="F169" s="15">
        <f t="shared" si="11"/>
        <v>28081.25</v>
      </c>
      <c r="G169" s="15"/>
      <c r="H169" s="15"/>
      <c r="I169" s="15"/>
    </row>
    <row r="170" spans="1:12" s="887" customFormat="1" ht="60.75" x14ac:dyDescent="0.2">
      <c r="A170" s="44">
        <v>119</v>
      </c>
      <c r="B170" s="884" t="s">
        <v>185</v>
      </c>
      <c r="C170" s="37">
        <v>1</v>
      </c>
      <c r="D170" s="13">
        <v>29</v>
      </c>
      <c r="E170" s="25">
        <v>1453.75</v>
      </c>
      <c r="F170" s="15">
        <f t="shared" si="11"/>
        <v>42158.75</v>
      </c>
      <c r="G170" s="15"/>
      <c r="H170" s="15"/>
      <c r="I170" s="15"/>
    </row>
    <row r="171" spans="1:12" s="887" customFormat="1" ht="45" x14ac:dyDescent="0.2">
      <c r="A171" s="44">
        <v>120</v>
      </c>
      <c r="B171" s="884" t="s">
        <v>186</v>
      </c>
      <c r="C171" s="38">
        <v>1</v>
      </c>
      <c r="D171" s="13">
        <v>34</v>
      </c>
      <c r="E171" s="25">
        <v>11398.45</v>
      </c>
      <c r="F171" s="15">
        <f t="shared" si="11"/>
        <v>387547.30000000005</v>
      </c>
      <c r="G171" s="15"/>
      <c r="H171" s="15"/>
      <c r="I171" s="15"/>
    </row>
    <row r="172" spans="1:12" s="887" customFormat="1" x14ac:dyDescent="0.2">
      <c r="A172" s="120">
        <v>121</v>
      </c>
      <c r="B172" s="905" t="s">
        <v>58</v>
      </c>
      <c r="C172" s="12">
        <v>1000</v>
      </c>
      <c r="D172" s="13">
        <v>58871.790000000008</v>
      </c>
      <c r="E172" s="25">
        <v>10533.6</v>
      </c>
      <c r="F172" s="15">
        <f t="shared" si="11"/>
        <v>620131.88714400004</v>
      </c>
      <c r="G172" s="15"/>
      <c r="H172" s="15"/>
      <c r="I172" s="15"/>
    </row>
    <row r="173" spans="1:12" s="887" customFormat="1" ht="30" x14ac:dyDescent="0.2">
      <c r="A173" s="120">
        <v>122</v>
      </c>
      <c r="B173" s="905" t="s">
        <v>194</v>
      </c>
      <c r="C173" s="12">
        <v>1000</v>
      </c>
      <c r="D173" s="13">
        <v>58871.790000000008</v>
      </c>
      <c r="E173" s="25">
        <v>1437.5</v>
      </c>
      <c r="F173" s="15">
        <f t="shared" si="11"/>
        <v>84628.19812500001</v>
      </c>
      <c r="G173" s="15"/>
      <c r="H173" s="15"/>
      <c r="I173" s="15"/>
    </row>
    <row r="174" spans="1:12" s="887" customFormat="1" ht="30" x14ac:dyDescent="0.2">
      <c r="A174" s="993">
        <v>123</v>
      </c>
      <c r="B174" s="905" t="s">
        <v>195</v>
      </c>
      <c r="C174" s="12">
        <v>1000</v>
      </c>
      <c r="D174" s="13">
        <v>14550.010000000002</v>
      </c>
      <c r="E174" s="25">
        <v>5033.7</v>
      </c>
      <c r="F174" s="15">
        <f t="shared" si="11"/>
        <v>73240.385337000014</v>
      </c>
      <c r="G174" s="15"/>
      <c r="H174" s="15"/>
      <c r="I174" s="15"/>
    </row>
    <row r="175" spans="1:12" s="887" customFormat="1" x14ac:dyDescent="0.2">
      <c r="A175" s="994"/>
      <c r="B175" s="905" t="s">
        <v>196</v>
      </c>
      <c r="C175" s="43"/>
      <c r="D175" s="13">
        <v>0</v>
      </c>
      <c r="E175" s="43"/>
      <c r="F175" s="43"/>
      <c r="G175" s="43"/>
      <c r="H175" s="43"/>
      <c r="I175" s="43"/>
    </row>
    <row r="176" spans="1:12" s="887" customFormat="1" x14ac:dyDescent="0.2">
      <c r="A176" s="994"/>
      <c r="B176" s="905" t="s">
        <v>197</v>
      </c>
      <c r="C176" s="19">
        <v>100</v>
      </c>
      <c r="D176" s="13">
        <v>2500</v>
      </c>
      <c r="E176" s="14">
        <v>6512.05</v>
      </c>
      <c r="F176" s="15">
        <f>E176*D176/C176</f>
        <v>162801.25</v>
      </c>
      <c r="G176" s="15"/>
      <c r="H176" s="15"/>
      <c r="I176" s="15"/>
    </row>
    <row r="177" spans="1:12" s="887" customFormat="1" x14ac:dyDescent="0.2">
      <c r="A177" s="995"/>
      <c r="B177" s="905" t="s">
        <v>198</v>
      </c>
      <c r="C177" s="19">
        <v>100</v>
      </c>
      <c r="D177" s="13">
        <v>3876</v>
      </c>
      <c r="E177" s="14">
        <v>7363.45</v>
      </c>
      <c r="F177" s="15">
        <f>E177*D177/C177</f>
        <v>285407.32199999999</v>
      </c>
      <c r="G177" s="15"/>
      <c r="H177" s="15"/>
      <c r="I177" s="15"/>
    </row>
    <row r="178" spans="1:12" s="887" customFormat="1" x14ac:dyDescent="0.2">
      <c r="A178" s="993">
        <v>124</v>
      </c>
      <c r="B178" s="905" t="s">
        <v>199</v>
      </c>
      <c r="C178" s="43"/>
      <c r="D178" s="13">
        <v>0</v>
      </c>
      <c r="E178" s="43"/>
      <c r="F178" s="43"/>
      <c r="G178" s="43"/>
      <c r="H178" s="43"/>
      <c r="I178" s="43"/>
    </row>
    <row r="179" spans="1:12" s="887" customFormat="1" x14ac:dyDescent="0.2">
      <c r="A179" s="994"/>
      <c r="B179" s="905" t="s">
        <v>200</v>
      </c>
      <c r="C179" s="12">
        <v>100</v>
      </c>
      <c r="D179" s="13">
        <v>856.25</v>
      </c>
      <c r="E179" s="13">
        <v>49016.9</v>
      </c>
      <c r="F179" s="15">
        <f>E179*D179/C179</f>
        <v>419707.20624999999</v>
      </c>
      <c r="G179" s="15"/>
      <c r="H179" s="15"/>
      <c r="I179" s="15"/>
    </row>
    <row r="180" spans="1:12" s="887" customFormat="1" x14ac:dyDescent="0.2">
      <c r="A180" s="995"/>
      <c r="B180" s="905" t="s">
        <v>201</v>
      </c>
      <c r="C180" s="12">
        <v>100</v>
      </c>
      <c r="D180" s="13">
        <v>1327.53</v>
      </c>
      <c r="E180" s="13">
        <v>51301.8</v>
      </c>
      <c r="F180" s="15">
        <f>E180*D180/C180</f>
        <v>681046.78554000007</v>
      </c>
      <c r="G180" s="15"/>
      <c r="H180" s="15"/>
      <c r="I180" s="15"/>
    </row>
    <row r="181" spans="1:12" s="887" customFormat="1" x14ac:dyDescent="0.2">
      <c r="A181" s="120">
        <v>125</v>
      </c>
      <c r="B181" s="905" t="s">
        <v>202</v>
      </c>
      <c r="C181" s="36">
        <v>1</v>
      </c>
      <c r="D181" s="13">
        <v>637.6</v>
      </c>
      <c r="E181" s="14">
        <v>17.3</v>
      </c>
      <c r="F181" s="15">
        <f>E181*D181/C181</f>
        <v>11030.480000000001</v>
      </c>
      <c r="G181" s="15"/>
      <c r="H181" s="15"/>
      <c r="I181" s="15"/>
    </row>
    <row r="182" spans="1:12" s="887" customFormat="1" x14ac:dyDescent="0.2">
      <c r="A182" s="120">
        <v>126</v>
      </c>
      <c r="B182" s="905" t="s">
        <v>203</v>
      </c>
      <c r="C182" s="19">
        <v>100</v>
      </c>
      <c r="D182" s="13">
        <v>318.8</v>
      </c>
      <c r="E182" s="25">
        <v>1539.8</v>
      </c>
      <c r="F182" s="15">
        <f>E182*D182/C182</f>
        <v>4908.8823999999995</v>
      </c>
      <c r="G182" s="15"/>
      <c r="H182" s="15"/>
      <c r="I182" s="15"/>
    </row>
    <row r="183" spans="1:12" s="887" customFormat="1" ht="45.75" x14ac:dyDescent="0.2">
      <c r="A183" s="118">
        <v>127</v>
      </c>
      <c r="B183" s="884" t="s">
        <v>204</v>
      </c>
      <c r="C183" s="12">
        <v>1000</v>
      </c>
      <c r="D183" s="13">
        <v>46483.393100000008</v>
      </c>
      <c r="E183" s="14">
        <v>15824.15</v>
      </c>
      <c r="F183" s="15">
        <f>E183*D183/C183</f>
        <v>735560.18492336513</v>
      </c>
      <c r="G183" s="15"/>
      <c r="H183" s="15"/>
      <c r="I183" s="15"/>
      <c r="J183" s="894">
        <f>SUM(F183:F185)</f>
        <v>1507963.2006953652</v>
      </c>
      <c r="K183" s="887">
        <v>31715324</v>
      </c>
      <c r="L183" s="877">
        <f>K183-J183</f>
        <v>30207360.799304634</v>
      </c>
    </row>
    <row r="184" spans="1:12" s="887" customFormat="1" ht="75" x14ac:dyDescent="0.2">
      <c r="A184" s="44">
        <v>128</v>
      </c>
      <c r="B184" s="884" t="s">
        <v>85</v>
      </c>
      <c r="C184" s="20"/>
      <c r="D184" s="13">
        <v>0</v>
      </c>
      <c r="E184" s="20"/>
      <c r="F184" s="20"/>
      <c r="G184" s="20"/>
      <c r="H184" s="20"/>
      <c r="I184" s="20"/>
    </row>
    <row r="185" spans="1:12" s="887" customFormat="1" x14ac:dyDescent="0.2">
      <c r="A185" s="44">
        <v>129</v>
      </c>
      <c r="B185" s="883" t="s">
        <v>206</v>
      </c>
      <c r="C185" s="12">
        <v>100</v>
      </c>
      <c r="D185" s="13">
        <v>11277.602800000002</v>
      </c>
      <c r="E185" s="25">
        <v>6849</v>
      </c>
      <c r="F185" s="15">
        <f t="shared" ref="F185:F195" si="12">E185*D185/C185</f>
        <v>772403.01577200007</v>
      </c>
      <c r="G185" s="15"/>
      <c r="H185" s="15"/>
      <c r="I185" s="15"/>
    </row>
    <row r="186" spans="1:12" ht="45.75" x14ac:dyDescent="0.2">
      <c r="A186" s="118">
        <v>130</v>
      </c>
      <c r="B186" s="884" t="s">
        <v>301</v>
      </c>
      <c r="C186" s="12">
        <v>1000</v>
      </c>
      <c r="D186" s="13">
        <v>72531.663749999992</v>
      </c>
      <c r="E186" s="14">
        <v>15824.15</v>
      </c>
      <c r="F186" s="15">
        <f t="shared" si="12"/>
        <v>1147751.9269295624</v>
      </c>
      <c r="G186" s="15"/>
      <c r="H186" s="15"/>
      <c r="I186" s="15"/>
      <c r="J186" s="882">
        <f>SUM(F186:F222)</f>
        <v>80212234.679585844</v>
      </c>
    </row>
    <row r="187" spans="1:12" x14ac:dyDescent="0.2">
      <c r="A187" s="118">
        <v>131</v>
      </c>
      <c r="B187" s="884" t="s">
        <v>302</v>
      </c>
      <c r="C187" s="19">
        <v>1</v>
      </c>
      <c r="D187" s="13">
        <v>88776.1875</v>
      </c>
      <c r="E187" s="25">
        <v>12.55</v>
      </c>
      <c r="F187" s="15">
        <f t="shared" si="12"/>
        <v>1114141.153125</v>
      </c>
      <c r="G187" s="15"/>
      <c r="H187" s="15"/>
      <c r="I187" s="15"/>
    </row>
    <row r="188" spans="1:12" ht="30" x14ac:dyDescent="0.2">
      <c r="A188" s="44">
        <v>132</v>
      </c>
      <c r="B188" s="884" t="s">
        <v>303</v>
      </c>
      <c r="C188" s="12">
        <v>100</v>
      </c>
      <c r="D188" s="13">
        <v>47794.11</v>
      </c>
      <c r="E188" s="14">
        <v>35830.6</v>
      </c>
      <c r="F188" s="15">
        <f t="shared" si="12"/>
        <v>17124916.377659999</v>
      </c>
      <c r="G188" s="15"/>
      <c r="H188" s="15"/>
      <c r="I188" s="15"/>
    </row>
    <row r="189" spans="1:12" s="887" customFormat="1" ht="135.75" x14ac:dyDescent="0.2">
      <c r="A189" s="122">
        <v>133</v>
      </c>
      <c r="B189" s="884" t="s">
        <v>304</v>
      </c>
      <c r="C189" s="12">
        <v>1</v>
      </c>
      <c r="D189" s="13">
        <v>21724.43</v>
      </c>
      <c r="E189" s="14">
        <v>741.85</v>
      </c>
      <c r="F189" s="15">
        <f t="shared" si="12"/>
        <v>16116268.395500001</v>
      </c>
      <c r="G189" s="15"/>
      <c r="H189" s="15"/>
      <c r="I189" s="15"/>
    </row>
    <row r="190" spans="1:12" s="887" customFormat="1" ht="120" x14ac:dyDescent="0.2">
      <c r="A190" s="44">
        <v>134</v>
      </c>
      <c r="B190" s="884" t="s">
        <v>99</v>
      </c>
      <c r="C190" s="19">
        <v>1</v>
      </c>
      <c r="D190" s="13">
        <v>3276</v>
      </c>
      <c r="E190" s="14">
        <v>2180.6999999999998</v>
      </c>
      <c r="F190" s="15">
        <f t="shared" si="12"/>
        <v>7143973.1999999993</v>
      </c>
      <c r="G190" s="15"/>
      <c r="H190" s="15"/>
      <c r="I190" s="15"/>
    </row>
    <row r="191" spans="1:12" s="887" customFormat="1" ht="60" x14ac:dyDescent="0.2">
      <c r="A191" s="44">
        <v>135</v>
      </c>
      <c r="B191" s="884" t="s">
        <v>305</v>
      </c>
      <c r="C191" s="19">
        <v>1</v>
      </c>
      <c r="D191" s="13">
        <v>3822</v>
      </c>
      <c r="E191" s="14">
        <v>638.85</v>
      </c>
      <c r="F191" s="15">
        <f t="shared" si="12"/>
        <v>2441684.7000000002</v>
      </c>
      <c r="G191" s="15"/>
      <c r="H191" s="15"/>
      <c r="I191" s="15"/>
    </row>
    <row r="192" spans="1:12" s="887" customFormat="1" ht="45" x14ac:dyDescent="0.2">
      <c r="A192" s="118">
        <v>136</v>
      </c>
      <c r="B192" s="884" t="s">
        <v>102</v>
      </c>
      <c r="C192" s="19">
        <v>100</v>
      </c>
      <c r="D192" s="13">
        <v>33854.84375</v>
      </c>
      <c r="E192" s="14">
        <v>13179.6</v>
      </c>
      <c r="F192" s="15">
        <f t="shared" si="12"/>
        <v>4461932.9868750004</v>
      </c>
      <c r="G192" s="15"/>
      <c r="H192" s="15"/>
      <c r="I192" s="15"/>
    </row>
    <row r="193" spans="1:9" s="887" customFormat="1" ht="60" x14ac:dyDescent="0.2">
      <c r="A193" s="118">
        <v>137</v>
      </c>
      <c r="B193" s="884" t="s">
        <v>179</v>
      </c>
      <c r="C193" s="19">
        <v>100</v>
      </c>
      <c r="D193" s="13">
        <v>22325.37125</v>
      </c>
      <c r="E193" s="25">
        <v>29658.5</v>
      </c>
      <c r="F193" s="15">
        <f t="shared" si="12"/>
        <v>6621370.2321812501</v>
      </c>
      <c r="G193" s="15"/>
      <c r="H193" s="15"/>
      <c r="I193" s="15"/>
    </row>
    <row r="194" spans="1:9" s="887" customFormat="1" ht="45" x14ac:dyDescent="0.2">
      <c r="A194" s="118">
        <v>138</v>
      </c>
      <c r="B194" s="884" t="s">
        <v>500</v>
      </c>
      <c r="C194" s="19">
        <v>100</v>
      </c>
      <c r="D194" s="13">
        <v>14054.039999999999</v>
      </c>
      <c r="E194" s="25">
        <v>19146.849999999999</v>
      </c>
      <c r="F194" s="15">
        <f t="shared" si="12"/>
        <v>2690905.95774</v>
      </c>
      <c r="G194" s="15"/>
      <c r="H194" s="15"/>
      <c r="I194" s="15"/>
    </row>
    <row r="195" spans="1:9" s="887" customFormat="1" ht="30" x14ac:dyDescent="0.2">
      <c r="A195" s="118">
        <v>139</v>
      </c>
      <c r="B195" s="884" t="s">
        <v>501</v>
      </c>
      <c r="C195" s="36">
        <v>1</v>
      </c>
      <c r="D195" s="13">
        <v>22750</v>
      </c>
      <c r="E195" s="25">
        <v>39.6</v>
      </c>
      <c r="F195" s="15">
        <f t="shared" si="12"/>
        <v>900900</v>
      </c>
      <c r="G195" s="15"/>
      <c r="H195" s="15"/>
      <c r="I195" s="15"/>
    </row>
    <row r="196" spans="1:9" s="887" customFormat="1" ht="30" x14ac:dyDescent="0.2">
      <c r="A196" s="44">
        <v>140</v>
      </c>
      <c r="B196" s="876" t="s">
        <v>106</v>
      </c>
      <c r="C196" s="20"/>
      <c r="D196" s="13">
        <v>0</v>
      </c>
      <c r="E196" s="20"/>
      <c r="F196" s="20"/>
      <c r="G196" s="20"/>
      <c r="H196" s="20"/>
      <c r="I196" s="20"/>
    </row>
    <row r="197" spans="1:9" s="887" customFormat="1" x14ac:dyDescent="0.2">
      <c r="A197" s="44">
        <v>141</v>
      </c>
      <c r="B197" s="884" t="s">
        <v>162</v>
      </c>
      <c r="C197" s="19">
        <v>100</v>
      </c>
      <c r="D197" s="13">
        <v>21116.55</v>
      </c>
      <c r="E197" s="25">
        <v>5264.65</v>
      </c>
      <c r="F197" s="15">
        <f t="shared" ref="F197:F203" si="13">E197*D197/C197</f>
        <v>1111712.449575</v>
      </c>
      <c r="G197" s="15"/>
      <c r="H197" s="15"/>
      <c r="I197" s="15"/>
    </row>
    <row r="198" spans="1:9" s="887" customFormat="1" x14ac:dyDescent="0.2">
      <c r="A198" s="44">
        <v>142</v>
      </c>
      <c r="B198" s="884" t="s">
        <v>306</v>
      </c>
      <c r="C198" s="37">
        <v>1</v>
      </c>
      <c r="D198" s="13">
        <v>182</v>
      </c>
      <c r="E198" s="25">
        <v>656.85</v>
      </c>
      <c r="F198" s="15">
        <f t="shared" si="13"/>
        <v>119546.7</v>
      </c>
      <c r="G198" s="15"/>
      <c r="H198" s="15"/>
      <c r="I198" s="15"/>
    </row>
    <row r="199" spans="1:9" s="887" customFormat="1" ht="30" x14ac:dyDescent="0.2">
      <c r="A199" s="44">
        <v>143</v>
      </c>
      <c r="B199" s="884" t="s">
        <v>308</v>
      </c>
      <c r="C199" s="38">
        <v>1</v>
      </c>
      <c r="D199" s="13">
        <v>91</v>
      </c>
      <c r="E199" s="25">
        <v>4105.05</v>
      </c>
      <c r="F199" s="15">
        <f t="shared" si="13"/>
        <v>373559.55</v>
      </c>
      <c r="G199" s="15"/>
      <c r="H199" s="15"/>
      <c r="I199" s="15"/>
    </row>
    <row r="200" spans="1:9" s="887" customFormat="1" ht="30" x14ac:dyDescent="0.2">
      <c r="A200" s="44">
        <v>144</v>
      </c>
      <c r="B200" s="884" t="s">
        <v>309</v>
      </c>
      <c r="C200" s="38">
        <v>1</v>
      </c>
      <c r="D200" s="13">
        <v>273</v>
      </c>
      <c r="E200" s="25">
        <v>463.15</v>
      </c>
      <c r="F200" s="15">
        <f t="shared" si="13"/>
        <v>126439.95</v>
      </c>
      <c r="G200" s="15"/>
      <c r="H200" s="15"/>
      <c r="I200" s="15"/>
    </row>
    <row r="201" spans="1:9" s="887" customFormat="1" x14ac:dyDescent="0.2">
      <c r="A201" s="44">
        <v>145</v>
      </c>
      <c r="B201" s="884" t="s">
        <v>310</v>
      </c>
      <c r="C201" s="38">
        <v>1</v>
      </c>
      <c r="D201" s="13">
        <v>364</v>
      </c>
      <c r="E201" s="25">
        <v>1639.2</v>
      </c>
      <c r="F201" s="15">
        <f t="shared" si="13"/>
        <v>596668.80000000005</v>
      </c>
      <c r="G201" s="15"/>
      <c r="H201" s="15"/>
      <c r="I201" s="15"/>
    </row>
    <row r="202" spans="1:9" s="887" customFormat="1" ht="30" x14ac:dyDescent="0.2">
      <c r="A202" s="44">
        <v>146</v>
      </c>
      <c r="B202" s="884" t="s">
        <v>311</v>
      </c>
      <c r="C202" s="38">
        <v>1</v>
      </c>
      <c r="D202" s="13">
        <v>91</v>
      </c>
      <c r="E202" s="25">
        <v>8069.2</v>
      </c>
      <c r="F202" s="15">
        <f t="shared" si="13"/>
        <v>734297.2</v>
      </c>
      <c r="G202" s="15"/>
      <c r="H202" s="15"/>
      <c r="I202" s="15"/>
    </row>
    <row r="203" spans="1:9" s="887" customFormat="1" x14ac:dyDescent="0.2">
      <c r="A203" s="44">
        <v>147</v>
      </c>
      <c r="B203" s="884" t="s">
        <v>312</v>
      </c>
      <c r="C203" s="37">
        <v>1</v>
      </c>
      <c r="D203" s="13">
        <v>364</v>
      </c>
      <c r="E203" s="25">
        <v>2374.25</v>
      </c>
      <c r="F203" s="15">
        <f t="shared" si="13"/>
        <v>864227</v>
      </c>
      <c r="G203" s="15"/>
      <c r="H203" s="15"/>
      <c r="I203" s="15"/>
    </row>
    <row r="204" spans="1:9" s="887" customFormat="1" ht="90" x14ac:dyDescent="0.2">
      <c r="A204" s="44">
        <v>148</v>
      </c>
      <c r="B204" s="884" t="s">
        <v>313</v>
      </c>
      <c r="C204" s="20"/>
      <c r="D204" s="13">
        <v>0</v>
      </c>
      <c r="E204" s="20"/>
      <c r="F204" s="20"/>
      <c r="G204" s="20"/>
      <c r="H204" s="20"/>
      <c r="I204" s="20"/>
    </row>
    <row r="205" spans="1:9" s="887" customFormat="1" x14ac:dyDescent="0.2">
      <c r="A205" s="44" t="s">
        <v>60</v>
      </c>
      <c r="B205" s="884" t="s">
        <v>314</v>
      </c>
      <c r="C205" s="36">
        <v>1</v>
      </c>
      <c r="D205" s="13">
        <v>9100</v>
      </c>
      <c r="E205" s="25">
        <v>62.95</v>
      </c>
      <c r="F205" s="15">
        <f>E205*D205/C205</f>
        <v>572845</v>
      </c>
      <c r="G205" s="15"/>
      <c r="H205" s="15"/>
      <c r="I205" s="15"/>
    </row>
    <row r="206" spans="1:9" s="887" customFormat="1" x14ac:dyDescent="0.2">
      <c r="A206" s="44" t="s">
        <v>37</v>
      </c>
      <c r="B206" s="884" t="s">
        <v>315</v>
      </c>
      <c r="C206" s="36">
        <v>1</v>
      </c>
      <c r="D206" s="13">
        <v>4550</v>
      </c>
      <c r="E206" s="25">
        <v>87.1</v>
      </c>
      <c r="F206" s="15">
        <f>E206*D206/C206</f>
        <v>396305</v>
      </c>
      <c r="G206" s="15"/>
      <c r="H206" s="15"/>
      <c r="I206" s="15"/>
    </row>
    <row r="207" spans="1:9" s="887" customFormat="1" ht="30" x14ac:dyDescent="0.2">
      <c r="A207" s="44">
        <v>149</v>
      </c>
      <c r="B207" s="884" t="s">
        <v>316</v>
      </c>
      <c r="C207" s="38">
        <v>1</v>
      </c>
      <c r="D207" s="13">
        <v>91</v>
      </c>
      <c r="E207" s="25">
        <v>1457.7</v>
      </c>
      <c r="F207" s="15">
        <f>E207*D207/C207</f>
        <v>132650.70000000001</v>
      </c>
      <c r="G207" s="15"/>
      <c r="H207" s="15"/>
      <c r="I207" s="15"/>
    </row>
    <row r="208" spans="1:9" s="887" customFormat="1" ht="30" x14ac:dyDescent="0.2">
      <c r="A208" s="44">
        <v>150</v>
      </c>
      <c r="B208" s="884" t="s">
        <v>317</v>
      </c>
      <c r="C208" s="38">
        <v>1</v>
      </c>
      <c r="D208" s="13">
        <v>91</v>
      </c>
      <c r="E208" s="25">
        <v>15209.1</v>
      </c>
      <c r="F208" s="15">
        <f>E208*D208/C208</f>
        <v>1384028.1</v>
      </c>
      <c r="G208" s="15"/>
      <c r="H208" s="15"/>
      <c r="I208" s="15"/>
    </row>
    <row r="209" spans="1:12" s="887" customFormat="1" x14ac:dyDescent="0.2">
      <c r="A209" s="987">
        <v>151</v>
      </c>
      <c r="B209" s="884" t="s">
        <v>318</v>
      </c>
      <c r="C209" s="25"/>
      <c r="D209" s="13">
        <v>0</v>
      </c>
      <c r="E209" s="25"/>
      <c r="F209" s="25"/>
      <c r="G209" s="25"/>
      <c r="H209" s="25"/>
      <c r="I209" s="25"/>
    </row>
    <row r="210" spans="1:12" s="887" customFormat="1" x14ac:dyDescent="0.2">
      <c r="A210" s="988"/>
      <c r="B210" s="884" t="s">
        <v>319</v>
      </c>
      <c r="C210" s="38">
        <v>1</v>
      </c>
      <c r="D210" s="13">
        <v>91</v>
      </c>
      <c r="E210" s="25">
        <v>1380</v>
      </c>
      <c r="F210" s="15">
        <f t="shared" ref="F210:F254" si="14">E210*D210/C210</f>
        <v>125580</v>
      </c>
      <c r="G210" s="15"/>
      <c r="H210" s="15"/>
      <c r="I210" s="15"/>
    </row>
    <row r="211" spans="1:12" s="887" customFormat="1" x14ac:dyDescent="0.2">
      <c r="A211" s="988"/>
      <c r="B211" s="884" t="s">
        <v>320</v>
      </c>
      <c r="C211" s="38">
        <v>1</v>
      </c>
      <c r="D211" s="13">
        <v>91</v>
      </c>
      <c r="E211" s="25">
        <v>1610</v>
      </c>
      <c r="F211" s="15">
        <f t="shared" si="14"/>
        <v>146510</v>
      </c>
      <c r="G211" s="15"/>
      <c r="H211" s="15"/>
      <c r="I211" s="15"/>
    </row>
    <row r="212" spans="1:12" s="887" customFormat="1" x14ac:dyDescent="0.2">
      <c r="A212" s="989"/>
      <c r="B212" s="884" t="s">
        <v>321</v>
      </c>
      <c r="C212" s="38">
        <v>1</v>
      </c>
      <c r="D212" s="13">
        <v>91</v>
      </c>
      <c r="E212" s="25">
        <v>1035</v>
      </c>
      <c r="F212" s="15">
        <f t="shared" si="14"/>
        <v>94185</v>
      </c>
      <c r="G212" s="15"/>
      <c r="H212" s="15"/>
      <c r="I212" s="15"/>
    </row>
    <row r="213" spans="1:12" s="887" customFormat="1" x14ac:dyDescent="0.2">
      <c r="A213" s="44">
        <v>152</v>
      </c>
      <c r="B213" s="884" t="s">
        <v>322</v>
      </c>
      <c r="C213" s="38">
        <v>1</v>
      </c>
      <c r="D213" s="13">
        <v>91</v>
      </c>
      <c r="E213" s="25">
        <v>1999.2</v>
      </c>
      <c r="F213" s="15">
        <f t="shared" si="14"/>
        <v>181927.2</v>
      </c>
      <c r="G213" s="15"/>
      <c r="H213" s="15"/>
      <c r="I213" s="15"/>
    </row>
    <row r="214" spans="1:12" s="887" customFormat="1" x14ac:dyDescent="0.2">
      <c r="A214" s="44">
        <v>153</v>
      </c>
      <c r="B214" s="884" t="s">
        <v>133</v>
      </c>
      <c r="C214" s="38">
        <v>1</v>
      </c>
      <c r="D214" s="13">
        <v>256</v>
      </c>
      <c r="E214" s="25">
        <v>204.7</v>
      </c>
      <c r="F214" s="15">
        <f t="shared" si="14"/>
        <v>52403.199999999997</v>
      </c>
      <c r="G214" s="15"/>
      <c r="H214" s="15"/>
      <c r="I214" s="15"/>
      <c r="J214" s="877" t="e">
        <f>#REF!*37</f>
        <v>#REF!</v>
      </c>
      <c r="K214" s="877" t="e">
        <f>D214-J214</f>
        <v>#REF!</v>
      </c>
      <c r="L214" s="894"/>
    </row>
    <row r="215" spans="1:12" s="887" customFormat="1" x14ac:dyDescent="0.2">
      <c r="A215" s="44">
        <v>154</v>
      </c>
      <c r="B215" s="884" t="s">
        <v>155</v>
      </c>
      <c r="C215" s="38">
        <v>1</v>
      </c>
      <c r="D215" s="13">
        <v>182</v>
      </c>
      <c r="E215" s="25">
        <v>213.1</v>
      </c>
      <c r="F215" s="15">
        <f t="shared" si="14"/>
        <v>38784.199999999997</v>
      </c>
      <c r="G215" s="15"/>
      <c r="H215" s="15"/>
      <c r="I215" s="15"/>
    </row>
    <row r="216" spans="1:12" s="887" customFormat="1" ht="90" x14ac:dyDescent="0.2">
      <c r="A216" s="44">
        <v>155</v>
      </c>
      <c r="B216" s="884" t="s">
        <v>163</v>
      </c>
      <c r="C216" s="37">
        <v>1</v>
      </c>
      <c r="D216" s="13">
        <v>91</v>
      </c>
      <c r="E216" s="25">
        <v>24422.65</v>
      </c>
      <c r="F216" s="15">
        <f t="shared" si="14"/>
        <v>2222461.15</v>
      </c>
      <c r="G216" s="15"/>
      <c r="H216" s="15"/>
      <c r="I216" s="15"/>
    </row>
    <row r="217" spans="1:12" s="887" customFormat="1" ht="60.75" x14ac:dyDescent="0.2">
      <c r="A217" s="44">
        <v>156</v>
      </c>
      <c r="B217" s="884" t="s">
        <v>184</v>
      </c>
      <c r="C217" s="37">
        <v>1</v>
      </c>
      <c r="D217" s="13">
        <v>91</v>
      </c>
      <c r="E217" s="25">
        <v>5616.25</v>
      </c>
      <c r="F217" s="15">
        <f t="shared" si="14"/>
        <v>511078.75</v>
      </c>
      <c r="G217" s="15"/>
      <c r="H217" s="15"/>
      <c r="I217" s="15"/>
    </row>
    <row r="218" spans="1:12" s="887" customFormat="1" ht="60.75" x14ac:dyDescent="0.2">
      <c r="A218" s="44">
        <v>157</v>
      </c>
      <c r="B218" s="884" t="s">
        <v>185</v>
      </c>
      <c r="C218" s="37">
        <v>1</v>
      </c>
      <c r="D218" s="13">
        <v>364</v>
      </c>
      <c r="E218" s="25">
        <v>1453.75</v>
      </c>
      <c r="F218" s="15">
        <f t="shared" si="14"/>
        <v>529165</v>
      </c>
      <c r="G218" s="15"/>
      <c r="H218" s="15"/>
      <c r="I218" s="15"/>
    </row>
    <row r="219" spans="1:12" s="887" customFormat="1" x14ac:dyDescent="0.2">
      <c r="A219" s="44">
        <v>158</v>
      </c>
      <c r="B219" s="884" t="s">
        <v>323</v>
      </c>
      <c r="C219" s="38">
        <v>1</v>
      </c>
      <c r="D219" s="13">
        <v>91</v>
      </c>
      <c r="E219" s="25">
        <v>83.75</v>
      </c>
      <c r="F219" s="15">
        <f t="shared" si="14"/>
        <v>7621.25</v>
      </c>
      <c r="G219" s="15"/>
      <c r="H219" s="15"/>
      <c r="I219" s="15"/>
    </row>
    <row r="220" spans="1:12" s="887" customFormat="1" ht="45" x14ac:dyDescent="0.2">
      <c r="A220" s="44">
        <v>159</v>
      </c>
      <c r="B220" s="884" t="s">
        <v>324</v>
      </c>
      <c r="C220" s="38">
        <v>1</v>
      </c>
      <c r="D220" s="13">
        <v>91</v>
      </c>
      <c r="E220" s="25">
        <v>10815.4</v>
      </c>
      <c r="F220" s="15">
        <f t="shared" si="14"/>
        <v>984201.4</v>
      </c>
      <c r="G220" s="15"/>
      <c r="H220" s="15"/>
      <c r="I220" s="15"/>
    </row>
    <row r="221" spans="1:12" s="887" customFormat="1" ht="45" x14ac:dyDescent="0.2">
      <c r="A221" s="44">
        <v>160</v>
      </c>
      <c r="B221" s="884" t="s">
        <v>325</v>
      </c>
      <c r="C221" s="38">
        <v>1</v>
      </c>
      <c r="D221" s="13">
        <v>91</v>
      </c>
      <c r="E221" s="25">
        <v>663.65</v>
      </c>
      <c r="F221" s="15">
        <f t="shared" si="14"/>
        <v>60392.15</v>
      </c>
      <c r="G221" s="15"/>
      <c r="H221" s="15"/>
      <c r="I221" s="15"/>
    </row>
    <row r="222" spans="1:12" ht="30" x14ac:dyDescent="0.2">
      <c r="A222" s="44">
        <v>161</v>
      </c>
      <c r="B222" s="884" t="s">
        <v>326</v>
      </c>
      <c r="C222" s="38">
        <v>1</v>
      </c>
      <c r="D222" s="13">
        <v>91</v>
      </c>
      <c r="E222" s="25">
        <v>99800</v>
      </c>
      <c r="F222" s="15">
        <f t="shared" si="14"/>
        <v>9081800</v>
      </c>
      <c r="G222" s="15"/>
      <c r="H222" s="15"/>
      <c r="I222" s="15"/>
    </row>
    <row r="223" spans="1:12" s="891" customFormat="1" x14ac:dyDescent="0.2">
      <c r="A223" s="44">
        <v>162</v>
      </c>
      <c r="B223" s="888" t="s">
        <v>210</v>
      </c>
      <c r="C223" s="910">
        <v>1</v>
      </c>
      <c r="D223" s="13">
        <v>25</v>
      </c>
      <c r="E223" s="911">
        <v>71344</v>
      </c>
      <c r="F223" s="105">
        <f t="shared" si="14"/>
        <v>1783600</v>
      </c>
      <c r="G223" s="105"/>
      <c r="H223" s="105"/>
      <c r="I223" s="105"/>
    </row>
    <row r="224" spans="1:12" s="891" customFormat="1" x14ac:dyDescent="0.2">
      <c r="A224" s="44">
        <v>163</v>
      </c>
      <c r="B224" s="888" t="s">
        <v>211</v>
      </c>
      <c r="C224" s="910">
        <v>1</v>
      </c>
      <c r="D224" s="13">
        <v>700</v>
      </c>
      <c r="E224" s="911">
        <v>71680</v>
      </c>
      <c r="F224" s="15">
        <f t="shared" si="14"/>
        <v>50176000</v>
      </c>
      <c r="G224" s="15"/>
      <c r="H224" s="15"/>
      <c r="I224" s="15"/>
    </row>
    <row r="225" spans="1:12" s="891" customFormat="1" x14ac:dyDescent="0.2">
      <c r="A225" s="44">
        <v>164</v>
      </c>
      <c r="B225" s="888" t="s">
        <v>212</v>
      </c>
      <c r="C225" s="910">
        <v>1</v>
      </c>
      <c r="D225" s="13">
        <v>840</v>
      </c>
      <c r="E225" s="911">
        <v>5488</v>
      </c>
      <c r="F225" s="15">
        <f t="shared" si="14"/>
        <v>4609920</v>
      </c>
      <c r="G225" s="15"/>
      <c r="H225" s="15"/>
      <c r="I225" s="15"/>
    </row>
    <row r="226" spans="1:12" s="891" customFormat="1" x14ac:dyDescent="0.2">
      <c r="A226" s="44">
        <v>165</v>
      </c>
      <c r="B226" s="888" t="s">
        <v>213</v>
      </c>
      <c r="C226" s="910">
        <v>1</v>
      </c>
      <c r="D226" s="13">
        <v>1760</v>
      </c>
      <c r="E226" s="911">
        <v>8333</v>
      </c>
      <c r="F226" s="15">
        <f t="shared" si="14"/>
        <v>14666080</v>
      </c>
      <c r="G226" s="15"/>
      <c r="H226" s="15"/>
      <c r="I226" s="15"/>
    </row>
    <row r="227" spans="1:12" s="891" customFormat="1" x14ac:dyDescent="0.2">
      <c r="A227" s="44">
        <v>166</v>
      </c>
      <c r="B227" s="888" t="s">
        <v>214</v>
      </c>
      <c r="C227" s="910">
        <v>1</v>
      </c>
      <c r="D227" s="13">
        <v>1530</v>
      </c>
      <c r="E227" s="911">
        <v>4250</v>
      </c>
      <c r="F227" s="15">
        <f t="shared" si="14"/>
        <v>6502500</v>
      </c>
      <c r="G227" s="15"/>
      <c r="H227" s="15"/>
      <c r="I227" s="15"/>
    </row>
    <row r="228" spans="1:12" s="891" customFormat="1" x14ac:dyDescent="0.2">
      <c r="A228" s="44">
        <v>167</v>
      </c>
      <c r="B228" s="888" t="s">
        <v>483</v>
      </c>
      <c r="C228" s="910">
        <v>1</v>
      </c>
      <c r="D228" s="13">
        <v>1200</v>
      </c>
      <c r="E228" s="911">
        <v>609</v>
      </c>
      <c r="F228" s="15">
        <f t="shared" si="14"/>
        <v>730800</v>
      </c>
      <c r="G228" s="15"/>
      <c r="H228" s="15"/>
      <c r="I228" s="15"/>
    </row>
    <row r="229" spans="1:12" s="891" customFormat="1" x14ac:dyDescent="0.2">
      <c r="A229" s="44">
        <v>168</v>
      </c>
      <c r="B229" s="888" t="s">
        <v>216</v>
      </c>
      <c r="C229" s="910">
        <v>1</v>
      </c>
      <c r="D229" s="13">
        <f>65+2350</f>
        <v>2415</v>
      </c>
      <c r="E229" s="911">
        <v>1797</v>
      </c>
      <c r="F229" s="15">
        <f t="shared" si="14"/>
        <v>4339755</v>
      </c>
      <c r="G229" s="15"/>
      <c r="H229" s="15"/>
      <c r="I229" s="15"/>
    </row>
    <row r="230" spans="1:12" s="891" customFormat="1" x14ac:dyDescent="0.2">
      <c r="A230" s="44">
        <v>169</v>
      </c>
      <c r="B230" s="888" t="s">
        <v>217</v>
      </c>
      <c r="C230" s="910">
        <v>1</v>
      </c>
      <c r="D230" s="13">
        <v>1000</v>
      </c>
      <c r="E230" s="911">
        <v>599</v>
      </c>
      <c r="F230" s="15">
        <f t="shared" si="14"/>
        <v>599000</v>
      </c>
      <c r="G230" s="15"/>
      <c r="H230" s="15"/>
      <c r="I230" s="15"/>
      <c r="K230" s="891">
        <f>3390*245</f>
        <v>830550</v>
      </c>
      <c r="L230" s="891">
        <f>3390*246</f>
        <v>833940</v>
      </c>
    </row>
    <row r="231" spans="1:12" s="891" customFormat="1" x14ac:dyDescent="0.2">
      <c r="A231" s="44">
        <v>170</v>
      </c>
      <c r="B231" s="888" t="s">
        <v>218</v>
      </c>
      <c r="C231" s="910">
        <v>1</v>
      </c>
      <c r="D231" s="13">
        <v>700</v>
      </c>
      <c r="E231" s="911">
        <v>358</v>
      </c>
      <c r="F231" s="15">
        <f t="shared" si="14"/>
        <v>250600</v>
      </c>
      <c r="G231" s="15"/>
      <c r="H231" s="15"/>
      <c r="I231" s="15"/>
    </row>
    <row r="232" spans="1:12" s="891" customFormat="1" x14ac:dyDescent="0.2">
      <c r="A232" s="44">
        <v>171</v>
      </c>
      <c r="B232" s="888" t="s">
        <v>219</v>
      </c>
      <c r="C232" s="910">
        <v>1</v>
      </c>
      <c r="D232" s="13">
        <v>500</v>
      </c>
      <c r="E232" s="911">
        <v>208</v>
      </c>
      <c r="F232" s="15">
        <f t="shared" si="14"/>
        <v>104000</v>
      </c>
      <c r="G232" s="15"/>
      <c r="H232" s="15"/>
      <c r="I232" s="15"/>
    </row>
    <row r="233" spans="1:12" s="891" customFormat="1" x14ac:dyDescent="0.2">
      <c r="A233" s="44">
        <v>172</v>
      </c>
      <c r="B233" s="888" t="s">
        <v>220</v>
      </c>
      <c r="C233" s="910">
        <v>1</v>
      </c>
      <c r="D233" s="13">
        <v>500</v>
      </c>
      <c r="E233" s="911">
        <v>184</v>
      </c>
      <c r="F233" s="15">
        <f t="shared" si="14"/>
        <v>92000</v>
      </c>
      <c r="G233" s="15"/>
      <c r="H233" s="15"/>
      <c r="I233" s="15"/>
    </row>
    <row r="234" spans="1:12" s="891" customFormat="1" x14ac:dyDescent="0.2">
      <c r="A234" s="44">
        <v>173</v>
      </c>
      <c r="B234" s="888" t="s">
        <v>221</v>
      </c>
      <c r="C234" s="910">
        <v>1</v>
      </c>
      <c r="D234" s="13">
        <v>200</v>
      </c>
      <c r="E234" s="911">
        <v>49</v>
      </c>
      <c r="F234" s="15">
        <f t="shared" si="14"/>
        <v>9800</v>
      </c>
      <c r="G234" s="15"/>
      <c r="H234" s="15"/>
      <c r="I234" s="15"/>
    </row>
    <row r="235" spans="1:12" s="891" customFormat="1" x14ac:dyDescent="0.2">
      <c r="A235" s="44">
        <v>174</v>
      </c>
      <c r="B235" s="888" t="s">
        <v>222</v>
      </c>
      <c r="C235" s="910">
        <v>1</v>
      </c>
      <c r="D235" s="13">
        <v>150</v>
      </c>
      <c r="E235" s="911">
        <v>3935</v>
      </c>
      <c r="F235" s="15">
        <f t="shared" si="14"/>
        <v>590250</v>
      </c>
      <c r="G235" s="15"/>
      <c r="H235" s="15"/>
      <c r="I235" s="15"/>
    </row>
    <row r="236" spans="1:12" s="891" customFormat="1" x14ac:dyDescent="0.2">
      <c r="A236" s="44">
        <v>175</v>
      </c>
      <c r="B236" s="888" t="s">
        <v>223</v>
      </c>
      <c r="C236" s="912">
        <v>1</v>
      </c>
      <c r="D236" s="13">
        <v>1870</v>
      </c>
      <c r="E236" s="911">
        <v>399</v>
      </c>
      <c r="F236" s="15">
        <f t="shared" si="14"/>
        <v>746130</v>
      </c>
      <c r="G236" s="15"/>
      <c r="H236" s="15"/>
      <c r="I236" s="15"/>
    </row>
    <row r="237" spans="1:12" s="891" customFormat="1" x14ac:dyDescent="0.2">
      <c r="A237" s="44">
        <v>176</v>
      </c>
      <c r="B237" s="888" t="s">
        <v>224</v>
      </c>
      <c r="C237" s="910">
        <v>1</v>
      </c>
      <c r="D237" s="13">
        <f>58200+3390</f>
        <v>61590</v>
      </c>
      <c r="E237" s="911">
        <v>245</v>
      </c>
      <c r="F237" s="15">
        <f t="shared" si="14"/>
        <v>15089550</v>
      </c>
      <c r="G237" s="15"/>
      <c r="H237" s="15"/>
      <c r="I237" s="15"/>
      <c r="J237" s="891">
        <f>SUM(F223:F237)</f>
        <v>100289985</v>
      </c>
    </row>
    <row r="238" spans="1:12" s="891" customFormat="1" x14ac:dyDescent="0.2">
      <c r="A238" s="44">
        <v>177</v>
      </c>
      <c r="B238" s="888" t="s">
        <v>225</v>
      </c>
      <c r="C238" s="910">
        <v>1</v>
      </c>
      <c r="D238" s="13">
        <v>2</v>
      </c>
      <c r="E238" s="911">
        <v>2189000</v>
      </c>
      <c r="F238" s="15">
        <f t="shared" si="14"/>
        <v>4378000</v>
      </c>
      <c r="G238" s="15"/>
      <c r="H238" s="15"/>
      <c r="I238" s="15"/>
      <c r="J238" s="913">
        <f>SUM(F238:F250)</f>
        <v>43272829</v>
      </c>
    </row>
    <row r="239" spans="1:12" s="891" customFormat="1" x14ac:dyDescent="0.2">
      <c r="A239" s="44">
        <v>178</v>
      </c>
      <c r="B239" s="888" t="s">
        <v>226</v>
      </c>
      <c r="C239" s="910">
        <v>1</v>
      </c>
      <c r="D239" s="13">
        <v>5</v>
      </c>
      <c r="E239" s="911">
        <v>506760</v>
      </c>
      <c r="F239" s="15">
        <f t="shared" si="14"/>
        <v>2533800</v>
      </c>
      <c r="G239" s="15"/>
      <c r="H239" s="15"/>
      <c r="I239" s="15"/>
    </row>
    <row r="240" spans="1:12" s="891" customFormat="1" x14ac:dyDescent="0.2">
      <c r="A240" s="44">
        <v>179</v>
      </c>
      <c r="B240" s="888" t="s">
        <v>227</v>
      </c>
      <c r="C240" s="910">
        <v>1</v>
      </c>
      <c r="D240" s="13">
        <v>5</v>
      </c>
      <c r="E240" s="911">
        <v>400567</v>
      </c>
      <c r="F240" s="15">
        <f t="shared" si="14"/>
        <v>2002835</v>
      </c>
      <c r="G240" s="15"/>
      <c r="H240" s="15"/>
      <c r="I240" s="15"/>
    </row>
    <row r="241" spans="1:11" s="891" customFormat="1" x14ac:dyDescent="0.2">
      <c r="A241" s="44">
        <v>180</v>
      </c>
      <c r="B241" s="888" t="s">
        <v>228</v>
      </c>
      <c r="C241" s="910">
        <v>1</v>
      </c>
      <c r="D241" s="13">
        <v>46</v>
      </c>
      <c r="E241" s="911">
        <v>286340</v>
      </c>
      <c r="F241" s="15">
        <f t="shared" si="14"/>
        <v>13171640</v>
      </c>
      <c r="G241" s="15"/>
      <c r="H241" s="15"/>
      <c r="I241" s="15"/>
    </row>
    <row r="242" spans="1:11" s="891" customFormat="1" x14ac:dyDescent="0.2">
      <c r="A242" s="44">
        <v>181</v>
      </c>
      <c r="B242" s="888" t="s">
        <v>229</v>
      </c>
      <c r="C242" s="910">
        <v>1</v>
      </c>
      <c r="D242" s="13">
        <v>60</v>
      </c>
      <c r="E242" s="911">
        <v>24290</v>
      </c>
      <c r="F242" s="15">
        <f t="shared" si="14"/>
        <v>1457400</v>
      </c>
      <c r="G242" s="15"/>
      <c r="H242" s="15"/>
      <c r="I242" s="15"/>
    </row>
    <row r="243" spans="1:11" s="891" customFormat="1" x14ac:dyDescent="0.2">
      <c r="A243" s="44">
        <v>182</v>
      </c>
      <c r="B243" s="888" t="s">
        <v>230</v>
      </c>
      <c r="C243" s="910">
        <v>1</v>
      </c>
      <c r="D243" s="13">
        <v>1283</v>
      </c>
      <c r="E243" s="911">
        <v>198</v>
      </c>
      <c r="F243" s="15">
        <f t="shared" si="14"/>
        <v>254034</v>
      </c>
      <c r="G243" s="15"/>
      <c r="H243" s="15"/>
      <c r="I243" s="15"/>
    </row>
    <row r="244" spans="1:11" s="891" customFormat="1" x14ac:dyDescent="0.2">
      <c r="A244" s="44">
        <v>183</v>
      </c>
      <c r="B244" s="888" t="s">
        <v>231</v>
      </c>
      <c r="C244" s="910">
        <v>1</v>
      </c>
      <c r="D244" s="13">
        <f>33+150</f>
        <v>183</v>
      </c>
      <c r="E244" s="911">
        <v>18250</v>
      </c>
      <c r="F244" s="15">
        <f t="shared" si="14"/>
        <v>3339750</v>
      </c>
      <c r="G244" s="15"/>
      <c r="H244" s="15"/>
      <c r="I244" s="15"/>
      <c r="J244" s="891">
        <f>155000/198</f>
        <v>782.82828282828279</v>
      </c>
      <c r="K244" s="891">
        <f>500+783</f>
        <v>1283</v>
      </c>
    </row>
    <row r="245" spans="1:11" s="891" customFormat="1" x14ac:dyDescent="0.2">
      <c r="A245" s="44">
        <v>184</v>
      </c>
      <c r="B245" s="888" t="s">
        <v>232</v>
      </c>
      <c r="C245" s="910">
        <v>1</v>
      </c>
      <c r="D245" s="13">
        <v>50</v>
      </c>
      <c r="E245" s="911">
        <v>4770</v>
      </c>
      <c r="F245" s="15">
        <f t="shared" si="14"/>
        <v>238500</v>
      </c>
      <c r="G245" s="15"/>
      <c r="H245" s="15"/>
      <c r="I245" s="15"/>
    </row>
    <row r="246" spans="1:11" s="891" customFormat="1" x14ac:dyDescent="0.2">
      <c r="A246" s="44">
        <v>185</v>
      </c>
      <c r="B246" s="888" t="s">
        <v>233</v>
      </c>
      <c r="C246" s="910">
        <v>1</v>
      </c>
      <c r="D246" s="13">
        <v>50</v>
      </c>
      <c r="E246" s="911">
        <v>10900</v>
      </c>
      <c r="F246" s="15">
        <f t="shared" si="14"/>
        <v>545000</v>
      </c>
      <c r="G246" s="15"/>
      <c r="H246" s="15"/>
      <c r="I246" s="15"/>
    </row>
    <row r="247" spans="1:11" s="891" customFormat="1" x14ac:dyDescent="0.2">
      <c r="A247" s="44">
        <v>186</v>
      </c>
      <c r="B247" s="888" t="s">
        <v>484</v>
      </c>
      <c r="C247" s="910">
        <v>1</v>
      </c>
      <c r="D247" s="13">
        <v>527</v>
      </c>
      <c r="E247" s="911">
        <v>23650</v>
      </c>
      <c r="F247" s="15">
        <f t="shared" si="14"/>
        <v>12463550</v>
      </c>
      <c r="G247" s="15"/>
      <c r="H247" s="15"/>
      <c r="I247" s="15"/>
    </row>
    <row r="248" spans="1:11" s="891" customFormat="1" ht="30" x14ac:dyDescent="0.2">
      <c r="A248" s="44">
        <v>187</v>
      </c>
      <c r="B248" s="888" t="s">
        <v>235</v>
      </c>
      <c r="C248" s="910">
        <v>1</v>
      </c>
      <c r="D248" s="13">
        <v>200</v>
      </c>
      <c r="E248" s="911">
        <v>3378.5</v>
      </c>
      <c r="F248" s="15">
        <f t="shared" si="14"/>
        <v>675700</v>
      </c>
      <c r="G248" s="15"/>
      <c r="H248" s="15"/>
      <c r="I248" s="15"/>
    </row>
    <row r="249" spans="1:11" s="891" customFormat="1" ht="45" x14ac:dyDescent="0.2">
      <c r="A249" s="44">
        <v>188</v>
      </c>
      <c r="B249" s="888" t="s">
        <v>236</v>
      </c>
      <c r="C249" s="910">
        <v>1</v>
      </c>
      <c r="D249" s="13">
        <v>200</v>
      </c>
      <c r="E249" s="911">
        <v>6949.8</v>
      </c>
      <c r="F249" s="15">
        <f t="shared" si="14"/>
        <v>1389960</v>
      </c>
      <c r="G249" s="15"/>
      <c r="H249" s="15"/>
      <c r="I249" s="15"/>
    </row>
    <row r="250" spans="1:11" s="891" customFormat="1" ht="30" x14ac:dyDescent="0.2">
      <c r="A250" s="44">
        <v>189</v>
      </c>
      <c r="B250" s="888" t="s">
        <v>237</v>
      </c>
      <c r="C250" s="910">
        <v>1</v>
      </c>
      <c r="D250" s="13">
        <v>200</v>
      </c>
      <c r="E250" s="911">
        <v>4113.3</v>
      </c>
      <c r="F250" s="15">
        <f t="shared" si="14"/>
        <v>822660</v>
      </c>
      <c r="G250" s="15"/>
      <c r="H250" s="15"/>
      <c r="I250" s="15"/>
    </row>
    <row r="251" spans="1:11" s="891" customFormat="1" x14ac:dyDescent="0.2">
      <c r="A251" s="44">
        <v>190</v>
      </c>
      <c r="B251" s="888" t="s">
        <v>238</v>
      </c>
      <c r="C251" s="910">
        <v>1</v>
      </c>
      <c r="D251" s="13">
        <f>1300+5000</f>
        <v>6300</v>
      </c>
      <c r="E251" s="911">
        <v>975</v>
      </c>
      <c r="F251" s="15">
        <f t="shared" si="14"/>
        <v>6142500</v>
      </c>
      <c r="G251" s="15"/>
      <c r="H251" s="15"/>
      <c r="I251" s="15"/>
    </row>
    <row r="252" spans="1:11" s="891" customFormat="1" x14ac:dyDescent="0.2">
      <c r="A252" s="44">
        <v>191</v>
      </c>
      <c r="B252" s="888" t="s">
        <v>239</v>
      </c>
      <c r="C252" s="910">
        <v>1</v>
      </c>
      <c r="D252" s="13">
        <v>50</v>
      </c>
      <c r="E252" s="911">
        <v>48900</v>
      </c>
      <c r="F252" s="15">
        <f t="shared" si="14"/>
        <v>2445000</v>
      </c>
      <c r="G252" s="15"/>
      <c r="H252" s="15"/>
      <c r="I252" s="15"/>
    </row>
    <row r="253" spans="1:11" s="891" customFormat="1" x14ac:dyDescent="0.2">
      <c r="A253" s="44">
        <v>192</v>
      </c>
      <c r="B253" s="888" t="s">
        <v>240</v>
      </c>
      <c r="C253" s="910">
        <v>1</v>
      </c>
      <c r="D253" s="13">
        <v>17</v>
      </c>
      <c r="E253" s="911">
        <v>31300</v>
      </c>
      <c r="F253" s="15">
        <f t="shared" si="14"/>
        <v>532100</v>
      </c>
      <c r="G253" s="15"/>
      <c r="H253" s="15"/>
      <c r="I253" s="15"/>
    </row>
    <row r="254" spans="1:11" s="891" customFormat="1" x14ac:dyDescent="0.2">
      <c r="A254" s="44">
        <v>193</v>
      </c>
      <c r="B254" s="888" t="s">
        <v>242</v>
      </c>
      <c r="C254" s="910">
        <v>1</v>
      </c>
      <c r="D254" s="13">
        <f>28+80</f>
        <v>108</v>
      </c>
      <c r="E254" s="911">
        <v>10530</v>
      </c>
      <c r="F254" s="15">
        <f t="shared" si="14"/>
        <v>1137240</v>
      </c>
      <c r="G254" s="15"/>
      <c r="H254" s="15"/>
      <c r="I254" s="15"/>
    </row>
    <row r="255" spans="1:11" s="891" customFormat="1" x14ac:dyDescent="0.2">
      <c r="A255" s="44">
        <v>194</v>
      </c>
      <c r="B255" s="888" t="s">
        <v>482</v>
      </c>
      <c r="C255" s="910">
        <v>1</v>
      </c>
      <c r="D255" s="13">
        <v>0</v>
      </c>
      <c r="E255" s="911">
        <v>16263340</v>
      </c>
      <c r="F255" s="15">
        <f t="shared" ref="F255:F259" si="15">E255</f>
        <v>16263340</v>
      </c>
      <c r="G255" s="15"/>
      <c r="H255" s="15"/>
      <c r="I255" s="15"/>
    </row>
    <row r="256" spans="1:11" s="891" customFormat="1" x14ac:dyDescent="0.2">
      <c r="A256" s="44">
        <v>195</v>
      </c>
      <c r="B256" s="888" t="s">
        <v>481</v>
      </c>
      <c r="C256" s="910">
        <v>1</v>
      </c>
      <c r="D256" s="13">
        <v>0</v>
      </c>
      <c r="E256" s="911">
        <v>5598490</v>
      </c>
      <c r="F256" s="15">
        <f>E256</f>
        <v>5598490</v>
      </c>
      <c r="G256" s="15"/>
      <c r="H256" s="15"/>
      <c r="I256" s="15"/>
    </row>
    <row r="257" spans="1:11" s="891" customFormat="1" x14ac:dyDescent="0.2">
      <c r="A257" s="44">
        <v>196</v>
      </c>
      <c r="B257" s="888" t="s">
        <v>480</v>
      </c>
      <c r="C257" s="910">
        <v>1</v>
      </c>
      <c r="D257" s="13">
        <v>0</v>
      </c>
      <c r="E257" s="911">
        <v>1034832</v>
      </c>
      <c r="F257" s="15">
        <f t="shared" si="15"/>
        <v>1034832</v>
      </c>
      <c r="G257" s="15"/>
      <c r="H257" s="15"/>
      <c r="I257" s="15"/>
    </row>
    <row r="258" spans="1:11" s="891" customFormat="1" x14ac:dyDescent="0.2">
      <c r="A258" s="44">
        <v>197</v>
      </c>
      <c r="B258" s="888" t="s">
        <v>478</v>
      </c>
      <c r="C258" s="910">
        <v>1</v>
      </c>
      <c r="D258" s="13">
        <v>0</v>
      </c>
      <c r="E258" s="914">
        <v>8064000</v>
      </c>
      <c r="F258" s="15">
        <f t="shared" si="15"/>
        <v>8064000</v>
      </c>
      <c r="G258" s="15"/>
      <c r="H258" s="15"/>
      <c r="I258" s="15"/>
    </row>
    <row r="259" spans="1:11" s="891" customFormat="1" x14ac:dyDescent="0.2">
      <c r="A259" s="44">
        <v>198</v>
      </c>
      <c r="B259" s="888" t="s">
        <v>479</v>
      </c>
      <c r="C259" s="910">
        <v>1</v>
      </c>
      <c r="D259" s="13">
        <v>0</v>
      </c>
      <c r="E259" s="914">
        <v>42000000</v>
      </c>
      <c r="F259" s="15">
        <f t="shared" si="15"/>
        <v>42000000</v>
      </c>
      <c r="G259" s="15"/>
      <c r="H259" s="15"/>
      <c r="I259" s="15"/>
    </row>
    <row r="260" spans="1:11" s="891" customFormat="1" x14ac:dyDescent="0.2">
      <c r="A260" s="44">
        <v>199</v>
      </c>
      <c r="B260" s="888" t="s">
        <v>269</v>
      </c>
      <c r="C260" s="915">
        <v>1</v>
      </c>
      <c r="D260" s="13">
        <v>2</v>
      </c>
      <c r="E260" s="911">
        <v>2375000</v>
      </c>
      <c r="F260" s="15">
        <f t="shared" ref="F260:F280" si="16">E260*D260/C260</f>
        <v>4750000</v>
      </c>
      <c r="G260" s="15"/>
      <c r="H260" s="15"/>
      <c r="I260" s="15"/>
      <c r="J260" s="913">
        <f>SUM(F260:F268)</f>
        <v>7856248</v>
      </c>
      <c r="K260" s="891">
        <v>14594316</v>
      </c>
    </row>
    <row r="261" spans="1:11" s="891" customFormat="1" x14ac:dyDescent="0.2">
      <c r="A261" s="44">
        <v>200</v>
      </c>
      <c r="B261" s="888" t="s">
        <v>263</v>
      </c>
      <c r="C261" s="915">
        <v>1</v>
      </c>
      <c r="D261" s="13">
        <v>2</v>
      </c>
      <c r="E261" s="911">
        <v>904422</v>
      </c>
      <c r="F261" s="15">
        <f t="shared" si="16"/>
        <v>1808844</v>
      </c>
      <c r="G261" s="15"/>
      <c r="H261" s="15"/>
      <c r="I261" s="15"/>
      <c r="K261" s="918">
        <f>K260-J260</f>
        <v>6738068</v>
      </c>
    </row>
    <row r="262" spans="1:11" s="891" customFormat="1" x14ac:dyDescent="0.2">
      <c r="A262" s="44">
        <v>201</v>
      </c>
      <c r="B262" s="888" t="s">
        <v>264</v>
      </c>
      <c r="C262" s="915">
        <v>1</v>
      </c>
      <c r="D262" s="13">
        <v>7</v>
      </c>
      <c r="E262" s="911">
        <v>24290</v>
      </c>
      <c r="F262" s="15">
        <f t="shared" si="16"/>
        <v>170030</v>
      </c>
      <c r="G262" s="15"/>
      <c r="H262" s="15"/>
      <c r="I262" s="15"/>
    </row>
    <row r="263" spans="1:11" s="891" customFormat="1" x14ac:dyDescent="0.2">
      <c r="A263" s="44">
        <v>202</v>
      </c>
      <c r="B263" s="888" t="s">
        <v>250</v>
      </c>
      <c r="C263" s="915">
        <v>1</v>
      </c>
      <c r="D263" s="13">
        <v>6</v>
      </c>
      <c r="E263" s="911">
        <v>15786</v>
      </c>
      <c r="F263" s="15">
        <f t="shared" si="16"/>
        <v>94716</v>
      </c>
      <c r="G263" s="15"/>
      <c r="H263" s="15"/>
      <c r="I263" s="15"/>
    </row>
    <row r="264" spans="1:11" s="891" customFormat="1" x14ac:dyDescent="0.2">
      <c r="A264" s="44">
        <v>203</v>
      </c>
      <c r="B264" s="888" t="s">
        <v>251</v>
      </c>
      <c r="C264" s="915">
        <v>1</v>
      </c>
      <c r="D264" s="13">
        <v>12</v>
      </c>
      <c r="E264" s="911">
        <v>33000</v>
      </c>
      <c r="F264" s="15">
        <f t="shared" si="16"/>
        <v>396000</v>
      </c>
      <c r="G264" s="15"/>
      <c r="H264" s="15"/>
      <c r="I264" s="15"/>
    </row>
    <row r="265" spans="1:11" s="891" customFormat="1" x14ac:dyDescent="0.2">
      <c r="A265" s="44">
        <v>204</v>
      </c>
      <c r="B265" s="888" t="s">
        <v>254</v>
      </c>
      <c r="C265" s="915">
        <v>1</v>
      </c>
      <c r="D265" s="13">
        <v>9</v>
      </c>
      <c r="E265" s="911">
        <v>35200</v>
      </c>
      <c r="F265" s="15">
        <f t="shared" si="16"/>
        <v>316800</v>
      </c>
      <c r="G265" s="15"/>
      <c r="H265" s="15"/>
      <c r="I265" s="15"/>
    </row>
    <row r="266" spans="1:11" s="891" customFormat="1" x14ac:dyDescent="0.2">
      <c r="A266" s="44">
        <v>205</v>
      </c>
      <c r="B266" s="888" t="s">
        <v>257</v>
      </c>
      <c r="C266" s="915">
        <v>1</v>
      </c>
      <c r="D266" s="13">
        <v>14</v>
      </c>
      <c r="E266" s="911">
        <v>3591</v>
      </c>
      <c r="F266" s="15">
        <f t="shared" si="16"/>
        <v>50274</v>
      </c>
      <c r="G266" s="15"/>
      <c r="H266" s="15"/>
      <c r="I266" s="15"/>
    </row>
    <row r="267" spans="1:11" s="891" customFormat="1" x14ac:dyDescent="0.2">
      <c r="A267" s="44">
        <v>206</v>
      </c>
      <c r="B267" s="888" t="s">
        <v>258</v>
      </c>
      <c r="C267" s="915">
        <v>1</v>
      </c>
      <c r="D267" s="13">
        <v>58</v>
      </c>
      <c r="E267" s="911">
        <v>1498</v>
      </c>
      <c r="F267" s="15">
        <f t="shared" si="16"/>
        <v>86884</v>
      </c>
      <c r="G267" s="15"/>
      <c r="H267" s="15"/>
      <c r="I267" s="15"/>
    </row>
    <row r="268" spans="1:11" s="891" customFormat="1" x14ac:dyDescent="0.2">
      <c r="A268" s="44">
        <v>207</v>
      </c>
      <c r="B268" s="888" t="s">
        <v>259</v>
      </c>
      <c r="C268" s="912">
        <v>1</v>
      </c>
      <c r="D268" s="13">
        <v>420</v>
      </c>
      <c r="E268" s="911">
        <v>435</v>
      </c>
      <c r="F268" s="15">
        <f t="shared" si="16"/>
        <v>182700</v>
      </c>
      <c r="G268" s="15"/>
      <c r="H268" s="15"/>
      <c r="I268" s="15"/>
    </row>
    <row r="269" spans="1:11" s="891" customFormat="1" ht="71.45" customHeight="1" x14ac:dyDescent="0.2">
      <c r="A269" s="44">
        <v>208</v>
      </c>
      <c r="B269" s="888" t="s">
        <v>472</v>
      </c>
      <c r="C269" s="919">
        <v>100</v>
      </c>
      <c r="D269" s="13">
        <v>49390</v>
      </c>
      <c r="E269" s="921">
        <v>69347.899999999994</v>
      </c>
      <c r="F269" s="15">
        <f t="shared" si="16"/>
        <v>34250927.809999995</v>
      </c>
      <c r="G269" s="15"/>
      <c r="H269" s="15"/>
      <c r="I269" s="15"/>
      <c r="K269" s="891" t="e">
        <f>#REF!+#REF!</f>
        <v>#REF!</v>
      </c>
    </row>
    <row r="270" spans="1:11" s="891" customFormat="1" ht="58.9" customHeight="1" x14ac:dyDescent="0.2">
      <c r="A270" s="44">
        <v>209</v>
      </c>
      <c r="B270" s="888" t="s">
        <v>270</v>
      </c>
      <c r="C270" s="922">
        <v>1000</v>
      </c>
      <c r="D270" s="13">
        <v>2062.9820000000004</v>
      </c>
      <c r="E270" s="921">
        <v>15824.15</v>
      </c>
      <c r="F270" s="15">
        <f t="shared" si="16"/>
        <v>32644.936615300008</v>
      </c>
      <c r="G270" s="15"/>
      <c r="H270" s="15"/>
      <c r="I270" s="15"/>
      <c r="K270" s="891" t="e">
        <f>K269-240554556</f>
        <v>#REF!</v>
      </c>
    </row>
    <row r="271" spans="1:11" s="891" customFormat="1" ht="97.9" customHeight="1" x14ac:dyDescent="0.2">
      <c r="A271" s="44">
        <v>210</v>
      </c>
      <c r="B271" s="888" t="s">
        <v>275</v>
      </c>
      <c r="C271" s="889">
        <v>1</v>
      </c>
      <c r="D271" s="13">
        <v>6650</v>
      </c>
      <c r="E271" s="921">
        <v>1985.95</v>
      </c>
      <c r="F271" s="15">
        <f t="shared" si="16"/>
        <v>13206567.5</v>
      </c>
      <c r="G271" s="15"/>
      <c r="H271" s="15"/>
      <c r="I271" s="15"/>
    </row>
    <row r="272" spans="1:11" s="891" customFormat="1" ht="38.450000000000003" customHeight="1" x14ac:dyDescent="0.2">
      <c r="A272" s="44">
        <v>211</v>
      </c>
      <c r="B272" s="888" t="s">
        <v>504</v>
      </c>
      <c r="C272" s="919">
        <v>1</v>
      </c>
      <c r="D272" s="13">
        <v>14250</v>
      </c>
      <c r="E272" s="921">
        <v>234.95</v>
      </c>
      <c r="F272" s="15">
        <f t="shared" si="16"/>
        <v>3348037.5</v>
      </c>
      <c r="G272" s="15"/>
      <c r="H272" s="15"/>
      <c r="I272" s="15"/>
    </row>
    <row r="273" spans="1:10" s="891" customFormat="1" ht="52.9" customHeight="1" x14ac:dyDescent="0.2">
      <c r="A273" s="44">
        <v>212</v>
      </c>
      <c r="B273" s="888" t="s">
        <v>277</v>
      </c>
      <c r="C273" s="919">
        <v>1</v>
      </c>
      <c r="D273" s="13">
        <v>28500</v>
      </c>
      <c r="E273" s="921">
        <v>56.3</v>
      </c>
      <c r="F273" s="15">
        <f t="shared" si="16"/>
        <v>1604550</v>
      </c>
      <c r="G273" s="15"/>
      <c r="H273" s="15"/>
      <c r="I273" s="15"/>
      <c r="J273" s="913">
        <f>SUM(F269:F273)</f>
        <v>52442727.746615298</v>
      </c>
    </row>
    <row r="274" spans="1:10" s="891" customFormat="1" ht="213" customHeight="1" x14ac:dyDescent="0.2">
      <c r="A274" s="44">
        <v>213</v>
      </c>
      <c r="B274" s="925" t="s">
        <v>473</v>
      </c>
      <c r="C274" s="37">
        <v>1</v>
      </c>
      <c r="D274" s="13">
        <v>37</v>
      </c>
      <c r="E274" s="56">
        <v>4350150</v>
      </c>
      <c r="F274" s="15">
        <f t="shared" si="16"/>
        <v>160955550</v>
      </c>
      <c r="G274" s="15"/>
      <c r="H274" s="15"/>
      <c r="I274" s="15"/>
    </row>
    <row r="275" spans="1:10" s="891" customFormat="1" ht="258.60000000000002" customHeight="1" x14ac:dyDescent="0.2">
      <c r="A275" s="44">
        <v>214</v>
      </c>
      <c r="B275" s="888" t="s">
        <v>474</v>
      </c>
      <c r="C275" s="37">
        <v>1</v>
      </c>
      <c r="D275" s="13">
        <v>8</v>
      </c>
      <c r="E275" s="911">
        <v>3886124</v>
      </c>
      <c r="F275" s="15">
        <f t="shared" si="16"/>
        <v>31088992</v>
      </c>
      <c r="G275" s="15"/>
      <c r="H275" s="15"/>
      <c r="I275" s="15"/>
    </row>
    <row r="276" spans="1:10" s="891" customFormat="1" ht="255.6" customHeight="1" x14ac:dyDescent="0.2">
      <c r="A276" s="44">
        <v>215</v>
      </c>
      <c r="B276" s="888" t="s">
        <v>338</v>
      </c>
      <c r="C276" s="111">
        <v>1</v>
      </c>
      <c r="D276" s="13">
        <v>6</v>
      </c>
      <c r="E276" s="926">
        <v>4140119</v>
      </c>
      <c r="F276" s="15">
        <f t="shared" si="16"/>
        <v>24840714</v>
      </c>
      <c r="G276" s="15"/>
      <c r="H276" s="15"/>
      <c r="I276" s="15"/>
    </row>
    <row r="277" spans="1:10" s="891" customFormat="1" ht="256.5" x14ac:dyDescent="0.2">
      <c r="A277" s="44">
        <v>216</v>
      </c>
      <c r="B277" s="888" t="s">
        <v>475</v>
      </c>
      <c r="C277" s="37">
        <v>1</v>
      </c>
      <c r="D277" s="13">
        <v>1</v>
      </c>
      <c r="E277" s="59">
        <v>8178639</v>
      </c>
      <c r="F277" s="15">
        <f t="shared" si="16"/>
        <v>8178639</v>
      </c>
      <c r="G277" s="15"/>
      <c r="H277" s="15"/>
      <c r="I277" s="15"/>
    </row>
    <row r="278" spans="1:10" s="891" customFormat="1" ht="280.14999999999998" customHeight="1" x14ac:dyDescent="0.2">
      <c r="A278" s="44">
        <v>217</v>
      </c>
      <c r="B278" s="876" t="s">
        <v>476</v>
      </c>
      <c r="C278" s="37">
        <v>1</v>
      </c>
      <c r="D278" s="13">
        <v>8</v>
      </c>
      <c r="E278" s="59">
        <v>13004544</v>
      </c>
      <c r="F278" s="15">
        <f t="shared" si="16"/>
        <v>104036352</v>
      </c>
      <c r="G278" s="15"/>
      <c r="H278" s="15"/>
      <c r="I278" s="15"/>
    </row>
    <row r="279" spans="1:10" s="891" customFormat="1" ht="45" x14ac:dyDescent="0.2">
      <c r="A279" s="44">
        <v>218</v>
      </c>
      <c r="B279" s="888" t="s">
        <v>299</v>
      </c>
      <c r="C279" s="37">
        <v>1</v>
      </c>
      <c r="D279" s="13">
        <v>4</v>
      </c>
      <c r="E279" s="59">
        <v>1472223</v>
      </c>
      <c r="F279" s="15">
        <f t="shared" si="16"/>
        <v>5888892</v>
      </c>
      <c r="G279" s="15"/>
      <c r="H279" s="15"/>
      <c r="I279" s="15"/>
    </row>
    <row r="280" spans="1:10" s="891" customFormat="1" ht="45" x14ac:dyDescent="0.2">
      <c r="A280" s="44">
        <v>219</v>
      </c>
      <c r="B280" s="888" t="s">
        <v>297</v>
      </c>
      <c r="C280" s="37">
        <v>1</v>
      </c>
      <c r="D280" s="13">
        <v>1</v>
      </c>
      <c r="E280" s="59">
        <v>1315342</v>
      </c>
      <c r="F280" s="15">
        <f t="shared" si="16"/>
        <v>1315342</v>
      </c>
      <c r="G280" s="15"/>
      <c r="H280" s="15"/>
      <c r="I280" s="15"/>
    </row>
    <row r="281" spans="1:10" s="891" customFormat="1" ht="30" x14ac:dyDescent="0.2">
      <c r="A281" s="44">
        <v>220</v>
      </c>
      <c r="B281" s="888" t="s">
        <v>390</v>
      </c>
      <c r="C281" s="919">
        <v>1</v>
      </c>
      <c r="D281" s="13">
        <v>8140</v>
      </c>
      <c r="E281" s="49">
        <v>864.05</v>
      </c>
      <c r="F281" s="15">
        <f>E281*D281</f>
        <v>7033367</v>
      </c>
      <c r="G281" s="15"/>
      <c r="H281" s="15"/>
      <c r="I281" s="15"/>
    </row>
    <row r="282" spans="1:10" s="891" customFormat="1" ht="41.45" customHeight="1" x14ac:dyDescent="0.2">
      <c r="A282" s="44">
        <v>221</v>
      </c>
      <c r="B282" s="888" t="s">
        <v>279</v>
      </c>
      <c r="C282" s="37">
        <v>1</v>
      </c>
      <c r="D282" s="13">
        <v>1628</v>
      </c>
      <c r="E282" s="49">
        <v>80</v>
      </c>
      <c r="F282" s="15">
        <f>E282*D282/C282</f>
        <v>130240</v>
      </c>
      <c r="G282" s="15"/>
      <c r="H282" s="15"/>
      <c r="I282" s="15"/>
    </row>
    <row r="283" spans="1:10" s="891" customFormat="1" ht="23.45" customHeight="1" x14ac:dyDescent="0.2">
      <c r="A283" s="44">
        <v>222</v>
      </c>
      <c r="B283" s="888" t="s">
        <v>280</v>
      </c>
      <c r="C283" s="927" t="s">
        <v>281</v>
      </c>
      <c r="D283" s="13">
        <v>37</v>
      </c>
      <c r="E283" s="49">
        <v>232.8</v>
      </c>
      <c r="F283" s="15">
        <f>E283*D283</f>
        <v>8613.6</v>
      </c>
      <c r="G283" s="15"/>
      <c r="H283" s="15"/>
      <c r="I283" s="15"/>
    </row>
    <row r="284" spans="1:10" s="891" customFormat="1" ht="53.45" customHeight="1" x14ac:dyDescent="0.2">
      <c r="A284" s="44">
        <v>223</v>
      </c>
      <c r="B284" s="888" t="s">
        <v>282</v>
      </c>
      <c r="C284" s="919">
        <v>1</v>
      </c>
      <c r="D284" s="13">
        <v>2590</v>
      </c>
      <c r="E284" s="49">
        <v>5371</v>
      </c>
      <c r="F284" s="15">
        <f>E284*D284</f>
        <v>13910890</v>
      </c>
      <c r="G284" s="15"/>
      <c r="H284" s="15"/>
      <c r="I284" s="15"/>
    </row>
    <row r="285" spans="1:10" s="891" customFormat="1" ht="30" x14ac:dyDescent="0.2">
      <c r="A285" s="44">
        <v>224</v>
      </c>
      <c r="B285" s="888" t="s">
        <v>283</v>
      </c>
      <c r="C285" s="37">
        <v>1</v>
      </c>
      <c r="D285" s="13">
        <v>74</v>
      </c>
      <c r="E285" s="49">
        <v>35582</v>
      </c>
      <c r="F285" s="15">
        <f>E285*D285/C285</f>
        <v>2633068</v>
      </c>
      <c r="G285" s="15"/>
      <c r="H285" s="15"/>
      <c r="I285" s="15"/>
    </row>
    <row r="286" spans="1:10" s="891" customFormat="1" ht="63.6" customHeight="1" x14ac:dyDescent="0.2">
      <c r="A286" s="44">
        <v>225</v>
      </c>
      <c r="B286" s="888" t="s">
        <v>284</v>
      </c>
      <c r="C286" s="919">
        <v>1</v>
      </c>
      <c r="D286" s="13">
        <v>4440</v>
      </c>
      <c r="E286" s="49">
        <v>3866.45</v>
      </c>
      <c r="F286" s="15">
        <f>E286*D286</f>
        <v>17167038</v>
      </c>
      <c r="G286" s="15"/>
      <c r="H286" s="15"/>
      <c r="I286" s="15"/>
    </row>
    <row r="287" spans="1:10" s="891" customFormat="1" ht="45" x14ac:dyDescent="0.2">
      <c r="A287" s="44">
        <v>226</v>
      </c>
      <c r="B287" s="888" t="s">
        <v>285</v>
      </c>
      <c r="C287" s="919">
        <v>1</v>
      </c>
      <c r="D287" s="13">
        <v>740</v>
      </c>
      <c r="E287" s="49">
        <v>3583</v>
      </c>
      <c r="F287" s="15">
        <f>E287*D287</f>
        <v>2651420</v>
      </c>
      <c r="G287" s="15"/>
      <c r="H287" s="15"/>
      <c r="I287" s="15"/>
    </row>
    <row r="288" spans="1:10" s="891" customFormat="1" ht="66.599999999999994" customHeight="1" x14ac:dyDescent="0.2">
      <c r="A288" s="44">
        <v>227</v>
      </c>
      <c r="B288" s="888" t="s">
        <v>286</v>
      </c>
      <c r="C288" s="919">
        <v>1</v>
      </c>
      <c r="D288" s="13">
        <v>370</v>
      </c>
      <c r="E288" s="49">
        <v>3735.5</v>
      </c>
      <c r="F288" s="15">
        <f>E288*D288</f>
        <v>1382135</v>
      </c>
      <c r="G288" s="15"/>
      <c r="H288" s="15"/>
      <c r="I288" s="15"/>
    </row>
    <row r="289" spans="1:10" s="891" customFormat="1" ht="30" x14ac:dyDescent="0.2">
      <c r="A289" s="44">
        <v>228</v>
      </c>
      <c r="B289" s="888" t="s">
        <v>287</v>
      </c>
      <c r="C289" s="37">
        <v>1</v>
      </c>
      <c r="D289" s="13">
        <v>148</v>
      </c>
      <c r="E289" s="49">
        <v>1148</v>
      </c>
      <c r="F289" s="15">
        <f>E289*D289/C289</f>
        <v>169904</v>
      </c>
      <c r="G289" s="15"/>
      <c r="H289" s="15"/>
      <c r="I289" s="15"/>
    </row>
    <row r="290" spans="1:10" s="891" customFormat="1" ht="26.45" customHeight="1" x14ac:dyDescent="0.2">
      <c r="A290" s="44">
        <v>229</v>
      </c>
      <c r="B290" s="888" t="s">
        <v>288</v>
      </c>
      <c r="C290" s="922">
        <v>1</v>
      </c>
      <c r="D290" s="13">
        <v>6520.88</v>
      </c>
      <c r="E290" s="49">
        <v>186.65</v>
      </c>
      <c r="F290" s="15">
        <f>E290*D290</f>
        <v>1217122.2520000001</v>
      </c>
      <c r="G290" s="15"/>
      <c r="H290" s="15"/>
      <c r="I290" s="15"/>
    </row>
    <row r="291" spans="1:10" s="891" customFormat="1" ht="42" customHeight="1" x14ac:dyDescent="0.2">
      <c r="A291" s="44">
        <v>230</v>
      </c>
      <c r="B291" s="888" t="s">
        <v>387</v>
      </c>
      <c r="C291" s="946">
        <v>1</v>
      </c>
      <c r="D291" s="13">
        <v>2664</v>
      </c>
      <c r="E291" s="49">
        <v>3253.1</v>
      </c>
      <c r="F291" s="15">
        <f>E291*D291</f>
        <v>8666258.4000000004</v>
      </c>
      <c r="G291" s="15"/>
      <c r="H291" s="15"/>
      <c r="I291" s="15"/>
    </row>
    <row r="292" spans="1:10" s="891" customFormat="1" ht="42" customHeight="1" x14ac:dyDescent="0.2">
      <c r="A292" s="44">
        <v>231</v>
      </c>
      <c r="B292" s="888" t="s">
        <v>291</v>
      </c>
      <c r="C292" s="919">
        <v>1</v>
      </c>
      <c r="D292" s="13">
        <v>1850</v>
      </c>
      <c r="E292" s="49">
        <v>924.05</v>
      </c>
      <c r="F292" s="15">
        <f>E292*D292</f>
        <v>1709492.5</v>
      </c>
      <c r="G292" s="15"/>
      <c r="H292" s="15"/>
      <c r="I292" s="15"/>
    </row>
    <row r="293" spans="1:10" s="891" customFormat="1" ht="51.6" customHeight="1" x14ac:dyDescent="0.2">
      <c r="A293" s="44">
        <v>232</v>
      </c>
      <c r="B293" s="888" t="s">
        <v>292</v>
      </c>
      <c r="C293" s="922">
        <v>1000</v>
      </c>
      <c r="D293" s="13">
        <v>118400</v>
      </c>
      <c r="E293" s="49">
        <v>11293.9</v>
      </c>
      <c r="F293" s="15">
        <f>E293*D293/C293</f>
        <v>1337197.76</v>
      </c>
      <c r="G293" s="15"/>
      <c r="H293" s="15"/>
      <c r="I293" s="15"/>
    </row>
    <row r="294" spans="1:10" s="891" customFormat="1" ht="67.900000000000006" customHeight="1" x14ac:dyDescent="0.2">
      <c r="A294" s="44">
        <v>233</v>
      </c>
      <c r="B294" s="888" t="s">
        <v>294</v>
      </c>
      <c r="C294" s="919">
        <v>1</v>
      </c>
      <c r="D294" s="13">
        <v>14800</v>
      </c>
      <c r="E294" s="49">
        <v>3565</v>
      </c>
      <c r="F294" s="15">
        <f>E294*D294</f>
        <v>52762000</v>
      </c>
      <c r="G294" s="15"/>
      <c r="H294" s="15"/>
      <c r="I294" s="15"/>
    </row>
    <row r="295" spans="1:10" s="891" customFormat="1" ht="71.45" customHeight="1" x14ac:dyDescent="0.2">
      <c r="A295" s="44">
        <v>234</v>
      </c>
      <c r="B295" s="888" t="s">
        <v>296</v>
      </c>
      <c r="C295" s="919">
        <v>1</v>
      </c>
      <c r="D295" s="13">
        <v>555</v>
      </c>
      <c r="E295" s="49">
        <v>500.3</v>
      </c>
      <c r="F295" s="15">
        <f>E295*D295</f>
        <v>277666.5</v>
      </c>
      <c r="G295" s="15"/>
      <c r="H295" s="15"/>
      <c r="I295" s="15"/>
      <c r="J295" s="913">
        <f>SUM(F281:F295)</f>
        <v>111056413.01199999</v>
      </c>
    </row>
    <row r="296" spans="1:10" s="891" customFormat="1" ht="214.15" customHeight="1" x14ac:dyDescent="0.2">
      <c r="A296" s="44">
        <v>235</v>
      </c>
      <c r="B296" s="888" t="s">
        <v>300</v>
      </c>
      <c r="C296" s="37">
        <v>1</v>
      </c>
      <c r="D296" s="13">
        <v>87</v>
      </c>
      <c r="E296" s="911">
        <v>1950150</v>
      </c>
      <c r="F296" s="15">
        <f t="shared" ref="F296:F304" si="17">E296*D296/C296</f>
        <v>169663050</v>
      </c>
      <c r="G296" s="15"/>
      <c r="H296" s="15"/>
      <c r="I296" s="15"/>
    </row>
    <row r="297" spans="1:10" s="891" customFormat="1" ht="27" customHeight="1" x14ac:dyDescent="0.2">
      <c r="A297" s="44">
        <v>236</v>
      </c>
      <c r="B297" s="876" t="s">
        <v>339</v>
      </c>
      <c r="C297" s="37">
        <v>1</v>
      </c>
      <c r="D297" s="13">
        <v>1</v>
      </c>
      <c r="E297" s="65">
        <v>1829000</v>
      </c>
      <c r="F297" s="15">
        <f t="shared" si="17"/>
        <v>1829000</v>
      </c>
      <c r="G297" s="15"/>
      <c r="H297" s="15"/>
      <c r="I297" s="15"/>
    </row>
    <row r="298" spans="1:10" s="891" customFormat="1" ht="90" x14ac:dyDescent="0.2">
      <c r="A298" s="44">
        <v>237</v>
      </c>
      <c r="B298" s="876" t="s">
        <v>340</v>
      </c>
      <c r="C298" s="37">
        <v>1</v>
      </c>
      <c r="D298" s="13">
        <v>1</v>
      </c>
      <c r="E298" s="65">
        <v>4250000</v>
      </c>
      <c r="F298" s="15">
        <f t="shared" si="17"/>
        <v>4250000</v>
      </c>
      <c r="G298" s="15"/>
      <c r="H298" s="15"/>
      <c r="I298" s="15"/>
    </row>
    <row r="299" spans="1:10" s="891" customFormat="1" ht="75" x14ac:dyDescent="0.2">
      <c r="A299" s="44">
        <v>238</v>
      </c>
      <c r="B299" s="876" t="s">
        <v>341</v>
      </c>
      <c r="C299" s="37">
        <v>1</v>
      </c>
      <c r="D299" s="13">
        <v>1</v>
      </c>
      <c r="E299" s="49">
        <v>1475000</v>
      </c>
      <c r="F299" s="15">
        <f t="shared" si="17"/>
        <v>1475000</v>
      </c>
      <c r="G299" s="15"/>
      <c r="H299" s="15"/>
      <c r="I299" s="15"/>
    </row>
    <row r="300" spans="1:10" s="891" customFormat="1" ht="45" x14ac:dyDescent="0.2">
      <c r="A300" s="44">
        <v>239</v>
      </c>
      <c r="B300" s="876" t="s">
        <v>342</v>
      </c>
      <c r="C300" s="37">
        <v>1</v>
      </c>
      <c r="D300" s="13">
        <v>4</v>
      </c>
      <c r="E300" s="49">
        <v>129800</v>
      </c>
      <c r="F300" s="15">
        <f t="shared" si="17"/>
        <v>519200</v>
      </c>
      <c r="G300" s="15"/>
      <c r="H300" s="15"/>
      <c r="I300" s="15"/>
    </row>
    <row r="301" spans="1:10" s="891" customFormat="1" ht="90" x14ac:dyDescent="0.2">
      <c r="A301" s="44">
        <v>240</v>
      </c>
      <c r="B301" s="876" t="s">
        <v>343</v>
      </c>
      <c r="C301" s="37">
        <v>1</v>
      </c>
      <c r="D301" s="13">
        <v>2</v>
      </c>
      <c r="E301" s="49">
        <v>850000</v>
      </c>
      <c r="F301" s="15">
        <f t="shared" si="17"/>
        <v>1700000</v>
      </c>
      <c r="G301" s="15"/>
      <c r="H301" s="15"/>
      <c r="I301" s="15"/>
    </row>
    <row r="302" spans="1:10" s="891" customFormat="1" ht="210.75" x14ac:dyDescent="0.2">
      <c r="A302" s="44">
        <v>241</v>
      </c>
      <c r="B302" s="888" t="s">
        <v>477</v>
      </c>
      <c r="C302" s="37">
        <v>1</v>
      </c>
      <c r="D302" s="13">
        <v>6</v>
      </c>
      <c r="E302" s="66">
        <v>5061387.5</v>
      </c>
      <c r="F302" s="15">
        <f t="shared" si="17"/>
        <v>30368325</v>
      </c>
      <c r="G302" s="15"/>
      <c r="H302" s="15"/>
      <c r="I302" s="15"/>
    </row>
    <row r="303" spans="1:10" s="891" customFormat="1" ht="210" x14ac:dyDescent="0.2">
      <c r="A303" s="44">
        <v>242</v>
      </c>
      <c r="B303" s="888" t="s">
        <v>426</v>
      </c>
      <c r="C303" s="37">
        <v>1</v>
      </c>
      <c r="D303" s="13">
        <v>7</v>
      </c>
      <c r="E303" s="66">
        <v>4116450</v>
      </c>
      <c r="F303" s="15">
        <f t="shared" si="17"/>
        <v>28815150</v>
      </c>
      <c r="G303" s="15"/>
      <c r="H303" s="15"/>
      <c r="I303" s="15"/>
    </row>
    <row r="304" spans="1:10" s="891" customFormat="1" ht="211.15" customHeight="1" x14ac:dyDescent="0.2">
      <c r="A304" s="44">
        <v>243</v>
      </c>
      <c r="B304" s="888" t="s">
        <v>427</v>
      </c>
      <c r="C304" s="37">
        <v>1</v>
      </c>
      <c r="D304" s="13">
        <v>1</v>
      </c>
      <c r="E304" s="66">
        <v>8787425</v>
      </c>
      <c r="F304" s="15">
        <f t="shared" si="17"/>
        <v>8787425</v>
      </c>
      <c r="G304" s="15"/>
      <c r="H304" s="15"/>
      <c r="I304" s="15"/>
    </row>
    <row r="305" spans="1:17" s="887" customFormat="1" x14ac:dyDescent="0.2">
      <c r="A305" s="44">
        <v>244</v>
      </c>
      <c r="B305" s="876" t="s">
        <v>429</v>
      </c>
      <c r="C305" s="22" t="s">
        <v>347</v>
      </c>
      <c r="D305" s="13">
        <v>0</v>
      </c>
      <c r="E305" s="30"/>
      <c r="F305" s="15">
        <v>1300000</v>
      </c>
      <c r="G305" s="15"/>
      <c r="H305" s="15"/>
      <c r="I305" s="15"/>
    </row>
    <row r="306" spans="1:17" s="887" customFormat="1" x14ac:dyDescent="0.2">
      <c r="A306" s="44">
        <v>245</v>
      </c>
      <c r="B306" s="876" t="s">
        <v>428</v>
      </c>
      <c r="C306" s="22" t="s">
        <v>347</v>
      </c>
      <c r="D306" s="13">
        <v>0</v>
      </c>
      <c r="E306" s="30"/>
      <c r="F306" s="15">
        <v>700000</v>
      </c>
      <c r="G306" s="15"/>
      <c r="H306" s="15"/>
      <c r="I306" s="15"/>
    </row>
    <row r="307" spans="1:17" s="887" customFormat="1" x14ac:dyDescent="0.2">
      <c r="A307" s="44">
        <v>246</v>
      </c>
      <c r="B307" s="876" t="s">
        <v>432</v>
      </c>
      <c r="C307" s="22" t="s">
        <v>347</v>
      </c>
      <c r="D307" s="13">
        <v>0</v>
      </c>
      <c r="E307" s="30"/>
      <c r="F307" s="15">
        <v>500000</v>
      </c>
      <c r="G307" s="15"/>
      <c r="H307" s="15"/>
      <c r="I307" s="15"/>
    </row>
    <row r="308" spans="1:17" s="887" customFormat="1" x14ac:dyDescent="0.2">
      <c r="A308" s="44">
        <v>247</v>
      </c>
      <c r="B308" s="876" t="s">
        <v>430</v>
      </c>
      <c r="C308" s="22" t="s">
        <v>347</v>
      </c>
      <c r="D308" s="13">
        <v>0</v>
      </c>
      <c r="E308" s="30"/>
      <c r="F308" s="15">
        <v>500000</v>
      </c>
      <c r="G308" s="15"/>
      <c r="H308" s="15"/>
      <c r="I308" s="15"/>
    </row>
    <row r="309" spans="1:17" s="887" customFormat="1" x14ac:dyDescent="0.2">
      <c r="A309" s="44">
        <v>248</v>
      </c>
      <c r="B309" s="876" t="s">
        <v>431</v>
      </c>
      <c r="C309" s="22" t="s">
        <v>347</v>
      </c>
      <c r="D309" s="13">
        <v>0</v>
      </c>
      <c r="E309" s="30"/>
      <c r="F309" s="15">
        <v>500000</v>
      </c>
      <c r="G309" s="15"/>
      <c r="H309" s="15"/>
      <c r="I309" s="15"/>
    </row>
    <row r="310" spans="1:17" s="887" customFormat="1" x14ac:dyDescent="0.2">
      <c r="A310" s="44">
        <v>249</v>
      </c>
      <c r="B310" s="884" t="s">
        <v>433</v>
      </c>
      <c r="C310" s="22" t="s">
        <v>347</v>
      </c>
      <c r="D310" s="13">
        <v>0</v>
      </c>
      <c r="E310" s="30"/>
      <c r="F310" s="15">
        <v>250000</v>
      </c>
      <c r="G310" s="15"/>
      <c r="H310" s="15"/>
      <c r="I310" s="15"/>
    </row>
    <row r="311" spans="1:17" s="887" customFormat="1" x14ac:dyDescent="0.2">
      <c r="A311" s="44">
        <v>250</v>
      </c>
      <c r="B311" s="884" t="s">
        <v>434</v>
      </c>
      <c r="C311" s="22" t="s">
        <v>347</v>
      </c>
      <c r="D311" s="13">
        <v>0</v>
      </c>
      <c r="E311" s="30"/>
      <c r="F311" s="15">
        <v>250000</v>
      </c>
      <c r="G311" s="15"/>
      <c r="H311" s="15"/>
      <c r="I311" s="15"/>
    </row>
    <row r="312" spans="1:17" s="887" customFormat="1" x14ac:dyDescent="0.2">
      <c r="A312" s="44">
        <v>251</v>
      </c>
      <c r="B312" s="884" t="s">
        <v>354</v>
      </c>
      <c r="C312" s="22" t="s">
        <v>347</v>
      </c>
      <c r="D312" s="13">
        <v>5</v>
      </c>
      <c r="E312" s="40">
        <v>100000</v>
      </c>
      <c r="F312" s="15">
        <v>500000</v>
      </c>
      <c r="G312" s="15"/>
      <c r="H312" s="15"/>
      <c r="I312" s="15"/>
    </row>
    <row r="313" spans="1:17" s="887" customFormat="1" ht="15.75" x14ac:dyDescent="0.2">
      <c r="A313" s="44">
        <v>252</v>
      </c>
      <c r="B313" s="928" t="s">
        <v>355</v>
      </c>
      <c r="C313" s="22" t="s">
        <v>347</v>
      </c>
      <c r="D313" s="13">
        <v>1</v>
      </c>
      <c r="E313" s="30"/>
      <c r="F313" s="15">
        <v>1500000</v>
      </c>
      <c r="G313" s="15"/>
      <c r="H313" s="15"/>
      <c r="I313" s="15"/>
    </row>
    <row r="314" spans="1:17" s="887" customFormat="1" ht="15.75" x14ac:dyDescent="0.2">
      <c r="A314" s="44">
        <v>253</v>
      </c>
      <c r="B314" s="928" t="s">
        <v>356</v>
      </c>
      <c r="C314" s="22" t="s">
        <v>347</v>
      </c>
      <c r="D314" s="13">
        <v>3</v>
      </c>
      <c r="E314" s="40">
        <v>500000</v>
      </c>
      <c r="F314" s="15">
        <v>1500000</v>
      </c>
      <c r="G314" s="15"/>
      <c r="H314" s="15"/>
      <c r="I314" s="15"/>
    </row>
    <row r="315" spans="1:17" s="887" customFormat="1" ht="15.75" x14ac:dyDescent="0.2">
      <c r="A315" s="44">
        <v>254</v>
      </c>
      <c r="B315" s="928" t="s">
        <v>357</v>
      </c>
      <c r="C315" s="22" t="s">
        <v>347</v>
      </c>
      <c r="D315" s="13">
        <v>1</v>
      </c>
      <c r="E315" s="30"/>
      <c r="F315" s="15">
        <v>500000</v>
      </c>
      <c r="G315" s="15"/>
      <c r="H315" s="15"/>
      <c r="I315" s="15"/>
    </row>
    <row r="316" spans="1:17" x14ac:dyDescent="0.2">
      <c r="A316" s="44">
        <v>255</v>
      </c>
      <c r="B316" s="884" t="s">
        <v>435</v>
      </c>
      <c r="C316" s="22" t="s">
        <v>347</v>
      </c>
      <c r="D316" s="13">
        <v>1</v>
      </c>
      <c r="E316" s="30"/>
      <c r="F316" s="15">
        <v>125000</v>
      </c>
      <c r="G316" s="15"/>
      <c r="H316" s="15"/>
      <c r="I316" s="15"/>
    </row>
    <row r="317" spans="1:17" x14ac:dyDescent="0.2">
      <c r="A317" s="44">
        <v>256</v>
      </c>
      <c r="B317" s="884" t="s">
        <v>436</v>
      </c>
      <c r="C317" s="22" t="s">
        <v>347</v>
      </c>
      <c r="D317" s="13">
        <v>1</v>
      </c>
      <c r="E317" s="30"/>
      <c r="F317" s="15">
        <v>100000</v>
      </c>
      <c r="G317" s="15"/>
      <c r="H317" s="15"/>
      <c r="I317" s="15"/>
      <c r="O317" s="891"/>
      <c r="P317" s="891"/>
      <c r="Q317" s="891">
        <f>O317+P317</f>
        <v>0</v>
      </c>
    </row>
    <row r="318" spans="1:17" x14ac:dyDescent="0.2">
      <c r="A318" s="44">
        <v>257</v>
      </c>
      <c r="B318" s="884" t="s">
        <v>437</v>
      </c>
      <c r="C318" s="22" t="s">
        <v>347</v>
      </c>
      <c r="D318" s="13">
        <v>1</v>
      </c>
      <c r="E318" s="30"/>
      <c r="F318" s="15">
        <v>100000</v>
      </c>
      <c r="G318" s="15"/>
      <c r="H318" s="15"/>
      <c r="I318" s="15"/>
      <c r="O318" s="891">
        <v>187601.82</v>
      </c>
      <c r="P318" s="891">
        <v>40000</v>
      </c>
      <c r="Q318" s="891">
        <f t="shared" ref="Q318:Q326" si="18">O318+P318</f>
        <v>227601.82</v>
      </c>
    </row>
    <row r="319" spans="1:17" ht="16.899999999999999" customHeight="1" x14ac:dyDescent="0.2">
      <c r="A319" s="44">
        <v>258</v>
      </c>
      <c r="B319" s="884" t="s">
        <v>438</v>
      </c>
      <c r="C319" s="22" t="s">
        <v>347</v>
      </c>
      <c r="D319" s="13">
        <v>1</v>
      </c>
      <c r="E319" s="30"/>
      <c r="F319" s="15">
        <v>175000</v>
      </c>
      <c r="G319" s="15"/>
      <c r="H319" s="15"/>
      <c r="I319" s="15"/>
      <c r="O319" s="891">
        <v>101544.2</v>
      </c>
      <c r="P319" s="891">
        <v>40000</v>
      </c>
      <c r="Q319" s="891">
        <f t="shared" si="18"/>
        <v>141544.20000000001</v>
      </c>
    </row>
    <row r="320" spans="1:17" ht="23.45" customHeight="1" thickBot="1" x14ac:dyDescent="0.25">
      <c r="A320" s="869">
        <v>259</v>
      </c>
      <c r="B320" s="950" t="s">
        <v>439</v>
      </c>
      <c r="C320" s="951" t="s">
        <v>347</v>
      </c>
      <c r="D320" s="952">
        <v>1</v>
      </c>
      <c r="E320" s="953"/>
      <c r="F320" s="954">
        <v>500000</v>
      </c>
      <c r="G320" s="954"/>
      <c r="H320" s="954"/>
      <c r="I320" s="954"/>
      <c r="J320" s="882">
        <f>SUM(F305:F320)</f>
        <v>9000000</v>
      </c>
      <c r="O320" s="891">
        <v>134924</v>
      </c>
      <c r="P320" s="891">
        <v>40000</v>
      </c>
      <c r="Q320" s="891">
        <f t="shared" si="18"/>
        <v>174924</v>
      </c>
    </row>
    <row r="321" spans="1:17" ht="36.6" customHeight="1" thickBot="1" x14ac:dyDescent="0.25">
      <c r="A321" s="1010" t="s">
        <v>498</v>
      </c>
      <c r="B321" s="1011"/>
      <c r="C321" s="1011"/>
      <c r="D321" s="955"/>
      <c r="E321" s="955"/>
      <c r="F321" s="955"/>
      <c r="G321" s="955"/>
      <c r="H321" s="955"/>
      <c r="I321" s="956"/>
      <c r="O321" s="891">
        <v>207719.6</v>
      </c>
      <c r="P321" s="891">
        <v>40000</v>
      </c>
      <c r="Q321" s="891">
        <f t="shared" si="18"/>
        <v>247719.6</v>
      </c>
    </row>
    <row r="322" spans="1:17" x14ac:dyDescent="0.2">
      <c r="B322" s="930"/>
      <c r="O322" s="891">
        <v>274993.59999999998</v>
      </c>
      <c r="P322" s="891">
        <v>156780</v>
      </c>
      <c r="Q322" s="891">
        <f t="shared" si="18"/>
        <v>431773.6</v>
      </c>
    </row>
    <row r="323" spans="1:17" x14ac:dyDescent="0.2">
      <c r="B323" s="930"/>
      <c r="E323" s="933" t="s">
        <v>415</v>
      </c>
      <c r="F323" s="934">
        <f>SUM(F5:F320)</f>
        <v>2262037920.5902777</v>
      </c>
      <c r="G323" s="936"/>
      <c r="H323" s="936"/>
      <c r="I323" s="936"/>
      <c r="O323" s="891">
        <v>141014</v>
      </c>
      <c r="P323" s="891">
        <v>40000</v>
      </c>
      <c r="Q323" s="891">
        <f t="shared" si="18"/>
        <v>181014</v>
      </c>
    </row>
    <row r="324" spans="1:17" x14ac:dyDescent="0.2">
      <c r="F324" s="936"/>
      <c r="G324" s="936"/>
      <c r="H324" s="936"/>
      <c r="I324" s="936"/>
      <c r="O324" s="891">
        <v>301093.59999999998</v>
      </c>
      <c r="P324" s="891">
        <v>156780</v>
      </c>
      <c r="Q324" s="891">
        <f t="shared" si="18"/>
        <v>457873.6</v>
      </c>
    </row>
    <row r="325" spans="1:17" x14ac:dyDescent="0.2">
      <c r="E325" s="933" t="s">
        <v>416</v>
      </c>
      <c r="F325" s="934">
        <v>2279229198.29</v>
      </c>
      <c r="G325" s="936"/>
      <c r="H325" s="936"/>
      <c r="I325" s="936"/>
      <c r="O325" s="891">
        <v>143304</v>
      </c>
      <c r="P325" s="891">
        <v>40000</v>
      </c>
      <c r="Q325" s="891">
        <f t="shared" si="18"/>
        <v>183304</v>
      </c>
    </row>
    <row r="326" spans="1:17" x14ac:dyDescent="0.2">
      <c r="F326" s="936"/>
      <c r="G326" s="936"/>
      <c r="H326" s="936"/>
      <c r="I326" s="936"/>
      <c r="O326" s="891">
        <v>1426668.4</v>
      </c>
      <c r="P326" s="891">
        <v>156780</v>
      </c>
      <c r="Q326" s="891">
        <f t="shared" si="18"/>
        <v>1583448.4</v>
      </c>
    </row>
    <row r="327" spans="1:17" ht="15.75" x14ac:dyDescent="0.25">
      <c r="E327" s="933" t="s">
        <v>417</v>
      </c>
      <c r="F327" s="937">
        <f>F323-F325</f>
        <v>-17191277.69972229</v>
      </c>
      <c r="G327" s="949"/>
      <c r="H327" s="949"/>
      <c r="I327" s="949"/>
      <c r="J327" s="870">
        <f>16069459</f>
        <v>16069459</v>
      </c>
      <c r="O327" s="891"/>
      <c r="P327" s="891"/>
      <c r="Q327" s="891">
        <f>SUM(Q317:Q326)</f>
        <v>3629203.2199999997</v>
      </c>
    </row>
    <row r="328" spans="1:17" x14ac:dyDescent="0.2">
      <c r="J328" s="870">
        <v>4726644</v>
      </c>
    </row>
    <row r="329" spans="1:17" x14ac:dyDescent="0.2">
      <c r="F329" s="933">
        <f>F327+J329+J330+J331+L330+L334+K329+K330</f>
        <v>6363.3002777099609</v>
      </c>
      <c r="J329" s="870">
        <f>J327-J328</f>
        <v>11342815</v>
      </c>
      <c r="K329" s="870">
        <v>2000000</v>
      </c>
    </row>
    <row r="330" spans="1:17" x14ac:dyDescent="0.2">
      <c r="J330" s="891">
        <v>3629203</v>
      </c>
      <c r="K330" s="870">
        <v>225000</v>
      </c>
    </row>
    <row r="331" spans="1:17" x14ac:dyDescent="0.2">
      <c r="J331" s="870">
        <v>623</v>
      </c>
    </row>
    <row r="332" spans="1:17" x14ac:dyDescent="0.2">
      <c r="A332" s="870"/>
      <c r="B332" s="938"/>
      <c r="C332" s="870"/>
      <c r="D332" s="870"/>
      <c r="E332" s="870"/>
      <c r="F332" s="870"/>
      <c r="G332" s="870"/>
      <c r="H332" s="870"/>
      <c r="I332" s="870"/>
      <c r="J332" s="933">
        <f>SUM(J329:J331)</f>
        <v>14972641</v>
      </c>
      <c r="M332" s="877">
        <f>M331+N353</f>
        <v>0</v>
      </c>
    </row>
    <row r="334" spans="1:17" x14ac:dyDescent="0.2">
      <c r="A334" s="870"/>
      <c r="B334" s="938"/>
      <c r="C334" s="870"/>
      <c r="D334" s="870"/>
      <c r="E334" s="870"/>
      <c r="F334" s="870"/>
      <c r="G334" s="870"/>
      <c r="H334" s="870"/>
      <c r="I334" s="870"/>
      <c r="O334" s="877"/>
    </row>
  </sheetData>
  <mergeCells count="22">
    <mergeCell ref="A1:I1"/>
    <mergeCell ref="A2:I2"/>
    <mergeCell ref="A3:A4"/>
    <mergeCell ref="B3:B4"/>
    <mergeCell ref="C3:C4"/>
    <mergeCell ref="D3:D4"/>
    <mergeCell ref="E3:E4"/>
    <mergeCell ref="F3:F4"/>
    <mergeCell ref="G3:H3"/>
    <mergeCell ref="I3:I4"/>
    <mergeCell ref="A321:C321"/>
    <mergeCell ref="A7:A22"/>
    <mergeCell ref="A23:A27"/>
    <mergeCell ref="A34:A36"/>
    <mergeCell ref="A45:A54"/>
    <mergeCell ref="A109:A111"/>
    <mergeCell ref="A135:A138"/>
    <mergeCell ref="A139:A141"/>
    <mergeCell ref="A143:A146"/>
    <mergeCell ref="A174:A177"/>
    <mergeCell ref="A178:A180"/>
    <mergeCell ref="A209:A212"/>
  </mergeCells>
  <printOptions horizontalCentered="1"/>
  <pageMargins left="0.98425196850393704" right="7.874015748031496E-2" top="0.27559055118110237" bottom="1.1023622047244095" header="0.31496062992125984" footer="0.31496062992125984"/>
  <pageSetup paperSize="9" scale="58" fitToHeight="0" orientation="landscape"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AE485"/>
  <sheetViews>
    <sheetView view="pageBreakPreview" zoomScale="70" zoomScaleNormal="70" zoomScaleSheetLayoutView="70" workbookViewId="0">
      <pane xSplit="3" ySplit="3" topLeftCell="T243" activePane="bottomRight" state="frozen"/>
      <selection activeCell="T122" sqref="T122"/>
      <selection pane="topRight" activeCell="T122" sqref="T122"/>
      <selection pane="bottomLeft" activeCell="T122" sqref="T122"/>
      <selection pane="bottomRight" activeCell="T122" sqref="T122"/>
    </sheetView>
  </sheetViews>
  <sheetFormatPr defaultColWidth="9.140625" defaultRowHeight="15.75" x14ac:dyDescent="0.25"/>
  <cols>
    <col min="1" max="1" width="5.85546875" style="156" bestFit="1" customWidth="1"/>
    <col min="2" max="2" width="63.7109375" style="160" customWidth="1"/>
    <col min="3" max="3" width="17.7109375" style="7" bestFit="1" customWidth="1"/>
    <col min="4" max="4" width="18.85546875" style="151" customWidth="1"/>
    <col min="5" max="5" width="17.85546875" style="153" customWidth="1"/>
    <col min="6" max="6" width="16.85546875" style="153" bestFit="1" customWidth="1"/>
    <col min="7" max="7" width="17" style="153" customWidth="1"/>
    <col min="8" max="10" width="17.28515625" style="153" bestFit="1" customWidth="1"/>
    <col min="11" max="13" width="16" style="153" bestFit="1" customWidth="1"/>
    <col min="14" max="14" width="14" style="153" bestFit="1" customWidth="1"/>
    <col min="15" max="16" width="16" style="153" bestFit="1" customWidth="1"/>
    <col min="17" max="17" width="16.7109375" style="153" bestFit="1" customWidth="1"/>
    <col min="18" max="18" width="16" style="153" bestFit="1" customWidth="1"/>
    <col min="19" max="19" width="14.42578125" style="153" customWidth="1"/>
    <col min="20" max="20" width="18.7109375" style="153" customWidth="1"/>
    <col min="21" max="21" width="19.140625" style="153" bestFit="1" customWidth="1"/>
    <col min="22" max="22" width="17.85546875" style="153" customWidth="1"/>
    <col min="23" max="23" width="24.7109375" style="153" customWidth="1"/>
    <col min="24" max="26" width="18.42578125" style="1" bestFit="1" customWidth="1"/>
    <col min="27" max="27" width="16.5703125" style="1" bestFit="1" customWidth="1"/>
    <col min="28" max="28" width="17.28515625" style="1" bestFit="1" customWidth="1"/>
    <col min="29" max="29" width="16.5703125" style="1" bestFit="1" customWidth="1"/>
    <col min="30" max="16384" width="9.140625" style="1"/>
  </cols>
  <sheetData>
    <row r="1" spans="1:23" ht="26.25" x14ac:dyDescent="0.25">
      <c r="A1" s="1035" t="s">
        <v>0</v>
      </c>
      <c r="B1" s="1035"/>
      <c r="C1" s="1035"/>
      <c r="D1" s="1035"/>
      <c r="E1" s="1035"/>
      <c r="F1" s="1035"/>
      <c r="G1" s="1035"/>
      <c r="H1" s="1035"/>
      <c r="I1" s="1035"/>
      <c r="J1" s="1035"/>
      <c r="K1" s="1035"/>
      <c r="L1" s="1035"/>
      <c r="M1" s="1035"/>
      <c r="N1" s="1035"/>
      <c r="O1" s="1035"/>
      <c r="P1" s="1035"/>
      <c r="Q1" s="1035"/>
      <c r="R1" s="1035"/>
      <c r="S1" s="1035"/>
      <c r="T1" s="1035"/>
      <c r="U1" s="1035"/>
      <c r="V1" s="1035"/>
      <c r="W1" s="1035"/>
    </row>
    <row r="2" spans="1:23" ht="21" x14ac:dyDescent="0.25">
      <c r="A2" s="1036" t="s">
        <v>1</v>
      </c>
      <c r="B2" s="1036"/>
      <c r="C2" s="1036"/>
      <c r="D2" s="1036"/>
      <c r="E2" s="1036"/>
      <c r="F2" s="1036"/>
      <c r="G2" s="1036"/>
      <c r="H2" s="1036"/>
      <c r="I2" s="1036"/>
      <c r="J2" s="1036"/>
      <c r="K2" s="1036"/>
      <c r="L2" s="1036"/>
      <c r="M2" s="1036"/>
      <c r="N2" s="1036"/>
      <c r="O2" s="1036"/>
      <c r="P2" s="1036"/>
      <c r="Q2" s="1036"/>
      <c r="R2" s="1036"/>
      <c r="S2" s="1036"/>
      <c r="T2" s="1036"/>
      <c r="U2" s="1036"/>
      <c r="V2" s="1036"/>
      <c r="W2" s="1036"/>
    </row>
    <row r="3" spans="1:23" s="2" customFormat="1" ht="72" x14ac:dyDescent="0.3">
      <c r="A3" s="196" t="s">
        <v>2</v>
      </c>
      <c r="B3" s="396" t="s">
        <v>3</v>
      </c>
      <c r="C3" s="396" t="s">
        <v>4</v>
      </c>
      <c r="D3" s="397" t="s">
        <v>366</v>
      </c>
      <c r="E3" s="397" t="s">
        <v>367</v>
      </c>
      <c r="F3" s="397" t="s">
        <v>368</v>
      </c>
      <c r="G3" s="397" t="s">
        <v>369</v>
      </c>
      <c r="H3" s="397" t="s">
        <v>370</v>
      </c>
      <c r="I3" s="397" t="s">
        <v>371</v>
      </c>
      <c r="J3" s="398" t="s">
        <v>372</v>
      </c>
      <c r="K3" s="397" t="s">
        <v>373</v>
      </c>
      <c r="L3" s="398" t="s">
        <v>374</v>
      </c>
      <c r="M3" s="398" t="s">
        <v>375</v>
      </c>
      <c r="N3" s="397" t="s">
        <v>376</v>
      </c>
      <c r="O3" s="397" t="s">
        <v>377</v>
      </c>
      <c r="P3" s="397" t="s">
        <v>379</v>
      </c>
      <c r="Q3" s="397" t="s">
        <v>382</v>
      </c>
      <c r="R3" s="397" t="s">
        <v>383</v>
      </c>
      <c r="S3" s="397" t="s">
        <v>379</v>
      </c>
      <c r="T3" s="398" t="s">
        <v>400</v>
      </c>
      <c r="U3" s="398" t="s">
        <v>391</v>
      </c>
      <c r="V3" s="398" t="s">
        <v>6</v>
      </c>
      <c r="W3" s="397" t="s">
        <v>7</v>
      </c>
    </row>
    <row r="4" spans="1:23" s="161" customFormat="1" ht="22.5" x14ac:dyDescent="0.45">
      <c r="A4" s="197">
        <v>1</v>
      </c>
      <c r="B4" s="198" t="s">
        <v>394</v>
      </c>
      <c r="C4" s="399"/>
      <c r="D4" s="399"/>
      <c r="E4" s="400"/>
      <c r="F4" s="400"/>
      <c r="G4" s="400"/>
      <c r="H4" s="400"/>
      <c r="I4" s="400"/>
      <c r="J4" s="400"/>
      <c r="K4" s="400"/>
      <c r="L4" s="400"/>
      <c r="M4" s="400"/>
      <c r="N4" s="400"/>
      <c r="O4" s="400"/>
      <c r="P4" s="400"/>
      <c r="Q4" s="400"/>
      <c r="R4" s="400"/>
      <c r="S4" s="400"/>
      <c r="T4" s="400"/>
      <c r="U4" s="400"/>
      <c r="V4" s="400"/>
      <c r="W4" s="400"/>
    </row>
    <row r="5" spans="1:23" ht="75" x14ac:dyDescent="0.25">
      <c r="A5" s="116">
        <v>1</v>
      </c>
      <c r="B5" s="92" t="s">
        <v>8</v>
      </c>
      <c r="C5" s="12">
        <v>1000</v>
      </c>
      <c r="D5" s="33">
        <v>616487.5</v>
      </c>
      <c r="E5" s="13">
        <v>590424.88</v>
      </c>
      <c r="F5" s="13">
        <v>203524.5</v>
      </c>
      <c r="G5" s="13">
        <v>2110200</v>
      </c>
      <c r="H5" s="13">
        <v>15023937.5</v>
      </c>
      <c r="I5" s="13">
        <v>10154747.5</v>
      </c>
      <c r="J5" s="13">
        <v>19380715.75</v>
      </c>
      <c r="K5" s="13">
        <v>4710315</v>
      </c>
      <c r="L5" s="13">
        <v>2187776.7000000002</v>
      </c>
      <c r="M5" s="13">
        <v>1671902.1400000001</v>
      </c>
      <c r="N5" s="13">
        <v>307260.39</v>
      </c>
      <c r="O5" s="13">
        <v>4234073.0999999996</v>
      </c>
      <c r="P5" s="13">
        <v>3676695</v>
      </c>
      <c r="Q5" s="13">
        <v>15402.5</v>
      </c>
      <c r="R5" s="13">
        <v>4410982.0599999996</v>
      </c>
      <c r="S5" s="13"/>
      <c r="T5" s="13"/>
      <c r="U5" s="13">
        <f>SUM(D5:T5)</f>
        <v>69294444.519999996</v>
      </c>
      <c r="V5" s="14">
        <v>4640.7</v>
      </c>
      <c r="W5" s="15">
        <f>V5*U5/C5</f>
        <v>321574728.68396401</v>
      </c>
    </row>
    <row r="6" spans="1:23" ht="30" x14ac:dyDescent="0.25">
      <c r="A6" s="116">
        <v>2</v>
      </c>
      <c r="B6" s="92" t="s">
        <v>9</v>
      </c>
      <c r="C6" s="12">
        <v>1000</v>
      </c>
      <c r="D6" s="33">
        <v>174315</v>
      </c>
      <c r="E6" s="13">
        <v>112011.005</v>
      </c>
      <c r="F6" s="13">
        <v>262075.5</v>
      </c>
      <c r="G6" s="13">
        <v>680530</v>
      </c>
      <c r="H6" s="13">
        <v>2113837.5</v>
      </c>
      <c r="I6" s="13">
        <v>4167935</v>
      </c>
      <c r="J6" s="13">
        <v>5396103.75</v>
      </c>
      <c r="K6" s="13">
        <v>2201861.25</v>
      </c>
      <c r="L6" s="13">
        <v>1607647.35</v>
      </c>
      <c r="M6" s="13">
        <v>1638852.06</v>
      </c>
      <c r="N6" s="13">
        <v>392780.14500000002</v>
      </c>
      <c r="O6" s="13">
        <v>1712983.98</v>
      </c>
      <c r="P6" s="13">
        <v>4402362.5</v>
      </c>
      <c r="Q6" s="13">
        <v>51770</v>
      </c>
      <c r="R6" s="13">
        <v>1949662.13</v>
      </c>
      <c r="S6" s="13"/>
      <c r="T6" s="13"/>
      <c r="U6" s="13">
        <f>SUM(D6:T6)</f>
        <v>26864727.169999998</v>
      </c>
      <c r="V6" s="14">
        <v>940.9</v>
      </c>
      <c r="W6" s="15">
        <f t="shared" ref="W6:W68" si="0">V6*U6/C6</f>
        <v>25277021.794252999</v>
      </c>
    </row>
    <row r="7" spans="1:23" ht="45" x14ac:dyDescent="0.25">
      <c r="A7" s="116">
        <v>3</v>
      </c>
      <c r="B7" s="92" t="s">
        <v>10</v>
      </c>
      <c r="C7" s="33"/>
      <c r="D7" s="33"/>
      <c r="E7" s="13"/>
      <c r="F7" s="13"/>
      <c r="G7" s="13"/>
      <c r="H7" s="13"/>
      <c r="I7" s="13"/>
      <c r="J7" s="13"/>
      <c r="K7" s="13"/>
      <c r="L7" s="13"/>
      <c r="M7" s="13"/>
      <c r="N7" s="13"/>
      <c r="O7" s="13"/>
      <c r="P7" s="13"/>
      <c r="Q7" s="13"/>
      <c r="R7" s="13"/>
      <c r="S7" s="13"/>
      <c r="T7" s="13"/>
      <c r="U7" s="13">
        <v>0</v>
      </c>
      <c r="V7" s="14">
        <v>0</v>
      </c>
      <c r="W7" s="14">
        <v>0</v>
      </c>
    </row>
    <row r="8" spans="1:23" x14ac:dyDescent="0.25">
      <c r="A8" s="116"/>
      <c r="B8" s="92" t="s">
        <v>11</v>
      </c>
      <c r="C8" s="12">
        <v>1000</v>
      </c>
      <c r="D8" s="33">
        <v>20640</v>
      </c>
      <c r="E8" s="13">
        <v>4055.6700000000005</v>
      </c>
      <c r="F8" s="13">
        <v>3727.5</v>
      </c>
      <c r="G8" s="13">
        <v>8217.5000000000036</v>
      </c>
      <c r="H8" s="13">
        <v>12747.499999999998</v>
      </c>
      <c r="I8" s="13">
        <v>100405</v>
      </c>
      <c r="J8" s="13">
        <v>10945.75</v>
      </c>
      <c r="K8" s="13">
        <v>17267.5</v>
      </c>
      <c r="L8" s="13">
        <v>1752.5</v>
      </c>
      <c r="M8" s="13">
        <v>10467.499999999996</v>
      </c>
      <c r="N8" s="13"/>
      <c r="O8" s="13">
        <v>70005.000000000015</v>
      </c>
      <c r="P8" s="13">
        <v>137177.5</v>
      </c>
      <c r="Q8" s="13">
        <v>1360</v>
      </c>
      <c r="R8" s="13">
        <v>147378.57999999999</v>
      </c>
      <c r="S8" s="13"/>
      <c r="T8" s="13"/>
      <c r="U8" s="13">
        <f t="shared" ref="U8:U32" si="1">SUM(D8:T8)</f>
        <v>546147.5</v>
      </c>
      <c r="V8" s="14">
        <v>1073.2</v>
      </c>
      <c r="W8" s="15">
        <f t="shared" si="0"/>
        <v>586125.49699999997</v>
      </c>
    </row>
    <row r="9" spans="1:23" x14ac:dyDescent="0.25">
      <c r="A9" s="116"/>
      <c r="B9" s="92" t="s">
        <v>144</v>
      </c>
      <c r="C9" s="12">
        <v>1000</v>
      </c>
      <c r="D9" s="33"/>
      <c r="E9" s="13">
        <v>4805</v>
      </c>
      <c r="F9" s="13">
        <v>5270</v>
      </c>
      <c r="G9" s="13"/>
      <c r="H9" s="13"/>
      <c r="I9" s="13">
        <v>9912.5</v>
      </c>
      <c r="J9" s="13"/>
      <c r="K9" s="13"/>
      <c r="L9" s="13">
        <v>16955</v>
      </c>
      <c r="M9" s="13">
        <v>23964.999999999996</v>
      </c>
      <c r="N9" s="13"/>
      <c r="O9" s="13">
        <v>29937.499999999982</v>
      </c>
      <c r="P9" s="13">
        <v>898790</v>
      </c>
      <c r="Q9" s="13"/>
      <c r="R9" s="13"/>
      <c r="S9" s="13"/>
      <c r="T9" s="13"/>
      <c r="U9" s="13">
        <f t="shared" si="1"/>
        <v>989635</v>
      </c>
      <c r="V9" s="14">
        <v>1743.95</v>
      </c>
      <c r="W9" s="15">
        <f t="shared" si="0"/>
        <v>1725873.9582499999</v>
      </c>
    </row>
    <row r="10" spans="1:23" x14ac:dyDescent="0.25">
      <c r="A10" s="116"/>
      <c r="B10" s="92" t="s">
        <v>12</v>
      </c>
      <c r="C10" s="12">
        <v>1000</v>
      </c>
      <c r="D10" s="33">
        <v>2970</v>
      </c>
      <c r="E10" s="13"/>
      <c r="F10" s="13"/>
      <c r="G10" s="13"/>
      <c r="H10" s="13">
        <v>5975.0000000000018</v>
      </c>
      <c r="I10" s="13">
        <v>24562.5</v>
      </c>
      <c r="J10" s="13"/>
      <c r="K10" s="13"/>
      <c r="L10" s="13"/>
      <c r="M10" s="13">
        <v>5747.4999999999964</v>
      </c>
      <c r="N10" s="13">
        <v>11732.790000000008</v>
      </c>
      <c r="O10" s="13"/>
      <c r="P10" s="13"/>
      <c r="Q10" s="13"/>
      <c r="R10" s="13">
        <v>224897.5</v>
      </c>
      <c r="S10" s="13"/>
      <c r="T10" s="13"/>
      <c r="U10" s="13">
        <f t="shared" si="1"/>
        <v>275885.29000000004</v>
      </c>
      <c r="V10" s="14">
        <v>2414.6999999999998</v>
      </c>
      <c r="W10" s="15">
        <f t="shared" si="0"/>
        <v>666180.20976300002</v>
      </c>
    </row>
    <row r="11" spans="1:23" x14ac:dyDescent="0.25">
      <c r="A11" s="116"/>
      <c r="B11" s="92" t="s">
        <v>13</v>
      </c>
      <c r="C11" s="12">
        <v>1000</v>
      </c>
      <c r="D11" s="33">
        <v>8792.5</v>
      </c>
      <c r="E11" s="13">
        <v>20505</v>
      </c>
      <c r="F11" s="13"/>
      <c r="G11" s="13"/>
      <c r="H11" s="13"/>
      <c r="I11" s="13">
        <v>33180.000000000007</v>
      </c>
      <c r="J11" s="13"/>
      <c r="K11" s="13"/>
      <c r="L11" s="13"/>
      <c r="M11" s="13"/>
      <c r="N11" s="13"/>
      <c r="O11" s="13"/>
      <c r="P11" s="13"/>
      <c r="Q11" s="13"/>
      <c r="R11" s="13"/>
      <c r="S11" s="13"/>
      <c r="T11" s="13"/>
      <c r="U11" s="13">
        <f t="shared" si="1"/>
        <v>62477.500000000007</v>
      </c>
      <c r="V11" s="14">
        <v>6677.8</v>
      </c>
      <c r="W11" s="15">
        <f t="shared" si="0"/>
        <v>417212.24950000003</v>
      </c>
    </row>
    <row r="12" spans="1:23" x14ac:dyDescent="0.25">
      <c r="A12" s="116"/>
      <c r="B12" s="92" t="s">
        <v>14</v>
      </c>
      <c r="C12" s="12">
        <v>1000</v>
      </c>
      <c r="D12" s="33">
        <v>1215</v>
      </c>
      <c r="E12" s="13"/>
      <c r="F12" s="13"/>
      <c r="G12" s="13"/>
      <c r="H12" s="13"/>
      <c r="I12" s="13">
        <v>79555</v>
      </c>
      <c r="J12" s="13"/>
      <c r="K12" s="13"/>
      <c r="L12" s="13"/>
      <c r="M12" s="13"/>
      <c r="N12" s="13"/>
      <c r="O12" s="13"/>
      <c r="P12" s="13"/>
      <c r="Q12" s="13"/>
      <c r="R12" s="13">
        <v>468525</v>
      </c>
      <c r="S12" s="13"/>
      <c r="T12" s="13"/>
      <c r="U12" s="13">
        <f t="shared" si="1"/>
        <v>549295</v>
      </c>
      <c r="V12" s="14">
        <v>6751.2</v>
      </c>
      <c r="W12" s="15">
        <f t="shared" si="0"/>
        <v>3708400.4040000001</v>
      </c>
    </row>
    <row r="13" spans="1:23" x14ac:dyDescent="0.25">
      <c r="A13" s="116"/>
      <c r="B13" s="92" t="s">
        <v>380</v>
      </c>
      <c r="C13" s="12">
        <v>1000</v>
      </c>
      <c r="D13" s="45"/>
      <c r="E13" s="13"/>
      <c r="F13" s="13"/>
      <c r="G13" s="13">
        <v>58687.5</v>
      </c>
      <c r="H13" s="13"/>
      <c r="I13" s="13"/>
      <c r="J13" s="13"/>
      <c r="K13" s="13"/>
      <c r="L13" s="13"/>
      <c r="M13" s="13"/>
      <c r="N13" s="13"/>
      <c r="O13" s="13"/>
      <c r="P13" s="13">
        <v>496885</v>
      </c>
      <c r="Q13" s="13"/>
      <c r="R13" s="13"/>
      <c r="S13" s="13"/>
      <c r="T13" s="13"/>
      <c r="U13" s="13">
        <f t="shared" si="1"/>
        <v>555572.5</v>
      </c>
      <c r="V13" s="39">
        <v>6751.2</v>
      </c>
      <c r="W13" s="15">
        <f t="shared" si="0"/>
        <v>3750781.0619999999</v>
      </c>
    </row>
    <row r="14" spans="1:23" x14ac:dyDescent="0.25">
      <c r="A14" s="116"/>
      <c r="B14" s="92" t="s">
        <v>15</v>
      </c>
      <c r="C14" s="12">
        <v>1000</v>
      </c>
      <c r="D14" s="33">
        <v>18740</v>
      </c>
      <c r="E14" s="13"/>
      <c r="F14" s="13"/>
      <c r="G14" s="13"/>
      <c r="H14" s="13"/>
      <c r="I14" s="13"/>
      <c r="J14" s="13"/>
      <c r="K14" s="13"/>
      <c r="L14" s="13"/>
      <c r="M14" s="13"/>
      <c r="N14" s="13"/>
      <c r="O14" s="13"/>
      <c r="P14" s="13"/>
      <c r="Q14" s="13"/>
      <c r="R14" s="13"/>
      <c r="S14" s="13"/>
      <c r="T14" s="13"/>
      <c r="U14" s="13">
        <f t="shared" si="1"/>
        <v>18740</v>
      </c>
      <c r="V14" s="14">
        <v>6824.6</v>
      </c>
      <c r="W14" s="15">
        <f t="shared" si="0"/>
        <v>127893.004</v>
      </c>
    </row>
    <row r="15" spans="1:23" x14ac:dyDescent="0.25">
      <c r="A15" s="116"/>
      <c r="B15" s="92" t="s">
        <v>187</v>
      </c>
      <c r="C15" s="12">
        <v>1000</v>
      </c>
      <c r="D15" s="33"/>
      <c r="E15" s="13"/>
      <c r="F15" s="13"/>
      <c r="G15" s="13"/>
      <c r="H15" s="13"/>
      <c r="I15" s="13">
        <v>53390</v>
      </c>
      <c r="J15" s="13"/>
      <c r="K15" s="13"/>
      <c r="L15" s="13"/>
      <c r="M15" s="13"/>
      <c r="N15" s="13"/>
      <c r="O15" s="13"/>
      <c r="P15" s="13"/>
      <c r="Q15" s="13"/>
      <c r="R15" s="13"/>
      <c r="S15" s="13"/>
      <c r="T15" s="13"/>
      <c r="U15" s="13">
        <f t="shared" si="1"/>
        <v>53390</v>
      </c>
      <c r="V15" s="33">
        <v>6971.4</v>
      </c>
      <c r="W15" s="15">
        <f t="shared" si="0"/>
        <v>372203.04599999997</v>
      </c>
    </row>
    <row r="16" spans="1:23" x14ac:dyDescent="0.25">
      <c r="A16" s="116"/>
      <c r="B16" s="92" t="s">
        <v>381</v>
      </c>
      <c r="C16" s="12">
        <v>1000</v>
      </c>
      <c r="D16" s="33"/>
      <c r="E16" s="13"/>
      <c r="F16" s="13"/>
      <c r="G16" s="13">
        <v>75040</v>
      </c>
      <c r="H16" s="13"/>
      <c r="I16" s="13"/>
      <c r="J16" s="13"/>
      <c r="K16" s="13"/>
      <c r="L16" s="13"/>
      <c r="M16" s="13"/>
      <c r="N16" s="13"/>
      <c r="O16" s="13"/>
      <c r="P16" s="13"/>
      <c r="Q16" s="13"/>
      <c r="R16" s="13"/>
      <c r="S16" s="13"/>
      <c r="T16" s="13"/>
      <c r="U16" s="13">
        <f t="shared" si="1"/>
        <v>75040</v>
      </c>
      <c r="V16" s="39">
        <v>6971.4</v>
      </c>
      <c r="W16" s="15">
        <f t="shared" si="0"/>
        <v>523133.85600000003</v>
      </c>
    </row>
    <row r="17" spans="1:23" x14ac:dyDescent="0.25">
      <c r="A17" s="116"/>
      <c r="B17" s="92" t="s">
        <v>145</v>
      </c>
      <c r="C17" s="12">
        <v>1000</v>
      </c>
      <c r="D17" s="33"/>
      <c r="E17" s="13">
        <v>1237.5</v>
      </c>
      <c r="F17" s="13"/>
      <c r="G17" s="13"/>
      <c r="H17" s="13"/>
      <c r="I17" s="13"/>
      <c r="J17" s="13"/>
      <c r="K17" s="13"/>
      <c r="L17" s="13">
        <v>97028.25</v>
      </c>
      <c r="M17" s="13"/>
      <c r="N17" s="13"/>
      <c r="O17" s="13"/>
      <c r="P17" s="13"/>
      <c r="Q17" s="13"/>
      <c r="R17" s="13"/>
      <c r="S17" s="13"/>
      <c r="T17" s="13"/>
      <c r="U17" s="13">
        <f t="shared" si="1"/>
        <v>98265.75</v>
      </c>
      <c r="V17" s="14">
        <v>7044.8</v>
      </c>
      <c r="W17" s="15">
        <f t="shared" si="0"/>
        <v>692262.55560000008</v>
      </c>
    </row>
    <row r="18" spans="1:23" x14ac:dyDescent="0.25">
      <c r="A18" s="116"/>
      <c r="B18" s="92" t="s">
        <v>188</v>
      </c>
      <c r="C18" s="12">
        <v>1000</v>
      </c>
      <c r="D18" s="33"/>
      <c r="E18" s="13"/>
      <c r="F18" s="13"/>
      <c r="G18" s="13"/>
      <c r="H18" s="13"/>
      <c r="I18" s="13">
        <v>187560</v>
      </c>
      <c r="J18" s="13"/>
      <c r="K18" s="13"/>
      <c r="L18" s="13"/>
      <c r="M18" s="13"/>
      <c r="N18" s="13"/>
      <c r="O18" s="13"/>
      <c r="P18" s="13"/>
      <c r="Q18" s="13"/>
      <c r="R18" s="13"/>
      <c r="S18" s="13"/>
      <c r="T18" s="13"/>
      <c r="U18" s="13">
        <f t="shared" si="1"/>
        <v>187560</v>
      </c>
      <c r="V18" s="33">
        <v>7191.6</v>
      </c>
      <c r="W18" s="15">
        <f t="shared" si="0"/>
        <v>1348856.496</v>
      </c>
    </row>
    <row r="19" spans="1:23" x14ac:dyDescent="0.25">
      <c r="A19" s="116"/>
      <c r="B19" s="92" t="s">
        <v>16</v>
      </c>
      <c r="C19" s="12">
        <v>1000</v>
      </c>
      <c r="D19" s="33">
        <v>54772.5</v>
      </c>
      <c r="E19" s="13"/>
      <c r="F19" s="13"/>
      <c r="G19" s="13"/>
      <c r="H19" s="13"/>
      <c r="I19" s="13"/>
      <c r="J19" s="13"/>
      <c r="K19" s="13"/>
      <c r="L19" s="13"/>
      <c r="M19" s="13"/>
      <c r="N19" s="13"/>
      <c r="O19" s="13"/>
      <c r="P19" s="13"/>
      <c r="Q19" s="13"/>
      <c r="R19" s="13"/>
      <c r="S19" s="13"/>
      <c r="T19" s="13"/>
      <c r="U19" s="13">
        <f t="shared" si="1"/>
        <v>54772.5</v>
      </c>
      <c r="V19" s="14">
        <v>7338.4</v>
      </c>
      <c r="W19" s="15">
        <f t="shared" si="0"/>
        <v>401942.51400000002</v>
      </c>
    </row>
    <row r="20" spans="1:23" x14ac:dyDescent="0.25">
      <c r="A20" s="116"/>
      <c r="B20" s="92" t="s">
        <v>146</v>
      </c>
      <c r="C20" s="12">
        <v>1000</v>
      </c>
      <c r="D20" s="33"/>
      <c r="E20" s="13">
        <v>15772.5</v>
      </c>
      <c r="F20" s="13">
        <v>109947.5</v>
      </c>
      <c r="G20" s="13"/>
      <c r="H20" s="13"/>
      <c r="I20" s="13"/>
      <c r="J20" s="13"/>
      <c r="K20" s="13"/>
      <c r="L20" s="13"/>
      <c r="M20" s="13"/>
      <c r="N20" s="13"/>
      <c r="O20" s="13"/>
      <c r="P20" s="13"/>
      <c r="Q20" s="13"/>
      <c r="R20" s="13"/>
      <c r="S20" s="13"/>
      <c r="T20" s="13"/>
      <c r="U20" s="13">
        <f t="shared" si="1"/>
        <v>125720</v>
      </c>
      <c r="V20" s="14">
        <v>7411.8</v>
      </c>
      <c r="W20" s="15">
        <f t="shared" si="0"/>
        <v>931811.49600000004</v>
      </c>
    </row>
    <row r="21" spans="1:23" x14ac:dyDescent="0.25">
      <c r="A21" s="116"/>
      <c r="B21" s="115" t="s">
        <v>156</v>
      </c>
      <c r="C21" s="12">
        <v>1000</v>
      </c>
      <c r="D21" s="33"/>
      <c r="E21" s="13"/>
      <c r="F21" s="13">
        <v>70367.5</v>
      </c>
      <c r="G21" s="13"/>
      <c r="H21" s="13"/>
      <c r="I21" s="13"/>
      <c r="J21" s="13"/>
      <c r="K21" s="13"/>
      <c r="L21" s="13"/>
      <c r="M21" s="13"/>
      <c r="N21" s="13"/>
      <c r="O21" s="13"/>
      <c r="P21" s="13"/>
      <c r="Q21" s="13"/>
      <c r="R21" s="13"/>
      <c r="S21" s="13"/>
      <c r="T21" s="13"/>
      <c r="U21" s="13">
        <f t="shared" si="1"/>
        <v>70367.5</v>
      </c>
      <c r="V21" s="14">
        <v>7558.6</v>
      </c>
      <c r="W21" s="15">
        <f t="shared" si="0"/>
        <v>531879.7855</v>
      </c>
    </row>
    <row r="22" spans="1:23" x14ac:dyDescent="0.25">
      <c r="A22" s="116"/>
      <c r="B22" s="92" t="s">
        <v>147</v>
      </c>
      <c r="C22" s="12">
        <v>1000</v>
      </c>
      <c r="D22" s="33"/>
      <c r="E22" s="13">
        <v>4869.33</v>
      </c>
      <c r="F22" s="13"/>
      <c r="G22" s="13"/>
      <c r="H22" s="13"/>
      <c r="I22" s="13"/>
      <c r="J22" s="13"/>
      <c r="K22" s="13"/>
      <c r="L22" s="13"/>
      <c r="M22" s="13"/>
      <c r="N22" s="13"/>
      <c r="O22" s="13"/>
      <c r="P22" s="13"/>
      <c r="Q22" s="13"/>
      <c r="R22" s="13"/>
      <c r="S22" s="13"/>
      <c r="T22" s="13"/>
      <c r="U22" s="13">
        <f t="shared" si="1"/>
        <v>4869.33</v>
      </c>
      <c r="V22" s="14">
        <v>7934.1</v>
      </c>
      <c r="W22" s="15">
        <f t="shared" si="0"/>
        <v>38633.751153000005</v>
      </c>
    </row>
    <row r="23" spans="1:23" x14ac:dyDescent="0.25">
      <c r="A23" s="116">
        <v>4</v>
      </c>
      <c r="B23" s="115" t="s">
        <v>157</v>
      </c>
      <c r="C23" s="12">
        <v>1000</v>
      </c>
      <c r="D23" s="33"/>
      <c r="E23" s="13"/>
      <c r="F23" s="13"/>
      <c r="G23" s="13"/>
      <c r="H23" s="13"/>
      <c r="I23" s="13"/>
      <c r="J23" s="13"/>
      <c r="K23" s="13"/>
      <c r="L23" s="13"/>
      <c r="M23" s="13"/>
      <c r="N23" s="13"/>
      <c r="O23" s="13"/>
      <c r="P23" s="13"/>
      <c r="Q23" s="13"/>
      <c r="R23" s="13"/>
      <c r="S23" s="13"/>
      <c r="T23" s="13"/>
      <c r="U23" s="13">
        <f t="shared" si="1"/>
        <v>0</v>
      </c>
      <c r="V23" s="13">
        <v>0</v>
      </c>
      <c r="W23" s="13">
        <v>0</v>
      </c>
    </row>
    <row r="24" spans="1:23" x14ac:dyDescent="0.25">
      <c r="A24" s="116"/>
      <c r="B24" s="92" t="s">
        <v>384</v>
      </c>
      <c r="C24" s="12">
        <v>1000</v>
      </c>
      <c r="D24" s="33"/>
      <c r="E24" s="13"/>
      <c r="F24" s="13"/>
      <c r="G24" s="13"/>
      <c r="H24" s="13"/>
      <c r="I24" s="13"/>
      <c r="J24" s="13"/>
      <c r="K24" s="13"/>
      <c r="L24" s="13"/>
      <c r="M24" s="13"/>
      <c r="N24" s="13"/>
      <c r="O24" s="13"/>
      <c r="P24" s="13"/>
      <c r="Q24" s="13"/>
      <c r="R24" s="13">
        <v>140702.28500000003</v>
      </c>
      <c r="S24" s="13"/>
      <c r="T24" s="13"/>
      <c r="U24" s="13">
        <f t="shared" si="1"/>
        <v>140702.28500000003</v>
      </c>
      <c r="V24" s="13">
        <v>10936.05</v>
      </c>
      <c r="W24" s="15">
        <f t="shared" si="0"/>
        <v>1538727.2238742502</v>
      </c>
    </row>
    <row r="25" spans="1:23" x14ac:dyDescent="0.25">
      <c r="A25" s="116"/>
      <c r="B25" s="115" t="s">
        <v>11</v>
      </c>
      <c r="C25" s="12">
        <v>1000</v>
      </c>
      <c r="D25" s="33"/>
      <c r="E25" s="13"/>
      <c r="F25" s="13">
        <v>60633</v>
      </c>
      <c r="G25" s="13"/>
      <c r="H25" s="13"/>
      <c r="I25" s="13"/>
      <c r="J25" s="13"/>
      <c r="K25" s="13"/>
      <c r="L25" s="13"/>
      <c r="M25" s="13"/>
      <c r="N25" s="13"/>
      <c r="O25" s="13"/>
      <c r="P25" s="13">
        <v>1780642.5</v>
      </c>
      <c r="Q25" s="13">
        <v>45770</v>
      </c>
      <c r="R25" s="13"/>
      <c r="S25" s="13"/>
      <c r="T25" s="13"/>
      <c r="U25" s="13">
        <f t="shared" si="1"/>
        <v>1887045.5</v>
      </c>
      <c r="V25" s="14">
        <v>11606.8</v>
      </c>
      <c r="W25" s="15">
        <f t="shared" si="0"/>
        <v>21902559.709399998</v>
      </c>
    </row>
    <row r="26" spans="1:23" x14ac:dyDescent="0.25">
      <c r="A26" s="116"/>
      <c r="B26" s="92" t="s">
        <v>209</v>
      </c>
      <c r="C26" s="12">
        <v>1000</v>
      </c>
      <c r="D26" s="33"/>
      <c r="E26" s="13"/>
      <c r="F26" s="13"/>
      <c r="G26" s="13"/>
      <c r="H26" s="13"/>
      <c r="I26" s="13"/>
      <c r="J26" s="13"/>
      <c r="K26" s="13"/>
      <c r="L26" s="13"/>
      <c r="M26" s="13"/>
      <c r="N26" s="13">
        <v>97969.465000000011</v>
      </c>
      <c r="O26" s="13"/>
      <c r="P26" s="13"/>
      <c r="Q26" s="13"/>
      <c r="R26" s="13"/>
      <c r="S26" s="13"/>
      <c r="T26" s="13"/>
      <c r="U26" s="13">
        <f t="shared" si="1"/>
        <v>97969.465000000011</v>
      </c>
      <c r="V26" s="13">
        <v>12948.3</v>
      </c>
      <c r="W26" s="15">
        <f t="shared" si="0"/>
        <v>1268538.0236595001</v>
      </c>
    </row>
    <row r="27" spans="1:23" x14ac:dyDescent="0.25">
      <c r="A27" s="116"/>
      <c r="B27" s="92" t="s">
        <v>208</v>
      </c>
      <c r="C27" s="12">
        <v>1000</v>
      </c>
      <c r="D27" s="45"/>
      <c r="E27" s="13"/>
      <c r="F27" s="13"/>
      <c r="G27" s="13"/>
      <c r="H27" s="13"/>
      <c r="I27" s="13"/>
      <c r="J27" s="13"/>
      <c r="K27" s="13"/>
      <c r="L27" s="13"/>
      <c r="M27" s="13">
        <v>159193.80000000005</v>
      </c>
      <c r="N27" s="13"/>
      <c r="O27" s="13"/>
      <c r="P27" s="13"/>
      <c r="Q27" s="13"/>
      <c r="R27" s="13"/>
      <c r="S27" s="13"/>
      <c r="T27" s="13"/>
      <c r="U27" s="13">
        <f t="shared" si="1"/>
        <v>159193.80000000005</v>
      </c>
      <c r="V27" s="13">
        <v>18092.2</v>
      </c>
      <c r="W27" s="15">
        <f t="shared" si="0"/>
        <v>2880166.0683600013</v>
      </c>
    </row>
    <row r="28" spans="1:23" ht="30" x14ac:dyDescent="0.25">
      <c r="A28" s="116">
        <v>5</v>
      </c>
      <c r="B28" s="130" t="s">
        <v>418</v>
      </c>
      <c r="C28" s="12">
        <v>1000</v>
      </c>
      <c r="D28" s="45"/>
      <c r="E28" s="13"/>
      <c r="F28" s="13"/>
      <c r="G28" s="13"/>
      <c r="H28" s="13"/>
      <c r="I28" s="13"/>
      <c r="J28" s="13"/>
      <c r="K28" s="13"/>
      <c r="L28" s="13"/>
      <c r="M28" s="13"/>
      <c r="N28" s="13"/>
      <c r="O28" s="13"/>
      <c r="P28" s="13"/>
      <c r="Q28" s="13"/>
      <c r="R28" s="13">
        <v>910707.77524999995</v>
      </c>
      <c r="S28" s="13"/>
      <c r="T28" s="13"/>
      <c r="U28" s="13">
        <f t="shared" si="1"/>
        <v>910707.77524999995</v>
      </c>
      <c r="V28" s="13">
        <v>5266.8</v>
      </c>
      <c r="W28" s="15">
        <f t="shared" si="0"/>
        <v>4796515.7106866995</v>
      </c>
    </row>
    <row r="29" spans="1:23" ht="45" x14ac:dyDescent="0.25">
      <c r="A29" s="116">
        <v>6</v>
      </c>
      <c r="B29" s="92" t="s">
        <v>189</v>
      </c>
      <c r="C29" s="37">
        <v>1</v>
      </c>
      <c r="D29" s="100"/>
      <c r="E29" s="13"/>
      <c r="F29" s="13"/>
      <c r="G29" s="13"/>
      <c r="H29" s="13"/>
      <c r="I29" s="13"/>
      <c r="J29" s="13">
        <v>390</v>
      </c>
      <c r="K29" s="13">
        <v>130</v>
      </c>
      <c r="L29" s="13">
        <v>104</v>
      </c>
      <c r="M29" s="13">
        <v>130</v>
      </c>
      <c r="N29" s="13">
        <v>30</v>
      </c>
      <c r="O29" s="13">
        <v>260</v>
      </c>
      <c r="P29" s="13">
        <v>170</v>
      </c>
      <c r="Q29" s="13">
        <v>40</v>
      </c>
      <c r="R29" s="13"/>
      <c r="S29" s="13"/>
      <c r="T29" s="13"/>
      <c r="U29" s="13">
        <v>1254</v>
      </c>
      <c r="V29" s="39">
        <v>1326.2</v>
      </c>
      <c r="W29" s="15">
        <f t="shared" si="0"/>
        <v>1663054.8</v>
      </c>
    </row>
    <row r="30" spans="1:23" ht="45" x14ac:dyDescent="0.25">
      <c r="A30" s="116">
        <v>7</v>
      </c>
      <c r="B30" s="92" t="s">
        <v>17</v>
      </c>
      <c r="C30" s="18">
        <v>1</v>
      </c>
      <c r="D30" s="33">
        <v>410</v>
      </c>
      <c r="E30" s="13">
        <v>255</v>
      </c>
      <c r="F30" s="13">
        <v>215</v>
      </c>
      <c r="G30" s="13">
        <v>95</v>
      </c>
      <c r="H30" s="13">
        <v>720</v>
      </c>
      <c r="I30" s="13">
        <v>45</v>
      </c>
      <c r="J30" s="13"/>
      <c r="K30" s="13"/>
      <c r="L30" s="13"/>
      <c r="M30" s="13"/>
      <c r="N30" s="13"/>
      <c r="O30" s="13"/>
      <c r="P30" s="13"/>
      <c r="Q30" s="13"/>
      <c r="R30" s="13"/>
      <c r="S30" s="13"/>
      <c r="T30" s="13"/>
      <c r="U30" s="13">
        <f t="shared" si="1"/>
        <v>1740</v>
      </c>
      <c r="V30" s="14">
        <v>1935.4</v>
      </c>
      <c r="W30" s="15">
        <f t="shared" si="0"/>
        <v>3367596</v>
      </c>
    </row>
    <row r="31" spans="1:23" x14ac:dyDescent="0.25">
      <c r="A31" s="116">
        <v>8</v>
      </c>
      <c r="B31" s="131" t="s">
        <v>18</v>
      </c>
      <c r="C31" s="19">
        <v>1000</v>
      </c>
      <c r="D31" s="33">
        <v>315680</v>
      </c>
      <c r="E31" s="13">
        <v>180070</v>
      </c>
      <c r="F31" s="13">
        <v>177000</v>
      </c>
      <c r="G31" s="13">
        <v>460000</v>
      </c>
      <c r="H31" s="13">
        <v>2800000</v>
      </c>
      <c r="I31" s="13">
        <v>1680000</v>
      </c>
      <c r="J31" s="13"/>
      <c r="K31" s="13"/>
      <c r="L31" s="13"/>
      <c r="M31" s="13"/>
      <c r="N31" s="13"/>
      <c r="O31" s="13">
        <v>1272300</v>
      </c>
      <c r="P31" s="13"/>
      <c r="Q31" s="13"/>
      <c r="R31" s="13"/>
      <c r="S31" s="13"/>
      <c r="T31" s="13"/>
      <c r="U31" s="13">
        <f t="shared" si="1"/>
        <v>6885050</v>
      </c>
      <c r="V31" s="14">
        <v>376.2</v>
      </c>
      <c r="W31" s="15">
        <f t="shared" si="0"/>
        <v>2590155.81</v>
      </c>
    </row>
    <row r="32" spans="1:23" ht="30" x14ac:dyDescent="0.25">
      <c r="A32" s="116">
        <v>9</v>
      </c>
      <c r="B32" s="92" t="s">
        <v>327</v>
      </c>
      <c r="C32" s="37">
        <v>1</v>
      </c>
      <c r="D32" s="33"/>
      <c r="E32" s="13"/>
      <c r="F32" s="13"/>
      <c r="G32" s="13"/>
      <c r="H32" s="13"/>
      <c r="I32" s="13"/>
      <c r="J32" s="13"/>
      <c r="K32" s="13"/>
      <c r="L32" s="13"/>
      <c r="M32" s="13"/>
      <c r="N32" s="13"/>
      <c r="O32" s="13">
        <v>5</v>
      </c>
      <c r="P32" s="13"/>
      <c r="Q32" s="13"/>
      <c r="R32" s="13"/>
      <c r="S32" s="13"/>
      <c r="T32" s="13"/>
      <c r="U32" s="13">
        <f t="shared" si="1"/>
        <v>5</v>
      </c>
      <c r="V32" s="13">
        <v>14630</v>
      </c>
      <c r="W32" s="15">
        <f t="shared" si="0"/>
        <v>73150</v>
      </c>
    </row>
    <row r="33" spans="1:23" ht="22.5" x14ac:dyDescent="0.25">
      <c r="A33" s="198">
        <v>2</v>
      </c>
      <c r="B33" s="198" t="s">
        <v>393</v>
      </c>
      <c r="C33" s="16"/>
      <c r="D33" s="16"/>
      <c r="E33" s="16"/>
      <c r="F33" s="16"/>
      <c r="G33" s="16"/>
      <c r="H33" s="16"/>
      <c r="I33" s="16"/>
      <c r="J33" s="16"/>
      <c r="K33" s="16"/>
      <c r="L33" s="16"/>
      <c r="M33" s="16"/>
      <c r="N33" s="16"/>
      <c r="O33" s="16"/>
      <c r="P33" s="16"/>
      <c r="Q33" s="16"/>
      <c r="R33" s="16"/>
      <c r="S33" s="16"/>
      <c r="T33" s="16"/>
      <c r="U33" s="16"/>
      <c r="V33" s="16"/>
      <c r="W33" s="16"/>
    </row>
    <row r="34" spans="1:23" ht="60" x14ac:dyDescent="0.25">
      <c r="A34" s="117">
        <v>1</v>
      </c>
      <c r="B34" s="94" t="s">
        <v>19</v>
      </c>
      <c r="C34" s="12">
        <v>1000</v>
      </c>
      <c r="D34" s="21">
        <v>98</v>
      </c>
      <c r="E34" s="21">
        <v>98</v>
      </c>
      <c r="F34" s="21">
        <v>98</v>
      </c>
      <c r="G34" s="21">
        <v>98</v>
      </c>
      <c r="H34" s="21">
        <v>98</v>
      </c>
      <c r="I34" s="21">
        <v>98</v>
      </c>
      <c r="J34" s="21">
        <v>98</v>
      </c>
      <c r="K34" s="21">
        <v>98</v>
      </c>
      <c r="L34" s="21">
        <v>98</v>
      </c>
      <c r="M34" s="21">
        <v>98</v>
      </c>
      <c r="N34" s="21">
        <v>98</v>
      </c>
      <c r="O34" s="21">
        <v>98</v>
      </c>
      <c r="P34" s="21">
        <v>98</v>
      </c>
      <c r="Q34" s="21">
        <v>49</v>
      </c>
      <c r="R34" s="21">
        <v>294</v>
      </c>
      <c r="S34" s="21"/>
      <c r="T34" s="21"/>
      <c r="U34" s="13">
        <f t="shared" ref="U34:U44" si="2">SUM(D34:T34)</f>
        <v>1617</v>
      </c>
      <c r="V34" s="21">
        <v>15824.15</v>
      </c>
      <c r="W34" s="15">
        <f t="shared" si="0"/>
        <v>25587.650550000002</v>
      </c>
    </row>
    <row r="35" spans="1:23" s="152" customFormat="1" ht="45" x14ac:dyDescent="0.2">
      <c r="A35" s="44">
        <v>2</v>
      </c>
      <c r="B35" s="94" t="s">
        <v>20</v>
      </c>
      <c r="C35" s="12">
        <v>100</v>
      </c>
      <c r="D35" s="25"/>
      <c r="E35" s="14"/>
      <c r="F35" s="14"/>
      <c r="G35" s="14"/>
      <c r="H35" s="14"/>
      <c r="I35" s="14"/>
      <c r="J35" s="14"/>
      <c r="K35" s="14"/>
      <c r="L35" s="14"/>
      <c r="M35" s="14"/>
      <c r="N35" s="14"/>
      <c r="O35" s="14"/>
      <c r="P35" s="14"/>
      <c r="Q35" s="14"/>
      <c r="R35" s="14"/>
      <c r="S35" s="14"/>
      <c r="T35" s="14"/>
      <c r="U35" s="13">
        <f t="shared" si="2"/>
        <v>0</v>
      </c>
      <c r="V35" s="13">
        <v>0</v>
      </c>
      <c r="W35" s="13">
        <v>0</v>
      </c>
    </row>
    <row r="36" spans="1:23" s="152" customFormat="1" ht="15" x14ac:dyDescent="0.2">
      <c r="A36" s="44"/>
      <c r="B36" s="94" t="s">
        <v>21</v>
      </c>
      <c r="C36" s="12">
        <v>100</v>
      </c>
      <c r="D36" s="21">
        <v>24.5</v>
      </c>
      <c r="E36" s="21">
        <v>24.5</v>
      </c>
      <c r="F36" s="21">
        <v>24.5</v>
      </c>
      <c r="G36" s="21">
        <v>24.5</v>
      </c>
      <c r="H36" s="21">
        <v>24.5</v>
      </c>
      <c r="I36" s="21">
        <v>24.5</v>
      </c>
      <c r="J36" s="21">
        <v>24.5</v>
      </c>
      <c r="K36" s="21">
        <v>24.5</v>
      </c>
      <c r="L36" s="21">
        <v>24.5</v>
      </c>
      <c r="M36" s="21">
        <v>24.5</v>
      </c>
      <c r="N36" s="21">
        <v>24.5</v>
      </c>
      <c r="O36" s="21">
        <v>24.5</v>
      </c>
      <c r="P36" s="21">
        <v>24.5</v>
      </c>
      <c r="Q36" s="21">
        <v>12.25</v>
      </c>
      <c r="R36" s="21">
        <v>73.5</v>
      </c>
      <c r="S36" s="21"/>
      <c r="T36" s="21"/>
      <c r="U36" s="13">
        <f t="shared" si="2"/>
        <v>404.25</v>
      </c>
      <c r="V36" s="21">
        <v>34694.300000000003</v>
      </c>
      <c r="W36" s="15">
        <f t="shared" si="0"/>
        <v>140251.70775</v>
      </c>
    </row>
    <row r="37" spans="1:23" s="152" customFormat="1" ht="30" x14ac:dyDescent="0.2">
      <c r="A37" s="44">
        <v>3</v>
      </c>
      <c r="B37" s="94" t="s">
        <v>22</v>
      </c>
      <c r="C37" s="12">
        <v>100</v>
      </c>
      <c r="D37" s="21">
        <v>97.5</v>
      </c>
      <c r="E37" s="21">
        <v>97.5</v>
      </c>
      <c r="F37" s="21">
        <v>97.5</v>
      </c>
      <c r="G37" s="21">
        <v>97.5</v>
      </c>
      <c r="H37" s="21">
        <v>97.5</v>
      </c>
      <c r="I37" s="21">
        <v>97.5</v>
      </c>
      <c r="J37" s="21">
        <v>97.5</v>
      </c>
      <c r="K37" s="21">
        <v>97.5</v>
      </c>
      <c r="L37" s="21">
        <v>97.5</v>
      </c>
      <c r="M37" s="21">
        <v>97.5</v>
      </c>
      <c r="N37" s="21">
        <v>97.5</v>
      </c>
      <c r="O37" s="21">
        <v>97.5</v>
      </c>
      <c r="P37" s="21">
        <v>97.5</v>
      </c>
      <c r="Q37" s="21">
        <v>48.75</v>
      </c>
      <c r="R37" s="21">
        <v>292.5</v>
      </c>
      <c r="S37" s="21"/>
      <c r="T37" s="21"/>
      <c r="U37" s="13">
        <f t="shared" si="2"/>
        <v>1608.75</v>
      </c>
      <c r="V37" s="21">
        <v>32675.95</v>
      </c>
      <c r="W37" s="15">
        <f t="shared" si="0"/>
        <v>525674.34562499996</v>
      </c>
    </row>
    <row r="38" spans="1:23" s="152" customFormat="1" ht="45" x14ac:dyDescent="0.2">
      <c r="A38" s="44">
        <v>4</v>
      </c>
      <c r="B38" s="94" t="s">
        <v>23</v>
      </c>
      <c r="C38" s="19">
        <v>100</v>
      </c>
      <c r="D38" s="21">
        <v>39</v>
      </c>
      <c r="E38" s="21">
        <v>39</v>
      </c>
      <c r="F38" s="21">
        <v>39</v>
      </c>
      <c r="G38" s="21">
        <v>39</v>
      </c>
      <c r="H38" s="21">
        <v>39</v>
      </c>
      <c r="I38" s="21">
        <v>39</v>
      </c>
      <c r="J38" s="21">
        <v>39</v>
      </c>
      <c r="K38" s="21">
        <v>39</v>
      </c>
      <c r="L38" s="21">
        <v>39</v>
      </c>
      <c r="M38" s="21">
        <v>39</v>
      </c>
      <c r="N38" s="21">
        <v>39</v>
      </c>
      <c r="O38" s="21">
        <v>39</v>
      </c>
      <c r="P38" s="21">
        <v>39</v>
      </c>
      <c r="Q38" s="21">
        <v>19.5</v>
      </c>
      <c r="R38" s="21">
        <v>117</v>
      </c>
      <c r="S38" s="21"/>
      <c r="T38" s="21"/>
      <c r="U38" s="13">
        <f t="shared" si="2"/>
        <v>643.5</v>
      </c>
      <c r="V38" s="21">
        <v>11851.7</v>
      </c>
      <c r="W38" s="15">
        <f t="shared" si="0"/>
        <v>76265.689500000008</v>
      </c>
    </row>
    <row r="39" spans="1:23" ht="30" x14ac:dyDescent="0.25">
      <c r="A39" s="117">
        <v>5</v>
      </c>
      <c r="B39" s="94" t="s">
        <v>24</v>
      </c>
      <c r="C39" s="12">
        <v>100</v>
      </c>
      <c r="D39" s="21">
        <v>81.703125</v>
      </c>
      <c r="E39" s="21">
        <v>81.703125</v>
      </c>
      <c r="F39" s="21">
        <v>81.703125</v>
      </c>
      <c r="G39" s="21">
        <v>81.703125</v>
      </c>
      <c r="H39" s="21">
        <v>81.703125</v>
      </c>
      <c r="I39" s="21">
        <v>81.703125</v>
      </c>
      <c r="J39" s="21">
        <v>81.703125</v>
      </c>
      <c r="K39" s="21">
        <v>81.703125</v>
      </c>
      <c r="L39" s="21">
        <v>81.703125</v>
      </c>
      <c r="M39" s="21">
        <v>81.703125</v>
      </c>
      <c r="N39" s="21">
        <v>81.703125</v>
      </c>
      <c r="O39" s="21">
        <v>81.703125</v>
      </c>
      <c r="P39" s="21">
        <v>81.703125</v>
      </c>
      <c r="Q39" s="21">
        <v>40.8515625</v>
      </c>
      <c r="R39" s="21">
        <v>245.109375</v>
      </c>
      <c r="S39" s="21"/>
      <c r="T39" s="21"/>
      <c r="U39" s="13">
        <f t="shared" si="2"/>
        <v>1348.1015625</v>
      </c>
      <c r="V39" s="21">
        <v>37620.6</v>
      </c>
      <c r="W39" s="15">
        <f t="shared" si="0"/>
        <v>507163.89642187499</v>
      </c>
    </row>
    <row r="40" spans="1:23" x14ac:dyDescent="0.25">
      <c r="A40" s="117">
        <v>6</v>
      </c>
      <c r="B40" s="94" t="s">
        <v>25</v>
      </c>
      <c r="C40" s="19">
        <v>100</v>
      </c>
      <c r="D40" s="21">
        <v>230.64999999999998</v>
      </c>
      <c r="E40" s="21">
        <v>230.64999999999998</v>
      </c>
      <c r="F40" s="21">
        <v>230.64999999999998</v>
      </c>
      <c r="G40" s="21">
        <v>230.64999999999998</v>
      </c>
      <c r="H40" s="21">
        <v>230.64999999999998</v>
      </c>
      <c r="I40" s="21">
        <v>230.64999999999998</v>
      </c>
      <c r="J40" s="21">
        <v>230.64999999999998</v>
      </c>
      <c r="K40" s="21">
        <v>230.64999999999998</v>
      </c>
      <c r="L40" s="21">
        <v>230.64999999999998</v>
      </c>
      <c r="M40" s="21">
        <v>230.64999999999998</v>
      </c>
      <c r="N40" s="21">
        <v>230.64999999999998</v>
      </c>
      <c r="O40" s="21">
        <v>230.64999999999998</v>
      </c>
      <c r="P40" s="21">
        <v>230.64999999999998</v>
      </c>
      <c r="Q40" s="21">
        <v>115.32499999999999</v>
      </c>
      <c r="R40" s="21">
        <v>691.94999999999993</v>
      </c>
      <c r="S40" s="21"/>
      <c r="T40" s="21"/>
      <c r="U40" s="13">
        <f t="shared" si="2"/>
        <v>3805.7250000000004</v>
      </c>
      <c r="V40" s="21">
        <v>4334.75</v>
      </c>
      <c r="W40" s="15">
        <f t="shared" si="0"/>
        <v>164968.6644375</v>
      </c>
    </row>
    <row r="41" spans="1:23" ht="45" x14ac:dyDescent="0.25">
      <c r="A41" s="117">
        <v>7</v>
      </c>
      <c r="B41" s="94" t="s">
        <v>26</v>
      </c>
      <c r="C41" s="19">
        <v>100</v>
      </c>
      <c r="D41" s="21">
        <v>230.64999999999998</v>
      </c>
      <c r="E41" s="21">
        <v>230.64999999999998</v>
      </c>
      <c r="F41" s="21">
        <v>230.64999999999998</v>
      </c>
      <c r="G41" s="21">
        <v>230.64999999999998</v>
      </c>
      <c r="H41" s="21">
        <v>230.64999999999998</v>
      </c>
      <c r="I41" s="21">
        <v>230.64999999999998</v>
      </c>
      <c r="J41" s="21">
        <v>230.64999999999998</v>
      </c>
      <c r="K41" s="21">
        <v>230.64999999999998</v>
      </c>
      <c r="L41" s="21">
        <v>230.64999999999998</v>
      </c>
      <c r="M41" s="21">
        <v>230.64999999999998</v>
      </c>
      <c r="N41" s="21">
        <v>230.64999999999998</v>
      </c>
      <c r="O41" s="21">
        <v>230.64999999999998</v>
      </c>
      <c r="P41" s="21">
        <v>230.64999999999998</v>
      </c>
      <c r="Q41" s="21">
        <v>115.32499999999999</v>
      </c>
      <c r="R41" s="21">
        <v>691.94999999999993</v>
      </c>
      <c r="S41" s="21"/>
      <c r="T41" s="21"/>
      <c r="U41" s="13">
        <f t="shared" si="2"/>
        <v>3805.7250000000004</v>
      </c>
      <c r="V41" s="21">
        <v>7379.1</v>
      </c>
      <c r="W41" s="15">
        <f t="shared" si="0"/>
        <v>280828.25347500003</v>
      </c>
    </row>
    <row r="42" spans="1:23" x14ac:dyDescent="0.25">
      <c r="A42" s="117">
        <v>8</v>
      </c>
      <c r="B42" s="94" t="s">
        <v>27</v>
      </c>
      <c r="C42" s="24">
        <v>1</v>
      </c>
      <c r="D42" s="21">
        <v>500</v>
      </c>
      <c r="E42" s="21">
        <v>500</v>
      </c>
      <c r="F42" s="21">
        <v>500</v>
      </c>
      <c r="G42" s="21">
        <v>500</v>
      </c>
      <c r="H42" s="21">
        <v>500</v>
      </c>
      <c r="I42" s="21">
        <v>500</v>
      </c>
      <c r="J42" s="21">
        <v>500</v>
      </c>
      <c r="K42" s="21">
        <v>500</v>
      </c>
      <c r="L42" s="21">
        <v>500</v>
      </c>
      <c r="M42" s="21">
        <v>500</v>
      </c>
      <c r="N42" s="21">
        <v>500</v>
      </c>
      <c r="O42" s="21">
        <v>500</v>
      </c>
      <c r="P42" s="21">
        <v>500</v>
      </c>
      <c r="Q42" s="21">
        <v>250</v>
      </c>
      <c r="R42" s="21">
        <v>1500</v>
      </c>
      <c r="S42" s="21"/>
      <c r="T42" s="21"/>
      <c r="U42" s="13">
        <f t="shared" si="2"/>
        <v>8250</v>
      </c>
      <c r="V42" s="21">
        <v>30.5</v>
      </c>
      <c r="W42" s="15">
        <f t="shared" si="0"/>
        <v>251625</v>
      </c>
    </row>
    <row r="43" spans="1:23" ht="75" x14ac:dyDescent="0.25">
      <c r="A43" s="117">
        <v>9</v>
      </c>
      <c r="B43" s="94" t="s">
        <v>28</v>
      </c>
      <c r="C43" s="17"/>
      <c r="D43" s="17"/>
      <c r="E43" s="17"/>
      <c r="F43" s="17"/>
      <c r="G43" s="17"/>
      <c r="H43" s="17"/>
      <c r="I43" s="17"/>
      <c r="J43" s="17"/>
      <c r="K43" s="17"/>
      <c r="L43" s="17"/>
      <c r="M43" s="17"/>
      <c r="N43" s="17"/>
      <c r="O43" s="17"/>
      <c r="P43" s="17"/>
      <c r="Q43" s="17"/>
      <c r="R43" s="17"/>
      <c r="S43" s="17"/>
      <c r="T43" s="17"/>
      <c r="U43" s="13">
        <f t="shared" si="2"/>
        <v>0</v>
      </c>
      <c r="V43" s="17"/>
      <c r="W43" s="17"/>
    </row>
    <row r="44" spans="1:23" x14ac:dyDescent="0.25">
      <c r="A44" s="117"/>
      <c r="B44" s="94" t="s">
        <v>29</v>
      </c>
      <c r="C44" s="12">
        <v>100</v>
      </c>
      <c r="D44" s="21">
        <v>4.29</v>
      </c>
      <c r="E44" s="21">
        <v>4.29</v>
      </c>
      <c r="F44" s="21">
        <v>4.29</v>
      </c>
      <c r="G44" s="21">
        <v>4.29</v>
      </c>
      <c r="H44" s="21">
        <v>4.29</v>
      </c>
      <c r="I44" s="21">
        <v>4.29</v>
      </c>
      <c r="J44" s="21">
        <v>4.29</v>
      </c>
      <c r="K44" s="21">
        <v>4.29</v>
      </c>
      <c r="L44" s="21">
        <v>4.29</v>
      </c>
      <c r="M44" s="21">
        <v>4.29</v>
      </c>
      <c r="N44" s="21">
        <v>4.29</v>
      </c>
      <c r="O44" s="21">
        <v>4.29</v>
      </c>
      <c r="P44" s="21">
        <v>4.29</v>
      </c>
      <c r="Q44" s="21">
        <v>2.145</v>
      </c>
      <c r="R44" s="21">
        <v>12.870000000000001</v>
      </c>
      <c r="S44" s="21"/>
      <c r="T44" s="21"/>
      <c r="U44" s="13">
        <f t="shared" si="2"/>
        <v>70.784999999999997</v>
      </c>
      <c r="V44" s="21">
        <v>14042.6</v>
      </c>
      <c r="W44" s="15">
        <f t="shared" si="0"/>
        <v>9940.0544100000006</v>
      </c>
    </row>
    <row r="45" spans="1:23" ht="22.5" x14ac:dyDescent="0.25">
      <c r="A45" s="198">
        <v>3</v>
      </c>
      <c r="B45" s="198" t="s">
        <v>395</v>
      </c>
      <c r="C45" s="16"/>
      <c r="D45" s="16"/>
      <c r="E45" s="16"/>
      <c r="F45" s="16"/>
      <c r="G45" s="16"/>
      <c r="H45" s="16"/>
      <c r="I45" s="16"/>
      <c r="J45" s="16"/>
      <c r="K45" s="16"/>
      <c r="L45" s="16"/>
      <c r="M45" s="16"/>
      <c r="N45" s="16"/>
      <c r="O45" s="16"/>
      <c r="P45" s="16"/>
      <c r="Q45" s="16"/>
      <c r="R45" s="16"/>
      <c r="S45" s="16"/>
      <c r="T45" s="16"/>
      <c r="U45" s="16"/>
      <c r="V45" s="16"/>
      <c r="W45" s="16"/>
    </row>
    <row r="46" spans="1:23" s="152" customFormat="1" ht="15" x14ac:dyDescent="0.2">
      <c r="A46" s="118">
        <v>1</v>
      </c>
      <c r="B46" s="132" t="s">
        <v>30</v>
      </c>
      <c r="C46" s="12">
        <v>1</v>
      </c>
      <c r="D46" s="25">
        <v>55.04</v>
      </c>
      <c r="E46" s="14">
        <v>30.96</v>
      </c>
      <c r="F46" s="14">
        <v>30.96</v>
      </c>
      <c r="G46" s="14">
        <v>39.56</v>
      </c>
      <c r="H46" s="14">
        <v>242.52</v>
      </c>
      <c r="I46" s="14">
        <v>146.19999999999999</v>
      </c>
      <c r="J46" s="14">
        <v>67.08</v>
      </c>
      <c r="K46" s="14">
        <v>22.36</v>
      </c>
      <c r="L46" s="14">
        <v>22.36</v>
      </c>
      <c r="M46" s="14">
        <v>22.36</v>
      </c>
      <c r="N46" s="14">
        <v>5.16</v>
      </c>
      <c r="O46" s="14">
        <v>44.72</v>
      </c>
      <c r="P46" s="14">
        <v>29.24</v>
      </c>
      <c r="Q46" s="14">
        <v>6.88</v>
      </c>
      <c r="R46" s="14">
        <v>20.64</v>
      </c>
      <c r="S46" s="14"/>
      <c r="T46" s="14"/>
      <c r="U46" s="13">
        <f t="shared" ref="U46:U53" si="3">SUM(D46:T46)</f>
        <v>786.04000000000008</v>
      </c>
      <c r="V46" s="25">
        <v>546.95000000000005</v>
      </c>
      <c r="W46" s="15">
        <f t="shared" si="0"/>
        <v>429924.5780000001</v>
      </c>
    </row>
    <row r="47" spans="1:23" s="152" customFormat="1" ht="45" x14ac:dyDescent="0.2">
      <c r="A47" s="118">
        <v>2</v>
      </c>
      <c r="B47" s="132" t="s">
        <v>31</v>
      </c>
      <c r="C47" s="26">
        <v>100</v>
      </c>
      <c r="D47" s="25">
        <v>125.76</v>
      </c>
      <c r="E47" s="14">
        <v>70.740000000000009</v>
      </c>
      <c r="F47" s="14">
        <v>70.740000000000009</v>
      </c>
      <c r="G47" s="14">
        <v>90.39</v>
      </c>
      <c r="H47" s="14">
        <v>554.13</v>
      </c>
      <c r="I47" s="14">
        <v>334.05</v>
      </c>
      <c r="J47" s="14">
        <v>153.27000000000001</v>
      </c>
      <c r="K47" s="14">
        <v>51.09</v>
      </c>
      <c r="L47" s="14">
        <v>51.09</v>
      </c>
      <c r="M47" s="14">
        <v>51.09</v>
      </c>
      <c r="N47" s="14">
        <v>11.790000000000001</v>
      </c>
      <c r="O47" s="14">
        <v>102.18</v>
      </c>
      <c r="P47" s="14">
        <v>66.81</v>
      </c>
      <c r="Q47" s="14">
        <v>15.72</v>
      </c>
      <c r="R47" s="14">
        <v>47.160000000000004</v>
      </c>
      <c r="S47" s="14"/>
      <c r="T47" s="14"/>
      <c r="U47" s="13">
        <f t="shared" si="3"/>
        <v>1796.0099999999998</v>
      </c>
      <c r="V47" s="25">
        <v>30006.1</v>
      </c>
      <c r="W47" s="15">
        <f t="shared" si="0"/>
        <v>538912.55660999985</v>
      </c>
    </row>
    <row r="48" spans="1:23" s="152" customFormat="1" ht="15" x14ac:dyDescent="0.2">
      <c r="A48" s="44">
        <v>3</v>
      </c>
      <c r="B48" s="132" t="s">
        <v>32</v>
      </c>
      <c r="C48" s="24">
        <v>1</v>
      </c>
      <c r="D48" s="25">
        <v>32</v>
      </c>
      <c r="E48" s="14">
        <v>18</v>
      </c>
      <c r="F48" s="14">
        <v>18</v>
      </c>
      <c r="G48" s="14">
        <v>23</v>
      </c>
      <c r="H48" s="14">
        <v>141</v>
      </c>
      <c r="I48" s="14">
        <v>85</v>
      </c>
      <c r="J48" s="14">
        <v>39</v>
      </c>
      <c r="K48" s="14">
        <v>13</v>
      </c>
      <c r="L48" s="14">
        <v>13</v>
      </c>
      <c r="M48" s="14">
        <v>13</v>
      </c>
      <c r="N48" s="14">
        <v>3</v>
      </c>
      <c r="O48" s="14">
        <v>26</v>
      </c>
      <c r="P48" s="14">
        <v>17</v>
      </c>
      <c r="Q48" s="14">
        <v>4</v>
      </c>
      <c r="R48" s="14">
        <v>12</v>
      </c>
      <c r="S48" s="14"/>
      <c r="T48" s="14"/>
      <c r="U48" s="13">
        <f t="shared" si="3"/>
        <v>457</v>
      </c>
      <c r="V48" s="25">
        <v>115.4</v>
      </c>
      <c r="W48" s="15">
        <f t="shared" si="0"/>
        <v>52737.8</v>
      </c>
    </row>
    <row r="49" spans="1:23" s="152" customFormat="1" ht="15" x14ac:dyDescent="0.2">
      <c r="A49" s="44">
        <v>4</v>
      </c>
      <c r="B49" s="132" t="s">
        <v>33</v>
      </c>
      <c r="C49" s="27">
        <v>1</v>
      </c>
      <c r="D49" s="25">
        <v>32</v>
      </c>
      <c r="E49" s="14">
        <v>18</v>
      </c>
      <c r="F49" s="14">
        <v>18</v>
      </c>
      <c r="G49" s="14">
        <v>23</v>
      </c>
      <c r="H49" s="14">
        <v>141</v>
      </c>
      <c r="I49" s="14">
        <v>85</v>
      </c>
      <c r="J49" s="14">
        <v>39</v>
      </c>
      <c r="K49" s="14">
        <v>13</v>
      </c>
      <c r="L49" s="14">
        <v>13</v>
      </c>
      <c r="M49" s="14">
        <v>13</v>
      </c>
      <c r="N49" s="14">
        <v>3</v>
      </c>
      <c r="O49" s="14">
        <v>26</v>
      </c>
      <c r="P49" s="14">
        <v>17</v>
      </c>
      <c r="Q49" s="14">
        <v>4</v>
      </c>
      <c r="R49" s="14">
        <v>12</v>
      </c>
      <c r="S49" s="14"/>
      <c r="T49" s="14"/>
      <c r="U49" s="13">
        <f t="shared" si="3"/>
        <v>457</v>
      </c>
      <c r="V49" s="25">
        <v>141.9</v>
      </c>
      <c r="W49" s="15">
        <f t="shared" si="0"/>
        <v>64848.3</v>
      </c>
    </row>
    <row r="50" spans="1:23" s="152" customFormat="1" ht="15" x14ac:dyDescent="0.2">
      <c r="A50" s="44">
        <v>5</v>
      </c>
      <c r="B50" s="132" t="s">
        <v>34</v>
      </c>
      <c r="C50" s="19">
        <v>100</v>
      </c>
      <c r="D50" s="25">
        <v>112</v>
      </c>
      <c r="E50" s="14">
        <v>63</v>
      </c>
      <c r="F50" s="14">
        <v>63</v>
      </c>
      <c r="G50" s="14">
        <v>80.5</v>
      </c>
      <c r="H50" s="14">
        <v>493.5</v>
      </c>
      <c r="I50" s="14">
        <v>297.5</v>
      </c>
      <c r="J50" s="14">
        <v>136.5</v>
      </c>
      <c r="K50" s="14">
        <v>45.5</v>
      </c>
      <c r="L50" s="14">
        <v>45.5</v>
      </c>
      <c r="M50" s="14">
        <v>45.5</v>
      </c>
      <c r="N50" s="14">
        <v>10.5</v>
      </c>
      <c r="O50" s="14">
        <v>91</v>
      </c>
      <c r="P50" s="14">
        <v>59.5</v>
      </c>
      <c r="Q50" s="14">
        <v>14</v>
      </c>
      <c r="R50" s="14">
        <v>42</v>
      </c>
      <c r="S50" s="14"/>
      <c r="T50" s="14"/>
      <c r="U50" s="13">
        <f t="shared" si="3"/>
        <v>1599.5</v>
      </c>
      <c r="V50" s="25">
        <v>4307.55</v>
      </c>
      <c r="W50" s="15">
        <f t="shared" si="0"/>
        <v>68899.26225</v>
      </c>
    </row>
    <row r="51" spans="1:23" s="152" customFormat="1" ht="30" x14ac:dyDescent="0.2">
      <c r="A51" s="44">
        <v>6</v>
      </c>
      <c r="B51" s="132" t="s">
        <v>35</v>
      </c>
      <c r="C51" s="24">
        <v>1</v>
      </c>
      <c r="D51" s="25">
        <v>320</v>
      </c>
      <c r="E51" s="14">
        <v>180</v>
      </c>
      <c r="F51" s="14">
        <v>180</v>
      </c>
      <c r="G51" s="14">
        <v>230</v>
      </c>
      <c r="H51" s="14">
        <v>1410</v>
      </c>
      <c r="I51" s="14">
        <v>850</v>
      </c>
      <c r="J51" s="14">
        <v>390</v>
      </c>
      <c r="K51" s="14">
        <v>130</v>
      </c>
      <c r="L51" s="14">
        <v>130</v>
      </c>
      <c r="M51" s="14">
        <v>130</v>
      </c>
      <c r="N51" s="14">
        <v>30</v>
      </c>
      <c r="O51" s="14">
        <v>260</v>
      </c>
      <c r="P51" s="14">
        <v>170</v>
      </c>
      <c r="Q51" s="14">
        <v>40</v>
      </c>
      <c r="R51" s="14">
        <v>120</v>
      </c>
      <c r="S51" s="14"/>
      <c r="T51" s="14"/>
      <c r="U51" s="13">
        <f t="shared" si="3"/>
        <v>4570</v>
      </c>
      <c r="V51" s="25">
        <v>30.5</v>
      </c>
      <c r="W51" s="15">
        <f t="shared" si="0"/>
        <v>139385</v>
      </c>
    </row>
    <row r="52" spans="1:23" s="152" customFormat="1" ht="75.75" x14ac:dyDescent="0.2">
      <c r="A52" s="44">
        <v>7</v>
      </c>
      <c r="B52" s="132" t="s">
        <v>36</v>
      </c>
      <c r="C52" s="23"/>
      <c r="D52" s="23"/>
      <c r="E52" s="23"/>
      <c r="F52" s="23"/>
      <c r="G52" s="23"/>
      <c r="H52" s="23"/>
      <c r="I52" s="23"/>
      <c r="J52" s="23"/>
      <c r="K52" s="23"/>
      <c r="L52" s="23"/>
      <c r="M52" s="23"/>
      <c r="N52" s="23"/>
      <c r="O52" s="23"/>
      <c r="P52" s="23"/>
      <c r="Q52" s="23"/>
      <c r="R52" s="23"/>
      <c r="S52" s="23"/>
      <c r="T52" s="23"/>
      <c r="U52" s="13">
        <f t="shared" si="3"/>
        <v>0</v>
      </c>
      <c r="V52" s="23"/>
      <c r="W52" s="23"/>
    </row>
    <row r="53" spans="1:23" s="152" customFormat="1" ht="15" x14ac:dyDescent="0.2">
      <c r="A53" s="44" t="s">
        <v>37</v>
      </c>
      <c r="B53" s="94" t="s">
        <v>38</v>
      </c>
      <c r="C53" s="12">
        <v>100</v>
      </c>
      <c r="D53" s="25">
        <v>48.435200000000002</v>
      </c>
      <c r="E53" s="14">
        <v>27.244800000000001</v>
      </c>
      <c r="F53" s="14">
        <v>27.244800000000001</v>
      </c>
      <c r="G53" s="14">
        <v>34.812800000000003</v>
      </c>
      <c r="H53" s="14">
        <v>213.41760000000002</v>
      </c>
      <c r="I53" s="14">
        <v>128.65600000000001</v>
      </c>
      <c r="J53" s="14">
        <v>59.0304</v>
      </c>
      <c r="K53" s="14">
        <v>19.6768</v>
      </c>
      <c r="L53" s="14">
        <v>19.6768</v>
      </c>
      <c r="M53" s="14">
        <v>19.6768</v>
      </c>
      <c r="N53" s="14">
        <v>4.5407999999999999</v>
      </c>
      <c r="O53" s="14">
        <v>39.3536</v>
      </c>
      <c r="P53" s="14">
        <v>25.731200000000001</v>
      </c>
      <c r="Q53" s="14">
        <v>6.0544000000000002</v>
      </c>
      <c r="R53" s="14">
        <v>18.1632</v>
      </c>
      <c r="S53" s="25"/>
      <c r="T53" s="25"/>
      <c r="U53" s="13">
        <f t="shared" si="3"/>
        <v>691.71519999999987</v>
      </c>
      <c r="V53" s="25">
        <v>14042.6</v>
      </c>
      <c r="W53" s="15">
        <f t="shared" si="0"/>
        <v>97134.798675199985</v>
      </c>
    </row>
    <row r="54" spans="1:23" ht="22.5" x14ac:dyDescent="0.25">
      <c r="A54" s="198">
        <v>4</v>
      </c>
      <c r="B54" s="198" t="s">
        <v>378</v>
      </c>
      <c r="C54" s="101"/>
      <c r="D54" s="401"/>
      <c r="E54" s="402"/>
      <c r="F54" s="9"/>
      <c r="G54" s="9"/>
      <c r="H54" s="9"/>
      <c r="I54" s="9"/>
      <c r="J54" s="9"/>
      <c r="K54" s="9"/>
      <c r="L54" s="9"/>
      <c r="M54" s="9"/>
      <c r="N54" s="9"/>
      <c r="O54" s="9"/>
      <c r="P54" s="9"/>
      <c r="Q54" s="9"/>
      <c r="R54" s="9"/>
      <c r="S54" s="9"/>
      <c r="T54" s="9"/>
      <c r="U54" s="16"/>
      <c r="V54" s="16"/>
      <c r="W54" s="16"/>
    </row>
    <row r="55" spans="1:23" s="152" customFormat="1" ht="30" x14ac:dyDescent="0.2">
      <c r="A55" s="118">
        <v>1</v>
      </c>
      <c r="B55" s="94" t="s">
        <v>328</v>
      </c>
      <c r="C55" s="179">
        <v>1000</v>
      </c>
      <c r="D55" s="25"/>
      <c r="E55" s="14"/>
      <c r="F55" s="14"/>
      <c r="G55" s="14"/>
      <c r="H55" s="14"/>
      <c r="I55" s="14"/>
      <c r="J55" s="14"/>
      <c r="K55" s="14"/>
      <c r="L55" s="14"/>
      <c r="M55" s="14"/>
      <c r="N55" s="14"/>
      <c r="O55" s="40">
        <v>245</v>
      </c>
      <c r="P55" s="14"/>
      <c r="Q55" s="14"/>
      <c r="R55" s="14"/>
      <c r="S55" s="14"/>
      <c r="T55" s="14"/>
      <c r="U55" s="13">
        <f>SUM(D55:T55)</f>
        <v>245</v>
      </c>
      <c r="V55" s="25">
        <v>546.95000000000005</v>
      </c>
      <c r="W55" s="15">
        <f t="shared" si="0"/>
        <v>134.00274999999999</v>
      </c>
    </row>
    <row r="56" spans="1:23" s="152" customFormat="1" ht="45" x14ac:dyDescent="0.2">
      <c r="A56" s="118">
        <v>2</v>
      </c>
      <c r="B56" s="94" t="s">
        <v>329</v>
      </c>
      <c r="C56" s="180">
        <v>100</v>
      </c>
      <c r="D56" s="25"/>
      <c r="E56" s="14"/>
      <c r="F56" s="14"/>
      <c r="G56" s="14"/>
      <c r="H56" s="14"/>
      <c r="I56" s="14"/>
      <c r="J56" s="14"/>
      <c r="K56" s="14"/>
      <c r="L56" s="14"/>
      <c r="M56" s="14"/>
      <c r="N56" s="14"/>
      <c r="O56" s="40">
        <v>367.5</v>
      </c>
      <c r="P56" s="14"/>
      <c r="Q56" s="14"/>
      <c r="R56" s="14"/>
      <c r="S56" s="14"/>
      <c r="T56" s="14"/>
      <c r="U56" s="13">
        <f>SUM(D56:T56)</f>
        <v>367.5</v>
      </c>
      <c r="V56" s="25">
        <v>30006.1</v>
      </c>
      <c r="W56" s="15">
        <f t="shared" si="0"/>
        <v>110272.4175</v>
      </c>
    </row>
    <row r="57" spans="1:23" s="152" customFormat="1" ht="75" x14ac:dyDescent="0.2">
      <c r="A57" s="44">
        <v>3</v>
      </c>
      <c r="B57" s="94" t="s">
        <v>330</v>
      </c>
      <c r="C57" s="181">
        <v>1</v>
      </c>
      <c r="D57" s="25"/>
      <c r="E57" s="14"/>
      <c r="F57" s="14"/>
      <c r="G57" s="14"/>
      <c r="H57" s="14"/>
      <c r="I57" s="14"/>
      <c r="J57" s="14"/>
      <c r="K57" s="14"/>
      <c r="L57" s="14"/>
      <c r="M57" s="14"/>
      <c r="N57" s="14"/>
      <c r="O57" s="40">
        <v>560</v>
      </c>
      <c r="P57" s="14"/>
      <c r="Q57" s="14"/>
      <c r="R57" s="14"/>
      <c r="S57" s="14"/>
      <c r="T57" s="14"/>
      <c r="U57" s="13">
        <f>SUM(D57:T57)</f>
        <v>560</v>
      </c>
      <c r="V57" s="25">
        <v>115.4</v>
      </c>
      <c r="W57" s="15">
        <f t="shared" si="0"/>
        <v>64624</v>
      </c>
    </row>
    <row r="58" spans="1:23" s="152" customFormat="1" ht="60" x14ac:dyDescent="0.2">
      <c r="A58" s="44">
        <v>4</v>
      </c>
      <c r="B58" s="94" t="s">
        <v>331</v>
      </c>
      <c r="C58" s="180">
        <v>100</v>
      </c>
      <c r="D58" s="25"/>
      <c r="E58" s="14"/>
      <c r="F58" s="14"/>
      <c r="G58" s="14"/>
      <c r="H58" s="14"/>
      <c r="I58" s="14"/>
      <c r="J58" s="14"/>
      <c r="K58" s="14"/>
      <c r="L58" s="14"/>
      <c r="M58" s="14"/>
      <c r="N58" s="14"/>
      <c r="O58" s="40">
        <v>323.40000000000003</v>
      </c>
      <c r="P58" s="14"/>
      <c r="Q58" s="14"/>
      <c r="R58" s="14"/>
      <c r="S58" s="14"/>
      <c r="T58" s="14"/>
      <c r="U58" s="13">
        <f>SUM(D58:T58)</f>
        <v>323.40000000000003</v>
      </c>
      <c r="V58" s="25">
        <v>141.9</v>
      </c>
      <c r="W58" s="15">
        <f t="shared" si="0"/>
        <v>458.90460000000007</v>
      </c>
    </row>
    <row r="59" spans="1:23" ht="22.5" x14ac:dyDescent="0.25">
      <c r="A59" s="198">
        <v>5</v>
      </c>
      <c r="B59" s="198" t="s">
        <v>396</v>
      </c>
      <c r="C59" s="101"/>
      <c r="D59" s="403"/>
      <c r="E59" s="404"/>
      <c r="F59" s="9"/>
      <c r="G59" s="9"/>
      <c r="H59" s="9"/>
      <c r="I59" s="9"/>
      <c r="J59" s="9"/>
      <c r="K59" s="9"/>
      <c r="L59" s="9"/>
      <c r="M59" s="9"/>
      <c r="N59" s="9"/>
      <c r="O59" s="9"/>
      <c r="P59" s="9"/>
      <c r="Q59" s="9"/>
      <c r="R59" s="9"/>
      <c r="S59" s="9"/>
      <c r="T59" s="9"/>
      <c r="U59" s="16"/>
      <c r="V59" s="16"/>
      <c r="W59" s="16"/>
    </row>
    <row r="60" spans="1:23" x14ac:dyDescent="0.25">
      <c r="A60" s="119">
        <v>1</v>
      </c>
      <c r="B60" s="133" t="s">
        <v>333</v>
      </c>
      <c r="C60" s="62">
        <v>100</v>
      </c>
      <c r="D60" s="101"/>
      <c r="E60" s="9"/>
      <c r="F60" s="9"/>
      <c r="G60" s="9"/>
      <c r="H60" s="9"/>
      <c r="I60" s="9"/>
      <c r="J60" s="9"/>
      <c r="K60" s="9"/>
      <c r="L60" s="9"/>
      <c r="M60" s="9"/>
      <c r="N60" s="9"/>
      <c r="O60" s="25">
        <f>507.9375+511.88</f>
        <v>1019.8175</v>
      </c>
      <c r="P60" s="17"/>
      <c r="Q60" s="25">
        <v>803.25</v>
      </c>
      <c r="R60" s="14"/>
      <c r="S60" s="9"/>
      <c r="T60" s="9"/>
      <c r="U60" s="13">
        <f t="shared" ref="U60:U98" si="4">SUM(D60:T60)</f>
        <v>1823.0675000000001</v>
      </c>
      <c r="V60" s="25">
        <v>2633.4</v>
      </c>
      <c r="W60" s="15">
        <f t="shared" si="0"/>
        <v>48008.659545000002</v>
      </c>
    </row>
    <row r="61" spans="1:23" ht="45" x14ac:dyDescent="0.25">
      <c r="A61" s="119">
        <v>2</v>
      </c>
      <c r="B61" s="133" t="s">
        <v>57</v>
      </c>
      <c r="C61" s="12">
        <v>100</v>
      </c>
      <c r="D61" s="101"/>
      <c r="E61" s="9"/>
      <c r="F61" s="9"/>
      <c r="G61" s="9"/>
      <c r="H61" s="9"/>
      <c r="I61" s="9"/>
      <c r="J61" s="9"/>
      <c r="K61" s="9"/>
      <c r="L61" s="9"/>
      <c r="M61" s="9"/>
      <c r="N61" s="9"/>
      <c r="O61" s="25">
        <f>1155</f>
        <v>1155</v>
      </c>
      <c r="P61" s="17"/>
      <c r="Q61" s="25"/>
      <c r="R61" s="9"/>
      <c r="S61" s="9"/>
      <c r="T61" s="9"/>
      <c r="U61" s="13">
        <f t="shared" si="4"/>
        <v>1155</v>
      </c>
      <c r="V61" s="25">
        <v>4017.8</v>
      </c>
      <c r="W61" s="15">
        <f t="shared" si="0"/>
        <v>46405.59</v>
      </c>
    </row>
    <row r="62" spans="1:23" ht="45" x14ac:dyDescent="0.25">
      <c r="A62" s="119">
        <v>3</v>
      </c>
      <c r="B62" s="133" t="s">
        <v>336</v>
      </c>
      <c r="C62" s="12">
        <v>100</v>
      </c>
      <c r="D62" s="101">
        <v>307</v>
      </c>
      <c r="E62" s="9"/>
      <c r="F62" s="9"/>
      <c r="G62" s="9">
        <v>384</v>
      </c>
      <c r="H62" s="9">
        <v>11823.77</v>
      </c>
      <c r="I62" s="9"/>
      <c r="J62" s="9"/>
      <c r="K62" s="9"/>
      <c r="L62" s="9"/>
      <c r="M62" s="9"/>
      <c r="N62" s="9"/>
      <c r="O62" s="25">
        <f>422.5+403</f>
        <v>825.5</v>
      </c>
      <c r="P62" s="17"/>
      <c r="Q62" s="25"/>
      <c r="R62" s="9"/>
      <c r="S62" s="9"/>
      <c r="T62" s="9"/>
      <c r="U62" s="13">
        <f t="shared" si="4"/>
        <v>13340.27</v>
      </c>
      <c r="V62" s="25">
        <v>27086.400000000001</v>
      </c>
      <c r="W62" s="15">
        <f t="shared" si="0"/>
        <v>3613398.89328</v>
      </c>
    </row>
    <row r="63" spans="1:23" ht="30" x14ac:dyDescent="0.25">
      <c r="A63" s="119">
        <v>4</v>
      </c>
      <c r="B63" s="94" t="s">
        <v>74</v>
      </c>
      <c r="C63" s="12">
        <v>1000</v>
      </c>
      <c r="D63" s="101"/>
      <c r="E63" s="9"/>
      <c r="F63" s="9"/>
      <c r="G63" s="9"/>
      <c r="H63" s="9"/>
      <c r="I63" s="9"/>
      <c r="J63" s="9"/>
      <c r="K63" s="9"/>
      <c r="L63" s="9"/>
      <c r="M63" s="9"/>
      <c r="N63" s="9"/>
      <c r="O63" s="14">
        <f>32500+3274.04</f>
        <v>35774.04</v>
      </c>
      <c r="P63" s="17"/>
      <c r="Q63" s="14">
        <v>8700</v>
      </c>
      <c r="R63" s="14"/>
      <c r="S63" s="9"/>
      <c r="T63" s="9"/>
      <c r="U63" s="13">
        <f t="shared" si="4"/>
        <v>44474.04</v>
      </c>
      <c r="V63" s="14">
        <v>4640.7</v>
      </c>
      <c r="W63" s="15">
        <f t="shared" si="0"/>
        <v>206390.677428</v>
      </c>
    </row>
    <row r="64" spans="1:23" ht="75" x14ac:dyDescent="0.25">
      <c r="A64" s="118">
        <v>5</v>
      </c>
      <c r="B64" s="94" t="s">
        <v>39</v>
      </c>
      <c r="C64" s="12">
        <v>1000</v>
      </c>
      <c r="D64" s="25">
        <v>6406.1200000000063</v>
      </c>
      <c r="E64" s="14"/>
      <c r="F64" s="14"/>
      <c r="G64" s="14"/>
      <c r="H64" s="14">
        <f>1489.6+1776</f>
        <v>3265.6</v>
      </c>
      <c r="I64" s="14"/>
      <c r="J64" s="14">
        <v>91276.01999999996</v>
      </c>
      <c r="K64" s="14">
        <v>36435.200000000041</v>
      </c>
      <c r="L64" s="14">
        <v>29517.97999999997</v>
      </c>
      <c r="M64" s="14">
        <v>21204.327294117251</v>
      </c>
      <c r="N64" s="14">
        <v>11161.160000000029</v>
      </c>
      <c r="O64" s="14">
        <f>2658.1+3274.04</f>
        <v>5932.1399999999994</v>
      </c>
      <c r="P64" s="14">
        <f>19789.77+23091.93</f>
        <v>42881.7</v>
      </c>
      <c r="Q64" s="14">
        <v>6543.0099999999993</v>
      </c>
      <c r="R64" s="14"/>
      <c r="S64" s="14"/>
      <c r="T64" s="13"/>
      <c r="U64" s="13">
        <f t="shared" si="4"/>
        <v>254623.2572941173</v>
      </c>
      <c r="V64" s="14">
        <v>12735.6</v>
      </c>
      <c r="W64" s="15">
        <f t="shared" si="0"/>
        <v>3242779.9555949601</v>
      </c>
    </row>
    <row r="65" spans="1:23" ht="45" x14ac:dyDescent="0.25">
      <c r="A65" s="44">
        <v>6</v>
      </c>
      <c r="B65" s="94" t="s">
        <v>20</v>
      </c>
      <c r="C65" s="12"/>
      <c r="D65" s="25"/>
      <c r="E65" s="14"/>
      <c r="F65" s="14"/>
      <c r="G65" s="14"/>
      <c r="H65" s="14"/>
      <c r="I65" s="14"/>
      <c r="J65" s="14"/>
      <c r="K65" s="14"/>
      <c r="L65" s="14"/>
      <c r="M65" s="14"/>
      <c r="N65" s="14"/>
      <c r="O65" s="14"/>
      <c r="P65" s="67"/>
      <c r="Q65" s="14"/>
      <c r="R65" s="14"/>
      <c r="S65" s="14"/>
      <c r="T65" s="14"/>
      <c r="U65" s="13">
        <f t="shared" si="4"/>
        <v>0</v>
      </c>
      <c r="V65" s="16"/>
      <c r="W65" s="16"/>
    </row>
    <row r="66" spans="1:23" x14ac:dyDescent="0.25">
      <c r="A66" s="44"/>
      <c r="B66" s="94" t="s">
        <v>21</v>
      </c>
      <c r="C66" s="12">
        <v>100</v>
      </c>
      <c r="D66" s="25">
        <v>361</v>
      </c>
      <c r="E66" s="14"/>
      <c r="F66" s="14"/>
      <c r="G66" s="14"/>
      <c r="H66" s="14">
        <f>132+73.5</f>
        <v>205.5</v>
      </c>
      <c r="I66" s="14"/>
      <c r="J66" s="14">
        <v>1441.5</v>
      </c>
      <c r="K66" s="14">
        <v>510</v>
      </c>
      <c r="L66" s="14">
        <v>768</v>
      </c>
      <c r="M66" s="14">
        <v>564.5</v>
      </c>
      <c r="N66" s="14">
        <v>252</v>
      </c>
      <c r="O66" s="14">
        <f>531.56+158</f>
        <v>689.56</v>
      </c>
      <c r="P66" s="14">
        <f>358.89+358.89</f>
        <v>717.78</v>
      </c>
      <c r="Q66" s="14">
        <v>435.94000000000005</v>
      </c>
      <c r="R66" s="14"/>
      <c r="S66" s="14"/>
      <c r="T66" s="13"/>
      <c r="U66" s="13">
        <f t="shared" si="4"/>
        <v>5945.7799999999988</v>
      </c>
      <c r="V66" s="14">
        <v>34694.300000000003</v>
      </c>
      <c r="W66" s="15">
        <f t="shared" si="0"/>
        <v>2062846.7505399999</v>
      </c>
    </row>
    <row r="67" spans="1:23" x14ac:dyDescent="0.25">
      <c r="A67" s="44"/>
      <c r="B67" s="94" t="s">
        <v>107</v>
      </c>
      <c r="C67" s="12">
        <v>100</v>
      </c>
      <c r="D67" s="25">
        <v>157.9</v>
      </c>
      <c r="E67" s="14">
        <v>136.80000000000001</v>
      </c>
      <c r="F67" s="14"/>
      <c r="G67" s="14">
        <v>966.72</v>
      </c>
      <c r="H67" s="14">
        <v>2414.0700000000002</v>
      </c>
      <c r="I67" s="14">
        <v>976.25</v>
      </c>
      <c r="J67" s="14"/>
      <c r="K67" s="14"/>
      <c r="L67" s="14"/>
      <c r="M67" s="14"/>
      <c r="N67" s="14"/>
      <c r="O67" s="14"/>
      <c r="P67" s="14">
        <f>100.31+100.31</f>
        <v>200.62</v>
      </c>
      <c r="Q67" s="14"/>
      <c r="R67" s="14"/>
      <c r="S67" s="14"/>
      <c r="T67" s="13"/>
      <c r="U67" s="13">
        <f t="shared" si="4"/>
        <v>4852.3599999999997</v>
      </c>
      <c r="V67" s="14">
        <v>47135.9</v>
      </c>
      <c r="W67" s="15">
        <f t="shared" si="0"/>
        <v>2287203.55724</v>
      </c>
    </row>
    <row r="68" spans="1:23" ht="90" x14ac:dyDescent="0.25">
      <c r="A68" s="44">
        <v>7</v>
      </c>
      <c r="B68" s="94" t="s">
        <v>40</v>
      </c>
      <c r="C68" s="29">
        <v>100</v>
      </c>
      <c r="D68" s="25">
        <f>12000.72+1992.52</f>
        <v>13993.24</v>
      </c>
      <c r="E68" s="14"/>
      <c r="F68" s="14"/>
      <c r="G68" s="14">
        <v>2080</v>
      </c>
      <c r="H68" s="14">
        <f>4803+61090.96</f>
        <v>65893.959999999992</v>
      </c>
      <c r="I68" s="14"/>
      <c r="J68" s="14">
        <v>71071.979999999967</v>
      </c>
      <c r="K68" s="14">
        <v>26990.400000000012</v>
      </c>
      <c r="L68" s="14">
        <v>29348.939999999984</v>
      </c>
      <c r="M68" s="14">
        <v>22179.123529411605</v>
      </c>
      <c r="N68" s="14">
        <v>10673.280000000015</v>
      </c>
      <c r="O68" s="14">
        <f>27968.8197405425+5932.68</f>
        <v>33901.499740542502</v>
      </c>
      <c r="P68" s="14">
        <f>12287.5941213826+15546.38</f>
        <v>27833.974121382598</v>
      </c>
      <c r="Q68" s="14">
        <v>20607.389095527535</v>
      </c>
      <c r="R68" s="14"/>
      <c r="S68" s="14"/>
      <c r="T68" s="13"/>
      <c r="U68" s="13">
        <f t="shared" si="4"/>
        <v>324573.78648686421</v>
      </c>
      <c r="V68" s="30">
        <v>30376.9</v>
      </c>
      <c r="W68" s="15">
        <f t="shared" si="0"/>
        <v>98595454.547328264</v>
      </c>
    </row>
    <row r="69" spans="1:23" ht="120.75" x14ac:dyDescent="0.25">
      <c r="A69" s="44">
        <v>8</v>
      </c>
      <c r="B69" s="94" t="s">
        <v>41</v>
      </c>
      <c r="C69" s="12"/>
      <c r="D69" s="25"/>
      <c r="E69" s="14"/>
      <c r="F69" s="14"/>
      <c r="G69" s="14"/>
      <c r="H69" s="14"/>
      <c r="I69" s="14"/>
      <c r="J69" s="14"/>
      <c r="K69" s="14"/>
      <c r="L69" s="14"/>
      <c r="M69" s="14"/>
      <c r="N69" s="14"/>
      <c r="O69" s="14"/>
      <c r="P69" s="14"/>
      <c r="Q69" s="14"/>
      <c r="R69" s="14"/>
      <c r="S69" s="14"/>
      <c r="T69" s="35"/>
      <c r="U69" s="13">
        <f t="shared" si="4"/>
        <v>0</v>
      </c>
      <c r="V69" s="16"/>
      <c r="W69" s="16"/>
    </row>
    <row r="70" spans="1:23" ht="75" x14ac:dyDescent="0.25">
      <c r="A70" s="44" t="s">
        <v>42</v>
      </c>
      <c r="B70" s="94" t="s">
        <v>43</v>
      </c>
      <c r="C70" s="12">
        <v>1</v>
      </c>
      <c r="D70" s="25">
        <f>2556.24000000001+499.88</f>
        <v>3056.1200000000099</v>
      </c>
      <c r="E70" s="14"/>
      <c r="F70" s="14"/>
      <c r="G70" s="14">
        <v>520</v>
      </c>
      <c r="H70" s="14">
        <f>1073+13743.27</f>
        <v>14816.27</v>
      </c>
      <c r="I70" s="14"/>
      <c r="J70" s="14">
        <v>17924.659999999996</v>
      </c>
      <c r="K70" s="14">
        <v>6956.8000000000038</v>
      </c>
      <c r="L70" s="14">
        <v>6710.9799999999941</v>
      </c>
      <c r="M70" s="14">
        <v>5135.041176470535</v>
      </c>
      <c r="N70" s="14">
        <v>2549.7600000000048</v>
      </c>
      <c r="O70" s="14">
        <f>6010.66+1345.56</f>
        <v>7356.2199999999993</v>
      </c>
      <c r="P70" s="14">
        <f>2130.79+3157.12</f>
        <v>5287.91</v>
      </c>
      <c r="Q70" s="14">
        <v>4517.97</v>
      </c>
      <c r="R70" s="14"/>
      <c r="S70" s="14"/>
      <c r="T70" s="13"/>
      <c r="U70" s="13">
        <f t="shared" si="4"/>
        <v>74831.731176470537</v>
      </c>
      <c r="V70" s="14">
        <v>817.55</v>
      </c>
      <c r="W70" s="15">
        <f t="shared" ref="W70:W119" si="5">V70*U70/C70</f>
        <v>61178681.823323481</v>
      </c>
    </row>
    <row r="71" spans="1:23" ht="75" x14ac:dyDescent="0.25">
      <c r="A71" s="44" t="s">
        <v>44</v>
      </c>
      <c r="B71" s="94" t="s">
        <v>45</v>
      </c>
      <c r="C71" s="12">
        <v>1</v>
      </c>
      <c r="D71" s="25">
        <v>1444</v>
      </c>
      <c r="E71" s="14"/>
      <c r="F71" s="14"/>
      <c r="G71" s="14" t="s">
        <v>420</v>
      </c>
      <c r="H71" s="14">
        <f>528+192</f>
        <v>720</v>
      </c>
      <c r="I71" s="14"/>
      <c r="J71" s="14">
        <v>5766</v>
      </c>
      <c r="K71" s="14">
        <v>2040</v>
      </c>
      <c r="L71" s="14">
        <v>3072</v>
      </c>
      <c r="M71" s="14">
        <v>2258</v>
      </c>
      <c r="N71" s="14">
        <v>1008</v>
      </c>
      <c r="O71" s="14">
        <f>2797.92+632</f>
        <v>3429.92</v>
      </c>
      <c r="P71" s="14">
        <f>1739.1+1739.1</f>
        <v>3478.2</v>
      </c>
      <c r="Q71" s="14">
        <v>1972.18</v>
      </c>
      <c r="R71" s="14"/>
      <c r="S71" s="14"/>
      <c r="T71" s="13"/>
      <c r="U71" s="13">
        <f t="shared" si="4"/>
        <v>25188.3</v>
      </c>
      <c r="V71" s="14">
        <v>670.5</v>
      </c>
      <c r="W71" s="15">
        <f t="shared" si="5"/>
        <v>16888755.149999999</v>
      </c>
    </row>
    <row r="72" spans="1:23" ht="45" x14ac:dyDescent="0.25">
      <c r="A72" s="44">
        <v>9</v>
      </c>
      <c r="B72" s="134" t="s">
        <v>71</v>
      </c>
      <c r="C72" s="31">
        <v>1</v>
      </c>
      <c r="D72" s="25"/>
      <c r="E72" s="14"/>
      <c r="F72" s="14"/>
      <c r="G72" s="14"/>
      <c r="H72" s="14"/>
      <c r="I72" s="14"/>
      <c r="J72" s="14"/>
      <c r="K72" s="14"/>
      <c r="L72" s="14"/>
      <c r="M72" s="14"/>
      <c r="N72" s="14"/>
      <c r="O72" s="14">
        <v>51.34</v>
      </c>
      <c r="P72" s="67"/>
      <c r="Q72" s="14"/>
      <c r="R72" s="14"/>
      <c r="S72" s="14"/>
      <c r="T72" s="14"/>
      <c r="U72" s="13">
        <f t="shared" si="4"/>
        <v>51.34</v>
      </c>
      <c r="V72" s="14">
        <v>809.4</v>
      </c>
      <c r="W72" s="15">
        <f t="shared" si="5"/>
        <v>41554.596000000005</v>
      </c>
    </row>
    <row r="73" spans="1:23" ht="30" x14ac:dyDescent="0.25">
      <c r="A73" s="44">
        <v>10</v>
      </c>
      <c r="B73" s="94" t="s">
        <v>46</v>
      </c>
      <c r="C73" s="19">
        <v>100</v>
      </c>
      <c r="D73" s="25">
        <v>2739.760000000007</v>
      </c>
      <c r="E73" s="14"/>
      <c r="F73" s="14"/>
      <c r="G73" s="14"/>
      <c r="H73" s="14">
        <f>944</f>
        <v>944</v>
      </c>
      <c r="I73" s="14"/>
      <c r="J73" s="14">
        <v>16855.639999999992</v>
      </c>
      <c r="K73" s="14">
        <v>7707.6000000000076</v>
      </c>
      <c r="L73" s="14">
        <v>6537.2799999999952</v>
      </c>
      <c r="M73" s="14">
        <v>4909.2811764705175</v>
      </c>
      <c r="N73" s="14">
        <v>2884.8000000000065</v>
      </c>
      <c r="O73" s="14">
        <f>2047.1232+1117.92</f>
        <v>3165.0432000000001</v>
      </c>
      <c r="P73" s="14">
        <f>978.1224+1471.48</f>
        <v>2449.6023999999998</v>
      </c>
      <c r="Q73" s="14">
        <v>2183.8119999999999</v>
      </c>
      <c r="R73" s="14"/>
      <c r="S73" s="14"/>
      <c r="T73" s="14"/>
      <c r="U73" s="13">
        <f t="shared" si="4"/>
        <v>50376.818776470529</v>
      </c>
      <c r="V73" s="25">
        <v>1645.1</v>
      </c>
      <c r="W73" s="15">
        <f t="shared" si="5"/>
        <v>828749.04569171672</v>
      </c>
    </row>
    <row r="74" spans="1:23" ht="45" x14ac:dyDescent="0.25">
      <c r="A74" s="44">
        <v>11</v>
      </c>
      <c r="B74" s="94" t="s">
        <v>111</v>
      </c>
      <c r="C74" s="31">
        <v>1</v>
      </c>
      <c r="D74" s="25"/>
      <c r="E74" s="14"/>
      <c r="F74" s="14"/>
      <c r="G74" s="14"/>
      <c r="H74" s="14"/>
      <c r="I74" s="14"/>
      <c r="J74" s="14"/>
      <c r="K74" s="14"/>
      <c r="L74" s="14"/>
      <c r="M74" s="14"/>
      <c r="N74" s="14"/>
      <c r="O74" s="14">
        <v>6</v>
      </c>
      <c r="P74" s="14">
        <f>6+6</f>
        <v>12</v>
      </c>
      <c r="Q74" s="14">
        <v>6</v>
      </c>
      <c r="R74" s="14"/>
      <c r="S74" s="14"/>
      <c r="T74" s="17"/>
      <c r="U74" s="13">
        <f t="shared" si="4"/>
        <v>24</v>
      </c>
      <c r="V74" s="25">
        <v>514.9</v>
      </c>
      <c r="W74" s="15">
        <f t="shared" si="5"/>
        <v>12357.599999999999</v>
      </c>
    </row>
    <row r="75" spans="1:23" s="154" customFormat="1" x14ac:dyDescent="0.25">
      <c r="A75" s="121">
        <v>12</v>
      </c>
      <c r="B75" s="93" t="s">
        <v>87</v>
      </c>
      <c r="C75" s="36">
        <v>1</v>
      </c>
      <c r="D75" s="33">
        <v>12</v>
      </c>
      <c r="E75" s="33"/>
      <c r="F75" s="33"/>
      <c r="G75" s="33">
        <v>6</v>
      </c>
      <c r="H75" s="33">
        <v>30</v>
      </c>
      <c r="I75" s="33"/>
      <c r="J75" s="33"/>
      <c r="K75" s="33"/>
      <c r="L75" s="33"/>
      <c r="M75" s="33"/>
      <c r="N75" s="33"/>
      <c r="O75" s="33"/>
      <c r="P75" s="33"/>
      <c r="Q75" s="33"/>
      <c r="R75" s="33"/>
      <c r="S75" s="33"/>
      <c r="T75" s="13"/>
      <c r="U75" s="13">
        <f t="shared" si="4"/>
        <v>48</v>
      </c>
      <c r="V75" s="33">
        <v>378.75</v>
      </c>
      <c r="W75" s="15">
        <f>V75*U75/C75</f>
        <v>18180</v>
      </c>
    </row>
    <row r="76" spans="1:23" ht="45" x14ac:dyDescent="0.25">
      <c r="A76" s="44">
        <v>13</v>
      </c>
      <c r="B76" s="94" t="s">
        <v>47</v>
      </c>
      <c r="C76" s="31">
        <v>1</v>
      </c>
      <c r="D76" s="25">
        <v>13.5</v>
      </c>
      <c r="E76" s="14"/>
      <c r="F76" s="14"/>
      <c r="G76" s="14"/>
      <c r="H76" s="14">
        <v>6</v>
      </c>
      <c r="I76" s="14"/>
      <c r="J76" s="14">
        <v>60</v>
      </c>
      <c r="K76" s="14">
        <v>22.5</v>
      </c>
      <c r="L76" s="14">
        <v>31.5</v>
      </c>
      <c r="M76" s="14">
        <v>22.5</v>
      </c>
      <c r="N76" s="14">
        <v>13.5</v>
      </c>
      <c r="O76" s="14"/>
      <c r="P76" s="67"/>
      <c r="Q76" s="14"/>
      <c r="R76" s="14"/>
      <c r="S76" s="14"/>
      <c r="T76" s="14"/>
      <c r="U76" s="13">
        <f t="shared" si="4"/>
        <v>169.5</v>
      </c>
      <c r="V76" s="25">
        <v>303.8</v>
      </c>
      <c r="W76" s="15">
        <f t="shared" si="5"/>
        <v>51494.1</v>
      </c>
    </row>
    <row r="77" spans="1:23" ht="105" x14ac:dyDescent="0.25">
      <c r="A77" s="44">
        <v>14</v>
      </c>
      <c r="B77" s="94" t="s">
        <v>164</v>
      </c>
      <c r="C77" s="36">
        <v>1</v>
      </c>
      <c r="D77" s="25">
        <v>96</v>
      </c>
      <c r="E77" s="14"/>
      <c r="F77" s="14"/>
      <c r="G77" s="14">
        <v>48</v>
      </c>
      <c r="H77" s="14">
        <f>48+320</f>
        <v>368</v>
      </c>
      <c r="I77" s="14"/>
      <c r="J77" s="14"/>
      <c r="K77" s="67"/>
      <c r="L77" s="67"/>
      <c r="M77" s="14"/>
      <c r="N77" s="14"/>
      <c r="O77" s="14">
        <v>112</v>
      </c>
      <c r="P77" s="67"/>
      <c r="Q77" s="14"/>
      <c r="R77" s="14"/>
      <c r="S77" s="14"/>
      <c r="T77" s="14"/>
      <c r="U77" s="13">
        <f t="shared" si="4"/>
        <v>624</v>
      </c>
      <c r="V77" s="13">
        <v>2150.35</v>
      </c>
      <c r="W77" s="15">
        <f t="shared" si="5"/>
        <v>1341818.3999999999</v>
      </c>
    </row>
    <row r="78" spans="1:23" s="154" customFormat="1" ht="105" x14ac:dyDescent="0.25">
      <c r="A78" s="44">
        <v>15</v>
      </c>
      <c r="B78" s="133" t="s">
        <v>422</v>
      </c>
      <c r="C78" s="12">
        <v>100</v>
      </c>
      <c r="D78" s="25">
        <v>480</v>
      </c>
      <c r="E78" s="14"/>
      <c r="F78" s="14"/>
      <c r="G78" s="14"/>
      <c r="H78" s="14"/>
      <c r="I78" s="14"/>
      <c r="J78" s="14">
        <v>480</v>
      </c>
      <c r="K78" s="14">
        <v>180</v>
      </c>
      <c r="L78" s="14">
        <v>300</v>
      </c>
      <c r="M78" s="14">
        <v>350</v>
      </c>
      <c r="N78" s="14"/>
      <c r="O78" s="14">
        <v>825</v>
      </c>
      <c r="P78" s="16"/>
      <c r="Q78" s="14"/>
      <c r="R78" s="14"/>
      <c r="S78" s="14"/>
      <c r="T78" s="14"/>
      <c r="U78" s="13">
        <f t="shared" si="4"/>
        <v>2615</v>
      </c>
      <c r="V78" s="14">
        <v>10003.5</v>
      </c>
      <c r="W78" s="15">
        <f t="shared" si="5"/>
        <v>261591.52499999999</v>
      </c>
    </row>
    <row r="79" spans="1:23" s="154" customFormat="1" ht="105" x14ac:dyDescent="0.25">
      <c r="A79" s="44">
        <v>16</v>
      </c>
      <c r="B79" s="133" t="s">
        <v>423</v>
      </c>
      <c r="C79" s="12">
        <v>100</v>
      </c>
      <c r="D79" s="25">
        <v>480</v>
      </c>
      <c r="E79" s="14"/>
      <c r="F79" s="14"/>
      <c r="G79" s="14"/>
      <c r="H79" s="14"/>
      <c r="I79" s="14"/>
      <c r="J79" s="14">
        <v>480</v>
      </c>
      <c r="K79" s="14">
        <v>180</v>
      </c>
      <c r="L79" s="14">
        <v>300</v>
      </c>
      <c r="M79" s="14">
        <v>350</v>
      </c>
      <c r="N79" s="14"/>
      <c r="O79" s="14">
        <v>825</v>
      </c>
      <c r="P79" s="16"/>
      <c r="Q79" s="14"/>
      <c r="R79" s="14"/>
      <c r="S79" s="14"/>
      <c r="T79" s="14"/>
      <c r="U79" s="13">
        <f t="shared" si="4"/>
        <v>2615</v>
      </c>
      <c r="V79" s="14">
        <v>13527.4</v>
      </c>
      <c r="W79" s="15">
        <f t="shared" si="5"/>
        <v>353741.51</v>
      </c>
    </row>
    <row r="80" spans="1:23" s="154" customFormat="1" ht="30" x14ac:dyDescent="0.25">
      <c r="A80" s="44">
        <v>17</v>
      </c>
      <c r="B80" s="133" t="s">
        <v>50</v>
      </c>
      <c r="C80" s="31">
        <v>1</v>
      </c>
      <c r="D80" s="25">
        <v>120</v>
      </c>
      <c r="E80" s="14"/>
      <c r="F80" s="14"/>
      <c r="G80" s="14"/>
      <c r="H80" s="14"/>
      <c r="I80" s="14"/>
      <c r="J80" s="14">
        <v>160</v>
      </c>
      <c r="K80" s="14">
        <v>60</v>
      </c>
      <c r="L80" s="14">
        <v>60</v>
      </c>
      <c r="M80" s="14">
        <v>100</v>
      </c>
      <c r="N80" s="14"/>
      <c r="O80" s="14">
        <v>200</v>
      </c>
      <c r="P80" s="16"/>
      <c r="Q80" s="14"/>
      <c r="R80" s="14"/>
      <c r="S80" s="14"/>
      <c r="T80" s="14"/>
      <c r="U80" s="13">
        <f t="shared" si="4"/>
        <v>700</v>
      </c>
      <c r="V80" s="14">
        <v>64.2</v>
      </c>
      <c r="W80" s="15">
        <f t="shared" si="5"/>
        <v>44940</v>
      </c>
    </row>
    <row r="81" spans="1:24" s="154" customFormat="1" ht="105" x14ac:dyDescent="0.25">
      <c r="A81" s="44">
        <v>18</v>
      </c>
      <c r="B81" s="133" t="s">
        <v>392</v>
      </c>
      <c r="C81" s="19"/>
      <c r="D81" s="14"/>
      <c r="E81" s="14"/>
      <c r="F81" s="14"/>
      <c r="G81" s="14"/>
      <c r="H81" s="14"/>
      <c r="I81" s="14"/>
      <c r="J81" s="14"/>
      <c r="K81" s="16"/>
      <c r="L81" s="16"/>
      <c r="M81" s="14"/>
      <c r="N81" s="14"/>
      <c r="O81" s="14"/>
      <c r="P81" s="14"/>
      <c r="Q81" s="14"/>
      <c r="R81" s="14"/>
      <c r="S81" s="14"/>
      <c r="T81" s="14"/>
      <c r="U81" s="13">
        <f t="shared" si="4"/>
        <v>0</v>
      </c>
      <c r="V81" s="14"/>
      <c r="W81" s="14"/>
    </row>
    <row r="82" spans="1:24" s="154" customFormat="1" ht="45" x14ac:dyDescent="0.25">
      <c r="A82" s="44" t="s">
        <v>51</v>
      </c>
      <c r="B82" s="133" t="s">
        <v>52</v>
      </c>
      <c r="C82" s="19">
        <v>100</v>
      </c>
      <c r="D82" s="25">
        <v>960</v>
      </c>
      <c r="E82" s="25"/>
      <c r="F82" s="25"/>
      <c r="G82" s="25"/>
      <c r="H82" s="25"/>
      <c r="I82" s="25"/>
      <c r="J82" s="25">
        <v>960</v>
      </c>
      <c r="K82" s="25">
        <v>360</v>
      </c>
      <c r="L82" s="25">
        <v>600</v>
      </c>
      <c r="M82" s="25">
        <v>700</v>
      </c>
      <c r="N82" s="25"/>
      <c r="O82" s="25">
        <v>1650</v>
      </c>
      <c r="P82" s="16"/>
      <c r="Q82" s="25"/>
      <c r="R82" s="25"/>
      <c r="S82" s="25"/>
      <c r="T82" s="25"/>
      <c r="U82" s="13">
        <f t="shared" si="4"/>
        <v>5230</v>
      </c>
      <c r="V82" s="25">
        <v>4549.95</v>
      </c>
      <c r="W82" s="15">
        <f t="shared" si="5"/>
        <v>237962.38500000001</v>
      </c>
    </row>
    <row r="83" spans="1:24" s="154" customFormat="1" ht="45" x14ac:dyDescent="0.25">
      <c r="A83" s="44" t="s">
        <v>53</v>
      </c>
      <c r="B83" s="133" t="s">
        <v>54</v>
      </c>
      <c r="C83" s="19">
        <v>100</v>
      </c>
      <c r="D83" s="25">
        <v>960</v>
      </c>
      <c r="E83" s="25"/>
      <c r="F83" s="25"/>
      <c r="G83" s="25"/>
      <c r="H83" s="25"/>
      <c r="I83" s="25"/>
      <c r="J83" s="25">
        <v>960</v>
      </c>
      <c r="K83" s="25">
        <v>360</v>
      </c>
      <c r="L83" s="25">
        <v>600</v>
      </c>
      <c r="M83" s="25">
        <v>700</v>
      </c>
      <c r="N83" s="25"/>
      <c r="O83" s="25">
        <v>1650</v>
      </c>
      <c r="P83" s="16"/>
      <c r="Q83" s="25"/>
      <c r="R83" s="25"/>
      <c r="S83" s="25"/>
      <c r="T83" s="25"/>
      <c r="U83" s="13">
        <f t="shared" si="4"/>
        <v>5230</v>
      </c>
      <c r="V83" s="25">
        <v>2639.45</v>
      </c>
      <c r="W83" s="15">
        <f t="shared" si="5"/>
        <v>138043.23499999999</v>
      </c>
    </row>
    <row r="84" spans="1:24" s="154" customFormat="1" ht="45" x14ac:dyDescent="0.25">
      <c r="A84" s="44" t="s">
        <v>55</v>
      </c>
      <c r="B84" s="133" t="s">
        <v>56</v>
      </c>
      <c r="C84" s="19">
        <v>100</v>
      </c>
      <c r="D84" s="25">
        <v>960</v>
      </c>
      <c r="E84" s="25"/>
      <c r="F84" s="25"/>
      <c r="G84" s="25"/>
      <c r="H84" s="25"/>
      <c r="I84" s="25"/>
      <c r="J84" s="25">
        <v>960</v>
      </c>
      <c r="K84" s="25">
        <v>360</v>
      </c>
      <c r="L84" s="25">
        <v>600</v>
      </c>
      <c r="M84" s="25">
        <v>700</v>
      </c>
      <c r="N84" s="25"/>
      <c r="O84" s="25">
        <v>1650</v>
      </c>
      <c r="P84" s="16"/>
      <c r="Q84" s="25"/>
      <c r="R84" s="25"/>
      <c r="S84" s="25"/>
      <c r="T84" s="25"/>
      <c r="U84" s="13">
        <f t="shared" si="4"/>
        <v>5230</v>
      </c>
      <c r="V84" s="25">
        <v>1960.75</v>
      </c>
      <c r="W84" s="15">
        <f t="shared" si="5"/>
        <v>102547.22500000001</v>
      </c>
    </row>
    <row r="85" spans="1:24" s="154" customFormat="1" ht="45" x14ac:dyDescent="0.25">
      <c r="A85" s="44">
        <v>19</v>
      </c>
      <c r="B85" s="133" t="s">
        <v>57</v>
      </c>
      <c r="C85" s="12">
        <v>100</v>
      </c>
      <c r="D85" s="25">
        <v>960</v>
      </c>
      <c r="E85" s="25"/>
      <c r="F85" s="25"/>
      <c r="G85" s="25"/>
      <c r="H85" s="25"/>
      <c r="I85" s="25"/>
      <c r="J85" s="25">
        <v>960</v>
      </c>
      <c r="K85" s="25">
        <v>360</v>
      </c>
      <c r="L85" s="25">
        <v>600</v>
      </c>
      <c r="M85" s="25">
        <v>600</v>
      </c>
      <c r="N85" s="25"/>
      <c r="O85" s="25"/>
      <c r="P85" s="16"/>
      <c r="Q85" s="25"/>
      <c r="R85" s="25"/>
      <c r="S85" s="25"/>
      <c r="T85" s="25"/>
      <c r="U85" s="13">
        <f t="shared" si="4"/>
        <v>3480</v>
      </c>
      <c r="V85" s="25">
        <v>4017.8</v>
      </c>
      <c r="W85" s="15">
        <f t="shared" si="5"/>
        <v>139819.44</v>
      </c>
    </row>
    <row r="86" spans="1:24" s="154" customFormat="1" ht="30" x14ac:dyDescent="0.25">
      <c r="A86" s="120">
        <v>20</v>
      </c>
      <c r="B86" s="96" t="s">
        <v>419</v>
      </c>
      <c r="C86" s="12">
        <v>1000</v>
      </c>
      <c r="D86" s="25">
        <f>6480+3710</f>
        <v>10190</v>
      </c>
      <c r="E86" s="14"/>
      <c r="F86" s="14"/>
      <c r="G86" s="14">
        <v>8490</v>
      </c>
      <c r="H86" s="14">
        <f>5400+30345</f>
        <v>35745</v>
      </c>
      <c r="I86" s="14"/>
      <c r="J86" s="14">
        <v>9600</v>
      </c>
      <c r="K86" s="14">
        <v>3200</v>
      </c>
      <c r="L86" s="14">
        <v>4000</v>
      </c>
      <c r="M86" s="14">
        <v>6400</v>
      </c>
      <c r="N86" s="14"/>
      <c r="O86" s="14">
        <f>40500+5040</f>
        <v>45540</v>
      </c>
      <c r="P86" s="16"/>
      <c r="Q86" s="14"/>
      <c r="R86" s="14"/>
      <c r="S86" s="14"/>
      <c r="T86" s="14"/>
      <c r="U86" s="13">
        <f t="shared" si="4"/>
        <v>123165</v>
      </c>
      <c r="V86" s="25">
        <v>10533.6</v>
      </c>
      <c r="W86" s="15">
        <f t="shared" si="5"/>
        <v>1297370.844</v>
      </c>
    </row>
    <row r="87" spans="1:24" s="154" customFormat="1" x14ac:dyDescent="0.25">
      <c r="A87" s="44">
        <v>21</v>
      </c>
      <c r="B87" s="94" t="s">
        <v>59</v>
      </c>
      <c r="C87" s="12">
        <v>1000</v>
      </c>
      <c r="D87" s="25">
        <v>6480</v>
      </c>
      <c r="E87" s="14"/>
      <c r="F87" s="14"/>
      <c r="G87" s="14"/>
      <c r="H87" s="14">
        <v>5400</v>
      </c>
      <c r="I87" s="14"/>
      <c r="J87" s="14">
        <v>54239.999999999964</v>
      </c>
      <c r="K87" s="14">
        <v>20960</v>
      </c>
      <c r="L87" s="14">
        <v>30879.999999999891</v>
      </c>
      <c r="M87" s="14">
        <v>24812.800000000025</v>
      </c>
      <c r="N87" s="14">
        <v>11520</v>
      </c>
      <c r="O87" s="14">
        <f>40500+5040</f>
        <v>45540</v>
      </c>
      <c r="P87" s="16"/>
      <c r="Q87" s="14"/>
      <c r="R87" s="14"/>
      <c r="S87" s="14"/>
      <c r="T87" s="14"/>
      <c r="U87" s="13">
        <f t="shared" si="4"/>
        <v>199832.79999999987</v>
      </c>
      <c r="V87" s="13">
        <v>5266.8</v>
      </c>
      <c r="W87" s="15">
        <f t="shared" si="5"/>
        <v>1052479.3910399994</v>
      </c>
    </row>
    <row r="88" spans="1:24" s="154" customFormat="1" ht="75.75" x14ac:dyDescent="0.25">
      <c r="A88" s="44">
        <v>22</v>
      </c>
      <c r="B88" s="94" t="s">
        <v>36</v>
      </c>
      <c r="C88" s="12"/>
      <c r="D88" s="25"/>
      <c r="E88" s="14"/>
      <c r="F88" s="14"/>
      <c r="G88" s="14"/>
      <c r="H88" s="14"/>
      <c r="I88" s="14"/>
      <c r="J88" s="14"/>
      <c r="K88" s="14"/>
      <c r="L88" s="14"/>
      <c r="M88" s="14"/>
      <c r="N88" s="14"/>
      <c r="O88" s="14"/>
      <c r="P88" s="16"/>
      <c r="Q88" s="14"/>
      <c r="R88" s="14"/>
      <c r="S88" s="14"/>
      <c r="T88" s="14"/>
      <c r="U88" s="13">
        <f t="shared" si="4"/>
        <v>0</v>
      </c>
      <c r="V88" s="14"/>
      <c r="W88" s="14"/>
      <c r="X88" s="150"/>
    </row>
    <row r="89" spans="1:24" s="154" customFormat="1" x14ac:dyDescent="0.25">
      <c r="A89" s="44" t="s">
        <v>60</v>
      </c>
      <c r="B89" s="94" t="s">
        <v>61</v>
      </c>
      <c r="C89" s="12">
        <v>100</v>
      </c>
      <c r="D89" s="25">
        <v>346.56</v>
      </c>
      <c r="E89" s="14"/>
      <c r="F89" s="14"/>
      <c r="G89" s="14"/>
      <c r="H89" s="14">
        <v>126.72</v>
      </c>
      <c r="I89" s="14"/>
      <c r="J89" s="14">
        <v>1383.84</v>
      </c>
      <c r="K89" s="14">
        <v>489.59999999999997</v>
      </c>
      <c r="L89" s="14">
        <v>737.28</v>
      </c>
      <c r="M89" s="14">
        <v>541.91999999999996</v>
      </c>
      <c r="N89" s="14">
        <v>241.92</v>
      </c>
      <c r="O89" s="14">
        <v>151.68</v>
      </c>
      <c r="P89" s="16"/>
      <c r="Q89" s="14"/>
      <c r="R89" s="14"/>
      <c r="S89" s="14"/>
      <c r="T89" s="14"/>
      <c r="U89" s="13">
        <f t="shared" si="4"/>
        <v>4019.52</v>
      </c>
      <c r="V89" s="13">
        <v>14042.6</v>
      </c>
      <c r="W89" s="15">
        <f t="shared" si="5"/>
        <v>564445.11551999999</v>
      </c>
    </row>
    <row r="90" spans="1:24" s="154" customFormat="1" x14ac:dyDescent="0.25">
      <c r="A90" s="44" t="s">
        <v>37</v>
      </c>
      <c r="B90" s="94" t="s">
        <v>62</v>
      </c>
      <c r="C90" s="12">
        <v>100</v>
      </c>
      <c r="D90" s="25">
        <v>3360.2016000000044</v>
      </c>
      <c r="E90" s="14"/>
      <c r="F90" s="14"/>
      <c r="G90" s="14"/>
      <c r="H90" s="14">
        <v>1344.84</v>
      </c>
      <c r="I90" s="14"/>
      <c r="J90" s="14">
        <v>19900.154399999996</v>
      </c>
      <c r="K90" s="14">
        <v>7557.3120000000017</v>
      </c>
      <c r="L90" s="14">
        <v>8217.7031999999945</v>
      </c>
      <c r="M90" s="14">
        <v>6210.1545882352493</v>
      </c>
      <c r="N90" s="14">
        <v>2988.518400000004</v>
      </c>
      <c r="O90" s="14">
        <v>1661.15</v>
      </c>
      <c r="P90" s="16"/>
      <c r="Q90" s="14"/>
      <c r="R90" s="14"/>
      <c r="S90" s="14"/>
      <c r="T90" s="14"/>
      <c r="U90" s="13">
        <f t="shared" si="4"/>
        <v>51240.034188235251</v>
      </c>
      <c r="V90" s="13">
        <v>14042.6</v>
      </c>
      <c r="W90" s="15">
        <f t="shared" si="5"/>
        <v>7195433.0409171237</v>
      </c>
    </row>
    <row r="91" spans="1:24" s="154" customFormat="1" x14ac:dyDescent="0.25">
      <c r="A91" s="44" t="s">
        <v>63</v>
      </c>
      <c r="B91" s="94" t="s">
        <v>64</v>
      </c>
      <c r="C91" s="12">
        <v>100</v>
      </c>
      <c r="D91" s="25">
        <v>585.6</v>
      </c>
      <c r="E91" s="14"/>
      <c r="F91" s="14"/>
      <c r="G91" s="14"/>
      <c r="H91" s="14"/>
      <c r="I91" s="14"/>
      <c r="J91" s="14">
        <v>585.6</v>
      </c>
      <c r="K91" s="14">
        <v>219.6</v>
      </c>
      <c r="L91" s="14">
        <v>366</v>
      </c>
      <c r="M91" s="14">
        <v>427</v>
      </c>
      <c r="N91" s="14"/>
      <c r="O91" s="14"/>
      <c r="P91" s="16"/>
      <c r="Q91" s="14"/>
      <c r="R91" s="14"/>
      <c r="S91" s="14"/>
      <c r="T91" s="14"/>
      <c r="U91" s="13">
        <f t="shared" si="4"/>
        <v>2183.8000000000002</v>
      </c>
      <c r="V91" s="13">
        <v>14042.6</v>
      </c>
      <c r="W91" s="15">
        <f t="shared" si="5"/>
        <v>306662.29880000005</v>
      </c>
    </row>
    <row r="92" spans="1:24" s="154" customFormat="1" x14ac:dyDescent="0.25">
      <c r="A92" s="44" t="s">
        <v>63</v>
      </c>
      <c r="B92" s="94" t="s">
        <v>65</v>
      </c>
      <c r="C92" s="12">
        <v>100</v>
      </c>
      <c r="D92" s="25">
        <v>72</v>
      </c>
      <c r="E92" s="14"/>
      <c r="F92" s="14"/>
      <c r="G92" s="14"/>
      <c r="H92" s="14"/>
      <c r="I92" s="14"/>
      <c r="J92" s="14">
        <v>72</v>
      </c>
      <c r="K92" s="14">
        <v>27</v>
      </c>
      <c r="L92" s="14">
        <v>45</v>
      </c>
      <c r="M92" s="14">
        <v>52.5</v>
      </c>
      <c r="N92" s="14"/>
      <c r="O92" s="14"/>
      <c r="P92" s="16"/>
      <c r="Q92" s="14"/>
      <c r="R92" s="14"/>
      <c r="S92" s="14"/>
      <c r="T92" s="14"/>
      <c r="U92" s="13">
        <f t="shared" si="4"/>
        <v>268.5</v>
      </c>
      <c r="V92" s="13">
        <v>14042.6</v>
      </c>
      <c r="W92" s="15">
        <f t="shared" si="5"/>
        <v>37704.381000000001</v>
      </c>
    </row>
    <row r="93" spans="1:24" s="154" customFormat="1" ht="30" x14ac:dyDescent="0.25">
      <c r="A93" s="121">
        <v>23</v>
      </c>
      <c r="B93" s="94" t="s">
        <v>88</v>
      </c>
      <c r="C93" s="19">
        <v>100</v>
      </c>
      <c r="D93" s="33">
        <v>694.5</v>
      </c>
      <c r="E93" s="33">
        <v>848</v>
      </c>
      <c r="F93" s="33"/>
      <c r="G93" s="33">
        <v>3936</v>
      </c>
      <c r="H93" s="33">
        <v>5976</v>
      </c>
      <c r="I93" s="33">
        <v>4140</v>
      </c>
      <c r="J93" s="33"/>
      <c r="K93" s="33"/>
      <c r="L93" s="33"/>
      <c r="M93" s="33"/>
      <c r="N93" s="33"/>
      <c r="O93" s="33"/>
      <c r="P93" s="33"/>
      <c r="Q93" s="33"/>
      <c r="R93" s="33"/>
      <c r="S93" s="33"/>
      <c r="T93" s="33"/>
      <c r="U93" s="13">
        <f t="shared" si="4"/>
        <v>15594.5</v>
      </c>
      <c r="V93" s="25">
        <v>4850.3999999999996</v>
      </c>
      <c r="W93" s="15">
        <f>V93*U93/C93</f>
        <v>756395.62800000003</v>
      </c>
    </row>
    <row r="94" spans="1:24" s="154" customFormat="1" x14ac:dyDescent="0.25">
      <c r="A94" s="121">
        <v>24</v>
      </c>
      <c r="B94" s="93" t="s">
        <v>167</v>
      </c>
      <c r="C94" s="12">
        <v>100</v>
      </c>
      <c r="D94" s="33"/>
      <c r="E94" s="33"/>
      <c r="F94" s="33"/>
      <c r="G94" s="33"/>
      <c r="H94" s="33">
        <v>2100</v>
      </c>
      <c r="I94" s="33"/>
      <c r="J94" s="33"/>
      <c r="K94" s="33"/>
      <c r="L94" s="33"/>
      <c r="M94" s="33"/>
      <c r="N94" s="33"/>
      <c r="O94" s="33"/>
      <c r="P94" s="33"/>
      <c r="Q94" s="33"/>
      <c r="R94" s="33"/>
      <c r="S94" s="33"/>
      <c r="T94" s="33"/>
      <c r="U94" s="13">
        <f t="shared" si="4"/>
        <v>2100</v>
      </c>
      <c r="V94" s="13">
        <v>10003.5</v>
      </c>
      <c r="W94" s="15">
        <f>V94*U94/C94</f>
        <v>210073.5</v>
      </c>
    </row>
    <row r="95" spans="1:24" s="154" customFormat="1" x14ac:dyDescent="0.25">
      <c r="A95" s="121">
        <v>25</v>
      </c>
      <c r="B95" s="93" t="s">
        <v>168</v>
      </c>
      <c r="C95" s="12">
        <v>100</v>
      </c>
      <c r="D95" s="33"/>
      <c r="E95" s="33"/>
      <c r="F95" s="33"/>
      <c r="G95" s="33"/>
      <c r="H95" s="33">
        <v>2100</v>
      </c>
      <c r="I95" s="33"/>
      <c r="J95" s="33"/>
      <c r="K95" s="33"/>
      <c r="L95" s="33"/>
      <c r="M95" s="33"/>
      <c r="N95" s="33"/>
      <c r="O95" s="33"/>
      <c r="P95" s="33"/>
      <c r="Q95" s="33"/>
      <c r="R95" s="33"/>
      <c r="S95" s="33"/>
      <c r="T95" s="33"/>
      <c r="U95" s="13">
        <f t="shared" si="4"/>
        <v>2100</v>
      </c>
      <c r="V95" s="13">
        <v>13527.4</v>
      </c>
      <c r="W95" s="15">
        <f>V95*U95/C95</f>
        <v>284075.40000000002</v>
      </c>
    </row>
    <row r="96" spans="1:24" s="154" customFormat="1" ht="105" x14ac:dyDescent="0.25">
      <c r="A96" s="121">
        <v>26</v>
      </c>
      <c r="B96" s="93" t="s">
        <v>169</v>
      </c>
      <c r="C96" s="19">
        <v>100</v>
      </c>
      <c r="D96" s="33"/>
      <c r="E96" s="33"/>
      <c r="F96" s="33"/>
      <c r="G96" s="33"/>
      <c r="H96" s="33">
        <v>2800</v>
      </c>
      <c r="I96" s="33"/>
      <c r="J96" s="33"/>
      <c r="K96" s="33"/>
      <c r="L96" s="33"/>
      <c r="M96" s="33"/>
      <c r="N96" s="33"/>
      <c r="O96" s="33"/>
      <c r="P96" s="33"/>
      <c r="Q96" s="33"/>
      <c r="R96" s="33"/>
      <c r="S96" s="33"/>
      <c r="T96" s="33"/>
      <c r="U96" s="13">
        <f t="shared" si="4"/>
        <v>2800</v>
      </c>
      <c r="V96" s="40">
        <v>4549.95</v>
      </c>
      <c r="W96" s="15">
        <f>V96*U96/C96</f>
        <v>127398.6</v>
      </c>
    </row>
    <row r="97" spans="1:28" s="154" customFormat="1" ht="45" x14ac:dyDescent="0.25">
      <c r="A97" s="121">
        <v>27</v>
      </c>
      <c r="B97" s="93" t="s">
        <v>165</v>
      </c>
      <c r="C97" s="35" t="s">
        <v>166</v>
      </c>
      <c r="D97" s="33"/>
      <c r="E97" s="33"/>
      <c r="F97" s="33"/>
      <c r="G97" s="33"/>
      <c r="H97" s="33">
        <v>304.64</v>
      </c>
      <c r="I97" s="33"/>
      <c r="J97" s="33"/>
      <c r="K97" s="33"/>
      <c r="L97" s="33"/>
      <c r="M97" s="33"/>
      <c r="N97" s="33"/>
      <c r="O97" s="33"/>
      <c r="P97" s="33"/>
      <c r="Q97" s="33"/>
      <c r="R97" s="33"/>
      <c r="S97" s="33"/>
      <c r="T97" s="33"/>
      <c r="U97" s="13">
        <f t="shared" si="4"/>
        <v>304.64</v>
      </c>
      <c r="V97" s="33">
        <v>72</v>
      </c>
      <c r="W97" s="15">
        <f>V97*U97</f>
        <v>21934.079999999998</v>
      </c>
    </row>
    <row r="98" spans="1:28" s="154" customFormat="1" ht="60" x14ac:dyDescent="0.25">
      <c r="A98" s="44">
        <v>28</v>
      </c>
      <c r="B98" s="94" t="s">
        <v>385</v>
      </c>
      <c r="C98" s="12">
        <v>1</v>
      </c>
      <c r="D98" s="25"/>
      <c r="E98" s="14"/>
      <c r="F98" s="14"/>
      <c r="G98" s="14"/>
      <c r="H98" s="14"/>
      <c r="I98" s="14"/>
      <c r="J98" s="14"/>
      <c r="K98" s="14"/>
      <c r="L98" s="14"/>
      <c r="M98" s="14"/>
      <c r="N98" s="14"/>
      <c r="O98" s="14">
        <v>59.4</v>
      </c>
      <c r="P98" s="16"/>
      <c r="Q98" s="14">
        <v>143.55000000000001</v>
      </c>
      <c r="R98" s="14"/>
      <c r="S98" s="14"/>
      <c r="T98" s="14"/>
      <c r="U98" s="13">
        <f t="shared" si="4"/>
        <v>202.95000000000002</v>
      </c>
      <c r="V98" s="25">
        <v>17752.2</v>
      </c>
      <c r="W98" s="15">
        <f t="shared" si="5"/>
        <v>3602808.99</v>
      </c>
    </row>
    <row r="99" spans="1:28" s="154" customFormat="1" x14ac:dyDescent="0.25">
      <c r="A99" s="121">
        <v>29</v>
      </c>
      <c r="B99" s="136" t="s">
        <v>424</v>
      </c>
      <c r="C99" s="29">
        <v>1</v>
      </c>
      <c r="D99" s="25">
        <v>-82</v>
      </c>
      <c r="E99" s="15"/>
      <c r="F99" s="15"/>
      <c r="G99" s="15">
        <v>-768</v>
      </c>
      <c r="H99" s="15">
        <v>-23647.54</v>
      </c>
      <c r="I99" s="15"/>
      <c r="J99" s="15"/>
      <c r="K99" s="15"/>
      <c r="L99" s="15"/>
      <c r="M99" s="15"/>
      <c r="N99" s="15"/>
      <c r="O99" s="15">
        <f>-1267.5-1209</f>
        <v>-2476.5</v>
      </c>
      <c r="P99" s="15"/>
      <c r="Q99" s="15"/>
      <c r="R99" s="15"/>
      <c r="S99" s="15"/>
      <c r="T99" s="15"/>
      <c r="U99" s="13">
        <f>SUM(D99:T99)</f>
        <v>-26974.04</v>
      </c>
      <c r="V99" s="30">
        <v>170</v>
      </c>
      <c r="W99" s="15">
        <f>V99*U99/C99</f>
        <v>-4585586.8</v>
      </c>
      <c r="AB99" s="187">
        <f>Y100-X100</f>
        <v>6022052.7347514629</v>
      </c>
    </row>
    <row r="100" spans="1:28" s="154" customFormat="1" x14ac:dyDescent="0.25">
      <c r="A100" s="121">
        <v>30</v>
      </c>
      <c r="B100" s="136" t="s">
        <v>425</v>
      </c>
      <c r="C100" s="405">
        <v>100</v>
      </c>
      <c r="D100" s="25"/>
      <c r="E100" s="15"/>
      <c r="F100" s="15"/>
      <c r="G100" s="15"/>
      <c r="H100" s="15"/>
      <c r="I100" s="15"/>
      <c r="J100" s="15"/>
      <c r="K100" s="15"/>
      <c r="L100" s="15"/>
      <c r="M100" s="15"/>
      <c r="N100" s="15"/>
      <c r="O100" s="15">
        <f>-507.94-511.88</f>
        <v>-1019.8199999999999</v>
      </c>
      <c r="P100" s="15"/>
      <c r="Q100" s="15">
        <v>-803.25</v>
      </c>
      <c r="R100" s="15"/>
      <c r="S100" s="15"/>
      <c r="T100" s="15"/>
      <c r="U100" s="13">
        <f>SUM(D100:T100)</f>
        <v>-1823.07</v>
      </c>
      <c r="V100" s="30">
        <v>4100</v>
      </c>
      <c r="W100" s="15">
        <f>V100*U100/C100</f>
        <v>-74745.87</v>
      </c>
      <c r="X100" s="191">
        <f>SUM(W60:W100)</f>
        <v>202539173.26524854</v>
      </c>
      <c r="Y100" s="195">
        <v>208561226</v>
      </c>
      <c r="Z100" s="187">
        <f>Y100-X100</f>
        <v>6022052.7347514629</v>
      </c>
      <c r="AB100" s="187">
        <f>AB99+AC121</f>
        <v>963176.95866772532</v>
      </c>
    </row>
    <row r="101" spans="1:28" s="154" customFormat="1" ht="22.5" x14ac:dyDescent="0.25">
      <c r="A101" s="198">
        <v>6</v>
      </c>
      <c r="B101" s="198" t="s">
        <v>397</v>
      </c>
      <c r="C101" s="101"/>
      <c r="D101" s="101" t="s">
        <v>421</v>
      </c>
      <c r="E101" s="9"/>
      <c r="F101" s="9"/>
      <c r="G101" s="9"/>
      <c r="H101" s="9"/>
      <c r="I101" s="9"/>
      <c r="J101" s="9"/>
      <c r="K101" s="9"/>
      <c r="L101" s="9"/>
      <c r="M101" s="9"/>
      <c r="N101" s="9"/>
      <c r="O101" s="9"/>
      <c r="P101" s="9"/>
      <c r="Q101" s="9"/>
      <c r="R101" s="9"/>
      <c r="S101" s="9"/>
      <c r="T101" s="9"/>
      <c r="U101" s="16"/>
      <c r="V101" s="16"/>
      <c r="W101" s="16"/>
    </row>
    <row r="102" spans="1:28" s="154" customFormat="1" ht="75" x14ac:dyDescent="0.25">
      <c r="A102" s="118">
        <v>1</v>
      </c>
      <c r="B102" s="94" t="s">
        <v>39</v>
      </c>
      <c r="C102" s="12">
        <v>1000</v>
      </c>
      <c r="D102" s="25">
        <v>1867.645</v>
      </c>
      <c r="E102" s="14"/>
      <c r="F102" s="14"/>
      <c r="G102" s="14">
        <v>1417.9529000000011</v>
      </c>
      <c r="H102" s="14"/>
      <c r="I102" s="14"/>
      <c r="J102" s="14">
        <v>17227.970499999996</v>
      </c>
      <c r="K102" s="46">
        <v>6436.0504000000037</v>
      </c>
      <c r="L102" s="14">
        <v>12395.410299999992</v>
      </c>
      <c r="M102" s="14">
        <v>15395.300699999989</v>
      </c>
      <c r="N102" s="14">
        <v>1949.3305000000028</v>
      </c>
      <c r="O102" s="14"/>
      <c r="P102" s="14"/>
      <c r="Q102" s="14"/>
      <c r="R102" s="14"/>
      <c r="S102" s="14"/>
      <c r="T102" s="14"/>
      <c r="U102" s="13">
        <f t="shared" ref="U102:U119" si="6">SUM(D102:T102)</f>
        <v>56689.660299999981</v>
      </c>
      <c r="V102" s="14">
        <v>12735.6</v>
      </c>
      <c r="W102" s="15">
        <f t="shared" si="5"/>
        <v>721976.83771667979</v>
      </c>
      <c r="X102" s="191">
        <f>SUM(W102:W119)</f>
        <v>109345722.88169438</v>
      </c>
      <c r="Y102" s="154">
        <v>109345724</v>
      </c>
    </row>
    <row r="103" spans="1:28" s="154" customFormat="1" x14ac:dyDescent="0.25">
      <c r="A103" s="118">
        <v>2</v>
      </c>
      <c r="B103" s="94" t="s">
        <v>66</v>
      </c>
      <c r="C103" s="12">
        <v>1000</v>
      </c>
      <c r="D103" s="25">
        <v>1867.645</v>
      </c>
      <c r="E103" s="14"/>
      <c r="F103" s="14"/>
      <c r="G103" s="14">
        <v>1417.9529000000011</v>
      </c>
      <c r="H103" s="14"/>
      <c r="I103" s="14"/>
      <c r="J103" s="14">
        <v>17227.970499999996</v>
      </c>
      <c r="K103" s="46">
        <v>6436.0504000000037</v>
      </c>
      <c r="L103" s="14">
        <v>12395.410299999992</v>
      </c>
      <c r="M103" s="14">
        <v>15395.300699999989</v>
      </c>
      <c r="N103" s="14">
        <v>1949.3305000000028</v>
      </c>
      <c r="O103" s="14"/>
      <c r="P103" s="14"/>
      <c r="Q103" s="14"/>
      <c r="R103" s="14"/>
      <c r="S103" s="14"/>
      <c r="T103" s="14"/>
      <c r="U103" s="13">
        <f t="shared" si="6"/>
        <v>56689.660299999981</v>
      </c>
      <c r="V103" s="14">
        <v>12038.4</v>
      </c>
      <c r="W103" s="15">
        <f t="shared" si="5"/>
        <v>682452.8065555197</v>
      </c>
    </row>
    <row r="104" spans="1:28" s="154" customFormat="1" ht="45" x14ac:dyDescent="0.25">
      <c r="A104" s="44">
        <v>3</v>
      </c>
      <c r="B104" s="94" t="s">
        <v>20</v>
      </c>
      <c r="C104" s="12"/>
      <c r="D104" s="25"/>
      <c r="E104" s="14"/>
      <c r="F104" s="14"/>
      <c r="G104" s="14"/>
      <c r="H104" s="14"/>
      <c r="I104" s="14"/>
      <c r="J104" s="14"/>
      <c r="K104" s="46"/>
      <c r="L104" s="14"/>
      <c r="M104" s="14"/>
      <c r="N104" s="14"/>
      <c r="O104" s="14"/>
      <c r="P104" s="14"/>
      <c r="Q104" s="14"/>
      <c r="R104" s="14"/>
      <c r="S104" s="14"/>
      <c r="T104" s="14"/>
      <c r="U104" s="13">
        <f t="shared" si="6"/>
        <v>0</v>
      </c>
      <c r="V104" s="25"/>
      <c r="W104" s="16"/>
    </row>
    <row r="105" spans="1:28" s="154" customFormat="1" x14ac:dyDescent="0.25">
      <c r="A105" s="44" t="s">
        <v>42</v>
      </c>
      <c r="B105" s="94" t="s">
        <v>67</v>
      </c>
      <c r="C105" s="12">
        <v>100</v>
      </c>
      <c r="D105" s="25">
        <v>257.19499999999999</v>
      </c>
      <c r="E105" s="14"/>
      <c r="F105" s="14"/>
      <c r="G105" s="14">
        <v>140.10249999999999</v>
      </c>
      <c r="H105" s="14"/>
      <c r="I105" s="14"/>
      <c r="J105" s="14">
        <v>1464.4274999999998</v>
      </c>
      <c r="K105" s="46">
        <v>529.73</v>
      </c>
      <c r="L105" s="14">
        <v>1410.7375000000002</v>
      </c>
      <c r="M105" s="14">
        <v>1785.0250000000003</v>
      </c>
      <c r="N105" s="14">
        <v>458.78250000000003</v>
      </c>
      <c r="O105" s="14"/>
      <c r="P105" s="14"/>
      <c r="Q105" s="14"/>
      <c r="R105" s="14"/>
      <c r="S105" s="14"/>
      <c r="T105" s="14"/>
      <c r="U105" s="13">
        <f t="shared" si="6"/>
        <v>6046.0000000000009</v>
      </c>
      <c r="V105" s="14">
        <v>34694.300000000003</v>
      </c>
      <c r="W105" s="15">
        <f t="shared" si="5"/>
        <v>2097617.3780000005</v>
      </c>
    </row>
    <row r="106" spans="1:28" s="154" customFormat="1" x14ac:dyDescent="0.25">
      <c r="A106" s="44" t="s">
        <v>44</v>
      </c>
      <c r="B106" s="94" t="s">
        <v>68</v>
      </c>
      <c r="C106" s="12">
        <v>100</v>
      </c>
      <c r="D106" s="25">
        <v>34</v>
      </c>
      <c r="E106" s="14"/>
      <c r="F106" s="14"/>
      <c r="G106" s="14">
        <v>17</v>
      </c>
      <c r="H106" s="14"/>
      <c r="I106" s="14"/>
      <c r="J106" s="14">
        <v>187</v>
      </c>
      <c r="K106" s="46">
        <v>68</v>
      </c>
      <c r="L106" s="14">
        <v>187</v>
      </c>
      <c r="M106" s="14">
        <v>238</v>
      </c>
      <c r="N106" s="14">
        <v>68</v>
      </c>
      <c r="O106" s="14"/>
      <c r="P106" s="14"/>
      <c r="Q106" s="14"/>
      <c r="R106" s="14"/>
      <c r="S106" s="14"/>
      <c r="T106" s="14"/>
      <c r="U106" s="13">
        <f t="shared" si="6"/>
        <v>799</v>
      </c>
      <c r="V106" s="14">
        <v>47135.9</v>
      </c>
      <c r="W106" s="15">
        <f t="shared" si="5"/>
        <v>376615.84100000001</v>
      </c>
    </row>
    <row r="107" spans="1:28" s="154" customFormat="1" ht="90" x14ac:dyDescent="0.25">
      <c r="A107" s="44">
        <v>4</v>
      </c>
      <c r="B107" s="94" t="s">
        <v>40</v>
      </c>
      <c r="C107" s="32">
        <v>100</v>
      </c>
      <c r="D107" s="25">
        <v>6108.9827999999998</v>
      </c>
      <c r="E107" s="14"/>
      <c r="F107" s="14"/>
      <c r="G107" s="14">
        <v>4515.8106000000043</v>
      </c>
      <c r="H107" s="14"/>
      <c r="I107" s="14"/>
      <c r="J107" s="14">
        <v>44509.403099999989</v>
      </c>
      <c r="K107" s="46">
        <v>16212.101400000005</v>
      </c>
      <c r="L107" s="14">
        <v>35906.236199999992</v>
      </c>
      <c r="M107" s="14">
        <v>45010.326149999994</v>
      </c>
      <c r="N107" s="14">
        <v>9117.4861500000006</v>
      </c>
      <c r="O107" s="14"/>
      <c r="P107" s="14"/>
      <c r="Q107" s="14"/>
      <c r="R107" s="14"/>
      <c r="S107" s="14"/>
      <c r="T107" s="14"/>
      <c r="U107" s="13">
        <f t="shared" si="6"/>
        <v>161380.34639999998</v>
      </c>
      <c r="V107" s="30">
        <v>30376.9</v>
      </c>
      <c r="W107" s="15">
        <f t="shared" si="5"/>
        <v>49022346.4455816</v>
      </c>
    </row>
    <row r="108" spans="1:28" s="154" customFormat="1" ht="120.75" x14ac:dyDescent="0.25">
      <c r="A108" s="44">
        <v>5</v>
      </c>
      <c r="B108" s="94" t="s">
        <v>69</v>
      </c>
      <c r="C108" s="12"/>
      <c r="D108" s="25"/>
      <c r="E108" s="14"/>
      <c r="F108" s="14"/>
      <c r="G108" s="14"/>
      <c r="H108" s="14"/>
      <c r="I108" s="14"/>
      <c r="J108" s="14"/>
      <c r="K108" s="46"/>
      <c r="L108" s="14"/>
      <c r="M108" s="14"/>
      <c r="N108" s="14"/>
      <c r="O108" s="14"/>
      <c r="P108" s="14"/>
      <c r="Q108" s="14"/>
      <c r="R108" s="14"/>
      <c r="S108" s="14"/>
      <c r="T108" s="14"/>
      <c r="U108" s="13">
        <f t="shared" si="6"/>
        <v>0</v>
      </c>
      <c r="V108" s="25"/>
      <c r="W108" s="16"/>
    </row>
    <row r="109" spans="1:28" s="154" customFormat="1" ht="75" x14ac:dyDescent="0.25">
      <c r="A109" s="44" t="s">
        <v>42</v>
      </c>
      <c r="B109" s="94" t="s">
        <v>43</v>
      </c>
      <c r="C109" s="12">
        <v>1</v>
      </c>
      <c r="D109" s="25">
        <v>1266.9126000000001</v>
      </c>
      <c r="E109" s="14"/>
      <c r="F109" s="14"/>
      <c r="G109" s="14">
        <v>1063.0377000000012</v>
      </c>
      <c r="H109" s="14"/>
      <c r="I109" s="14"/>
      <c r="J109" s="14">
        <v>10355.410199999998</v>
      </c>
      <c r="K109" s="46">
        <v>3788.5038000000013</v>
      </c>
      <c r="L109" s="14">
        <v>7756.1378999999961</v>
      </c>
      <c r="M109" s="14">
        <v>9694.2370499999979</v>
      </c>
      <c r="N109" s="14">
        <v>1761.1120500000006</v>
      </c>
      <c r="O109" s="14"/>
      <c r="P109" s="14"/>
      <c r="Q109" s="14"/>
      <c r="R109" s="14"/>
      <c r="S109" s="14"/>
      <c r="T109" s="14"/>
      <c r="U109" s="13">
        <f t="shared" si="6"/>
        <v>35685.351299999995</v>
      </c>
      <c r="V109" s="14">
        <v>817.55</v>
      </c>
      <c r="W109" s="15">
        <f t="shared" si="5"/>
        <v>29174558.955314994</v>
      </c>
    </row>
    <row r="110" spans="1:28" s="154" customFormat="1" ht="75" x14ac:dyDescent="0.25">
      <c r="A110" s="44" t="s">
        <v>44</v>
      </c>
      <c r="B110" s="94" t="s">
        <v>45</v>
      </c>
      <c r="C110" s="12">
        <v>1</v>
      </c>
      <c r="D110" s="25">
        <v>769.41499999999996</v>
      </c>
      <c r="E110" s="14"/>
      <c r="F110" s="14"/>
      <c r="G110" s="14">
        <v>442.23249999999996</v>
      </c>
      <c r="H110" s="14"/>
      <c r="I110" s="14"/>
      <c r="J110" s="14">
        <v>4481.0575000000008</v>
      </c>
      <c r="K110" s="46">
        <v>1615.53</v>
      </c>
      <c r="L110" s="14">
        <v>4212.607500000001</v>
      </c>
      <c r="M110" s="14">
        <v>5309.2050000000017</v>
      </c>
      <c r="N110" s="14">
        <v>1278.0500000000002</v>
      </c>
      <c r="O110" s="14"/>
      <c r="P110" s="14"/>
      <c r="Q110" s="14"/>
      <c r="R110" s="14"/>
      <c r="S110" s="14"/>
      <c r="T110" s="14"/>
      <c r="U110" s="13">
        <f t="shared" si="6"/>
        <v>18108.097500000003</v>
      </c>
      <c r="V110" s="14">
        <v>670.5</v>
      </c>
      <c r="W110" s="15">
        <f t="shared" si="5"/>
        <v>12141479.373750003</v>
      </c>
    </row>
    <row r="111" spans="1:28" s="154" customFormat="1" ht="30" x14ac:dyDescent="0.25">
      <c r="A111" s="44">
        <v>6</v>
      </c>
      <c r="B111" s="94" t="s">
        <v>46</v>
      </c>
      <c r="C111" s="19">
        <v>100</v>
      </c>
      <c r="D111" s="25">
        <v>751.27499999999998</v>
      </c>
      <c r="E111" s="14"/>
      <c r="F111" s="14"/>
      <c r="G111" s="14">
        <v>551.0106000000003</v>
      </c>
      <c r="H111" s="14"/>
      <c r="I111" s="14"/>
      <c r="J111" s="14">
        <v>6197.8769999999977</v>
      </c>
      <c r="K111" s="46">
        <v>2288.865600000001</v>
      </c>
      <c r="L111" s="14">
        <v>4687.729199999997</v>
      </c>
      <c r="M111" s="14">
        <v>5822.749799999995</v>
      </c>
      <c r="N111" s="14">
        <v>986.23980000000086</v>
      </c>
      <c r="O111" s="14"/>
      <c r="P111" s="14"/>
      <c r="Q111" s="14"/>
      <c r="R111" s="14"/>
      <c r="S111" s="14"/>
      <c r="T111" s="14"/>
      <c r="U111" s="13">
        <f t="shared" si="6"/>
        <v>21285.746999999988</v>
      </c>
      <c r="V111" s="25">
        <v>1645.1</v>
      </c>
      <c r="W111" s="15">
        <f t="shared" si="5"/>
        <v>350171.82389699982</v>
      </c>
    </row>
    <row r="112" spans="1:28" s="154" customFormat="1" ht="30" x14ac:dyDescent="0.25">
      <c r="A112" s="44">
        <v>7</v>
      </c>
      <c r="B112" s="94" t="s">
        <v>70</v>
      </c>
      <c r="C112" s="12">
        <v>100</v>
      </c>
      <c r="D112" s="25">
        <v>80</v>
      </c>
      <c r="E112" s="14"/>
      <c r="F112" s="14"/>
      <c r="G112" s="14">
        <v>40</v>
      </c>
      <c r="H112" s="14"/>
      <c r="I112" s="14"/>
      <c r="J112" s="14">
        <v>440</v>
      </c>
      <c r="K112" s="46">
        <v>160</v>
      </c>
      <c r="L112" s="14">
        <v>440</v>
      </c>
      <c r="M112" s="14">
        <v>560</v>
      </c>
      <c r="N112" s="14">
        <v>160</v>
      </c>
      <c r="O112" s="14"/>
      <c r="P112" s="14"/>
      <c r="Q112" s="14"/>
      <c r="R112" s="14"/>
      <c r="S112" s="14"/>
      <c r="T112" s="14"/>
      <c r="U112" s="13">
        <f t="shared" si="6"/>
        <v>1880</v>
      </c>
      <c r="V112" s="25">
        <v>35727</v>
      </c>
      <c r="W112" s="15">
        <f t="shared" si="5"/>
        <v>671667.6</v>
      </c>
    </row>
    <row r="113" spans="1:29" s="154" customFormat="1" ht="45" x14ac:dyDescent="0.25">
      <c r="A113" s="44">
        <v>8</v>
      </c>
      <c r="B113" s="134" t="s">
        <v>71</v>
      </c>
      <c r="C113" s="34">
        <v>1</v>
      </c>
      <c r="D113" s="25">
        <v>189.5</v>
      </c>
      <c r="E113" s="14"/>
      <c r="F113" s="14"/>
      <c r="G113" s="14">
        <v>180.20000000000016</v>
      </c>
      <c r="H113" s="14"/>
      <c r="I113" s="14"/>
      <c r="J113" s="14">
        <v>1425.3799999999997</v>
      </c>
      <c r="K113" s="46">
        <v>518</v>
      </c>
      <c r="L113" s="14">
        <v>1098.7399999999998</v>
      </c>
      <c r="M113" s="14">
        <v>1373.78</v>
      </c>
      <c r="N113" s="14">
        <v>213.57999999999998</v>
      </c>
      <c r="O113" s="14"/>
      <c r="P113" s="14"/>
      <c r="Q113" s="14"/>
      <c r="R113" s="14"/>
      <c r="S113" s="14"/>
      <c r="T113" s="14"/>
      <c r="U113" s="13">
        <f t="shared" si="6"/>
        <v>4999.1799999999994</v>
      </c>
      <c r="V113" s="14">
        <v>809.4</v>
      </c>
      <c r="W113" s="15">
        <f t="shared" si="5"/>
        <v>4046336.2919999994</v>
      </c>
    </row>
    <row r="114" spans="1:29" s="154" customFormat="1" ht="30" x14ac:dyDescent="0.25">
      <c r="A114" s="44">
        <v>9</v>
      </c>
      <c r="B114" s="147" t="s">
        <v>72</v>
      </c>
      <c r="C114" s="34">
        <v>1</v>
      </c>
      <c r="D114" s="25">
        <v>70</v>
      </c>
      <c r="E114" s="14"/>
      <c r="F114" s="14"/>
      <c r="G114" s="14">
        <v>50</v>
      </c>
      <c r="H114" s="14"/>
      <c r="I114" s="14"/>
      <c r="J114" s="14">
        <v>450</v>
      </c>
      <c r="K114" s="46">
        <v>160</v>
      </c>
      <c r="L114" s="14">
        <v>380</v>
      </c>
      <c r="M114" s="14">
        <v>470</v>
      </c>
      <c r="N114" s="14">
        <v>90</v>
      </c>
      <c r="O114" s="14"/>
      <c r="P114" s="14"/>
      <c r="Q114" s="14"/>
      <c r="R114" s="14"/>
      <c r="S114" s="14"/>
      <c r="T114" s="14"/>
      <c r="U114" s="13">
        <f t="shared" si="6"/>
        <v>1670</v>
      </c>
      <c r="V114" s="14">
        <v>1381</v>
      </c>
      <c r="W114" s="15">
        <f t="shared" si="5"/>
        <v>2306270</v>
      </c>
    </row>
    <row r="115" spans="1:29" s="154" customFormat="1" x14ac:dyDescent="0.25">
      <c r="A115" s="44">
        <v>10</v>
      </c>
      <c r="B115" s="95" t="s">
        <v>59</v>
      </c>
      <c r="C115" s="12">
        <v>1000</v>
      </c>
      <c r="D115" s="25">
        <v>4000</v>
      </c>
      <c r="E115" s="14"/>
      <c r="F115" s="14"/>
      <c r="G115" s="14">
        <v>2000</v>
      </c>
      <c r="H115" s="14"/>
      <c r="I115" s="14"/>
      <c r="J115" s="14">
        <v>22000</v>
      </c>
      <c r="K115" s="46">
        <v>8000</v>
      </c>
      <c r="L115" s="14">
        <v>22000</v>
      </c>
      <c r="M115" s="14">
        <v>28000</v>
      </c>
      <c r="N115" s="14">
        <v>8000</v>
      </c>
      <c r="O115" s="14"/>
      <c r="P115" s="14"/>
      <c r="Q115" s="14"/>
      <c r="R115" s="14"/>
      <c r="S115" s="14"/>
      <c r="T115" s="14"/>
      <c r="U115" s="13">
        <f>SUM(D115:T115)</f>
        <v>94000</v>
      </c>
      <c r="V115" s="13">
        <v>5266.8</v>
      </c>
      <c r="W115" s="15">
        <f t="shared" si="5"/>
        <v>495079.2</v>
      </c>
    </row>
    <row r="116" spans="1:29" s="154" customFormat="1" ht="75.75" x14ac:dyDescent="0.25">
      <c r="A116" s="44">
        <v>11</v>
      </c>
      <c r="B116" s="94" t="s">
        <v>36</v>
      </c>
      <c r="C116" s="12"/>
      <c r="D116" s="25"/>
      <c r="E116" s="14"/>
      <c r="F116" s="14"/>
      <c r="G116" s="14"/>
      <c r="H116" s="14"/>
      <c r="I116" s="14"/>
      <c r="J116" s="14"/>
      <c r="K116" s="46"/>
      <c r="L116" s="14"/>
      <c r="M116" s="14"/>
      <c r="N116" s="14"/>
      <c r="O116" s="14"/>
      <c r="P116" s="14"/>
      <c r="Q116" s="14"/>
      <c r="R116" s="14"/>
      <c r="S116" s="14"/>
      <c r="T116" s="14"/>
      <c r="U116" s="13">
        <f t="shared" si="6"/>
        <v>0</v>
      </c>
      <c r="V116" s="16"/>
      <c r="W116" s="16"/>
    </row>
    <row r="117" spans="1:29" s="154" customFormat="1" x14ac:dyDescent="0.25">
      <c r="A117" s="44" t="s">
        <v>60</v>
      </c>
      <c r="B117" s="94" t="s">
        <v>61</v>
      </c>
      <c r="C117" s="12">
        <v>100</v>
      </c>
      <c r="D117" s="25">
        <v>246.90719999999999</v>
      </c>
      <c r="E117" s="14"/>
      <c r="F117" s="14"/>
      <c r="G117" s="14">
        <v>134.49839999999998</v>
      </c>
      <c r="H117" s="14"/>
      <c r="I117" s="14"/>
      <c r="J117" s="14">
        <v>1405.8503999999998</v>
      </c>
      <c r="K117" s="46">
        <v>508.54079999999999</v>
      </c>
      <c r="L117" s="14">
        <v>1354.3080000000002</v>
      </c>
      <c r="M117" s="14">
        <v>1713.6240000000003</v>
      </c>
      <c r="N117" s="14">
        <v>440.43119999999999</v>
      </c>
      <c r="O117" s="14"/>
      <c r="P117" s="14"/>
      <c r="Q117" s="14"/>
      <c r="R117" s="14"/>
      <c r="S117" s="14"/>
      <c r="T117" s="14"/>
      <c r="U117" s="13">
        <f t="shared" si="6"/>
        <v>5804.1600000000008</v>
      </c>
      <c r="V117" s="13">
        <v>14042.6</v>
      </c>
      <c r="W117" s="15">
        <f t="shared" si="5"/>
        <v>815054.97216</v>
      </c>
    </row>
    <row r="118" spans="1:29" s="154" customFormat="1" x14ac:dyDescent="0.25">
      <c r="A118" s="44" t="s">
        <v>37</v>
      </c>
      <c r="B118" s="94" t="s">
        <v>38</v>
      </c>
      <c r="C118" s="12">
        <v>100</v>
      </c>
      <c r="D118" s="25">
        <v>29.92</v>
      </c>
      <c r="E118" s="14"/>
      <c r="F118" s="14"/>
      <c r="G118" s="14">
        <v>14.96</v>
      </c>
      <c r="H118" s="14"/>
      <c r="I118" s="14"/>
      <c r="J118" s="14">
        <v>164.56</v>
      </c>
      <c r="K118" s="46">
        <v>59.84</v>
      </c>
      <c r="L118" s="14">
        <v>164.56</v>
      </c>
      <c r="M118" s="14">
        <v>209.44</v>
      </c>
      <c r="N118" s="14">
        <v>59.84</v>
      </c>
      <c r="O118" s="14"/>
      <c r="P118" s="14"/>
      <c r="Q118" s="14"/>
      <c r="R118" s="14"/>
      <c r="S118" s="14"/>
      <c r="T118" s="14"/>
      <c r="U118" s="13">
        <f t="shared" si="6"/>
        <v>703.12</v>
      </c>
      <c r="V118" s="13">
        <v>14042.6</v>
      </c>
      <c r="W118" s="15">
        <f t="shared" si="5"/>
        <v>98736.329120000009</v>
      </c>
    </row>
    <row r="119" spans="1:29" s="154" customFormat="1" x14ac:dyDescent="0.25">
      <c r="A119" s="44" t="s">
        <v>63</v>
      </c>
      <c r="B119" s="94" t="s">
        <v>73</v>
      </c>
      <c r="C119" s="12">
        <v>100</v>
      </c>
      <c r="D119" s="25">
        <v>1710.5151840000001</v>
      </c>
      <c r="E119" s="14"/>
      <c r="F119" s="14"/>
      <c r="G119" s="14">
        <v>1264.4269680000011</v>
      </c>
      <c r="H119" s="14"/>
      <c r="I119" s="14"/>
      <c r="J119" s="14">
        <v>12462.632867999999</v>
      </c>
      <c r="K119" s="46">
        <v>4539.3883920000007</v>
      </c>
      <c r="L119" s="14">
        <v>10053.746136</v>
      </c>
      <c r="M119" s="14">
        <v>12602.891321999999</v>
      </c>
      <c r="N119" s="14">
        <v>2552.8961220000006</v>
      </c>
      <c r="O119" s="14"/>
      <c r="P119" s="14"/>
      <c r="Q119" s="14"/>
      <c r="R119" s="14"/>
      <c r="S119" s="14"/>
      <c r="T119" s="14"/>
      <c r="U119" s="13">
        <f t="shared" si="6"/>
        <v>45186.496991999993</v>
      </c>
      <c r="V119" s="13">
        <v>14042.6</v>
      </c>
      <c r="W119" s="15">
        <f t="shared" si="5"/>
        <v>6345359.0265985904</v>
      </c>
    </row>
    <row r="120" spans="1:29" s="154" customFormat="1" ht="22.5" x14ac:dyDescent="0.25">
      <c r="A120" s="198">
        <v>7</v>
      </c>
      <c r="B120" s="198" t="s">
        <v>398</v>
      </c>
      <c r="C120" s="16"/>
      <c r="D120" s="16"/>
      <c r="E120" s="16"/>
      <c r="F120" s="16"/>
      <c r="G120" s="16"/>
      <c r="H120" s="16"/>
      <c r="I120" s="16"/>
      <c r="J120" s="16"/>
      <c r="K120" s="16"/>
      <c r="L120" s="16"/>
      <c r="M120" s="16"/>
      <c r="N120" s="16"/>
      <c r="O120" s="16"/>
      <c r="P120" s="16"/>
      <c r="Q120" s="16"/>
      <c r="R120" s="16"/>
      <c r="S120" s="16"/>
      <c r="T120" s="16"/>
      <c r="U120" s="16"/>
      <c r="V120" s="16"/>
      <c r="W120" s="16"/>
      <c r="Y120" s="195">
        <v>95173850</v>
      </c>
    </row>
    <row r="121" spans="1:29" s="154" customFormat="1" ht="30" x14ac:dyDescent="0.25">
      <c r="A121" s="119">
        <v>1</v>
      </c>
      <c r="B121" s="94" t="s">
        <v>158</v>
      </c>
      <c r="C121" s="12">
        <v>100</v>
      </c>
      <c r="D121" s="101"/>
      <c r="E121" s="9"/>
      <c r="F121" s="9"/>
      <c r="G121" s="14">
        <v>93240</v>
      </c>
      <c r="H121" s="9"/>
      <c r="I121" s="9"/>
      <c r="J121" s="9"/>
      <c r="K121" s="9"/>
      <c r="L121" s="9"/>
      <c r="M121" s="9"/>
      <c r="N121" s="9"/>
      <c r="O121" s="9"/>
      <c r="P121" s="9"/>
      <c r="Q121" s="9"/>
      <c r="R121" s="9"/>
      <c r="S121" s="9"/>
      <c r="T121" s="9"/>
      <c r="U121" s="13">
        <f t="shared" ref="U121:U136" si="7">SUM(D121:T121)</f>
        <v>93240</v>
      </c>
      <c r="V121" s="25">
        <v>3762</v>
      </c>
      <c r="W121" s="15">
        <v>3507688.8</v>
      </c>
      <c r="X121" s="195">
        <v>89611262</v>
      </c>
      <c r="Y121" s="191">
        <f>SUM(W121:W136)</f>
        <v>94670137.776083738</v>
      </c>
      <c r="Z121" s="187">
        <f>Y121-X121</f>
        <v>5058875.7760837376</v>
      </c>
      <c r="AC121" s="187">
        <f>X121-Y121</f>
        <v>-5058875.7760837376</v>
      </c>
    </row>
    <row r="122" spans="1:29" s="154" customFormat="1" ht="30" x14ac:dyDescent="0.25">
      <c r="A122" s="118">
        <v>2</v>
      </c>
      <c r="B122" s="94" t="s">
        <v>74</v>
      </c>
      <c r="C122" s="12">
        <v>1000</v>
      </c>
      <c r="D122" s="25">
        <v>476.44</v>
      </c>
      <c r="E122" s="14">
        <v>355.5</v>
      </c>
      <c r="F122" s="14">
        <v>312.56</v>
      </c>
      <c r="G122" s="14">
        <v>129745.5</v>
      </c>
      <c r="H122" s="14">
        <v>275894.18</v>
      </c>
      <c r="I122" s="14"/>
      <c r="J122" s="14">
        <v>10137.189999999999</v>
      </c>
      <c r="K122" s="14">
        <v>269.25</v>
      </c>
      <c r="L122" s="14">
        <v>6208.72</v>
      </c>
      <c r="M122" s="14">
        <v>6208.72</v>
      </c>
      <c r="N122" s="14">
        <v>148.5</v>
      </c>
      <c r="O122" s="14">
        <v>967.12999999999988</v>
      </c>
      <c r="P122" s="14"/>
      <c r="Q122" s="14">
        <v>2700.32</v>
      </c>
      <c r="R122" s="14">
        <v>967.13</v>
      </c>
      <c r="S122" s="14">
        <v>967.12999999999988</v>
      </c>
      <c r="T122" s="408">
        <v>967.12999999999988</v>
      </c>
      <c r="U122" s="13">
        <f t="shared" si="7"/>
        <v>436325.39999999997</v>
      </c>
      <c r="V122" s="14">
        <v>4640.7</v>
      </c>
      <c r="W122" s="15">
        <v>2024855.2837799997</v>
      </c>
      <c r="Y122" s="187">
        <f>Y120-Y121</f>
        <v>503712.22391626239</v>
      </c>
    </row>
    <row r="123" spans="1:29" s="154" customFormat="1" ht="30" x14ac:dyDescent="0.25">
      <c r="A123" s="118">
        <v>3</v>
      </c>
      <c r="B123" s="94" t="s">
        <v>159</v>
      </c>
      <c r="C123" s="12">
        <v>100</v>
      </c>
      <c r="D123" s="25"/>
      <c r="E123" s="14"/>
      <c r="F123" s="14"/>
      <c r="G123" s="14">
        <v>126000</v>
      </c>
      <c r="H123" s="14"/>
      <c r="I123" s="14"/>
      <c r="J123" s="14"/>
      <c r="K123" s="14"/>
      <c r="L123" s="14"/>
      <c r="M123" s="14"/>
      <c r="N123" s="14"/>
      <c r="O123" s="14"/>
      <c r="P123" s="14"/>
      <c r="Q123" s="14"/>
      <c r="R123" s="14"/>
      <c r="S123" s="14"/>
      <c r="T123" s="408"/>
      <c r="U123" s="13">
        <f>SUM(D123:T123)</f>
        <v>126000</v>
      </c>
      <c r="V123" s="25">
        <v>4743.75</v>
      </c>
      <c r="W123" s="15">
        <f>V123*U123/C123</f>
        <v>5977125</v>
      </c>
      <c r="AA123" s="187">
        <f>Z121+Z100</f>
        <v>11080928.510835201</v>
      </c>
    </row>
    <row r="124" spans="1:29" s="154" customFormat="1" ht="30" x14ac:dyDescent="0.25">
      <c r="A124" s="118">
        <v>4</v>
      </c>
      <c r="B124" s="94" t="s">
        <v>75</v>
      </c>
      <c r="C124" s="12">
        <v>100</v>
      </c>
      <c r="D124" s="25">
        <v>476.44</v>
      </c>
      <c r="E124" s="14">
        <v>355.5</v>
      </c>
      <c r="F124" s="14">
        <v>312.56</v>
      </c>
      <c r="G124" s="14">
        <v>3745.5</v>
      </c>
      <c r="H124" s="14">
        <v>10945.44</v>
      </c>
      <c r="I124" s="14"/>
      <c r="J124" s="14">
        <v>10137.189999999999</v>
      </c>
      <c r="K124" s="14">
        <v>269.25</v>
      </c>
      <c r="L124" s="14">
        <v>6208.72</v>
      </c>
      <c r="M124" s="14">
        <v>6208.72</v>
      </c>
      <c r="N124" s="14">
        <v>148.5</v>
      </c>
      <c r="O124" s="14">
        <v>967.12999999999988</v>
      </c>
      <c r="P124" s="14">
        <v>5141.1400000000003</v>
      </c>
      <c r="Q124" s="14">
        <v>2700.32</v>
      </c>
      <c r="R124" s="14">
        <v>967.13</v>
      </c>
      <c r="S124" s="14">
        <v>967.12999999999988</v>
      </c>
      <c r="T124" s="408">
        <v>967.12999999999988</v>
      </c>
      <c r="U124" s="13">
        <f t="shared" si="7"/>
        <v>50517.799999999988</v>
      </c>
      <c r="V124" s="25">
        <v>6849</v>
      </c>
      <c r="W124" s="15">
        <f>V124*U124/C124</f>
        <v>3459964.1219999995</v>
      </c>
    </row>
    <row r="125" spans="1:29" s="154" customFormat="1" x14ac:dyDescent="0.25">
      <c r="A125" s="44">
        <v>5</v>
      </c>
      <c r="B125" s="131" t="s">
        <v>76</v>
      </c>
      <c r="C125" s="19">
        <v>100</v>
      </c>
      <c r="D125" s="25">
        <v>735.36749999999995</v>
      </c>
      <c r="E125" s="14">
        <v>681.66000000000008</v>
      </c>
      <c r="F125" s="14">
        <v>525.12249999999995</v>
      </c>
      <c r="G125" s="14">
        <v>72754.37000000001</v>
      </c>
      <c r="H125" s="14">
        <v>6058.7160000000003</v>
      </c>
      <c r="I125" s="14"/>
      <c r="J125" s="14">
        <v>3737.0541800000001</v>
      </c>
      <c r="K125" s="14">
        <v>480.69</v>
      </c>
      <c r="L125" s="14">
        <v>2589.8832000000002</v>
      </c>
      <c r="M125" s="14">
        <v>3457.1106</v>
      </c>
      <c r="N125" s="14">
        <v>422.73</v>
      </c>
      <c r="O125" s="14">
        <v>614.72448000000009</v>
      </c>
      <c r="P125" s="14"/>
      <c r="Q125" s="14">
        <v>785.33279999999991</v>
      </c>
      <c r="R125" s="14">
        <v>614.72</v>
      </c>
      <c r="S125" s="14">
        <v>594.53279999999995</v>
      </c>
      <c r="T125" s="408">
        <v>594.53279999999995</v>
      </c>
      <c r="U125" s="13">
        <f t="shared" si="7"/>
        <v>94646.546860000017</v>
      </c>
      <c r="V125" s="25">
        <v>2265.1</v>
      </c>
      <c r="W125" s="15">
        <f t="shared" ref="W125:W136" si="8">V125*U125/C125</f>
        <v>2143838.9329258604</v>
      </c>
    </row>
    <row r="126" spans="1:29" s="154" customFormat="1" x14ac:dyDescent="0.25">
      <c r="A126" s="44">
        <v>6</v>
      </c>
      <c r="B126" s="131" t="s">
        <v>77</v>
      </c>
      <c r="C126" s="19">
        <v>100</v>
      </c>
      <c r="D126" s="25">
        <v>130.5</v>
      </c>
      <c r="E126" s="14">
        <v>126</v>
      </c>
      <c r="F126" s="14">
        <v>129.5</v>
      </c>
      <c r="G126" s="14">
        <v>12167</v>
      </c>
      <c r="H126" s="14">
        <v>594.66</v>
      </c>
      <c r="I126" s="14"/>
      <c r="J126" s="14">
        <v>631.16</v>
      </c>
      <c r="K126" s="14">
        <v>126</v>
      </c>
      <c r="L126" s="14">
        <v>524.66</v>
      </c>
      <c r="M126" s="14">
        <v>524.66</v>
      </c>
      <c r="N126" s="14">
        <v>126</v>
      </c>
      <c r="O126" s="14">
        <v>96</v>
      </c>
      <c r="P126" s="14"/>
      <c r="Q126" s="14">
        <v>136</v>
      </c>
      <c r="R126" s="14">
        <v>96</v>
      </c>
      <c r="S126" s="14">
        <v>96</v>
      </c>
      <c r="T126" s="408">
        <v>96</v>
      </c>
      <c r="U126" s="13">
        <f t="shared" si="7"/>
        <v>15600.14</v>
      </c>
      <c r="V126" s="25">
        <v>1660.5</v>
      </c>
      <c r="W126" s="15">
        <f t="shared" si="8"/>
        <v>259040.3247</v>
      </c>
    </row>
    <row r="127" spans="1:29" s="154" customFormat="1" x14ac:dyDescent="0.25">
      <c r="A127" s="118">
        <v>7</v>
      </c>
      <c r="B127" s="94" t="s">
        <v>78</v>
      </c>
      <c r="C127" s="12">
        <v>100</v>
      </c>
      <c r="D127" s="25">
        <v>242.67</v>
      </c>
      <c r="E127" s="14">
        <v>224.94</v>
      </c>
      <c r="F127" s="14">
        <v>173.29</v>
      </c>
      <c r="G127" s="14">
        <v>24008.94</v>
      </c>
      <c r="H127" s="14">
        <v>2001.64428</v>
      </c>
      <c r="I127" s="14"/>
      <c r="J127" s="14">
        <v>1233.5999999999999</v>
      </c>
      <c r="K127" s="14">
        <v>158.63</v>
      </c>
      <c r="L127" s="14">
        <v>854.70999999999992</v>
      </c>
      <c r="M127" s="14">
        <v>1140.8899999999999</v>
      </c>
      <c r="N127" s="14">
        <v>139.5</v>
      </c>
      <c r="O127" s="14">
        <v>202.85907840000004</v>
      </c>
      <c r="P127" s="14">
        <v>812.42</v>
      </c>
      <c r="Q127" s="14">
        <v>259.15982400000001</v>
      </c>
      <c r="R127" s="14">
        <v>202.86</v>
      </c>
      <c r="S127" s="14">
        <v>196.19582400000002</v>
      </c>
      <c r="T127" s="408">
        <v>196.19582400000002</v>
      </c>
      <c r="U127" s="13">
        <f t="shared" si="7"/>
        <v>32048.504830399994</v>
      </c>
      <c r="V127" s="25">
        <v>18564.099999999999</v>
      </c>
      <c r="W127" s="15">
        <f t="shared" si="8"/>
        <v>5949516.4852202842</v>
      </c>
    </row>
    <row r="128" spans="1:29" s="154" customFormat="1" x14ac:dyDescent="0.25">
      <c r="A128" s="118">
        <v>8</v>
      </c>
      <c r="B128" s="94" t="s">
        <v>79</v>
      </c>
      <c r="C128" s="12">
        <v>100</v>
      </c>
      <c r="D128" s="25">
        <v>242.67</v>
      </c>
      <c r="E128" s="14">
        <v>224.94</v>
      </c>
      <c r="F128" s="14">
        <v>173.29</v>
      </c>
      <c r="G128" s="14">
        <v>24008.94</v>
      </c>
      <c r="H128" s="14">
        <v>2001.64428</v>
      </c>
      <c r="I128" s="14"/>
      <c r="J128" s="14">
        <v>1233.5999999999999</v>
      </c>
      <c r="K128" s="14">
        <v>158.63</v>
      </c>
      <c r="L128" s="14">
        <v>854.70999999999992</v>
      </c>
      <c r="M128" s="14">
        <v>1140.8899999999999</v>
      </c>
      <c r="N128" s="14">
        <v>139.5</v>
      </c>
      <c r="O128" s="14">
        <v>202.85907840000004</v>
      </c>
      <c r="P128" s="14">
        <v>812.42</v>
      </c>
      <c r="Q128" s="14">
        <v>259.15982400000001</v>
      </c>
      <c r="R128" s="14">
        <v>202.86</v>
      </c>
      <c r="S128" s="14">
        <v>196.19582400000002</v>
      </c>
      <c r="T128" s="408">
        <v>196.19582400000002</v>
      </c>
      <c r="U128" s="13">
        <f t="shared" si="7"/>
        <v>32048.504830399994</v>
      </c>
      <c r="V128" s="25">
        <v>18564.099999999999</v>
      </c>
      <c r="W128" s="15">
        <f t="shared" si="8"/>
        <v>5949516.4852202842</v>
      </c>
    </row>
    <row r="129" spans="1:26" s="154" customFormat="1" x14ac:dyDescent="0.25">
      <c r="A129" s="118">
        <v>9</v>
      </c>
      <c r="B129" s="94" t="s">
        <v>80</v>
      </c>
      <c r="C129" s="12">
        <v>100</v>
      </c>
      <c r="D129" s="25">
        <v>43.07</v>
      </c>
      <c r="E129" s="14">
        <v>41.58</v>
      </c>
      <c r="F129" s="14">
        <v>42.739999999999995</v>
      </c>
      <c r="G129" s="14">
        <v>4015.11</v>
      </c>
      <c r="H129" s="14">
        <v>196.4178</v>
      </c>
      <c r="I129" s="14"/>
      <c r="J129" s="14">
        <v>208.28</v>
      </c>
      <c r="K129" s="14">
        <v>41.58</v>
      </c>
      <c r="L129" s="14">
        <v>173.14</v>
      </c>
      <c r="M129" s="14">
        <v>173.14</v>
      </c>
      <c r="N129" s="14">
        <v>41.58</v>
      </c>
      <c r="O129" s="14">
        <v>31.68</v>
      </c>
      <c r="P129" s="14">
        <v>147.4</v>
      </c>
      <c r="Q129" s="14">
        <v>54.33120000000001</v>
      </c>
      <c r="R129" s="14">
        <v>31.68</v>
      </c>
      <c r="S129" s="14">
        <v>31.68</v>
      </c>
      <c r="T129" s="408">
        <v>31.68</v>
      </c>
      <c r="U129" s="13">
        <f t="shared" si="7"/>
        <v>5305.0890000000009</v>
      </c>
      <c r="V129" s="25">
        <v>18017.599999999999</v>
      </c>
      <c r="W129" s="15">
        <f t="shared" si="8"/>
        <v>955849.71566400002</v>
      </c>
    </row>
    <row r="130" spans="1:26" s="154" customFormat="1" x14ac:dyDescent="0.25">
      <c r="A130" s="118">
        <v>10</v>
      </c>
      <c r="B130" s="94" t="s">
        <v>81</v>
      </c>
      <c r="C130" s="12">
        <v>100</v>
      </c>
      <c r="D130" s="25">
        <v>43.07</v>
      </c>
      <c r="E130" s="14">
        <v>41.58</v>
      </c>
      <c r="F130" s="14">
        <v>42.739999999999995</v>
      </c>
      <c r="G130" s="14">
        <v>4015.11</v>
      </c>
      <c r="H130" s="14">
        <v>196.4178</v>
      </c>
      <c r="I130" s="14"/>
      <c r="J130" s="14">
        <v>208.28</v>
      </c>
      <c r="K130" s="14">
        <v>41.58</v>
      </c>
      <c r="L130" s="14">
        <v>173.14</v>
      </c>
      <c r="M130" s="14">
        <v>173.14</v>
      </c>
      <c r="N130" s="14">
        <v>41.58</v>
      </c>
      <c r="O130" s="14">
        <v>31.68</v>
      </c>
      <c r="P130" s="14">
        <v>147.4</v>
      </c>
      <c r="Q130" s="14">
        <v>54.33120000000001</v>
      </c>
      <c r="R130" s="25">
        <v>31.68</v>
      </c>
      <c r="S130" s="14">
        <v>31.68</v>
      </c>
      <c r="T130" s="408">
        <v>31.68</v>
      </c>
      <c r="U130" s="13">
        <f t="shared" si="7"/>
        <v>5305.0890000000009</v>
      </c>
      <c r="V130" s="25">
        <v>18017.599999999999</v>
      </c>
      <c r="W130" s="15">
        <f t="shared" si="8"/>
        <v>955849.71566400002</v>
      </c>
    </row>
    <row r="131" spans="1:26" s="154" customFormat="1" x14ac:dyDescent="0.25">
      <c r="A131" s="118">
        <v>11</v>
      </c>
      <c r="B131" s="94" t="s">
        <v>82</v>
      </c>
      <c r="C131" s="12">
        <v>100</v>
      </c>
      <c r="D131" s="25">
        <v>735.37</v>
      </c>
      <c r="E131" s="14">
        <v>681.66000000000008</v>
      </c>
      <c r="F131" s="14">
        <v>525.12</v>
      </c>
      <c r="G131" s="14">
        <v>72754.37000000001</v>
      </c>
      <c r="H131" s="14">
        <v>6058.72</v>
      </c>
      <c r="I131" s="14"/>
      <c r="J131" s="14">
        <v>3738.19</v>
      </c>
      <c r="K131" s="14">
        <v>480.69</v>
      </c>
      <c r="L131" s="14">
        <v>2590.02</v>
      </c>
      <c r="M131" s="14">
        <v>3457.25</v>
      </c>
      <c r="N131" s="14">
        <v>422.73</v>
      </c>
      <c r="O131" s="14">
        <v>614.72448000000009</v>
      </c>
      <c r="P131" s="14">
        <v>2461.88</v>
      </c>
      <c r="Q131" s="14">
        <v>785.33279999999991</v>
      </c>
      <c r="R131" s="25">
        <v>614.72</v>
      </c>
      <c r="S131" s="14">
        <v>594.53279999999995</v>
      </c>
      <c r="T131" s="408">
        <v>594.53279999999995</v>
      </c>
      <c r="U131" s="13">
        <f t="shared" si="7"/>
        <v>97109.842880000026</v>
      </c>
      <c r="V131" s="25">
        <v>11511</v>
      </c>
      <c r="W131" s="15">
        <f t="shared" si="8"/>
        <v>11178314.013916802</v>
      </c>
    </row>
    <row r="132" spans="1:26" s="154" customFormat="1" x14ac:dyDescent="0.25">
      <c r="A132" s="118">
        <v>12</v>
      </c>
      <c r="B132" s="94" t="s">
        <v>83</v>
      </c>
      <c r="C132" s="12">
        <v>100</v>
      </c>
      <c r="D132" s="25">
        <v>130.5</v>
      </c>
      <c r="E132" s="14">
        <v>126</v>
      </c>
      <c r="F132" s="14">
        <v>129.5</v>
      </c>
      <c r="G132" s="14">
        <v>12167</v>
      </c>
      <c r="H132" s="14">
        <v>594.66</v>
      </c>
      <c r="I132" s="14"/>
      <c r="J132" s="14">
        <v>631.16</v>
      </c>
      <c r="K132" s="14">
        <v>126</v>
      </c>
      <c r="L132" s="14">
        <v>173.14</v>
      </c>
      <c r="M132" s="14">
        <v>173.14</v>
      </c>
      <c r="N132" s="14">
        <v>126</v>
      </c>
      <c r="O132" s="14">
        <v>96</v>
      </c>
      <c r="P132" s="14">
        <v>446.68</v>
      </c>
      <c r="Q132" s="14">
        <v>164.64</v>
      </c>
      <c r="R132" s="14">
        <v>96</v>
      </c>
      <c r="S132" s="14">
        <v>96</v>
      </c>
      <c r="T132" s="408">
        <v>96</v>
      </c>
      <c r="U132" s="13">
        <f t="shared" si="7"/>
        <v>15372.419999999998</v>
      </c>
      <c r="V132" s="25">
        <v>10570.5</v>
      </c>
      <c r="W132" s="15">
        <f t="shared" si="8"/>
        <v>1624941.6560999998</v>
      </c>
    </row>
    <row r="133" spans="1:26" s="154" customFormat="1" ht="60" x14ac:dyDescent="0.25">
      <c r="A133" s="118">
        <v>13</v>
      </c>
      <c r="B133" s="135" t="s">
        <v>84</v>
      </c>
      <c r="C133" s="12">
        <v>100</v>
      </c>
      <c r="D133" s="25">
        <v>1682.2379999999998</v>
      </c>
      <c r="E133" s="14">
        <v>1449.117</v>
      </c>
      <c r="F133" s="14">
        <v>1207.5</v>
      </c>
      <c r="G133" s="14">
        <v>152322.06900000002</v>
      </c>
      <c r="H133" s="14">
        <v>47639.451745000006</v>
      </c>
      <c r="I133" s="14"/>
      <c r="J133" s="14">
        <v>33005.504368000002</v>
      </c>
      <c r="K133" s="14">
        <v>1091.5155</v>
      </c>
      <c r="L133" s="14">
        <v>20947.183422000002</v>
      </c>
      <c r="M133" s="14">
        <v>21997.199982000006</v>
      </c>
      <c r="N133" s="14">
        <v>858.95100000000002</v>
      </c>
      <c r="O133" s="14">
        <v>11198.249675999999</v>
      </c>
      <c r="P133" s="14">
        <v>36777.199999999997</v>
      </c>
      <c r="Q133" s="14">
        <v>10655.627760000001</v>
      </c>
      <c r="R133" s="14">
        <v>11198.25</v>
      </c>
      <c r="S133" s="14">
        <v>5817.7796600000001</v>
      </c>
      <c r="T133" s="408">
        <v>6679.8968599999989</v>
      </c>
      <c r="U133" s="13">
        <f t="shared" si="7"/>
        <v>364527.73397300002</v>
      </c>
      <c r="V133" s="25">
        <v>14042.6</v>
      </c>
      <c r="W133" s="15">
        <f t="shared" si="8"/>
        <v>51189171.570892505</v>
      </c>
    </row>
    <row r="134" spans="1:26" s="154" customFormat="1" x14ac:dyDescent="0.25">
      <c r="A134" s="118">
        <v>14</v>
      </c>
      <c r="B134" s="131" t="s">
        <v>334</v>
      </c>
      <c r="C134" s="12"/>
      <c r="D134" s="12"/>
      <c r="E134" s="12"/>
      <c r="F134" s="12"/>
      <c r="G134" s="12"/>
      <c r="H134" s="12"/>
      <c r="I134" s="12"/>
      <c r="J134" s="12"/>
      <c r="K134" s="12"/>
      <c r="L134" s="12"/>
      <c r="M134" s="12"/>
      <c r="N134" s="12"/>
      <c r="O134" s="12"/>
      <c r="P134" s="12"/>
      <c r="Q134" s="12"/>
      <c r="R134" s="12"/>
      <c r="S134" s="12"/>
      <c r="T134" s="409"/>
      <c r="U134" s="13">
        <f t="shared" si="7"/>
        <v>0</v>
      </c>
      <c r="V134" s="12"/>
      <c r="W134" s="15" t="s">
        <v>440</v>
      </c>
    </row>
    <row r="135" spans="1:26" s="154" customFormat="1" x14ac:dyDescent="0.25">
      <c r="A135" s="118"/>
      <c r="B135" s="131" t="s">
        <v>337</v>
      </c>
      <c r="C135" s="29">
        <v>1</v>
      </c>
      <c r="D135" s="25"/>
      <c r="E135" s="14"/>
      <c r="F135" s="14"/>
      <c r="G135" s="14"/>
      <c r="H135" s="14"/>
      <c r="I135" s="14"/>
      <c r="J135" s="14"/>
      <c r="K135" s="14"/>
      <c r="L135" s="14"/>
      <c r="M135" s="14"/>
      <c r="N135" s="14"/>
      <c r="O135" s="14">
        <v>1267.5</v>
      </c>
      <c r="P135" s="14"/>
      <c r="Q135" s="14"/>
      <c r="R135" s="14">
        <v>1267.5</v>
      </c>
      <c r="S135" s="14"/>
      <c r="T135" s="408"/>
      <c r="U135" s="13">
        <f t="shared" si="7"/>
        <v>2535</v>
      </c>
      <c r="V135" s="25">
        <v>-170</v>
      </c>
      <c r="W135" s="15">
        <f t="shared" si="8"/>
        <v>-430950</v>
      </c>
    </row>
    <row r="136" spans="1:26" s="154" customFormat="1" x14ac:dyDescent="0.25">
      <c r="A136" s="118"/>
      <c r="B136" s="131" t="s">
        <v>335</v>
      </c>
      <c r="C136" s="12">
        <v>100</v>
      </c>
      <c r="D136" s="25"/>
      <c r="E136" s="14"/>
      <c r="F136" s="14"/>
      <c r="G136" s="14"/>
      <c r="H136" s="14"/>
      <c r="I136" s="14"/>
      <c r="J136" s="14"/>
      <c r="K136" s="14"/>
      <c r="L136" s="14"/>
      <c r="M136" s="14"/>
      <c r="N136" s="14"/>
      <c r="O136" s="14">
        <v>507.94</v>
      </c>
      <c r="P136" s="14"/>
      <c r="Q136" s="14">
        <v>803.25</v>
      </c>
      <c r="R136" s="14">
        <v>507.94</v>
      </c>
      <c r="S136" s="14"/>
      <c r="T136" s="408"/>
      <c r="U136" s="13">
        <f t="shared" si="7"/>
        <v>1819.13</v>
      </c>
      <c r="V136" s="25">
        <v>-4100</v>
      </c>
      <c r="W136" s="15">
        <f t="shared" si="8"/>
        <v>-74584.33</v>
      </c>
    </row>
    <row r="137" spans="1:26" s="154" customFormat="1" ht="22.5" x14ac:dyDescent="0.25">
      <c r="A137" s="198">
        <v>8</v>
      </c>
      <c r="B137" s="198" t="s">
        <v>399</v>
      </c>
      <c r="C137" s="101"/>
      <c r="D137" s="101"/>
      <c r="E137" s="9"/>
      <c r="F137" s="9"/>
      <c r="G137" s="9"/>
      <c r="H137" s="9"/>
      <c r="I137" s="9"/>
      <c r="J137" s="9"/>
      <c r="K137" s="9"/>
      <c r="L137" s="9"/>
      <c r="M137" s="9"/>
      <c r="N137" s="9"/>
      <c r="O137" s="9"/>
      <c r="P137" s="9"/>
      <c r="Q137" s="9"/>
      <c r="R137" s="9"/>
      <c r="S137" s="9"/>
      <c r="T137" s="9"/>
      <c r="U137" s="16"/>
      <c r="V137" s="16"/>
      <c r="W137" s="16"/>
      <c r="X137" s="191">
        <f>SUM(W138:W196)</f>
        <v>50492539.985678636</v>
      </c>
      <c r="Y137" s="195">
        <f>1364663*37</f>
        <v>50492531</v>
      </c>
    </row>
    <row r="138" spans="1:26" s="154" customFormat="1" ht="75" x14ac:dyDescent="0.25">
      <c r="A138" s="118">
        <v>1</v>
      </c>
      <c r="B138" s="94" t="s">
        <v>90</v>
      </c>
      <c r="C138" s="12">
        <v>1000</v>
      </c>
      <c r="D138" s="25">
        <v>2179.5676332792</v>
      </c>
      <c r="E138" s="14">
        <v>1089.7838166396</v>
      </c>
      <c r="F138" s="14"/>
      <c r="G138" s="14">
        <v>3814.2433582386002</v>
      </c>
      <c r="H138" s="14">
        <v>2724.4595415989997</v>
      </c>
      <c r="I138" s="14"/>
      <c r="J138" s="14">
        <v>6538.7028998375999</v>
      </c>
      <c r="K138" s="14">
        <v>544.8919083198</v>
      </c>
      <c r="L138" s="14"/>
      <c r="M138" s="14"/>
      <c r="N138" s="14">
        <v>544.8919083198</v>
      </c>
      <c r="O138" s="14"/>
      <c r="P138" s="14">
        <v>2724.4595415989997</v>
      </c>
      <c r="Q138" s="14"/>
      <c r="R138" s="14"/>
      <c r="S138" s="14"/>
      <c r="T138" s="14"/>
      <c r="U138" s="13">
        <f t="shared" ref="U138:U196" si="9">SUM(D138:T138)</f>
        <v>20161.000607832604</v>
      </c>
      <c r="V138" s="14">
        <v>15824.15</v>
      </c>
      <c r="W138" s="15">
        <f t="shared" ref="W138:W201" si="10">V138*U138/C138</f>
        <v>319030.6977684343</v>
      </c>
      <c r="X138" s="187">
        <f>K138*37</f>
        <v>20161.000607832601</v>
      </c>
      <c r="Y138" s="187">
        <f>U138-X138</f>
        <v>0</v>
      </c>
      <c r="Z138" s="191">
        <f>SUM(W138:W196)</f>
        <v>50492539.985678636</v>
      </c>
    </row>
    <row r="139" spans="1:26" s="154" customFormat="1" ht="105" x14ac:dyDescent="0.25">
      <c r="A139" s="118">
        <v>2</v>
      </c>
      <c r="B139" s="135" t="s">
        <v>91</v>
      </c>
      <c r="C139" s="19">
        <v>1</v>
      </c>
      <c r="D139" s="25">
        <v>2034</v>
      </c>
      <c r="E139" s="14">
        <v>1017</v>
      </c>
      <c r="F139" s="14"/>
      <c r="G139" s="14">
        <v>3559.5</v>
      </c>
      <c r="H139" s="14">
        <v>2542.5</v>
      </c>
      <c r="I139" s="14"/>
      <c r="J139" s="14">
        <v>6102</v>
      </c>
      <c r="K139" s="14">
        <v>508.5</v>
      </c>
      <c r="L139" s="14"/>
      <c r="M139" s="14"/>
      <c r="N139" s="14">
        <v>508.5</v>
      </c>
      <c r="O139" s="14"/>
      <c r="P139" s="14">
        <v>2542.5</v>
      </c>
      <c r="Q139" s="14"/>
      <c r="R139" s="14"/>
      <c r="S139" s="14"/>
      <c r="T139" s="14"/>
      <c r="U139" s="13">
        <f t="shared" si="9"/>
        <v>18814.5</v>
      </c>
      <c r="V139" s="25">
        <v>12.55</v>
      </c>
      <c r="W139" s="15">
        <f t="shared" si="10"/>
        <v>236121.97500000001</v>
      </c>
      <c r="X139" s="187">
        <f t="shared" ref="X139:X196" si="11">K139*37</f>
        <v>18814.5</v>
      </c>
      <c r="Y139" s="187">
        <f t="shared" ref="Y139:Y196" si="12">U139-X139</f>
        <v>0</v>
      </c>
    </row>
    <row r="140" spans="1:26" s="154" customFormat="1" ht="45" x14ac:dyDescent="0.25">
      <c r="A140" s="44">
        <v>3</v>
      </c>
      <c r="B140" s="94" t="s">
        <v>20</v>
      </c>
      <c r="C140" s="16"/>
      <c r="D140" s="16"/>
      <c r="E140" s="16"/>
      <c r="F140" s="16"/>
      <c r="G140" s="16"/>
      <c r="H140" s="16"/>
      <c r="I140" s="16"/>
      <c r="J140" s="16"/>
      <c r="K140" s="16"/>
      <c r="L140" s="16"/>
      <c r="M140" s="16"/>
      <c r="N140" s="16"/>
      <c r="O140" s="16"/>
      <c r="P140" s="16"/>
      <c r="Q140" s="16"/>
      <c r="R140" s="16"/>
      <c r="S140" s="16"/>
      <c r="T140" s="16"/>
      <c r="U140" s="13">
        <f t="shared" si="9"/>
        <v>0</v>
      </c>
      <c r="V140" s="16"/>
      <c r="W140" s="16"/>
      <c r="X140" s="187">
        <f t="shared" si="11"/>
        <v>0</v>
      </c>
      <c r="Y140" s="187">
        <f t="shared" si="12"/>
        <v>0</v>
      </c>
    </row>
    <row r="141" spans="1:26" s="154" customFormat="1" x14ac:dyDescent="0.25">
      <c r="A141" s="44" t="s">
        <v>42</v>
      </c>
      <c r="B141" s="94" t="s">
        <v>67</v>
      </c>
      <c r="C141" s="12">
        <v>100</v>
      </c>
      <c r="D141" s="25">
        <v>422.44977729920004</v>
      </c>
      <c r="E141" s="14">
        <v>211.22488864960002</v>
      </c>
      <c r="F141" s="14"/>
      <c r="G141" s="14">
        <v>739.28711027360009</v>
      </c>
      <c r="H141" s="14">
        <v>528.06222162400002</v>
      </c>
      <c r="I141" s="14"/>
      <c r="J141" s="14">
        <v>1267.3493318976002</v>
      </c>
      <c r="K141" s="14">
        <v>105.61244432480001</v>
      </c>
      <c r="L141" s="14"/>
      <c r="M141" s="14"/>
      <c r="N141" s="14">
        <v>105.61244432480001</v>
      </c>
      <c r="O141" s="14"/>
      <c r="P141" s="14">
        <v>528.06222162400002</v>
      </c>
      <c r="Q141" s="14"/>
      <c r="R141" s="14"/>
      <c r="S141" s="14"/>
      <c r="T141" s="14"/>
      <c r="U141" s="13">
        <f t="shared" si="9"/>
        <v>3907.6604400176002</v>
      </c>
      <c r="V141" s="14">
        <v>34694.300000000003</v>
      </c>
      <c r="W141" s="15">
        <f t="shared" si="10"/>
        <v>1355735.4360410264</v>
      </c>
      <c r="X141" s="187">
        <f t="shared" si="11"/>
        <v>3907.6604400176002</v>
      </c>
      <c r="Y141" s="187">
        <f t="shared" si="12"/>
        <v>0</v>
      </c>
    </row>
    <row r="142" spans="1:26" s="154" customFormat="1" ht="30" x14ac:dyDescent="0.25">
      <c r="A142" s="44">
        <v>4</v>
      </c>
      <c r="B142" s="94" t="s">
        <v>22</v>
      </c>
      <c r="C142" s="12">
        <v>100</v>
      </c>
      <c r="D142" s="25">
        <v>1260.1600000000001</v>
      </c>
      <c r="E142" s="14">
        <v>630.08000000000004</v>
      </c>
      <c r="F142" s="14"/>
      <c r="G142" s="14">
        <v>2205.2800000000002</v>
      </c>
      <c r="H142" s="14">
        <v>1575.2</v>
      </c>
      <c r="I142" s="14"/>
      <c r="J142" s="14">
        <v>3780.4800000000005</v>
      </c>
      <c r="K142" s="14">
        <v>315.04000000000002</v>
      </c>
      <c r="L142" s="14"/>
      <c r="M142" s="14"/>
      <c r="N142" s="14">
        <v>315.04000000000002</v>
      </c>
      <c r="O142" s="14"/>
      <c r="P142" s="14">
        <v>1575.2</v>
      </c>
      <c r="Q142" s="14"/>
      <c r="R142" s="14"/>
      <c r="S142" s="14"/>
      <c r="T142" s="14"/>
      <c r="U142" s="13">
        <f t="shared" si="9"/>
        <v>11656.480000000003</v>
      </c>
      <c r="V142" s="14">
        <v>32675.95</v>
      </c>
      <c r="W142" s="15">
        <f t="shared" si="10"/>
        <v>3808865.5765600014</v>
      </c>
      <c r="X142" s="187">
        <f t="shared" si="11"/>
        <v>11656.480000000001</v>
      </c>
      <c r="Y142" s="187">
        <f t="shared" si="12"/>
        <v>0</v>
      </c>
    </row>
    <row r="143" spans="1:26" s="154" customFormat="1" ht="60" x14ac:dyDescent="0.25">
      <c r="A143" s="44">
        <v>5</v>
      </c>
      <c r="B143" s="94" t="s">
        <v>92</v>
      </c>
      <c r="C143" s="19">
        <v>100</v>
      </c>
      <c r="D143" s="25">
        <v>258</v>
      </c>
      <c r="E143" s="14">
        <v>129</v>
      </c>
      <c r="F143" s="14"/>
      <c r="G143" s="14">
        <v>451.5</v>
      </c>
      <c r="H143" s="14">
        <v>322.5</v>
      </c>
      <c r="I143" s="14"/>
      <c r="J143" s="14">
        <v>774</v>
      </c>
      <c r="K143" s="14">
        <v>64.5</v>
      </c>
      <c r="L143" s="14"/>
      <c r="M143" s="14"/>
      <c r="N143" s="14">
        <v>64.5</v>
      </c>
      <c r="O143" s="14"/>
      <c r="P143" s="14">
        <v>322.5</v>
      </c>
      <c r="Q143" s="14"/>
      <c r="R143" s="14"/>
      <c r="S143" s="14"/>
      <c r="T143" s="14"/>
      <c r="U143" s="13">
        <f t="shared" si="9"/>
        <v>2386.5</v>
      </c>
      <c r="V143" s="14">
        <v>11460.2</v>
      </c>
      <c r="W143" s="15">
        <f t="shared" si="10"/>
        <v>273497.67300000001</v>
      </c>
      <c r="X143" s="187">
        <f t="shared" si="11"/>
        <v>2386.5</v>
      </c>
      <c r="Y143" s="187">
        <f t="shared" si="12"/>
        <v>0</v>
      </c>
    </row>
    <row r="144" spans="1:26" s="154" customFormat="1" ht="60" x14ac:dyDescent="0.25">
      <c r="A144" s="44">
        <v>6</v>
      </c>
      <c r="B144" s="94" t="s">
        <v>93</v>
      </c>
      <c r="C144" s="19">
        <v>100</v>
      </c>
      <c r="D144" s="25">
        <v>480</v>
      </c>
      <c r="E144" s="14">
        <v>240</v>
      </c>
      <c r="F144" s="14"/>
      <c r="G144" s="14">
        <v>840</v>
      </c>
      <c r="H144" s="14">
        <v>600</v>
      </c>
      <c r="I144" s="14"/>
      <c r="J144" s="14">
        <v>1440</v>
      </c>
      <c r="K144" s="14">
        <v>120</v>
      </c>
      <c r="L144" s="14"/>
      <c r="M144" s="14"/>
      <c r="N144" s="14">
        <v>120</v>
      </c>
      <c r="O144" s="14"/>
      <c r="P144" s="14">
        <v>600</v>
      </c>
      <c r="Q144" s="14"/>
      <c r="R144" s="14"/>
      <c r="S144" s="14"/>
      <c r="T144" s="14"/>
      <c r="U144" s="13">
        <f t="shared" si="9"/>
        <v>4440</v>
      </c>
      <c r="V144" s="14">
        <v>7607.35</v>
      </c>
      <c r="W144" s="15">
        <f t="shared" si="10"/>
        <v>337766.34</v>
      </c>
      <c r="X144" s="187">
        <f t="shared" si="11"/>
        <v>4440</v>
      </c>
      <c r="Y144" s="187">
        <f t="shared" si="12"/>
        <v>0</v>
      </c>
    </row>
    <row r="145" spans="1:25" s="154" customFormat="1" ht="30" x14ac:dyDescent="0.25">
      <c r="A145" s="44">
        <v>7</v>
      </c>
      <c r="B145" s="94" t="s">
        <v>94</v>
      </c>
      <c r="C145" s="12">
        <v>1000</v>
      </c>
      <c r="D145" s="25">
        <v>600</v>
      </c>
      <c r="E145" s="14">
        <v>300</v>
      </c>
      <c r="F145" s="14"/>
      <c r="G145" s="14">
        <v>1050</v>
      </c>
      <c r="H145" s="14">
        <v>750</v>
      </c>
      <c r="I145" s="14"/>
      <c r="J145" s="14">
        <v>1800</v>
      </c>
      <c r="K145" s="14">
        <v>150</v>
      </c>
      <c r="L145" s="14"/>
      <c r="M145" s="14"/>
      <c r="N145" s="14">
        <v>150</v>
      </c>
      <c r="O145" s="14"/>
      <c r="P145" s="14">
        <v>750</v>
      </c>
      <c r="Q145" s="14"/>
      <c r="R145" s="14"/>
      <c r="S145" s="14"/>
      <c r="T145" s="14"/>
      <c r="U145" s="13">
        <f t="shared" si="9"/>
        <v>5550</v>
      </c>
      <c r="V145" s="14">
        <v>7547.75</v>
      </c>
      <c r="W145" s="15">
        <f t="shared" si="10"/>
        <v>41890.012499999997</v>
      </c>
      <c r="X145" s="187">
        <f t="shared" si="11"/>
        <v>5550</v>
      </c>
      <c r="Y145" s="187">
        <f t="shared" si="12"/>
        <v>0</v>
      </c>
    </row>
    <row r="146" spans="1:25" s="154" customFormat="1" ht="30" x14ac:dyDescent="0.25">
      <c r="A146" s="44">
        <v>8</v>
      </c>
      <c r="B146" s="94" t="s">
        <v>95</v>
      </c>
      <c r="C146" s="12">
        <v>100</v>
      </c>
      <c r="D146" s="25">
        <v>1163.5999999999999</v>
      </c>
      <c r="E146" s="14">
        <v>581.79999999999995</v>
      </c>
      <c r="F146" s="14"/>
      <c r="G146" s="14">
        <v>2036.2999999999997</v>
      </c>
      <c r="H146" s="14">
        <v>1454.5</v>
      </c>
      <c r="I146" s="14"/>
      <c r="J146" s="14">
        <v>3490.7999999999997</v>
      </c>
      <c r="K146" s="14">
        <v>290.89999999999998</v>
      </c>
      <c r="L146" s="14"/>
      <c r="M146" s="14"/>
      <c r="N146" s="14">
        <v>290.89999999999998</v>
      </c>
      <c r="O146" s="14"/>
      <c r="P146" s="14">
        <v>1454.5</v>
      </c>
      <c r="Q146" s="14"/>
      <c r="R146" s="14"/>
      <c r="S146" s="14"/>
      <c r="T146" s="14"/>
      <c r="U146" s="13">
        <f t="shared" si="9"/>
        <v>10763.3</v>
      </c>
      <c r="V146" s="14">
        <v>35830.6</v>
      </c>
      <c r="W146" s="15">
        <f t="shared" si="10"/>
        <v>3856554.9697999996</v>
      </c>
      <c r="X146" s="187">
        <f t="shared" si="11"/>
        <v>10763.3</v>
      </c>
      <c r="Y146" s="187">
        <f t="shared" si="12"/>
        <v>0</v>
      </c>
    </row>
    <row r="147" spans="1:25" s="154" customFormat="1" ht="120.75" x14ac:dyDescent="0.25">
      <c r="A147" s="44">
        <v>9</v>
      </c>
      <c r="B147" s="94" t="s">
        <v>41</v>
      </c>
      <c r="C147" s="20"/>
      <c r="D147" s="25"/>
      <c r="E147" s="14"/>
      <c r="F147" s="14"/>
      <c r="G147" s="14"/>
      <c r="H147" s="14"/>
      <c r="I147" s="14"/>
      <c r="J147" s="14">
        <v>0</v>
      </c>
      <c r="K147" s="14"/>
      <c r="L147" s="14"/>
      <c r="M147" s="14"/>
      <c r="N147" s="14"/>
      <c r="O147" s="14"/>
      <c r="P147" s="14">
        <v>0</v>
      </c>
      <c r="Q147" s="14"/>
      <c r="R147" s="14"/>
      <c r="S147" s="14"/>
      <c r="T147" s="14"/>
      <c r="U147" s="13">
        <f t="shared" si="9"/>
        <v>0</v>
      </c>
      <c r="V147" s="13">
        <f>SUM(E147:U147)</f>
        <v>0</v>
      </c>
      <c r="W147" s="13">
        <f>SUM(F147:V147)</f>
        <v>0</v>
      </c>
      <c r="X147" s="187">
        <f t="shared" si="11"/>
        <v>0</v>
      </c>
      <c r="Y147" s="187">
        <f t="shared" si="12"/>
        <v>0</v>
      </c>
    </row>
    <row r="148" spans="1:25" s="154" customFormat="1" ht="75" x14ac:dyDescent="0.25">
      <c r="A148" s="44" t="s">
        <v>42</v>
      </c>
      <c r="B148" s="94" t="s">
        <v>96</v>
      </c>
      <c r="C148" s="12">
        <v>1</v>
      </c>
      <c r="D148" s="25">
        <v>616.66319999999996</v>
      </c>
      <c r="E148" s="14">
        <v>308.33159999999998</v>
      </c>
      <c r="F148" s="14"/>
      <c r="G148" s="14">
        <v>1079.1605999999999</v>
      </c>
      <c r="H148" s="14">
        <v>770.82899999999995</v>
      </c>
      <c r="I148" s="14"/>
      <c r="J148" s="14">
        <v>1849.9895999999999</v>
      </c>
      <c r="K148" s="14">
        <v>154.16579999999999</v>
      </c>
      <c r="L148" s="14"/>
      <c r="M148" s="14"/>
      <c r="N148" s="14">
        <v>154.16579999999999</v>
      </c>
      <c r="O148" s="14"/>
      <c r="P148" s="14">
        <v>770.82899999999995</v>
      </c>
      <c r="Q148" s="14"/>
      <c r="R148" s="14"/>
      <c r="S148" s="14"/>
      <c r="T148" s="14"/>
      <c r="U148" s="13">
        <f t="shared" si="9"/>
        <v>5704.1345999999994</v>
      </c>
      <c r="V148" s="14">
        <v>741.85</v>
      </c>
      <c r="W148" s="15">
        <f t="shared" si="10"/>
        <v>4231612.2530100001</v>
      </c>
      <c r="X148" s="187">
        <f t="shared" si="11"/>
        <v>5704.1345999999994</v>
      </c>
      <c r="Y148" s="187">
        <f t="shared" si="12"/>
        <v>0</v>
      </c>
    </row>
    <row r="149" spans="1:25" s="154" customFormat="1" ht="75" x14ac:dyDescent="0.25">
      <c r="A149" s="44" t="s">
        <v>44</v>
      </c>
      <c r="B149" s="94" t="s">
        <v>97</v>
      </c>
      <c r="C149" s="12">
        <v>1</v>
      </c>
      <c r="D149" s="25">
        <v>73.631249999999994</v>
      </c>
      <c r="E149" s="14">
        <v>36.815624999999997</v>
      </c>
      <c r="F149" s="14"/>
      <c r="G149" s="14">
        <v>128.85468749999998</v>
      </c>
      <c r="H149" s="14">
        <v>92.0390625</v>
      </c>
      <c r="I149" s="14"/>
      <c r="J149" s="14">
        <v>220.89374999999998</v>
      </c>
      <c r="K149" s="14">
        <v>18.407812499999999</v>
      </c>
      <c r="L149" s="14"/>
      <c r="M149" s="14"/>
      <c r="N149" s="14">
        <v>18.407812499999999</v>
      </c>
      <c r="O149" s="14"/>
      <c r="P149" s="14">
        <v>92.0390625</v>
      </c>
      <c r="Q149" s="14"/>
      <c r="R149" s="14"/>
      <c r="S149" s="14"/>
      <c r="T149" s="14"/>
      <c r="U149" s="13">
        <f t="shared" si="9"/>
        <v>681.08906249999995</v>
      </c>
      <c r="V149" s="14">
        <v>595</v>
      </c>
      <c r="W149" s="15">
        <f t="shared" si="10"/>
        <v>405247.9921875</v>
      </c>
      <c r="X149" s="187">
        <f t="shared" si="11"/>
        <v>681.08906249999995</v>
      </c>
      <c r="Y149" s="187">
        <f t="shared" si="12"/>
        <v>0</v>
      </c>
    </row>
    <row r="150" spans="1:25" s="154" customFormat="1" ht="90" x14ac:dyDescent="0.25">
      <c r="A150" s="122">
        <v>10</v>
      </c>
      <c r="B150" s="94" t="s">
        <v>98</v>
      </c>
      <c r="C150" s="29">
        <v>100</v>
      </c>
      <c r="D150" s="25">
        <v>4141.7667000000001</v>
      </c>
      <c r="E150" s="14">
        <v>2070.8833500000001</v>
      </c>
      <c r="F150" s="14"/>
      <c r="G150" s="14">
        <v>7248.0917250000002</v>
      </c>
      <c r="H150" s="14">
        <v>5177.2083750000002</v>
      </c>
      <c r="I150" s="14"/>
      <c r="J150" s="14">
        <v>12425.3001</v>
      </c>
      <c r="K150" s="14">
        <v>1035.441675</v>
      </c>
      <c r="L150" s="14"/>
      <c r="M150" s="14"/>
      <c r="N150" s="14">
        <v>1035.441675</v>
      </c>
      <c r="O150" s="14"/>
      <c r="P150" s="14">
        <v>5177.2083750000002</v>
      </c>
      <c r="Q150" s="14"/>
      <c r="R150" s="14"/>
      <c r="S150" s="14"/>
      <c r="T150" s="14"/>
      <c r="U150" s="13">
        <f t="shared" si="9"/>
        <v>38311.341975000003</v>
      </c>
      <c r="V150" s="14">
        <v>30376.9</v>
      </c>
      <c r="W150" s="15">
        <f t="shared" si="10"/>
        <v>11637798.040403776</v>
      </c>
      <c r="X150" s="187">
        <f t="shared" si="11"/>
        <v>38311.341975000003</v>
      </c>
      <c r="Y150" s="187">
        <f t="shared" si="12"/>
        <v>0</v>
      </c>
    </row>
    <row r="151" spans="1:25" s="154" customFormat="1" ht="180" x14ac:dyDescent="0.25">
      <c r="A151" s="44">
        <v>11</v>
      </c>
      <c r="B151" s="94" t="s">
        <v>99</v>
      </c>
      <c r="C151" s="19">
        <v>1</v>
      </c>
      <c r="D151" s="25">
        <v>128</v>
      </c>
      <c r="E151" s="14">
        <v>64</v>
      </c>
      <c r="F151" s="14"/>
      <c r="G151" s="14">
        <v>224</v>
      </c>
      <c r="H151" s="14">
        <v>160</v>
      </c>
      <c r="I151" s="14"/>
      <c r="J151" s="14">
        <v>384</v>
      </c>
      <c r="K151" s="14">
        <v>32</v>
      </c>
      <c r="L151" s="14"/>
      <c r="M151" s="14"/>
      <c r="N151" s="14">
        <v>32</v>
      </c>
      <c r="O151" s="14"/>
      <c r="P151" s="14">
        <v>160</v>
      </c>
      <c r="Q151" s="14"/>
      <c r="R151" s="14"/>
      <c r="S151" s="14"/>
      <c r="T151" s="14"/>
      <c r="U151" s="13">
        <f t="shared" si="9"/>
        <v>1184</v>
      </c>
      <c r="V151" s="14">
        <v>2180.6999999999998</v>
      </c>
      <c r="W151" s="15">
        <f t="shared" si="10"/>
        <v>2581948.7999999998</v>
      </c>
      <c r="X151" s="187">
        <f t="shared" si="11"/>
        <v>1184</v>
      </c>
      <c r="Y151" s="187">
        <f t="shared" si="12"/>
        <v>0</v>
      </c>
    </row>
    <row r="152" spans="1:25" s="154" customFormat="1" ht="60" x14ac:dyDescent="0.25">
      <c r="A152" s="44">
        <v>12</v>
      </c>
      <c r="B152" s="94" t="s">
        <v>100</v>
      </c>
      <c r="C152" s="19">
        <v>1</v>
      </c>
      <c r="D152" s="25">
        <v>160</v>
      </c>
      <c r="E152" s="14">
        <v>80</v>
      </c>
      <c r="F152" s="14"/>
      <c r="G152" s="14">
        <v>280</v>
      </c>
      <c r="H152" s="14">
        <v>200</v>
      </c>
      <c r="I152" s="14"/>
      <c r="J152" s="14">
        <v>480</v>
      </c>
      <c r="K152" s="14">
        <v>40</v>
      </c>
      <c r="L152" s="14"/>
      <c r="M152" s="14"/>
      <c r="N152" s="14">
        <v>40</v>
      </c>
      <c r="O152" s="14"/>
      <c r="P152" s="14">
        <v>200</v>
      </c>
      <c r="Q152" s="14"/>
      <c r="R152" s="14"/>
      <c r="S152" s="14"/>
      <c r="T152" s="14"/>
      <c r="U152" s="13">
        <f t="shared" si="9"/>
        <v>1480</v>
      </c>
      <c r="V152" s="14">
        <v>457.1</v>
      </c>
      <c r="W152" s="15">
        <f t="shared" si="10"/>
        <v>676508</v>
      </c>
      <c r="X152" s="187">
        <f t="shared" si="11"/>
        <v>1480</v>
      </c>
      <c r="Y152" s="187">
        <f t="shared" si="12"/>
        <v>0</v>
      </c>
    </row>
    <row r="153" spans="1:25" s="154" customFormat="1" ht="45" x14ac:dyDescent="0.25">
      <c r="A153" s="44">
        <v>13</v>
      </c>
      <c r="B153" s="94" t="s">
        <v>101</v>
      </c>
      <c r="C153" s="19">
        <v>1</v>
      </c>
      <c r="D153" s="25">
        <v>196</v>
      </c>
      <c r="E153" s="14">
        <v>98</v>
      </c>
      <c r="F153" s="14"/>
      <c r="G153" s="14">
        <v>343</v>
      </c>
      <c r="H153" s="14">
        <v>245</v>
      </c>
      <c r="I153" s="14"/>
      <c r="J153" s="14">
        <v>588</v>
      </c>
      <c r="K153" s="14">
        <v>49</v>
      </c>
      <c r="L153" s="14"/>
      <c r="M153" s="14"/>
      <c r="N153" s="14">
        <v>49</v>
      </c>
      <c r="O153" s="14"/>
      <c r="P153" s="14">
        <v>245</v>
      </c>
      <c r="Q153" s="14"/>
      <c r="R153" s="14"/>
      <c r="S153" s="14"/>
      <c r="T153" s="14"/>
      <c r="U153" s="13">
        <f t="shared" si="9"/>
        <v>1813</v>
      </c>
      <c r="V153" s="14">
        <v>2767</v>
      </c>
      <c r="W153" s="15">
        <f t="shared" si="10"/>
        <v>5016571</v>
      </c>
      <c r="X153" s="187">
        <f t="shared" si="11"/>
        <v>1813</v>
      </c>
      <c r="Y153" s="187">
        <f t="shared" si="12"/>
        <v>0</v>
      </c>
    </row>
    <row r="154" spans="1:25" s="154" customFormat="1" ht="75" x14ac:dyDescent="0.25">
      <c r="A154" s="44">
        <v>14</v>
      </c>
      <c r="B154" s="94" t="s">
        <v>102</v>
      </c>
      <c r="C154" s="19">
        <v>100</v>
      </c>
      <c r="D154" s="25">
        <v>382.25</v>
      </c>
      <c r="E154" s="14">
        <v>191.125</v>
      </c>
      <c r="F154" s="14"/>
      <c r="G154" s="14">
        <v>668.9375</v>
      </c>
      <c r="H154" s="14">
        <v>477.8125</v>
      </c>
      <c r="I154" s="14"/>
      <c r="J154" s="14">
        <v>1146.75</v>
      </c>
      <c r="K154" s="14">
        <v>95.5625</v>
      </c>
      <c r="L154" s="14"/>
      <c r="M154" s="14"/>
      <c r="N154" s="14">
        <v>95.5625</v>
      </c>
      <c r="O154" s="14"/>
      <c r="P154" s="14">
        <v>477.8125</v>
      </c>
      <c r="Q154" s="14"/>
      <c r="R154" s="14"/>
      <c r="S154" s="14"/>
      <c r="T154" s="14"/>
      <c r="U154" s="13">
        <f t="shared" si="9"/>
        <v>3535.8125</v>
      </c>
      <c r="V154" s="14">
        <v>13179.6</v>
      </c>
      <c r="W154" s="15">
        <f t="shared" si="10"/>
        <v>466005.94425000006</v>
      </c>
      <c r="X154" s="187">
        <f t="shared" si="11"/>
        <v>3535.8125</v>
      </c>
      <c r="Y154" s="187">
        <f t="shared" si="12"/>
        <v>0</v>
      </c>
    </row>
    <row r="155" spans="1:25" s="154" customFormat="1" ht="30" x14ac:dyDescent="0.25">
      <c r="A155" s="44">
        <v>15</v>
      </c>
      <c r="B155" s="94" t="s">
        <v>103</v>
      </c>
      <c r="C155" s="19">
        <v>1</v>
      </c>
      <c r="D155" s="25">
        <v>398.25</v>
      </c>
      <c r="E155" s="14">
        <v>199.125</v>
      </c>
      <c r="F155" s="14"/>
      <c r="G155" s="14">
        <v>696.9375</v>
      </c>
      <c r="H155" s="14">
        <v>497.8125</v>
      </c>
      <c r="I155" s="14"/>
      <c r="J155" s="14">
        <v>1194.75</v>
      </c>
      <c r="K155" s="14">
        <v>99.5625</v>
      </c>
      <c r="L155" s="14"/>
      <c r="M155" s="14"/>
      <c r="N155" s="14">
        <v>99.5625</v>
      </c>
      <c r="O155" s="14"/>
      <c r="P155" s="14">
        <v>497.8125</v>
      </c>
      <c r="Q155" s="14"/>
      <c r="R155" s="14"/>
      <c r="S155" s="14"/>
      <c r="T155" s="14"/>
      <c r="U155" s="13">
        <f t="shared" si="9"/>
        <v>3683.8125</v>
      </c>
      <c r="V155" s="14">
        <v>11</v>
      </c>
      <c r="W155" s="15">
        <f t="shared" si="10"/>
        <v>40521.9375</v>
      </c>
      <c r="X155" s="187">
        <f t="shared" si="11"/>
        <v>3683.8125</v>
      </c>
      <c r="Y155" s="187">
        <f t="shared" si="12"/>
        <v>0</v>
      </c>
    </row>
    <row r="156" spans="1:25" s="154" customFormat="1" x14ac:dyDescent="0.25">
      <c r="A156" s="44">
        <v>16</v>
      </c>
      <c r="B156" s="94" t="s">
        <v>104</v>
      </c>
      <c r="C156" s="12">
        <v>100</v>
      </c>
      <c r="D156" s="25">
        <v>163.75</v>
      </c>
      <c r="E156" s="14">
        <v>81.875</v>
      </c>
      <c r="F156" s="14"/>
      <c r="G156" s="14">
        <v>286.5625</v>
      </c>
      <c r="H156" s="14">
        <v>204.6875</v>
      </c>
      <c r="I156" s="14"/>
      <c r="J156" s="14">
        <v>491.25</v>
      </c>
      <c r="K156" s="14">
        <v>40.9375</v>
      </c>
      <c r="L156" s="14"/>
      <c r="M156" s="14"/>
      <c r="N156" s="14">
        <v>40.9375</v>
      </c>
      <c r="O156" s="14"/>
      <c r="P156" s="14">
        <v>204.6875</v>
      </c>
      <c r="Q156" s="14"/>
      <c r="R156" s="14"/>
      <c r="S156" s="14"/>
      <c r="T156" s="14"/>
      <c r="U156" s="13">
        <f t="shared" si="9"/>
        <v>1514.6875</v>
      </c>
      <c r="V156" s="25">
        <v>3987</v>
      </c>
      <c r="W156" s="15">
        <f t="shared" si="10"/>
        <v>60390.590624999997</v>
      </c>
      <c r="X156" s="187">
        <f t="shared" si="11"/>
        <v>1514.6875</v>
      </c>
      <c r="Y156" s="187">
        <f t="shared" si="12"/>
        <v>0</v>
      </c>
    </row>
    <row r="157" spans="1:25" s="154" customFormat="1" ht="45" x14ac:dyDescent="0.25">
      <c r="A157" s="44">
        <v>17</v>
      </c>
      <c r="B157" s="94" t="s">
        <v>105</v>
      </c>
      <c r="C157" s="12">
        <v>100</v>
      </c>
      <c r="D157" s="25">
        <v>195.75</v>
      </c>
      <c r="E157" s="14">
        <v>97.875</v>
      </c>
      <c r="F157" s="14"/>
      <c r="G157" s="14">
        <v>342.5625</v>
      </c>
      <c r="H157" s="14">
        <v>244.6875</v>
      </c>
      <c r="I157" s="14"/>
      <c r="J157" s="14">
        <v>587.25</v>
      </c>
      <c r="K157" s="14">
        <v>48.9375</v>
      </c>
      <c r="L157" s="14"/>
      <c r="M157" s="14"/>
      <c r="N157" s="14">
        <v>48.9375</v>
      </c>
      <c r="O157" s="14"/>
      <c r="P157" s="14">
        <v>244.6875</v>
      </c>
      <c r="Q157" s="14"/>
      <c r="R157" s="14"/>
      <c r="S157" s="14"/>
      <c r="T157" s="14"/>
      <c r="U157" s="13">
        <f t="shared" si="9"/>
        <v>1810.6875</v>
      </c>
      <c r="V157" s="25">
        <v>12801.2</v>
      </c>
      <c r="W157" s="15">
        <f t="shared" si="10"/>
        <v>231789.72825000004</v>
      </c>
      <c r="X157" s="187">
        <f t="shared" si="11"/>
        <v>1810.6875</v>
      </c>
      <c r="Y157" s="187">
        <f t="shared" si="12"/>
        <v>0</v>
      </c>
    </row>
    <row r="158" spans="1:25" s="154" customFormat="1" ht="45" x14ac:dyDescent="0.25">
      <c r="A158" s="44">
        <v>18</v>
      </c>
      <c r="B158" s="92" t="s">
        <v>106</v>
      </c>
      <c r="C158" s="20"/>
      <c r="D158" s="20"/>
      <c r="E158" s="20"/>
      <c r="F158" s="20"/>
      <c r="G158" s="20"/>
      <c r="H158" s="20"/>
      <c r="I158" s="20"/>
      <c r="J158" s="20"/>
      <c r="K158" s="20"/>
      <c r="L158" s="20"/>
      <c r="M158" s="20"/>
      <c r="N158" s="20"/>
      <c r="O158" s="20"/>
      <c r="P158" s="20"/>
      <c r="Q158" s="20"/>
      <c r="R158" s="20"/>
      <c r="S158" s="20"/>
      <c r="T158" s="20"/>
      <c r="U158" s="13">
        <f t="shared" si="9"/>
        <v>0</v>
      </c>
      <c r="V158" s="20"/>
      <c r="W158" s="20"/>
      <c r="X158" s="187">
        <f t="shared" si="11"/>
        <v>0</v>
      </c>
      <c r="Y158" s="187">
        <f t="shared" si="12"/>
        <v>0</v>
      </c>
    </row>
    <row r="159" spans="1:25" s="154" customFormat="1" x14ac:dyDescent="0.25">
      <c r="A159" s="44"/>
      <c r="B159" s="92" t="s">
        <v>107</v>
      </c>
      <c r="C159" s="12">
        <v>100</v>
      </c>
      <c r="D159" s="25">
        <v>183.44</v>
      </c>
      <c r="E159" s="14">
        <v>91.72</v>
      </c>
      <c r="F159" s="14"/>
      <c r="G159" s="14">
        <v>321.02</v>
      </c>
      <c r="H159" s="14">
        <v>229.3</v>
      </c>
      <c r="I159" s="14"/>
      <c r="J159" s="14">
        <v>550.31999999999994</v>
      </c>
      <c r="K159" s="14">
        <v>45.86</v>
      </c>
      <c r="L159" s="14"/>
      <c r="M159" s="14"/>
      <c r="N159" s="14">
        <v>45.86</v>
      </c>
      <c r="O159" s="14"/>
      <c r="P159" s="14">
        <v>229.3</v>
      </c>
      <c r="Q159" s="14"/>
      <c r="R159" s="14"/>
      <c r="S159" s="14"/>
      <c r="T159" s="14"/>
      <c r="U159" s="13">
        <f t="shared" si="9"/>
        <v>1696.8199999999997</v>
      </c>
      <c r="V159" s="14">
        <v>47135.9</v>
      </c>
      <c r="W159" s="15">
        <f t="shared" si="10"/>
        <v>799811.37837999989</v>
      </c>
      <c r="X159" s="187">
        <f t="shared" si="11"/>
        <v>1696.82</v>
      </c>
      <c r="Y159" s="187">
        <f t="shared" si="12"/>
        <v>0</v>
      </c>
    </row>
    <row r="160" spans="1:25" s="154" customFormat="1" ht="30" x14ac:dyDescent="0.25">
      <c r="A160" s="44">
        <v>19</v>
      </c>
      <c r="B160" s="94" t="s">
        <v>108</v>
      </c>
      <c r="C160" s="19">
        <v>100</v>
      </c>
      <c r="D160" s="25">
        <v>2273.2200000000003</v>
      </c>
      <c r="E160" s="14">
        <v>1136.6100000000001</v>
      </c>
      <c r="F160" s="14"/>
      <c r="G160" s="14">
        <v>3978.1350000000002</v>
      </c>
      <c r="H160" s="14">
        <v>2841.5250000000005</v>
      </c>
      <c r="I160" s="14"/>
      <c r="J160" s="14">
        <v>6819.6600000000008</v>
      </c>
      <c r="K160" s="14">
        <v>568.30500000000006</v>
      </c>
      <c r="L160" s="14"/>
      <c r="M160" s="14"/>
      <c r="N160" s="14">
        <v>568.30500000000006</v>
      </c>
      <c r="O160" s="14"/>
      <c r="P160" s="14">
        <v>2841.5250000000005</v>
      </c>
      <c r="Q160" s="14"/>
      <c r="R160" s="14"/>
      <c r="S160" s="14"/>
      <c r="T160" s="14"/>
      <c r="U160" s="13">
        <f t="shared" si="9"/>
        <v>21027.285000000003</v>
      </c>
      <c r="V160" s="25">
        <v>4614.1000000000004</v>
      </c>
      <c r="W160" s="15">
        <f t="shared" si="10"/>
        <v>970219.95718500018</v>
      </c>
      <c r="X160" s="187">
        <f t="shared" si="11"/>
        <v>21027.285000000003</v>
      </c>
      <c r="Y160" s="187">
        <f t="shared" si="12"/>
        <v>0</v>
      </c>
    </row>
    <row r="161" spans="1:25" s="154" customFormat="1" ht="45" x14ac:dyDescent="0.25">
      <c r="A161" s="44">
        <v>20</v>
      </c>
      <c r="B161" s="94" t="s">
        <v>109</v>
      </c>
      <c r="C161" s="19">
        <v>100</v>
      </c>
      <c r="D161" s="25">
        <v>458.08</v>
      </c>
      <c r="E161" s="14">
        <v>229.04</v>
      </c>
      <c r="F161" s="14"/>
      <c r="G161" s="14">
        <v>801.64</v>
      </c>
      <c r="H161" s="14">
        <v>572.6</v>
      </c>
      <c r="I161" s="14"/>
      <c r="J161" s="14">
        <v>1374.24</v>
      </c>
      <c r="K161" s="14">
        <v>114.52</v>
      </c>
      <c r="L161" s="14"/>
      <c r="M161" s="14"/>
      <c r="N161" s="14">
        <v>114.52</v>
      </c>
      <c r="O161" s="14"/>
      <c r="P161" s="14">
        <v>572.6</v>
      </c>
      <c r="Q161" s="14"/>
      <c r="R161" s="14"/>
      <c r="S161" s="14"/>
      <c r="T161" s="14"/>
      <c r="U161" s="13">
        <f t="shared" si="9"/>
        <v>4237.2400000000007</v>
      </c>
      <c r="V161" s="25">
        <v>5264.65</v>
      </c>
      <c r="W161" s="15">
        <f t="shared" si="10"/>
        <v>223075.85566000003</v>
      </c>
      <c r="X161" s="187">
        <f t="shared" si="11"/>
        <v>4237.24</v>
      </c>
      <c r="Y161" s="187">
        <f t="shared" si="12"/>
        <v>0</v>
      </c>
    </row>
    <row r="162" spans="1:25" s="154" customFormat="1" ht="60" x14ac:dyDescent="0.25">
      <c r="A162" s="44">
        <v>21</v>
      </c>
      <c r="B162" s="94" t="s">
        <v>110</v>
      </c>
      <c r="C162" s="19">
        <v>100</v>
      </c>
      <c r="D162" s="25">
        <v>1959.5</v>
      </c>
      <c r="E162" s="14">
        <v>979.75</v>
      </c>
      <c r="F162" s="14"/>
      <c r="G162" s="14">
        <v>3429.125</v>
      </c>
      <c r="H162" s="14">
        <v>2449.375</v>
      </c>
      <c r="I162" s="14"/>
      <c r="J162" s="14">
        <v>5878.5</v>
      </c>
      <c r="K162" s="14">
        <v>489.875</v>
      </c>
      <c r="L162" s="14"/>
      <c r="M162" s="14"/>
      <c r="N162" s="14">
        <v>489.875</v>
      </c>
      <c r="O162" s="14"/>
      <c r="P162" s="14">
        <v>2449.375</v>
      </c>
      <c r="Q162" s="14"/>
      <c r="R162" s="14"/>
      <c r="S162" s="14"/>
      <c r="T162" s="14"/>
      <c r="U162" s="13">
        <f t="shared" si="9"/>
        <v>18125.375</v>
      </c>
      <c r="V162" s="25">
        <v>5012.6499999999996</v>
      </c>
      <c r="W162" s="15">
        <f t="shared" si="10"/>
        <v>908561.60993749986</v>
      </c>
      <c r="X162" s="187">
        <f t="shared" si="11"/>
        <v>18125.375</v>
      </c>
      <c r="Y162" s="187">
        <f t="shared" si="12"/>
        <v>0</v>
      </c>
    </row>
    <row r="163" spans="1:25" s="154" customFormat="1" ht="45" x14ac:dyDescent="0.25">
      <c r="A163" s="44">
        <v>22</v>
      </c>
      <c r="B163" s="94" t="s">
        <v>111</v>
      </c>
      <c r="C163" s="36">
        <v>1</v>
      </c>
      <c r="D163" s="25">
        <v>52</v>
      </c>
      <c r="E163" s="14">
        <v>26</v>
      </c>
      <c r="F163" s="14"/>
      <c r="G163" s="14">
        <v>91</v>
      </c>
      <c r="H163" s="14">
        <v>65</v>
      </c>
      <c r="I163" s="14"/>
      <c r="J163" s="14">
        <v>156</v>
      </c>
      <c r="K163" s="14">
        <v>13</v>
      </c>
      <c r="L163" s="14"/>
      <c r="M163" s="14"/>
      <c r="N163" s="14">
        <v>13</v>
      </c>
      <c r="O163" s="14"/>
      <c r="P163" s="14">
        <v>65</v>
      </c>
      <c r="Q163" s="14"/>
      <c r="R163" s="14"/>
      <c r="S163" s="14"/>
      <c r="T163" s="14"/>
      <c r="U163" s="13">
        <f t="shared" si="9"/>
        <v>481</v>
      </c>
      <c r="V163" s="25">
        <v>514.9</v>
      </c>
      <c r="W163" s="15">
        <f t="shared" si="10"/>
        <v>247666.9</v>
      </c>
      <c r="X163" s="187">
        <f t="shared" si="11"/>
        <v>481</v>
      </c>
      <c r="Y163" s="187">
        <f t="shared" si="12"/>
        <v>0</v>
      </c>
    </row>
    <row r="164" spans="1:25" s="154" customFormat="1" ht="30" x14ac:dyDescent="0.25">
      <c r="A164" s="44">
        <v>23</v>
      </c>
      <c r="B164" s="94" t="s">
        <v>112</v>
      </c>
      <c r="C164" s="37">
        <v>1</v>
      </c>
      <c r="D164" s="25">
        <v>8</v>
      </c>
      <c r="E164" s="14">
        <v>4</v>
      </c>
      <c r="F164" s="14"/>
      <c r="G164" s="14">
        <v>14</v>
      </c>
      <c r="H164" s="14">
        <v>10</v>
      </c>
      <c r="I164" s="14"/>
      <c r="J164" s="14">
        <v>24</v>
      </c>
      <c r="K164" s="14">
        <v>2</v>
      </c>
      <c r="L164" s="14"/>
      <c r="M164" s="14"/>
      <c r="N164" s="14">
        <v>2</v>
      </c>
      <c r="O164" s="14"/>
      <c r="P164" s="14">
        <v>10</v>
      </c>
      <c r="Q164" s="14"/>
      <c r="R164" s="14"/>
      <c r="S164" s="14"/>
      <c r="T164" s="14"/>
      <c r="U164" s="13">
        <f t="shared" si="9"/>
        <v>74</v>
      </c>
      <c r="V164" s="25">
        <v>849.7</v>
      </c>
      <c r="W164" s="15">
        <f t="shared" si="10"/>
        <v>62877.8</v>
      </c>
      <c r="X164" s="187">
        <f t="shared" si="11"/>
        <v>74</v>
      </c>
      <c r="Y164" s="187">
        <f t="shared" si="12"/>
        <v>0</v>
      </c>
    </row>
    <row r="165" spans="1:25" s="154" customFormat="1" x14ac:dyDescent="0.25">
      <c r="A165" s="44">
        <v>24</v>
      </c>
      <c r="B165" s="94" t="s">
        <v>113</v>
      </c>
      <c r="C165" s="37">
        <v>1</v>
      </c>
      <c r="D165" s="25">
        <v>4</v>
      </c>
      <c r="E165" s="14">
        <v>2</v>
      </c>
      <c r="F165" s="14"/>
      <c r="G165" s="14">
        <v>7</v>
      </c>
      <c r="H165" s="14">
        <v>5</v>
      </c>
      <c r="I165" s="14"/>
      <c r="J165" s="14">
        <v>12</v>
      </c>
      <c r="K165" s="14">
        <v>1</v>
      </c>
      <c r="L165" s="14"/>
      <c r="M165" s="14"/>
      <c r="N165" s="14">
        <v>1</v>
      </c>
      <c r="O165" s="14"/>
      <c r="P165" s="14">
        <v>5</v>
      </c>
      <c r="Q165" s="14"/>
      <c r="R165" s="14"/>
      <c r="S165" s="14"/>
      <c r="T165" s="14"/>
      <c r="U165" s="13">
        <f t="shared" si="9"/>
        <v>37</v>
      </c>
      <c r="V165" s="25">
        <v>1159.6500000000001</v>
      </c>
      <c r="W165" s="15">
        <f t="shared" si="10"/>
        <v>42907.05</v>
      </c>
      <c r="X165" s="187">
        <f t="shared" si="11"/>
        <v>37</v>
      </c>
      <c r="Y165" s="187">
        <f t="shared" si="12"/>
        <v>0</v>
      </c>
    </row>
    <row r="166" spans="1:25" s="154" customFormat="1" x14ac:dyDescent="0.25">
      <c r="A166" s="44">
        <v>25</v>
      </c>
      <c r="B166" s="94" t="s">
        <v>114</v>
      </c>
      <c r="C166" s="19">
        <v>100</v>
      </c>
      <c r="D166" s="25">
        <v>2041.08</v>
      </c>
      <c r="E166" s="14">
        <v>1020.54</v>
      </c>
      <c r="F166" s="14"/>
      <c r="G166" s="14">
        <v>3571.89</v>
      </c>
      <c r="H166" s="14">
        <v>2551.35</v>
      </c>
      <c r="I166" s="14"/>
      <c r="J166" s="14">
        <v>6123.24</v>
      </c>
      <c r="K166" s="14">
        <v>510.27</v>
      </c>
      <c r="L166" s="14"/>
      <c r="M166" s="14"/>
      <c r="N166" s="14">
        <v>510.27</v>
      </c>
      <c r="O166" s="14"/>
      <c r="P166" s="14">
        <v>2551.35</v>
      </c>
      <c r="Q166" s="14"/>
      <c r="R166" s="14"/>
      <c r="S166" s="14"/>
      <c r="T166" s="14"/>
      <c r="U166" s="13">
        <f t="shared" si="9"/>
        <v>18879.990000000002</v>
      </c>
      <c r="V166" s="25">
        <v>1548.2</v>
      </c>
      <c r="W166" s="15">
        <f t="shared" si="10"/>
        <v>292300.00518000004</v>
      </c>
      <c r="X166" s="187">
        <f t="shared" si="11"/>
        <v>18879.989999999998</v>
      </c>
      <c r="Y166" s="187">
        <f t="shared" si="12"/>
        <v>0</v>
      </c>
    </row>
    <row r="167" spans="1:25" s="154" customFormat="1" ht="45" x14ac:dyDescent="0.25">
      <c r="A167" s="44">
        <v>26</v>
      </c>
      <c r="B167" s="94" t="s">
        <v>115</v>
      </c>
      <c r="C167" s="19">
        <v>100</v>
      </c>
      <c r="D167" s="25">
        <v>690.22</v>
      </c>
      <c r="E167" s="14">
        <v>345.11</v>
      </c>
      <c r="F167" s="14"/>
      <c r="G167" s="14">
        <v>1207.885</v>
      </c>
      <c r="H167" s="14">
        <v>862.77500000000009</v>
      </c>
      <c r="I167" s="14"/>
      <c r="J167" s="14">
        <v>2070.66</v>
      </c>
      <c r="K167" s="14">
        <v>172.55500000000001</v>
      </c>
      <c r="L167" s="14"/>
      <c r="M167" s="14"/>
      <c r="N167" s="14">
        <v>172.55500000000001</v>
      </c>
      <c r="O167" s="14"/>
      <c r="P167" s="14">
        <v>862.77500000000009</v>
      </c>
      <c r="Q167" s="14"/>
      <c r="R167" s="14"/>
      <c r="S167" s="14"/>
      <c r="T167" s="14"/>
      <c r="U167" s="13">
        <f t="shared" si="9"/>
        <v>6384.5349999999999</v>
      </c>
      <c r="V167" s="25">
        <v>7379.1</v>
      </c>
      <c r="W167" s="15">
        <f t="shared" si="10"/>
        <v>471121.22218500002</v>
      </c>
      <c r="X167" s="187">
        <f t="shared" si="11"/>
        <v>6384.5349999999999</v>
      </c>
      <c r="Y167" s="187">
        <f t="shared" si="12"/>
        <v>0</v>
      </c>
    </row>
    <row r="168" spans="1:25" s="154" customFormat="1" ht="30" x14ac:dyDescent="0.25">
      <c r="A168" s="44">
        <v>27</v>
      </c>
      <c r="B168" s="94" t="s">
        <v>116</v>
      </c>
      <c r="C168" s="19">
        <v>100</v>
      </c>
      <c r="D168" s="25">
        <v>356</v>
      </c>
      <c r="E168" s="14">
        <v>178</v>
      </c>
      <c r="F168" s="14"/>
      <c r="G168" s="14">
        <v>623</v>
      </c>
      <c r="H168" s="14">
        <v>445</v>
      </c>
      <c r="I168" s="14"/>
      <c r="J168" s="14">
        <v>1068</v>
      </c>
      <c r="K168" s="14">
        <v>89</v>
      </c>
      <c r="L168" s="14"/>
      <c r="M168" s="14"/>
      <c r="N168" s="14">
        <v>89</v>
      </c>
      <c r="O168" s="14"/>
      <c r="P168" s="14">
        <v>445</v>
      </c>
      <c r="Q168" s="14"/>
      <c r="R168" s="14"/>
      <c r="S168" s="14"/>
      <c r="T168" s="14"/>
      <c r="U168" s="13">
        <f t="shared" si="9"/>
        <v>3293</v>
      </c>
      <c r="V168" s="25">
        <v>3052.4</v>
      </c>
      <c r="W168" s="15">
        <f t="shared" si="10"/>
        <v>100515.53200000001</v>
      </c>
      <c r="X168" s="187">
        <f t="shared" si="11"/>
        <v>3293</v>
      </c>
      <c r="Y168" s="187">
        <f t="shared" si="12"/>
        <v>0</v>
      </c>
    </row>
    <row r="169" spans="1:25" s="154" customFormat="1" ht="60" x14ac:dyDescent="0.25">
      <c r="A169" s="44">
        <v>28</v>
      </c>
      <c r="B169" s="92" t="s">
        <v>117</v>
      </c>
      <c r="C169" s="29">
        <v>100</v>
      </c>
      <c r="D169" s="25">
        <v>1339.834890683117</v>
      </c>
      <c r="E169" s="14">
        <v>669.9174453415585</v>
      </c>
      <c r="F169" s="14"/>
      <c r="G169" s="14">
        <v>2344.711058695455</v>
      </c>
      <c r="H169" s="14">
        <v>1674.7936133538963</v>
      </c>
      <c r="I169" s="14"/>
      <c r="J169" s="14">
        <v>4019.504672049351</v>
      </c>
      <c r="K169" s="14">
        <v>334.95872267077925</v>
      </c>
      <c r="L169" s="14"/>
      <c r="M169" s="14"/>
      <c r="N169" s="14">
        <v>334.95872267077925</v>
      </c>
      <c r="O169" s="14"/>
      <c r="P169" s="14">
        <v>1674.7936133538963</v>
      </c>
      <c r="Q169" s="14"/>
      <c r="R169" s="14"/>
      <c r="S169" s="14"/>
      <c r="T169" s="14"/>
      <c r="U169" s="13">
        <f t="shared" si="9"/>
        <v>12393.472738818833</v>
      </c>
      <c r="V169" s="14">
        <v>37098.85</v>
      </c>
      <c r="W169" s="15">
        <f t="shared" si="10"/>
        <v>4597835.8611652907</v>
      </c>
      <c r="X169" s="187">
        <f t="shared" si="11"/>
        <v>12393.472738818833</v>
      </c>
      <c r="Y169" s="187">
        <f t="shared" si="12"/>
        <v>0</v>
      </c>
    </row>
    <row r="170" spans="1:25" s="154" customFormat="1" ht="45" x14ac:dyDescent="0.25">
      <c r="A170" s="44">
        <v>29</v>
      </c>
      <c r="B170" s="94" t="s">
        <v>118</v>
      </c>
      <c r="C170" s="20"/>
      <c r="D170" s="20"/>
      <c r="E170" s="20"/>
      <c r="F170" s="20"/>
      <c r="G170" s="20"/>
      <c r="H170" s="20"/>
      <c r="I170" s="20"/>
      <c r="J170" s="20"/>
      <c r="K170" s="20"/>
      <c r="L170" s="20"/>
      <c r="M170" s="20"/>
      <c r="N170" s="20"/>
      <c r="O170" s="20"/>
      <c r="P170" s="20"/>
      <c r="Q170" s="20"/>
      <c r="R170" s="20"/>
      <c r="S170" s="20"/>
      <c r="T170" s="20"/>
      <c r="U170" s="13">
        <f t="shared" si="9"/>
        <v>0</v>
      </c>
      <c r="V170" s="20"/>
      <c r="W170" s="20"/>
      <c r="X170" s="187">
        <f t="shared" si="11"/>
        <v>0</v>
      </c>
      <c r="Y170" s="187">
        <f t="shared" si="12"/>
        <v>0</v>
      </c>
    </row>
    <row r="171" spans="1:25" s="154" customFormat="1" x14ac:dyDescent="0.25">
      <c r="A171" s="44" t="s">
        <v>42</v>
      </c>
      <c r="B171" s="94" t="s">
        <v>119</v>
      </c>
      <c r="C171" s="36">
        <v>1</v>
      </c>
      <c r="D171" s="25">
        <v>240</v>
      </c>
      <c r="E171" s="14">
        <v>120</v>
      </c>
      <c r="F171" s="25"/>
      <c r="G171" s="14">
        <v>420</v>
      </c>
      <c r="H171" s="14">
        <v>300</v>
      </c>
      <c r="I171" s="25"/>
      <c r="J171" s="14">
        <v>720</v>
      </c>
      <c r="K171" s="14">
        <v>60</v>
      </c>
      <c r="L171" s="25"/>
      <c r="M171" s="25"/>
      <c r="N171" s="14">
        <v>60</v>
      </c>
      <c r="O171" s="25"/>
      <c r="P171" s="14">
        <v>300</v>
      </c>
      <c r="Q171" s="25"/>
      <c r="R171" s="25"/>
      <c r="S171" s="25"/>
      <c r="T171" s="25"/>
      <c r="U171" s="13">
        <f t="shared" si="9"/>
        <v>2220</v>
      </c>
      <c r="V171" s="25">
        <v>112.25</v>
      </c>
      <c r="W171" s="15">
        <f t="shared" si="10"/>
        <v>249195</v>
      </c>
      <c r="X171" s="187">
        <f t="shared" si="11"/>
        <v>2220</v>
      </c>
      <c r="Y171" s="187">
        <f t="shared" si="12"/>
        <v>0</v>
      </c>
    </row>
    <row r="172" spans="1:25" s="154" customFormat="1" x14ac:dyDescent="0.25">
      <c r="A172" s="44" t="s">
        <v>44</v>
      </c>
      <c r="B172" s="94" t="s">
        <v>120</v>
      </c>
      <c r="C172" s="36">
        <v>1</v>
      </c>
      <c r="D172" s="25">
        <v>120</v>
      </c>
      <c r="E172" s="14">
        <v>60</v>
      </c>
      <c r="F172" s="25"/>
      <c r="G172" s="14">
        <v>210</v>
      </c>
      <c r="H172" s="14">
        <v>150</v>
      </c>
      <c r="I172" s="25"/>
      <c r="J172" s="14">
        <v>360</v>
      </c>
      <c r="K172" s="14">
        <v>30</v>
      </c>
      <c r="L172" s="25"/>
      <c r="M172" s="25"/>
      <c r="N172" s="14">
        <v>30</v>
      </c>
      <c r="O172" s="25"/>
      <c r="P172" s="14">
        <v>150</v>
      </c>
      <c r="Q172" s="25"/>
      <c r="R172" s="25"/>
      <c r="S172" s="25"/>
      <c r="T172" s="25"/>
      <c r="U172" s="13">
        <f t="shared" si="9"/>
        <v>1110</v>
      </c>
      <c r="V172" s="25">
        <v>133.6</v>
      </c>
      <c r="W172" s="15">
        <f t="shared" si="10"/>
        <v>148296</v>
      </c>
      <c r="X172" s="187">
        <f t="shared" si="11"/>
        <v>1110</v>
      </c>
      <c r="Y172" s="187">
        <f t="shared" si="12"/>
        <v>0</v>
      </c>
    </row>
    <row r="173" spans="1:25" s="154" customFormat="1" x14ac:dyDescent="0.25">
      <c r="A173" s="44" t="s">
        <v>121</v>
      </c>
      <c r="B173" s="94" t="s">
        <v>122</v>
      </c>
      <c r="C173" s="36">
        <v>1</v>
      </c>
      <c r="D173" s="25">
        <v>60</v>
      </c>
      <c r="E173" s="14">
        <v>30</v>
      </c>
      <c r="F173" s="25"/>
      <c r="G173" s="14">
        <v>105</v>
      </c>
      <c r="H173" s="14">
        <v>75</v>
      </c>
      <c r="I173" s="25"/>
      <c r="J173" s="14">
        <v>180</v>
      </c>
      <c r="K173" s="14">
        <v>15</v>
      </c>
      <c r="L173" s="25"/>
      <c r="M173" s="25"/>
      <c r="N173" s="14">
        <v>15</v>
      </c>
      <c r="O173" s="25"/>
      <c r="P173" s="14">
        <v>75</v>
      </c>
      <c r="Q173" s="25"/>
      <c r="R173" s="25"/>
      <c r="S173" s="25"/>
      <c r="T173" s="25"/>
      <c r="U173" s="13">
        <f t="shared" si="9"/>
        <v>555</v>
      </c>
      <c r="V173" s="25">
        <v>231.55</v>
      </c>
      <c r="W173" s="15">
        <f t="shared" si="10"/>
        <v>128510.25</v>
      </c>
      <c r="X173" s="187">
        <f t="shared" si="11"/>
        <v>555</v>
      </c>
      <c r="Y173" s="187">
        <f t="shared" si="12"/>
        <v>0</v>
      </c>
    </row>
    <row r="174" spans="1:25" s="154" customFormat="1" ht="75" x14ac:dyDescent="0.25">
      <c r="A174" s="44">
        <v>30</v>
      </c>
      <c r="B174" s="94" t="s">
        <v>123</v>
      </c>
      <c r="C174" s="20"/>
      <c r="D174" s="20"/>
      <c r="E174" s="20"/>
      <c r="F174" s="20"/>
      <c r="G174" s="20"/>
      <c r="H174" s="20"/>
      <c r="I174" s="20"/>
      <c r="J174" s="20"/>
      <c r="K174" s="20"/>
      <c r="L174" s="20"/>
      <c r="M174" s="20"/>
      <c r="N174" s="20"/>
      <c r="O174" s="20"/>
      <c r="P174" s="20"/>
      <c r="Q174" s="20"/>
      <c r="R174" s="20"/>
      <c r="S174" s="20"/>
      <c r="T174" s="20"/>
      <c r="U174" s="13">
        <f t="shared" si="9"/>
        <v>0</v>
      </c>
      <c r="V174" s="20"/>
      <c r="W174" s="20"/>
      <c r="X174" s="187">
        <f t="shared" si="11"/>
        <v>0</v>
      </c>
      <c r="Y174" s="187">
        <f t="shared" si="12"/>
        <v>0</v>
      </c>
    </row>
    <row r="175" spans="1:25" s="154" customFormat="1" x14ac:dyDescent="0.25">
      <c r="A175" s="44" t="s">
        <v>42</v>
      </c>
      <c r="B175" s="94" t="s">
        <v>124</v>
      </c>
      <c r="C175" s="36">
        <v>1</v>
      </c>
      <c r="D175" s="25">
        <v>720</v>
      </c>
      <c r="E175" s="14">
        <v>360</v>
      </c>
      <c r="F175" s="25"/>
      <c r="G175" s="14">
        <v>1260</v>
      </c>
      <c r="H175" s="14">
        <v>900</v>
      </c>
      <c r="I175" s="25"/>
      <c r="J175" s="14">
        <v>2160</v>
      </c>
      <c r="K175" s="14">
        <v>180</v>
      </c>
      <c r="L175" s="25"/>
      <c r="M175" s="25"/>
      <c r="N175" s="14">
        <v>180</v>
      </c>
      <c r="O175" s="25"/>
      <c r="P175" s="14">
        <v>900</v>
      </c>
      <c r="Q175" s="25"/>
      <c r="R175" s="25"/>
      <c r="S175" s="25"/>
      <c r="T175" s="25"/>
      <c r="U175" s="13">
        <f t="shared" si="9"/>
        <v>6660</v>
      </c>
      <c r="V175" s="25">
        <v>35.700000000000003</v>
      </c>
      <c r="W175" s="15">
        <f t="shared" si="10"/>
        <v>237762.00000000003</v>
      </c>
      <c r="X175" s="187">
        <f t="shared" si="11"/>
        <v>6660</v>
      </c>
      <c r="Y175" s="187">
        <f t="shared" si="12"/>
        <v>0</v>
      </c>
    </row>
    <row r="176" spans="1:25" s="154" customFormat="1" x14ac:dyDescent="0.25">
      <c r="A176" s="44" t="s">
        <v>44</v>
      </c>
      <c r="B176" s="94" t="s">
        <v>125</v>
      </c>
      <c r="C176" s="36">
        <v>1</v>
      </c>
      <c r="D176" s="25">
        <v>240</v>
      </c>
      <c r="E176" s="14">
        <v>120</v>
      </c>
      <c r="F176" s="25"/>
      <c r="G176" s="14">
        <v>420</v>
      </c>
      <c r="H176" s="14">
        <v>300</v>
      </c>
      <c r="I176" s="25"/>
      <c r="J176" s="14">
        <v>720</v>
      </c>
      <c r="K176" s="14">
        <v>60</v>
      </c>
      <c r="L176" s="25"/>
      <c r="M176" s="25"/>
      <c r="N176" s="14">
        <v>60</v>
      </c>
      <c r="O176" s="25"/>
      <c r="P176" s="14">
        <v>300</v>
      </c>
      <c r="Q176" s="25"/>
      <c r="R176" s="25"/>
      <c r="S176" s="25"/>
      <c r="T176" s="25"/>
      <c r="U176" s="13">
        <f t="shared" si="9"/>
        <v>2220</v>
      </c>
      <c r="V176" s="25">
        <v>56.3</v>
      </c>
      <c r="W176" s="15">
        <f t="shared" si="10"/>
        <v>124986</v>
      </c>
      <c r="X176" s="187">
        <f t="shared" si="11"/>
        <v>2220</v>
      </c>
      <c r="Y176" s="187">
        <f t="shared" si="12"/>
        <v>0</v>
      </c>
    </row>
    <row r="177" spans="1:25" s="154" customFormat="1" ht="75" x14ac:dyDescent="0.25">
      <c r="A177" s="44">
        <v>31</v>
      </c>
      <c r="B177" s="94" t="s">
        <v>126</v>
      </c>
      <c r="C177" s="36">
        <v>1</v>
      </c>
      <c r="D177" s="25">
        <v>160</v>
      </c>
      <c r="E177" s="14">
        <v>80</v>
      </c>
      <c r="F177" s="25"/>
      <c r="G177" s="14">
        <v>280</v>
      </c>
      <c r="H177" s="14">
        <v>200</v>
      </c>
      <c r="I177" s="25"/>
      <c r="J177" s="14">
        <v>480</v>
      </c>
      <c r="K177" s="14">
        <v>40</v>
      </c>
      <c r="L177" s="25"/>
      <c r="M177" s="25"/>
      <c r="N177" s="14">
        <v>40</v>
      </c>
      <c r="O177" s="25"/>
      <c r="P177" s="14">
        <v>200</v>
      </c>
      <c r="Q177" s="25"/>
      <c r="R177" s="25"/>
      <c r="S177" s="25"/>
      <c r="T177" s="25"/>
      <c r="U177" s="13">
        <f t="shared" si="9"/>
        <v>1480</v>
      </c>
      <c r="V177" s="25">
        <v>237.65</v>
      </c>
      <c r="W177" s="15">
        <f t="shared" si="10"/>
        <v>351722</v>
      </c>
      <c r="X177" s="187">
        <f t="shared" si="11"/>
        <v>1480</v>
      </c>
      <c r="Y177" s="187">
        <f t="shared" si="12"/>
        <v>0</v>
      </c>
    </row>
    <row r="178" spans="1:25" s="154" customFormat="1" ht="60" x14ac:dyDescent="0.25">
      <c r="A178" s="44">
        <v>32</v>
      </c>
      <c r="B178" s="94" t="s">
        <v>127</v>
      </c>
      <c r="C178" s="20"/>
      <c r="D178" s="20"/>
      <c r="E178" s="20"/>
      <c r="F178" s="20"/>
      <c r="G178" s="20"/>
      <c r="H178" s="20"/>
      <c r="I178" s="20"/>
      <c r="J178" s="20"/>
      <c r="K178" s="20"/>
      <c r="L178" s="20"/>
      <c r="M178" s="20"/>
      <c r="N178" s="20"/>
      <c r="O178" s="20"/>
      <c r="P178" s="20"/>
      <c r="Q178" s="20"/>
      <c r="R178" s="20"/>
      <c r="S178" s="20"/>
      <c r="T178" s="20"/>
      <c r="U178" s="13">
        <f t="shared" si="9"/>
        <v>0</v>
      </c>
      <c r="V178" s="20"/>
      <c r="W178" s="20"/>
      <c r="X178" s="187">
        <f t="shared" si="11"/>
        <v>0</v>
      </c>
      <c r="Y178" s="187">
        <f t="shared" si="12"/>
        <v>0</v>
      </c>
    </row>
    <row r="179" spans="1:25" s="154" customFormat="1" x14ac:dyDescent="0.25">
      <c r="A179" s="44" t="s">
        <v>42</v>
      </c>
      <c r="B179" s="94" t="s">
        <v>128</v>
      </c>
      <c r="C179" s="38">
        <v>1</v>
      </c>
      <c r="D179" s="25">
        <v>4</v>
      </c>
      <c r="E179" s="14">
        <v>2</v>
      </c>
      <c r="F179" s="25"/>
      <c r="G179" s="14">
        <v>7</v>
      </c>
      <c r="H179" s="14">
        <v>5</v>
      </c>
      <c r="I179" s="25"/>
      <c r="J179" s="14">
        <v>12</v>
      </c>
      <c r="K179" s="14">
        <v>1</v>
      </c>
      <c r="L179" s="25"/>
      <c r="M179" s="25"/>
      <c r="N179" s="14">
        <v>1</v>
      </c>
      <c r="O179" s="25"/>
      <c r="P179" s="14">
        <v>5</v>
      </c>
      <c r="Q179" s="25"/>
      <c r="R179" s="25"/>
      <c r="S179" s="25"/>
      <c r="T179" s="25"/>
      <c r="U179" s="13">
        <f t="shared" si="9"/>
        <v>37</v>
      </c>
      <c r="V179" s="25">
        <v>382.3</v>
      </c>
      <c r="W179" s="15">
        <f t="shared" si="10"/>
        <v>14145.1</v>
      </c>
      <c r="X179" s="187">
        <f t="shared" si="11"/>
        <v>37</v>
      </c>
      <c r="Y179" s="187">
        <f t="shared" si="12"/>
        <v>0</v>
      </c>
    </row>
    <row r="180" spans="1:25" s="154" customFormat="1" x14ac:dyDescent="0.25">
      <c r="A180" s="44" t="s">
        <v>44</v>
      </c>
      <c r="B180" s="94" t="s">
        <v>129</v>
      </c>
      <c r="C180" s="38">
        <v>1</v>
      </c>
      <c r="D180" s="25">
        <v>4</v>
      </c>
      <c r="E180" s="14">
        <v>2</v>
      </c>
      <c r="F180" s="25"/>
      <c r="G180" s="14">
        <v>7</v>
      </c>
      <c r="H180" s="14">
        <v>5</v>
      </c>
      <c r="I180" s="25"/>
      <c r="J180" s="14">
        <v>12</v>
      </c>
      <c r="K180" s="14">
        <v>1</v>
      </c>
      <c r="L180" s="25"/>
      <c r="M180" s="25"/>
      <c r="N180" s="14">
        <v>1</v>
      </c>
      <c r="O180" s="25"/>
      <c r="P180" s="14">
        <v>5</v>
      </c>
      <c r="Q180" s="25"/>
      <c r="R180" s="25"/>
      <c r="S180" s="25"/>
      <c r="T180" s="25"/>
      <c r="U180" s="13">
        <f t="shared" si="9"/>
        <v>37</v>
      </c>
      <c r="V180" s="25">
        <v>522.75</v>
      </c>
      <c r="W180" s="15">
        <f t="shared" si="10"/>
        <v>19341.75</v>
      </c>
      <c r="X180" s="187">
        <f t="shared" si="11"/>
        <v>37</v>
      </c>
      <c r="Y180" s="187">
        <f t="shared" si="12"/>
        <v>0</v>
      </c>
    </row>
    <row r="181" spans="1:25" s="154" customFormat="1" x14ac:dyDescent="0.25">
      <c r="A181" s="44" t="s">
        <v>121</v>
      </c>
      <c r="B181" s="94" t="s">
        <v>130</v>
      </c>
      <c r="C181" s="38">
        <v>1</v>
      </c>
      <c r="D181" s="25">
        <v>4</v>
      </c>
      <c r="E181" s="14">
        <v>2</v>
      </c>
      <c r="F181" s="25"/>
      <c r="G181" s="14">
        <v>7</v>
      </c>
      <c r="H181" s="14">
        <v>5</v>
      </c>
      <c r="I181" s="25"/>
      <c r="J181" s="14">
        <v>12</v>
      </c>
      <c r="K181" s="14">
        <v>1</v>
      </c>
      <c r="L181" s="25"/>
      <c r="M181" s="25"/>
      <c r="N181" s="14">
        <v>1</v>
      </c>
      <c r="O181" s="25"/>
      <c r="P181" s="14">
        <v>5</v>
      </c>
      <c r="Q181" s="25"/>
      <c r="R181" s="25"/>
      <c r="S181" s="25"/>
      <c r="T181" s="25"/>
      <c r="U181" s="13">
        <f t="shared" si="9"/>
        <v>37</v>
      </c>
      <c r="V181" s="25">
        <v>668.8</v>
      </c>
      <c r="W181" s="15">
        <f t="shared" si="10"/>
        <v>24745.599999999999</v>
      </c>
      <c r="X181" s="187">
        <f t="shared" si="11"/>
        <v>37</v>
      </c>
      <c r="Y181" s="187">
        <f t="shared" si="12"/>
        <v>0</v>
      </c>
    </row>
    <row r="182" spans="1:25" s="154" customFormat="1" ht="30" x14ac:dyDescent="0.25">
      <c r="A182" s="44">
        <v>33</v>
      </c>
      <c r="B182" s="94" t="s">
        <v>131</v>
      </c>
      <c r="C182" s="38">
        <v>1</v>
      </c>
      <c r="D182" s="25">
        <v>80</v>
      </c>
      <c r="E182" s="14">
        <v>40</v>
      </c>
      <c r="F182" s="25"/>
      <c r="G182" s="14">
        <v>140</v>
      </c>
      <c r="H182" s="14">
        <v>100</v>
      </c>
      <c r="I182" s="25"/>
      <c r="J182" s="14">
        <v>240</v>
      </c>
      <c r="K182" s="14">
        <v>20</v>
      </c>
      <c r="L182" s="25"/>
      <c r="M182" s="25"/>
      <c r="N182" s="14">
        <v>20</v>
      </c>
      <c r="O182" s="25"/>
      <c r="P182" s="14">
        <v>100</v>
      </c>
      <c r="Q182" s="25"/>
      <c r="R182" s="25"/>
      <c r="S182" s="25"/>
      <c r="T182" s="25"/>
      <c r="U182" s="13">
        <f t="shared" si="9"/>
        <v>740</v>
      </c>
      <c r="V182" s="25">
        <v>102.7</v>
      </c>
      <c r="W182" s="15">
        <f t="shared" si="10"/>
        <v>75998</v>
      </c>
      <c r="X182" s="187">
        <f t="shared" si="11"/>
        <v>740</v>
      </c>
      <c r="Y182" s="187">
        <f t="shared" si="12"/>
        <v>0</v>
      </c>
    </row>
    <row r="183" spans="1:25" s="154" customFormat="1" x14ac:dyDescent="0.25">
      <c r="A183" s="44">
        <v>34</v>
      </c>
      <c r="B183" s="94" t="s">
        <v>132</v>
      </c>
      <c r="C183" s="38">
        <v>1</v>
      </c>
      <c r="D183" s="25">
        <v>16</v>
      </c>
      <c r="E183" s="14">
        <v>8</v>
      </c>
      <c r="F183" s="25"/>
      <c r="G183" s="14">
        <v>28</v>
      </c>
      <c r="H183" s="14">
        <v>20</v>
      </c>
      <c r="I183" s="25"/>
      <c r="J183" s="14">
        <v>48</v>
      </c>
      <c r="K183" s="14">
        <v>4</v>
      </c>
      <c r="L183" s="25"/>
      <c r="M183" s="25"/>
      <c r="N183" s="14">
        <v>4</v>
      </c>
      <c r="O183" s="25"/>
      <c r="P183" s="14">
        <v>20</v>
      </c>
      <c r="Q183" s="25"/>
      <c r="R183" s="25"/>
      <c r="S183" s="25"/>
      <c r="T183" s="25"/>
      <c r="U183" s="13">
        <f t="shared" si="9"/>
        <v>148</v>
      </c>
      <c r="V183" s="25">
        <v>96.3</v>
      </c>
      <c r="W183" s="15">
        <f t="shared" si="10"/>
        <v>14252.4</v>
      </c>
      <c r="X183" s="187">
        <f t="shared" si="11"/>
        <v>148</v>
      </c>
      <c r="Y183" s="187">
        <f t="shared" si="12"/>
        <v>0</v>
      </c>
    </row>
    <row r="184" spans="1:25" s="154" customFormat="1" x14ac:dyDescent="0.25">
      <c r="A184" s="44">
        <v>35</v>
      </c>
      <c r="B184" s="94" t="s">
        <v>133</v>
      </c>
      <c r="C184" s="38">
        <v>1</v>
      </c>
      <c r="D184" s="25">
        <v>8</v>
      </c>
      <c r="E184" s="14">
        <v>4</v>
      </c>
      <c r="F184" s="25"/>
      <c r="G184" s="14">
        <v>14</v>
      </c>
      <c r="H184" s="14">
        <v>10</v>
      </c>
      <c r="I184" s="25"/>
      <c r="J184" s="14">
        <v>24</v>
      </c>
      <c r="K184" s="14">
        <v>2</v>
      </c>
      <c r="L184" s="25"/>
      <c r="M184" s="25"/>
      <c r="N184" s="14">
        <v>2</v>
      </c>
      <c r="O184" s="25"/>
      <c r="P184" s="14">
        <v>10</v>
      </c>
      <c r="Q184" s="25"/>
      <c r="R184" s="25"/>
      <c r="S184" s="25"/>
      <c r="T184" s="25"/>
      <c r="U184" s="13">
        <f t="shared" si="9"/>
        <v>74</v>
      </c>
      <c r="V184" s="25">
        <v>204.7</v>
      </c>
      <c r="W184" s="15">
        <f t="shared" si="10"/>
        <v>15147.8</v>
      </c>
      <c r="X184" s="187">
        <f t="shared" si="11"/>
        <v>74</v>
      </c>
      <c r="Y184" s="187">
        <f t="shared" si="12"/>
        <v>0</v>
      </c>
    </row>
    <row r="185" spans="1:25" s="154" customFormat="1" ht="45" x14ac:dyDescent="0.25">
      <c r="A185" s="44">
        <v>36</v>
      </c>
      <c r="B185" s="94" t="s">
        <v>134</v>
      </c>
      <c r="C185" s="38">
        <v>1</v>
      </c>
      <c r="D185" s="25">
        <v>4</v>
      </c>
      <c r="E185" s="14">
        <v>2</v>
      </c>
      <c r="F185" s="25"/>
      <c r="G185" s="14">
        <v>7</v>
      </c>
      <c r="H185" s="14">
        <v>5</v>
      </c>
      <c r="I185" s="25"/>
      <c r="J185" s="14">
        <v>12</v>
      </c>
      <c r="K185" s="14">
        <v>1</v>
      </c>
      <c r="L185" s="25"/>
      <c r="M185" s="25"/>
      <c r="N185" s="14">
        <v>1</v>
      </c>
      <c r="O185" s="25"/>
      <c r="P185" s="14">
        <v>5</v>
      </c>
      <c r="Q185" s="25"/>
      <c r="R185" s="25"/>
      <c r="S185" s="25"/>
      <c r="T185" s="25"/>
      <c r="U185" s="13">
        <f t="shared" si="9"/>
        <v>37</v>
      </c>
      <c r="V185" s="25">
        <v>213.1</v>
      </c>
      <c r="W185" s="15">
        <f t="shared" si="10"/>
        <v>7884.7</v>
      </c>
      <c r="X185" s="187">
        <f t="shared" si="11"/>
        <v>37</v>
      </c>
      <c r="Y185" s="187">
        <f t="shared" si="12"/>
        <v>0</v>
      </c>
    </row>
    <row r="186" spans="1:25" s="154" customFormat="1" ht="150" x14ac:dyDescent="0.25">
      <c r="A186" s="44">
        <v>37</v>
      </c>
      <c r="B186" s="94" t="s">
        <v>135</v>
      </c>
      <c r="C186" s="37">
        <v>1</v>
      </c>
      <c r="D186" s="25">
        <v>4</v>
      </c>
      <c r="E186" s="14">
        <v>2</v>
      </c>
      <c r="F186" s="25"/>
      <c r="G186" s="14">
        <v>7</v>
      </c>
      <c r="H186" s="14">
        <v>5</v>
      </c>
      <c r="I186" s="25"/>
      <c r="J186" s="14">
        <v>12</v>
      </c>
      <c r="K186" s="14">
        <v>1</v>
      </c>
      <c r="L186" s="25"/>
      <c r="M186" s="25"/>
      <c r="N186" s="14">
        <v>1</v>
      </c>
      <c r="O186" s="25"/>
      <c r="P186" s="14">
        <v>5</v>
      </c>
      <c r="Q186" s="25"/>
      <c r="R186" s="25"/>
      <c r="S186" s="25"/>
      <c r="T186" s="25"/>
      <c r="U186" s="13">
        <f t="shared" si="9"/>
        <v>37</v>
      </c>
      <c r="V186" s="25">
        <v>24422.65</v>
      </c>
      <c r="W186" s="15">
        <f t="shared" si="10"/>
        <v>903638.05</v>
      </c>
      <c r="X186" s="187">
        <f t="shared" si="11"/>
        <v>37</v>
      </c>
      <c r="Y186" s="187">
        <f t="shared" si="12"/>
        <v>0</v>
      </c>
    </row>
    <row r="187" spans="1:25" s="154" customFormat="1" ht="90" x14ac:dyDescent="0.25">
      <c r="A187" s="44">
        <v>38</v>
      </c>
      <c r="B187" s="94" t="s">
        <v>136</v>
      </c>
      <c r="C187" s="37">
        <v>1</v>
      </c>
      <c r="D187" s="25">
        <v>24</v>
      </c>
      <c r="E187" s="14">
        <v>12</v>
      </c>
      <c r="F187" s="25"/>
      <c r="G187" s="14">
        <v>42</v>
      </c>
      <c r="H187" s="14">
        <v>30</v>
      </c>
      <c r="I187" s="25"/>
      <c r="J187" s="14">
        <v>72</v>
      </c>
      <c r="K187" s="14">
        <v>6</v>
      </c>
      <c r="L187" s="25"/>
      <c r="M187" s="25"/>
      <c r="N187" s="14">
        <v>6</v>
      </c>
      <c r="O187" s="25"/>
      <c r="P187" s="14">
        <v>30</v>
      </c>
      <c r="Q187" s="25"/>
      <c r="R187" s="25"/>
      <c r="S187" s="25"/>
      <c r="T187" s="25"/>
      <c r="U187" s="13">
        <f t="shared" si="9"/>
        <v>222</v>
      </c>
      <c r="V187" s="25">
        <v>1453.75</v>
      </c>
      <c r="W187" s="15">
        <f t="shared" si="10"/>
        <v>322732.5</v>
      </c>
      <c r="X187" s="187">
        <f t="shared" si="11"/>
        <v>222</v>
      </c>
      <c r="Y187" s="187">
        <f t="shared" si="12"/>
        <v>0</v>
      </c>
    </row>
    <row r="188" spans="1:25" ht="135" x14ac:dyDescent="0.25">
      <c r="A188" s="44">
        <v>39</v>
      </c>
      <c r="B188" s="94" t="s">
        <v>137</v>
      </c>
      <c r="C188" s="37">
        <v>1</v>
      </c>
      <c r="D188" s="25">
        <v>8</v>
      </c>
      <c r="E188" s="14">
        <v>4</v>
      </c>
      <c r="F188" s="25"/>
      <c r="G188" s="14">
        <v>14</v>
      </c>
      <c r="H188" s="14">
        <v>10</v>
      </c>
      <c r="I188" s="25"/>
      <c r="J188" s="14">
        <v>24</v>
      </c>
      <c r="K188" s="14">
        <v>2</v>
      </c>
      <c r="L188" s="25"/>
      <c r="M188" s="25"/>
      <c r="N188" s="14">
        <v>2</v>
      </c>
      <c r="O188" s="25"/>
      <c r="P188" s="14">
        <v>10</v>
      </c>
      <c r="Q188" s="25"/>
      <c r="R188" s="25"/>
      <c r="S188" s="25"/>
      <c r="T188" s="25"/>
      <c r="U188" s="13">
        <f t="shared" si="9"/>
        <v>74</v>
      </c>
      <c r="V188" s="25">
        <v>13796.3</v>
      </c>
      <c r="W188" s="15">
        <f t="shared" si="10"/>
        <v>1020926.2</v>
      </c>
      <c r="X188" s="187">
        <f t="shared" si="11"/>
        <v>74</v>
      </c>
      <c r="Y188" s="187">
        <f t="shared" si="12"/>
        <v>0</v>
      </c>
    </row>
    <row r="189" spans="1:25" ht="150" x14ac:dyDescent="0.25">
      <c r="A189" s="44">
        <v>40</v>
      </c>
      <c r="B189" s="94" t="s">
        <v>138</v>
      </c>
      <c r="C189" s="37">
        <v>1</v>
      </c>
      <c r="D189" s="25">
        <v>4</v>
      </c>
      <c r="E189" s="14">
        <v>2</v>
      </c>
      <c r="F189" s="25"/>
      <c r="G189" s="14">
        <v>7</v>
      </c>
      <c r="H189" s="14">
        <v>5</v>
      </c>
      <c r="I189" s="25"/>
      <c r="J189" s="14">
        <v>12</v>
      </c>
      <c r="K189" s="14">
        <v>1</v>
      </c>
      <c r="L189" s="25"/>
      <c r="M189" s="25"/>
      <c r="N189" s="14">
        <v>1</v>
      </c>
      <c r="O189" s="25"/>
      <c r="P189" s="14">
        <v>5</v>
      </c>
      <c r="Q189" s="25"/>
      <c r="R189" s="25"/>
      <c r="S189" s="25"/>
      <c r="T189" s="25"/>
      <c r="U189" s="13">
        <f t="shared" si="9"/>
        <v>37</v>
      </c>
      <c r="V189" s="25">
        <v>19859.400000000001</v>
      </c>
      <c r="W189" s="15">
        <f t="shared" si="10"/>
        <v>734797.8</v>
      </c>
      <c r="X189" s="187">
        <f t="shared" si="11"/>
        <v>37</v>
      </c>
      <c r="Y189" s="187">
        <f t="shared" si="12"/>
        <v>0</v>
      </c>
    </row>
    <row r="190" spans="1:25" ht="60" x14ac:dyDescent="0.25">
      <c r="A190" s="44">
        <v>41</v>
      </c>
      <c r="B190" s="94" t="s">
        <v>139</v>
      </c>
      <c r="C190" s="37">
        <v>1</v>
      </c>
      <c r="D190" s="25">
        <v>12</v>
      </c>
      <c r="E190" s="14">
        <v>6</v>
      </c>
      <c r="F190" s="25"/>
      <c r="G190" s="14">
        <v>21</v>
      </c>
      <c r="H190" s="14">
        <v>15</v>
      </c>
      <c r="I190" s="25"/>
      <c r="J190" s="14">
        <v>36</v>
      </c>
      <c r="K190" s="14">
        <v>3</v>
      </c>
      <c r="L190" s="25"/>
      <c r="M190" s="25"/>
      <c r="N190" s="14">
        <v>3</v>
      </c>
      <c r="O190" s="25"/>
      <c r="P190" s="14">
        <v>15</v>
      </c>
      <c r="Q190" s="25"/>
      <c r="R190" s="25"/>
      <c r="S190" s="25"/>
      <c r="T190" s="25"/>
      <c r="U190" s="13">
        <f t="shared" si="9"/>
        <v>111</v>
      </c>
      <c r="V190" s="25">
        <v>1995.3</v>
      </c>
      <c r="W190" s="15">
        <f t="shared" si="10"/>
        <v>221478.3</v>
      </c>
      <c r="X190" s="187">
        <f t="shared" si="11"/>
        <v>111</v>
      </c>
      <c r="Y190" s="187">
        <f t="shared" si="12"/>
        <v>0</v>
      </c>
    </row>
    <row r="191" spans="1:25" ht="30" x14ac:dyDescent="0.25">
      <c r="A191" s="44">
        <v>42</v>
      </c>
      <c r="B191" s="94" t="s">
        <v>140</v>
      </c>
      <c r="C191" s="37">
        <v>1</v>
      </c>
      <c r="D191" s="25">
        <v>12</v>
      </c>
      <c r="E191" s="14">
        <v>6</v>
      </c>
      <c r="F191" s="25"/>
      <c r="G191" s="14">
        <v>21</v>
      </c>
      <c r="H191" s="14">
        <v>15</v>
      </c>
      <c r="I191" s="25"/>
      <c r="J191" s="14">
        <v>36</v>
      </c>
      <c r="K191" s="14">
        <v>3</v>
      </c>
      <c r="L191" s="25"/>
      <c r="M191" s="25"/>
      <c r="N191" s="14">
        <v>3</v>
      </c>
      <c r="O191" s="25"/>
      <c r="P191" s="14">
        <v>15</v>
      </c>
      <c r="Q191" s="25"/>
      <c r="R191" s="25"/>
      <c r="S191" s="25"/>
      <c r="T191" s="25"/>
      <c r="U191" s="13">
        <f t="shared" si="9"/>
        <v>111</v>
      </c>
      <c r="V191" s="25">
        <v>178.75</v>
      </c>
      <c r="W191" s="15">
        <f t="shared" si="10"/>
        <v>19841.25</v>
      </c>
      <c r="X191" s="187">
        <f t="shared" si="11"/>
        <v>111</v>
      </c>
      <c r="Y191" s="187">
        <f t="shared" si="12"/>
        <v>0</v>
      </c>
    </row>
    <row r="192" spans="1:25" ht="75.75" x14ac:dyDescent="0.25">
      <c r="A192" s="44">
        <v>43</v>
      </c>
      <c r="B192" s="94" t="s">
        <v>36</v>
      </c>
      <c r="C192" s="22"/>
      <c r="D192" s="22"/>
      <c r="E192" s="22"/>
      <c r="F192" s="22"/>
      <c r="G192" s="22"/>
      <c r="H192" s="22"/>
      <c r="I192" s="22"/>
      <c r="J192" s="22"/>
      <c r="K192" s="22"/>
      <c r="L192" s="22"/>
      <c r="M192" s="22"/>
      <c r="N192" s="22"/>
      <c r="O192" s="22"/>
      <c r="P192" s="22"/>
      <c r="Q192" s="22"/>
      <c r="R192" s="22"/>
      <c r="S192" s="22"/>
      <c r="T192" s="22"/>
      <c r="U192" s="13">
        <f t="shared" si="9"/>
        <v>0</v>
      </c>
      <c r="V192" s="22"/>
      <c r="W192" s="22"/>
      <c r="X192" s="187">
        <f t="shared" si="11"/>
        <v>0</v>
      </c>
      <c r="Y192" s="187">
        <f t="shared" si="12"/>
        <v>0</v>
      </c>
    </row>
    <row r="193" spans="1:26" x14ac:dyDescent="0.25">
      <c r="A193" s="44" t="s">
        <v>60</v>
      </c>
      <c r="B193" s="94" t="s">
        <v>61</v>
      </c>
      <c r="C193" s="12">
        <v>100</v>
      </c>
      <c r="D193" s="25">
        <v>405.551786207232</v>
      </c>
      <c r="E193" s="14">
        <v>202.775893103616</v>
      </c>
      <c r="F193" s="14"/>
      <c r="G193" s="14">
        <v>709.715625862656</v>
      </c>
      <c r="H193" s="14">
        <v>506.93973275904</v>
      </c>
      <c r="I193" s="14"/>
      <c r="J193" s="14">
        <v>1216.655358621696</v>
      </c>
      <c r="K193" s="14">
        <v>101.387946551808</v>
      </c>
      <c r="L193" s="14"/>
      <c r="M193" s="14"/>
      <c r="N193" s="14">
        <v>101.387946551808</v>
      </c>
      <c r="O193" s="14"/>
      <c r="P193" s="14">
        <v>506.93973275904</v>
      </c>
      <c r="Q193" s="14"/>
      <c r="R193" s="14"/>
      <c r="S193" s="14"/>
      <c r="T193" s="14"/>
      <c r="U193" s="13">
        <f t="shared" si="9"/>
        <v>3751.354022416896</v>
      </c>
      <c r="V193" s="13">
        <v>14042.6</v>
      </c>
      <c r="W193" s="15">
        <f t="shared" si="10"/>
        <v>526787.63995191501</v>
      </c>
      <c r="X193" s="187">
        <f t="shared" si="11"/>
        <v>3751.354022416896</v>
      </c>
      <c r="Y193" s="187">
        <f t="shared" si="12"/>
        <v>0</v>
      </c>
    </row>
    <row r="194" spans="1:26" x14ac:dyDescent="0.25">
      <c r="A194" s="44" t="s">
        <v>37</v>
      </c>
      <c r="B194" s="94" t="s">
        <v>38</v>
      </c>
      <c r="C194" s="12">
        <v>100</v>
      </c>
      <c r="D194" s="25">
        <v>161.4272</v>
      </c>
      <c r="E194" s="14">
        <v>80.7136</v>
      </c>
      <c r="F194" s="14"/>
      <c r="G194" s="14">
        <v>282.49759999999998</v>
      </c>
      <c r="H194" s="14">
        <v>201.78399999999999</v>
      </c>
      <c r="I194" s="14"/>
      <c r="J194" s="14">
        <v>484.28160000000003</v>
      </c>
      <c r="K194" s="14">
        <v>40.3568</v>
      </c>
      <c r="L194" s="14"/>
      <c r="M194" s="14"/>
      <c r="N194" s="14">
        <v>40.3568</v>
      </c>
      <c r="O194" s="14"/>
      <c r="P194" s="14">
        <v>201.78399999999999</v>
      </c>
      <c r="Q194" s="14"/>
      <c r="R194" s="14"/>
      <c r="S194" s="14"/>
      <c r="T194" s="14"/>
      <c r="U194" s="13">
        <f t="shared" si="9"/>
        <v>1493.2016000000003</v>
      </c>
      <c r="V194" s="13">
        <v>14042.6</v>
      </c>
      <c r="W194" s="15">
        <f t="shared" si="10"/>
        <v>209684.32788160004</v>
      </c>
      <c r="X194" s="187">
        <f t="shared" si="11"/>
        <v>1493.2016000000001</v>
      </c>
      <c r="Y194" s="187">
        <f t="shared" si="12"/>
        <v>0</v>
      </c>
    </row>
    <row r="195" spans="1:26" x14ac:dyDescent="0.25">
      <c r="A195" s="44" t="s">
        <v>63</v>
      </c>
      <c r="B195" s="94" t="s">
        <v>141</v>
      </c>
      <c r="C195" s="12">
        <v>100</v>
      </c>
      <c r="D195" s="25">
        <v>607.45911599999999</v>
      </c>
      <c r="E195" s="14">
        <v>303.729558</v>
      </c>
      <c r="F195" s="14"/>
      <c r="G195" s="14">
        <v>1063.053453</v>
      </c>
      <c r="H195" s="14">
        <v>759.32389499999999</v>
      </c>
      <c r="I195" s="14"/>
      <c r="J195" s="14">
        <v>1822.377348</v>
      </c>
      <c r="K195" s="14">
        <v>151.864779</v>
      </c>
      <c r="L195" s="14"/>
      <c r="M195" s="14"/>
      <c r="N195" s="14">
        <v>151.864779</v>
      </c>
      <c r="O195" s="14"/>
      <c r="P195" s="14">
        <v>759.32389499999999</v>
      </c>
      <c r="Q195" s="14"/>
      <c r="R195" s="14"/>
      <c r="S195" s="14"/>
      <c r="T195" s="14"/>
      <c r="U195" s="13">
        <f t="shared" si="9"/>
        <v>5618.9968229999995</v>
      </c>
      <c r="V195" s="13">
        <v>14042.6</v>
      </c>
      <c r="W195" s="15">
        <f t="shared" si="10"/>
        <v>789053.24786659796</v>
      </c>
      <c r="X195" s="187">
        <f t="shared" si="11"/>
        <v>5618.9968229999995</v>
      </c>
      <c r="Y195" s="187">
        <f t="shared" si="12"/>
        <v>0</v>
      </c>
    </row>
    <row r="196" spans="1:26" x14ac:dyDescent="0.25">
      <c r="A196" s="44" t="s">
        <v>142</v>
      </c>
      <c r="B196" s="94" t="s">
        <v>143</v>
      </c>
      <c r="C196" s="12">
        <v>100</v>
      </c>
      <c r="D196" s="25">
        <v>28.38</v>
      </c>
      <c r="E196" s="14">
        <v>14.19</v>
      </c>
      <c r="F196" s="14"/>
      <c r="G196" s="14">
        <v>49.664999999999999</v>
      </c>
      <c r="H196" s="14">
        <v>35.475000000000001</v>
      </c>
      <c r="I196" s="14"/>
      <c r="J196" s="14">
        <v>85.14</v>
      </c>
      <c r="K196" s="14">
        <v>7.0949999999999998</v>
      </c>
      <c r="L196" s="14"/>
      <c r="M196" s="14"/>
      <c r="N196" s="14">
        <v>7.0949999999999998</v>
      </c>
      <c r="O196" s="14"/>
      <c r="P196" s="14">
        <v>35.475000000000001</v>
      </c>
      <c r="Q196" s="14"/>
      <c r="R196" s="14"/>
      <c r="S196" s="14"/>
      <c r="T196" s="14"/>
      <c r="U196" s="13">
        <f t="shared" si="9"/>
        <v>262.51500000000004</v>
      </c>
      <c r="V196" s="13">
        <v>14042.6</v>
      </c>
      <c r="W196" s="15">
        <f t="shared" si="10"/>
        <v>36863.931390000012</v>
      </c>
      <c r="X196" s="187">
        <f t="shared" si="11"/>
        <v>262.51499999999999</v>
      </c>
      <c r="Y196" s="187">
        <f t="shared" si="12"/>
        <v>0</v>
      </c>
    </row>
    <row r="197" spans="1:26" s="154" customFormat="1" ht="22.5" x14ac:dyDescent="0.25">
      <c r="A197" s="198">
        <v>9</v>
      </c>
      <c r="B197" s="198" t="s">
        <v>401</v>
      </c>
      <c r="C197" s="101"/>
      <c r="D197" s="101"/>
      <c r="E197" s="101"/>
      <c r="F197" s="101"/>
      <c r="G197" s="101"/>
      <c r="H197" s="101"/>
      <c r="I197" s="101"/>
      <c r="J197" s="101"/>
      <c r="K197" s="101"/>
      <c r="L197" s="101"/>
      <c r="M197" s="101"/>
      <c r="N197" s="101"/>
      <c r="O197" s="101"/>
      <c r="P197" s="101"/>
      <c r="Q197" s="101"/>
      <c r="R197" s="101"/>
      <c r="S197" s="101"/>
      <c r="T197" s="101"/>
      <c r="U197" s="101"/>
      <c r="V197" s="101"/>
      <c r="W197" s="101"/>
    </row>
    <row r="198" spans="1:26" s="154" customFormat="1" ht="75" x14ac:dyDescent="0.25">
      <c r="A198" s="118">
        <v>1</v>
      </c>
      <c r="B198" s="94" t="s">
        <v>39</v>
      </c>
      <c r="C198" s="12">
        <v>1000</v>
      </c>
      <c r="D198" s="25"/>
      <c r="E198" s="14"/>
      <c r="F198" s="14"/>
      <c r="G198" s="14"/>
      <c r="H198" s="14">
        <v>60639.351906000011</v>
      </c>
      <c r="I198" s="14"/>
      <c r="J198" s="14">
        <v>44596.765778000001</v>
      </c>
      <c r="K198" s="14"/>
      <c r="L198" s="14">
        <v>25000.750577999999</v>
      </c>
      <c r="M198" s="14">
        <v>21403.790700999998</v>
      </c>
      <c r="N198" s="14"/>
      <c r="O198" s="14"/>
      <c r="P198" s="14">
        <v>125135.84964100001</v>
      </c>
      <c r="Q198" s="14"/>
      <c r="R198" s="14"/>
      <c r="S198" s="14"/>
      <c r="T198" s="14"/>
      <c r="U198" s="13">
        <f t="shared" ref="U198:U253" si="13">SUM(D198:T198)</f>
        <v>276776.50860399997</v>
      </c>
      <c r="V198" s="14">
        <v>12735.6</v>
      </c>
      <c r="W198" s="15">
        <f t="shared" si="10"/>
        <v>3524914.9029771024</v>
      </c>
      <c r="X198" s="191">
        <f>SUM(W198:W253)</f>
        <v>216927882.8210291</v>
      </c>
      <c r="Z198" s="195">
        <v>63826446.624435835</v>
      </c>
    </row>
    <row r="199" spans="1:26" s="154" customFormat="1" x14ac:dyDescent="0.25">
      <c r="A199" s="118">
        <v>2</v>
      </c>
      <c r="B199" s="94" t="s">
        <v>66</v>
      </c>
      <c r="C199" s="12">
        <v>1000</v>
      </c>
      <c r="D199" s="25"/>
      <c r="E199" s="14"/>
      <c r="F199" s="14"/>
      <c r="G199" s="14"/>
      <c r="H199" s="14">
        <v>60639.351906000011</v>
      </c>
      <c r="I199" s="14"/>
      <c r="J199" s="14">
        <v>44596.765778000001</v>
      </c>
      <c r="K199" s="14"/>
      <c r="L199" s="14">
        <v>25000.750577999999</v>
      </c>
      <c r="M199" s="14">
        <v>21403.790700999998</v>
      </c>
      <c r="N199" s="14"/>
      <c r="O199" s="14"/>
      <c r="P199" s="14">
        <v>125135.84964100001</v>
      </c>
      <c r="Q199" s="14"/>
      <c r="R199" s="14"/>
      <c r="S199" s="14"/>
      <c r="T199" s="14"/>
      <c r="U199" s="13">
        <f t="shared" si="13"/>
        <v>276776.50860399997</v>
      </c>
      <c r="V199" s="14">
        <v>12038.4</v>
      </c>
      <c r="W199" s="15">
        <f t="shared" si="10"/>
        <v>3331946.3211783934</v>
      </c>
      <c r="Z199" s="195">
        <v>36383456.567040272</v>
      </c>
    </row>
    <row r="200" spans="1:26" s="154" customFormat="1" ht="45" x14ac:dyDescent="0.25">
      <c r="A200" s="987">
        <v>3</v>
      </c>
      <c r="B200" s="94" t="s">
        <v>20</v>
      </c>
      <c r="C200" s="20"/>
      <c r="D200" s="20"/>
      <c r="E200" s="20"/>
      <c r="F200" s="20"/>
      <c r="G200" s="20"/>
      <c r="H200" s="20"/>
      <c r="I200" s="20"/>
      <c r="J200" s="20"/>
      <c r="K200" s="20"/>
      <c r="L200" s="20"/>
      <c r="M200" s="20"/>
      <c r="N200" s="20"/>
      <c r="O200" s="20"/>
      <c r="P200" s="20"/>
      <c r="Q200" s="20"/>
      <c r="R200" s="20"/>
      <c r="S200" s="20"/>
      <c r="T200" s="20"/>
      <c r="U200" s="13">
        <f t="shared" si="13"/>
        <v>0</v>
      </c>
      <c r="V200" s="20"/>
      <c r="W200" s="20"/>
      <c r="Z200" s="195">
        <v>23384765.316310335</v>
      </c>
    </row>
    <row r="201" spans="1:26" s="154" customFormat="1" x14ac:dyDescent="0.25">
      <c r="A201" s="988"/>
      <c r="B201" s="94" t="s">
        <v>21</v>
      </c>
      <c r="C201" s="12">
        <v>100</v>
      </c>
      <c r="D201" s="25"/>
      <c r="E201" s="14"/>
      <c r="F201" s="14"/>
      <c r="G201" s="14"/>
      <c r="H201" s="14">
        <v>2087.743125</v>
      </c>
      <c r="I201" s="14"/>
      <c r="J201" s="14">
        <v>971.790975</v>
      </c>
      <c r="K201" s="14"/>
      <c r="L201" s="14">
        <v>733.66772500000002</v>
      </c>
      <c r="M201" s="14">
        <v>736.12622500000009</v>
      </c>
      <c r="N201" s="14"/>
      <c r="O201" s="14"/>
      <c r="P201" s="14">
        <v>1808.1333250000002</v>
      </c>
      <c r="Q201" s="14"/>
      <c r="R201" s="14"/>
      <c r="S201" s="14"/>
      <c r="T201" s="14"/>
      <c r="U201" s="13">
        <f t="shared" si="13"/>
        <v>6337.4613750000008</v>
      </c>
      <c r="V201" s="14">
        <v>34694.300000000003</v>
      </c>
      <c r="W201" s="15">
        <f t="shared" si="10"/>
        <v>2198737.8618266257</v>
      </c>
      <c r="Z201" s="195">
        <v>23362466.852632541</v>
      </c>
    </row>
    <row r="202" spans="1:26" s="154" customFormat="1" x14ac:dyDescent="0.25">
      <c r="A202" s="989"/>
      <c r="B202" s="94" t="s">
        <v>107</v>
      </c>
      <c r="C202" s="12">
        <v>100</v>
      </c>
      <c r="D202" s="25"/>
      <c r="E202" s="14"/>
      <c r="F202" s="14"/>
      <c r="G202" s="14"/>
      <c r="H202" s="14">
        <v>1164.376</v>
      </c>
      <c r="I202" s="14"/>
      <c r="J202" s="14">
        <v>501.67600000000004</v>
      </c>
      <c r="K202" s="14"/>
      <c r="L202" s="14">
        <v>432.53600000000006</v>
      </c>
      <c r="M202" s="14">
        <v>432.53600000000006</v>
      </c>
      <c r="N202" s="14"/>
      <c r="O202" s="14"/>
      <c r="P202" s="14">
        <v>577.89599999999996</v>
      </c>
      <c r="Q202" s="14"/>
      <c r="R202" s="14"/>
      <c r="S202" s="14"/>
      <c r="T202" s="14"/>
      <c r="U202" s="13">
        <f t="shared" si="13"/>
        <v>3109.0200000000004</v>
      </c>
      <c r="V202" s="14">
        <v>47135.9</v>
      </c>
      <c r="W202" s="15">
        <f t="shared" ref="W202:W265" si="14">V202*U202/C202</f>
        <v>1465464.5581800002</v>
      </c>
      <c r="Z202" s="194">
        <v>69970747</v>
      </c>
    </row>
    <row r="203" spans="1:26" s="154" customFormat="1" ht="90" x14ac:dyDescent="0.25">
      <c r="A203" s="44">
        <v>4</v>
      </c>
      <c r="B203" s="94" t="s">
        <v>170</v>
      </c>
      <c r="C203" s="29">
        <v>100</v>
      </c>
      <c r="D203" s="25"/>
      <c r="E203" s="14"/>
      <c r="F203" s="14"/>
      <c r="G203" s="14"/>
      <c r="H203" s="14">
        <v>117054.46856250001</v>
      </c>
      <c r="I203" s="14"/>
      <c r="J203" s="14">
        <v>63787.433850000016</v>
      </c>
      <c r="K203" s="14"/>
      <c r="L203" s="14">
        <v>40723.133175000003</v>
      </c>
      <c r="M203" s="14">
        <v>40760.528174999999</v>
      </c>
      <c r="N203" s="14"/>
      <c r="O203" s="14"/>
      <c r="P203" s="14">
        <v>129118.00590000002</v>
      </c>
      <c r="Q203" s="14"/>
      <c r="R203" s="14"/>
      <c r="S203" s="14"/>
      <c r="T203" s="14"/>
      <c r="U203" s="13">
        <f t="shared" si="13"/>
        <v>391443.56966250006</v>
      </c>
      <c r="V203" s="30">
        <v>30376.9</v>
      </c>
      <c r="W203" s="15">
        <f t="shared" si="14"/>
        <v>118908421.71280798</v>
      </c>
      <c r="Z203" s="191">
        <f>SUM(Z198:Z202)</f>
        <v>216927882.36041898</v>
      </c>
    </row>
    <row r="204" spans="1:26" s="154" customFormat="1" ht="120.75" x14ac:dyDescent="0.25">
      <c r="A204" s="44">
        <v>5</v>
      </c>
      <c r="B204" s="94" t="s">
        <v>41</v>
      </c>
      <c r="C204" s="20"/>
      <c r="D204" s="20"/>
      <c r="E204" s="20"/>
      <c r="F204" s="20"/>
      <c r="G204" s="20"/>
      <c r="H204" s="20"/>
      <c r="I204" s="20"/>
      <c r="J204" s="20"/>
      <c r="K204" s="20"/>
      <c r="L204" s="20"/>
      <c r="M204" s="20"/>
      <c r="N204" s="20"/>
      <c r="O204" s="20"/>
      <c r="P204" s="20"/>
      <c r="Q204" s="20"/>
      <c r="R204" s="20"/>
      <c r="S204" s="20"/>
      <c r="T204" s="20"/>
      <c r="U204" s="13">
        <f t="shared" si="13"/>
        <v>0</v>
      </c>
      <c r="V204" s="20"/>
      <c r="W204" s="20"/>
    </row>
    <row r="205" spans="1:26" s="154" customFormat="1" ht="60" x14ac:dyDescent="0.25">
      <c r="A205" s="44"/>
      <c r="B205" s="94" t="s">
        <v>161</v>
      </c>
      <c r="C205" s="12">
        <v>1</v>
      </c>
      <c r="D205" s="25"/>
      <c r="E205" s="14"/>
      <c r="F205" s="14"/>
      <c r="G205" s="14"/>
      <c r="H205" s="14">
        <v>16160.050625000002</v>
      </c>
      <c r="I205" s="14"/>
      <c r="J205" s="14">
        <v>9101.6800000000039</v>
      </c>
      <c r="K205" s="14"/>
      <c r="L205" s="14">
        <v>5753.3425000000007</v>
      </c>
      <c r="M205" s="14">
        <v>5794.4625000000005</v>
      </c>
      <c r="N205" s="14"/>
      <c r="O205" s="14"/>
      <c r="P205" s="14">
        <v>18946.310000000005</v>
      </c>
      <c r="Q205" s="14"/>
      <c r="R205" s="14"/>
      <c r="S205" s="14"/>
      <c r="T205" s="14"/>
      <c r="U205" s="13">
        <f t="shared" si="13"/>
        <v>55755.845625000009</v>
      </c>
      <c r="V205" s="14">
        <v>817.55</v>
      </c>
      <c r="W205" s="15">
        <f t="shared" si="14"/>
        <v>45583191.590718754</v>
      </c>
    </row>
    <row r="206" spans="1:26" s="154" customFormat="1" ht="60" x14ac:dyDescent="0.25">
      <c r="A206" s="44"/>
      <c r="B206" s="94" t="s">
        <v>402</v>
      </c>
      <c r="C206" s="12">
        <v>1</v>
      </c>
      <c r="D206" s="25"/>
      <c r="E206" s="14"/>
      <c r="F206" s="14"/>
      <c r="G206" s="14"/>
      <c r="H206" s="14">
        <v>9852.0535</v>
      </c>
      <c r="I206" s="14"/>
      <c r="J206" s="14">
        <v>5073.3052999999991</v>
      </c>
      <c r="K206" s="14"/>
      <c r="L206" s="14">
        <v>3296.2426499999997</v>
      </c>
      <c r="M206" s="14">
        <v>3263.4326499999997</v>
      </c>
      <c r="N206" s="14"/>
      <c r="O206" s="14"/>
      <c r="P206" s="14">
        <v>9746.5802000000003</v>
      </c>
      <c r="Q206" s="14"/>
      <c r="R206" s="14"/>
      <c r="S206" s="14"/>
      <c r="T206" s="14"/>
      <c r="U206" s="13">
        <f t="shared" si="13"/>
        <v>31231.614299999997</v>
      </c>
      <c r="V206" s="14">
        <v>670.5</v>
      </c>
      <c r="W206" s="15">
        <f t="shared" si="14"/>
        <v>20940797.388149999</v>
      </c>
    </row>
    <row r="207" spans="1:26" s="154" customFormat="1" ht="30" x14ac:dyDescent="0.25">
      <c r="A207" s="44">
        <v>6</v>
      </c>
      <c r="B207" s="94" t="s">
        <v>46</v>
      </c>
      <c r="C207" s="19">
        <v>100</v>
      </c>
      <c r="D207" s="25"/>
      <c r="E207" s="14"/>
      <c r="F207" s="14"/>
      <c r="G207" s="14"/>
      <c r="H207" s="14">
        <v>6041.9129999999996</v>
      </c>
      <c r="I207" s="14"/>
      <c r="J207" s="14">
        <v>5294.2214000000004</v>
      </c>
      <c r="K207" s="14"/>
      <c r="L207" s="14">
        <v>3466.0362</v>
      </c>
      <c r="M207" s="14">
        <v>3489.5021999999999</v>
      </c>
      <c r="N207" s="14"/>
      <c r="O207" s="14"/>
      <c r="P207" s="14">
        <v>9774.5750000000007</v>
      </c>
      <c r="Q207" s="14"/>
      <c r="R207" s="14"/>
      <c r="S207" s="14"/>
      <c r="T207" s="14"/>
      <c r="U207" s="13">
        <f t="shared" si="13"/>
        <v>28066.247800000001</v>
      </c>
      <c r="V207" s="25">
        <v>1645.1</v>
      </c>
      <c r="W207" s="15">
        <f t="shared" si="14"/>
        <v>461717.84255779994</v>
      </c>
    </row>
    <row r="208" spans="1:26" s="154" customFormat="1" ht="75" x14ac:dyDescent="0.25">
      <c r="A208" s="44">
        <v>7</v>
      </c>
      <c r="B208" s="94" t="s">
        <v>171</v>
      </c>
      <c r="C208" s="19">
        <v>100</v>
      </c>
      <c r="D208" s="25"/>
      <c r="E208" s="14"/>
      <c r="F208" s="14"/>
      <c r="G208" s="14"/>
      <c r="H208" s="14">
        <v>1758.1539000000002</v>
      </c>
      <c r="I208" s="14"/>
      <c r="J208" s="14">
        <v>997.5381000000001</v>
      </c>
      <c r="K208" s="14"/>
      <c r="L208" s="14">
        <v>648.78250000000003</v>
      </c>
      <c r="M208" s="14">
        <v>648.78250000000003</v>
      </c>
      <c r="N208" s="14"/>
      <c r="O208" s="14"/>
      <c r="P208" s="14">
        <v>1394.2756000000002</v>
      </c>
      <c r="Q208" s="14"/>
      <c r="R208" s="14"/>
      <c r="S208" s="14"/>
      <c r="T208" s="14"/>
      <c r="U208" s="13">
        <f t="shared" si="13"/>
        <v>5447.5326000000005</v>
      </c>
      <c r="V208" s="14">
        <v>13179.6</v>
      </c>
      <c r="W208" s="15">
        <f t="shared" si="14"/>
        <v>717963.00654960005</v>
      </c>
    </row>
    <row r="209" spans="1:23" s="154" customFormat="1" ht="30" x14ac:dyDescent="0.25">
      <c r="A209" s="44">
        <v>8</v>
      </c>
      <c r="B209" s="94" t="s">
        <v>103</v>
      </c>
      <c r="C209" s="19">
        <v>1</v>
      </c>
      <c r="D209" s="25"/>
      <c r="E209" s="14"/>
      <c r="F209" s="14"/>
      <c r="G209" s="14"/>
      <c r="H209" s="14">
        <v>1758.1539000000002</v>
      </c>
      <c r="I209" s="14"/>
      <c r="J209" s="14">
        <v>997.5381000000001</v>
      </c>
      <c r="K209" s="14"/>
      <c r="L209" s="14">
        <v>648.78250000000003</v>
      </c>
      <c r="M209" s="14">
        <v>648.78250000000003</v>
      </c>
      <c r="N209" s="14"/>
      <c r="O209" s="14"/>
      <c r="P209" s="14">
        <v>1394.2756000000002</v>
      </c>
      <c r="Q209" s="14"/>
      <c r="R209" s="14"/>
      <c r="S209" s="14"/>
      <c r="T209" s="14"/>
      <c r="U209" s="13">
        <f t="shared" si="13"/>
        <v>5447.5326000000005</v>
      </c>
      <c r="V209" s="14">
        <v>11</v>
      </c>
      <c r="W209" s="15">
        <f t="shared" si="14"/>
        <v>59922.858600000007</v>
      </c>
    </row>
    <row r="210" spans="1:23" s="154" customFormat="1" ht="45" x14ac:dyDescent="0.25">
      <c r="A210" s="44">
        <v>9</v>
      </c>
      <c r="B210" s="94" t="s">
        <v>111</v>
      </c>
      <c r="C210" s="36">
        <v>1</v>
      </c>
      <c r="D210" s="25"/>
      <c r="E210" s="14"/>
      <c r="F210" s="14"/>
      <c r="G210" s="14"/>
      <c r="H210" s="14">
        <v>144</v>
      </c>
      <c r="I210" s="14"/>
      <c r="J210" s="14">
        <v>111</v>
      </c>
      <c r="K210" s="14"/>
      <c r="L210" s="14">
        <v>46</v>
      </c>
      <c r="M210" s="14">
        <v>46</v>
      </c>
      <c r="N210" s="14"/>
      <c r="O210" s="14"/>
      <c r="P210" s="14">
        <v>282</v>
      </c>
      <c r="Q210" s="14"/>
      <c r="R210" s="14"/>
      <c r="S210" s="14"/>
      <c r="T210" s="14"/>
      <c r="U210" s="13">
        <f t="shared" si="13"/>
        <v>629</v>
      </c>
      <c r="V210" s="25">
        <v>514.9</v>
      </c>
      <c r="W210" s="15">
        <f t="shared" si="14"/>
        <v>323872.09999999998</v>
      </c>
    </row>
    <row r="211" spans="1:23" s="154" customFormat="1" ht="30" x14ac:dyDescent="0.25">
      <c r="A211" s="44">
        <v>10</v>
      </c>
      <c r="B211" s="94" t="s">
        <v>112</v>
      </c>
      <c r="C211" s="37">
        <v>1</v>
      </c>
      <c r="D211" s="25"/>
      <c r="E211" s="14"/>
      <c r="F211" s="14"/>
      <c r="G211" s="14"/>
      <c r="H211" s="14">
        <v>12</v>
      </c>
      <c r="I211" s="14"/>
      <c r="J211" s="14">
        <v>6</v>
      </c>
      <c r="K211" s="14"/>
      <c r="L211" s="14">
        <v>4</v>
      </c>
      <c r="M211" s="14">
        <v>4</v>
      </c>
      <c r="N211" s="14"/>
      <c r="O211" s="14"/>
      <c r="P211" s="14">
        <v>12</v>
      </c>
      <c r="Q211" s="14"/>
      <c r="R211" s="14"/>
      <c r="S211" s="14"/>
      <c r="T211" s="14"/>
      <c r="U211" s="13">
        <f t="shared" si="13"/>
        <v>38</v>
      </c>
      <c r="V211" s="25">
        <v>849.7</v>
      </c>
      <c r="W211" s="15">
        <f t="shared" si="14"/>
        <v>32288.600000000002</v>
      </c>
    </row>
    <row r="212" spans="1:23" s="154" customFormat="1" x14ac:dyDescent="0.25">
      <c r="A212" s="44">
        <v>11</v>
      </c>
      <c r="B212" s="94" t="s">
        <v>113</v>
      </c>
      <c r="C212" s="37">
        <v>1</v>
      </c>
      <c r="D212" s="25"/>
      <c r="E212" s="14"/>
      <c r="F212" s="14"/>
      <c r="G212" s="14"/>
      <c r="H212" s="14">
        <v>6</v>
      </c>
      <c r="I212" s="14"/>
      <c r="J212" s="14">
        <v>6</v>
      </c>
      <c r="K212" s="14"/>
      <c r="L212" s="14">
        <v>4</v>
      </c>
      <c r="M212" s="14">
        <v>4</v>
      </c>
      <c r="N212" s="14"/>
      <c r="O212" s="14"/>
      <c r="P212" s="14">
        <v>6</v>
      </c>
      <c r="Q212" s="14"/>
      <c r="R212" s="14"/>
      <c r="S212" s="14"/>
      <c r="T212" s="14"/>
      <c r="U212" s="13">
        <f t="shared" si="13"/>
        <v>26</v>
      </c>
      <c r="V212" s="25">
        <v>1159.6500000000001</v>
      </c>
      <c r="W212" s="15">
        <f t="shared" si="14"/>
        <v>30150.9</v>
      </c>
    </row>
    <row r="213" spans="1:23" s="154" customFormat="1" ht="180" x14ac:dyDescent="0.25">
      <c r="A213" s="44">
        <v>12</v>
      </c>
      <c r="B213" s="94" t="s">
        <v>172</v>
      </c>
      <c r="C213" s="22">
        <v>1</v>
      </c>
      <c r="D213" s="25"/>
      <c r="E213" s="14"/>
      <c r="F213" s="14"/>
      <c r="G213" s="14"/>
      <c r="H213" s="14">
        <v>607.91999999999996</v>
      </c>
      <c r="I213" s="14"/>
      <c r="J213" s="14">
        <v>367.92</v>
      </c>
      <c r="K213" s="14"/>
      <c r="L213" s="14">
        <v>271.92</v>
      </c>
      <c r="M213" s="14">
        <v>271.92</v>
      </c>
      <c r="N213" s="14"/>
      <c r="O213" s="14"/>
      <c r="P213" s="14">
        <v>463.92</v>
      </c>
      <c r="Q213" s="14"/>
      <c r="R213" s="14"/>
      <c r="S213" s="14"/>
      <c r="T213" s="14"/>
      <c r="U213" s="13">
        <f t="shared" si="13"/>
        <v>1983.6000000000001</v>
      </c>
      <c r="V213" s="14">
        <v>2180.6999999999998</v>
      </c>
      <c r="W213" s="15">
        <f t="shared" si="14"/>
        <v>4325636.5199999996</v>
      </c>
    </row>
    <row r="214" spans="1:23" s="154" customFormat="1" ht="45" x14ac:dyDescent="0.25">
      <c r="A214" s="44">
        <v>13</v>
      </c>
      <c r="B214" s="94" t="s">
        <v>173</v>
      </c>
      <c r="C214" s="19">
        <v>1</v>
      </c>
      <c r="D214" s="25"/>
      <c r="E214" s="14"/>
      <c r="F214" s="14"/>
      <c r="G214" s="14"/>
      <c r="H214" s="14">
        <v>196</v>
      </c>
      <c r="I214" s="14"/>
      <c r="J214" s="14">
        <v>176</v>
      </c>
      <c r="K214" s="14"/>
      <c r="L214" s="14">
        <v>176</v>
      </c>
      <c r="M214" s="14">
        <v>176</v>
      </c>
      <c r="N214" s="14"/>
      <c r="O214" s="14"/>
      <c r="P214" s="14">
        <v>184</v>
      </c>
      <c r="Q214" s="14"/>
      <c r="R214" s="14"/>
      <c r="S214" s="14"/>
      <c r="T214" s="14"/>
      <c r="U214" s="13">
        <f t="shared" si="13"/>
        <v>908</v>
      </c>
      <c r="V214" s="14">
        <v>2767</v>
      </c>
      <c r="W214" s="15">
        <f t="shared" si="14"/>
        <v>2512436</v>
      </c>
    </row>
    <row r="215" spans="1:23" s="154" customFormat="1" x14ac:dyDescent="0.25">
      <c r="A215" s="44">
        <v>14</v>
      </c>
      <c r="B215" s="94" t="s">
        <v>174</v>
      </c>
      <c r="C215" s="19">
        <v>100</v>
      </c>
      <c r="D215" s="25"/>
      <c r="E215" s="14"/>
      <c r="F215" s="14"/>
      <c r="G215" s="14"/>
      <c r="H215" s="14">
        <v>5921.9459999999999</v>
      </c>
      <c r="I215" s="14"/>
      <c r="J215" s="14">
        <v>3581.6040000000003</v>
      </c>
      <c r="K215" s="14"/>
      <c r="L215" s="14">
        <v>2528.6009999999997</v>
      </c>
      <c r="M215" s="14">
        <v>2528.6009999999997</v>
      </c>
      <c r="N215" s="14"/>
      <c r="O215" s="14"/>
      <c r="P215" s="14">
        <v>4838.8949999999995</v>
      </c>
      <c r="Q215" s="14"/>
      <c r="R215" s="14"/>
      <c r="S215" s="14"/>
      <c r="T215" s="14"/>
      <c r="U215" s="13">
        <f t="shared" si="13"/>
        <v>19399.646999999997</v>
      </c>
      <c r="V215" s="25">
        <v>1212.3499999999999</v>
      </c>
      <c r="W215" s="15">
        <f t="shared" si="14"/>
        <v>235191.62040449996</v>
      </c>
    </row>
    <row r="216" spans="1:23" s="154" customFormat="1" ht="45" x14ac:dyDescent="0.25">
      <c r="A216" s="44">
        <v>15</v>
      </c>
      <c r="B216" s="94" t="s">
        <v>115</v>
      </c>
      <c r="C216" s="19">
        <v>100</v>
      </c>
      <c r="D216" s="25"/>
      <c r="E216" s="14"/>
      <c r="F216" s="14"/>
      <c r="G216" s="14"/>
      <c r="H216" s="14">
        <v>5354.9950000000008</v>
      </c>
      <c r="I216" s="14"/>
      <c r="J216" s="14">
        <v>3896.5079999999998</v>
      </c>
      <c r="K216" s="14"/>
      <c r="L216" s="14">
        <v>2362.2509999999997</v>
      </c>
      <c r="M216" s="14">
        <v>2362.2509999999997</v>
      </c>
      <c r="N216" s="14"/>
      <c r="O216" s="14"/>
      <c r="P216" s="14">
        <v>6169.194300000001</v>
      </c>
      <c r="Q216" s="14"/>
      <c r="R216" s="14"/>
      <c r="S216" s="14"/>
      <c r="T216" s="14"/>
      <c r="U216" s="13">
        <f t="shared" si="13"/>
        <v>20145.1993</v>
      </c>
      <c r="V216" s="25">
        <v>7379.1</v>
      </c>
      <c r="W216" s="15">
        <f t="shared" si="14"/>
        <v>1486534.4015463002</v>
      </c>
    </row>
    <row r="217" spans="1:23" s="154" customFormat="1" ht="30" x14ac:dyDescent="0.25">
      <c r="A217" s="44">
        <v>16</v>
      </c>
      <c r="B217" s="94" t="s">
        <v>116</v>
      </c>
      <c r="C217" s="19">
        <v>100</v>
      </c>
      <c r="D217" s="25"/>
      <c r="E217" s="14"/>
      <c r="F217" s="14"/>
      <c r="G217" s="14"/>
      <c r="H217" s="14">
        <v>356</v>
      </c>
      <c r="I217" s="14"/>
      <c r="J217" s="14">
        <v>336</v>
      </c>
      <c r="K217" s="14"/>
      <c r="L217" s="14">
        <v>168</v>
      </c>
      <c r="M217" s="14">
        <v>168</v>
      </c>
      <c r="N217" s="14"/>
      <c r="O217" s="14"/>
      <c r="P217" s="14">
        <v>344</v>
      </c>
      <c r="Q217" s="14"/>
      <c r="R217" s="14"/>
      <c r="S217" s="14"/>
      <c r="T217" s="14"/>
      <c r="U217" s="13">
        <f t="shared" si="13"/>
        <v>1372</v>
      </c>
      <c r="V217" s="25">
        <v>3052.4</v>
      </c>
      <c r="W217" s="15">
        <f t="shared" si="14"/>
        <v>41878.928</v>
      </c>
    </row>
    <row r="218" spans="1:23" s="154" customFormat="1" ht="45" x14ac:dyDescent="0.25">
      <c r="A218" s="44">
        <v>17</v>
      </c>
      <c r="B218" s="94" t="s">
        <v>175</v>
      </c>
      <c r="C218" s="37">
        <v>1</v>
      </c>
      <c r="D218" s="25"/>
      <c r="E218" s="14"/>
      <c r="F218" s="14"/>
      <c r="G218" s="14"/>
      <c r="H218" s="14">
        <v>99</v>
      </c>
      <c r="I218" s="14"/>
      <c r="J218" s="14">
        <v>64</v>
      </c>
      <c r="K218" s="14"/>
      <c r="L218" s="14">
        <v>28</v>
      </c>
      <c r="M218" s="14">
        <v>28</v>
      </c>
      <c r="N218" s="14"/>
      <c r="O218" s="14"/>
      <c r="P218" s="14">
        <v>150</v>
      </c>
      <c r="Q218" s="14"/>
      <c r="R218" s="14"/>
      <c r="S218" s="14"/>
      <c r="T218" s="14"/>
      <c r="U218" s="13">
        <f t="shared" si="13"/>
        <v>369</v>
      </c>
      <c r="V218" s="25">
        <v>680.75</v>
      </c>
      <c r="W218" s="15">
        <f t="shared" si="14"/>
        <v>251196.75</v>
      </c>
    </row>
    <row r="219" spans="1:23" s="154" customFormat="1" ht="75" x14ac:dyDescent="0.25">
      <c r="A219" s="44">
        <v>18</v>
      </c>
      <c r="B219" s="94" t="s">
        <v>190</v>
      </c>
      <c r="C219" s="36">
        <v>1</v>
      </c>
      <c r="D219" s="25"/>
      <c r="E219" s="14"/>
      <c r="F219" s="14"/>
      <c r="G219" s="14"/>
      <c r="H219" s="14"/>
      <c r="I219" s="14"/>
      <c r="J219" s="14">
        <v>71.86</v>
      </c>
      <c r="K219" s="14"/>
      <c r="L219" s="14"/>
      <c r="M219" s="16"/>
      <c r="N219" s="14"/>
      <c r="O219" s="14"/>
      <c r="P219" s="14">
        <v>40</v>
      </c>
      <c r="Q219" s="14"/>
      <c r="R219" s="14"/>
      <c r="S219" s="14"/>
      <c r="T219" s="14"/>
      <c r="U219" s="13">
        <f t="shared" si="13"/>
        <v>111.86</v>
      </c>
      <c r="V219" s="25">
        <v>1125.2</v>
      </c>
      <c r="W219" s="15">
        <f t="shared" si="14"/>
        <v>125864.872</v>
      </c>
    </row>
    <row r="220" spans="1:23" s="154" customFormat="1" x14ac:dyDescent="0.25">
      <c r="A220" s="44">
        <v>19</v>
      </c>
      <c r="B220" s="94" t="s">
        <v>176</v>
      </c>
      <c r="C220" s="19">
        <v>1</v>
      </c>
      <c r="D220" s="25"/>
      <c r="E220" s="14"/>
      <c r="F220" s="14"/>
      <c r="G220" s="14"/>
      <c r="H220" s="14">
        <v>1368</v>
      </c>
      <c r="I220" s="14"/>
      <c r="J220" s="14">
        <v>368</v>
      </c>
      <c r="K220" s="14"/>
      <c r="L220" s="14">
        <v>184</v>
      </c>
      <c r="M220" s="14">
        <v>184</v>
      </c>
      <c r="N220" s="14"/>
      <c r="O220" s="14"/>
      <c r="P220" s="14">
        <v>696</v>
      </c>
      <c r="Q220" s="14"/>
      <c r="R220" s="14"/>
      <c r="S220" s="14"/>
      <c r="T220" s="14"/>
      <c r="U220" s="13">
        <f t="shared" si="13"/>
        <v>2800</v>
      </c>
      <c r="V220" s="25">
        <v>603</v>
      </c>
      <c r="W220" s="15">
        <f t="shared" si="14"/>
        <v>1688400</v>
      </c>
    </row>
    <row r="221" spans="1:23" s="154" customFormat="1" ht="75" x14ac:dyDescent="0.25">
      <c r="A221" s="44">
        <v>20</v>
      </c>
      <c r="B221" s="94" t="s">
        <v>177</v>
      </c>
      <c r="C221" s="19">
        <v>1</v>
      </c>
      <c r="D221" s="25"/>
      <c r="E221" s="14"/>
      <c r="F221" s="14"/>
      <c r="G221" s="14"/>
      <c r="H221" s="14">
        <v>2738.75</v>
      </c>
      <c r="I221" s="14"/>
      <c r="J221" s="14">
        <v>1682.7508000000003</v>
      </c>
      <c r="K221" s="14"/>
      <c r="L221" s="14">
        <v>1417.6664000000001</v>
      </c>
      <c r="M221" s="14">
        <v>1417.6664000000001</v>
      </c>
      <c r="N221" s="14"/>
      <c r="O221" s="14"/>
      <c r="P221" s="14">
        <v>2220.2250000000004</v>
      </c>
      <c r="Q221" s="14"/>
      <c r="R221" s="14"/>
      <c r="S221" s="14"/>
      <c r="T221" s="14"/>
      <c r="U221" s="13">
        <f t="shared" si="13"/>
        <v>9477.0586000000003</v>
      </c>
      <c r="V221" s="25">
        <v>205.4</v>
      </c>
      <c r="W221" s="15">
        <f t="shared" si="14"/>
        <v>1946587.8364400002</v>
      </c>
    </row>
    <row r="222" spans="1:23" s="154" customFormat="1" ht="30" x14ac:dyDescent="0.25">
      <c r="A222" s="44">
        <v>21</v>
      </c>
      <c r="B222" s="94" t="s">
        <v>178</v>
      </c>
      <c r="C222" s="12">
        <v>100</v>
      </c>
      <c r="D222" s="25"/>
      <c r="E222" s="14"/>
      <c r="F222" s="14"/>
      <c r="G222" s="14"/>
      <c r="H222" s="14">
        <v>738.42</v>
      </c>
      <c r="I222" s="14"/>
      <c r="J222" s="14">
        <v>418.97</v>
      </c>
      <c r="K222" s="14"/>
      <c r="L222" s="14">
        <v>272.49</v>
      </c>
      <c r="M222" s="14">
        <v>272.49</v>
      </c>
      <c r="N222" s="14"/>
      <c r="O222" s="14"/>
      <c r="P222" s="14">
        <v>585.6</v>
      </c>
      <c r="Q222" s="14"/>
      <c r="R222" s="14"/>
      <c r="S222" s="14"/>
      <c r="T222" s="14"/>
      <c r="U222" s="13">
        <f t="shared" si="13"/>
        <v>2287.9699999999998</v>
      </c>
      <c r="V222" s="25">
        <v>18017.599999999999</v>
      </c>
      <c r="W222" s="15">
        <f t="shared" si="14"/>
        <v>412237.2827199999</v>
      </c>
    </row>
    <row r="223" spans="1:23" s="154" customFormat="1" ht="75" x14ac:dyDescent="0.25">
      <c r="A223" s="44">
        <v>22</v>
      </c>
      <c r="B223" s="94" t="s">
        <v>179</v>
      </c>
      <c r="C223" s="19">
        <v>100</v>
      </c>
      <c r="D223" s="25"/>
      <c r="E223" s="25"/>
      <c r="F223" s="25"/>
      <c r="G223" s="25"/>
      <c r="H223" s="25">
        <v>1758.1539000000002</v>
      </c>
      <c r="I223" s="25"/>
      <c r="J223" s="25">
        <v>997.5381000000001</v>
      </c>
      <c r="K223" s="25"/>
      <c r="L223" s="25">
        <v>648.78250000000003</v>
      </c>
      <c r="M223" s="25">
        <v>648.78250000000003</v>
      </c>
      <c r="N223" s="25"/>
      <c r="O223" s="25"/>
      <c r="P223" s="25">
        <v>1394.2756000000002</v>
      </c>
      <c r="Q223" s="25"/>
      <c r="R223" s="25"/>
      <c r="S223" s="25"/>
      <c r="T223" s="25"/>
      <c r="U223" s="13">
        <f t="shared" si="13"/>
        <v>5447.5326000000005</v>
      </c>
      <c r="V223" s="25">
        <v>29658.5</v>
      </c>
      <c r="W223" s="15">
        <f t="shared" si="14"/>
        <v>1615656.4561709999</v>
      </c>
    </row>
    <row r="224" spans="1:23" s="154" customFormat="1" ht="75" x14ac:dyDescent="0.25">
      <c r="A224" s="44">
        <v>23</v>
      </c>
      <c r="B224" s="94" t="s">
        <v>180</v>
      </c>
      <c r="C224" s="19">
        <v>100</v>
      </c>
      <c r="D224" s="25"/>
      <c r="E224" s="25"/>
      <c r="F224" s="25"/>
      <c r="G224" s="25"/>
      <c r="H224" s="25">
        <v>112.84</v>
      </c>
      <c r="I224" s="25"/>
      <c r="J224" s="25">
        <v>72.099999999999994</v>
      </c>
      <c r="K224" s="25"/>
      <c r="L224" s="25">
        <v>53.42</v>
      </c>
      <c r="M224" s="25">
        <v>53.42</v>
      </c>
      <c r="N224" s="25"/>
      <c r="O224" s="25"/>
      <c r="P224" s="25">
        <v>93.350000000000009</v>
      </c>
      <c r="Q224" s="25"/>
      <c r="R224" s="25"/>
      <c r="S224" s="25"/>
      <c r="T224" s="25"/>
      <c r="U224" s="13">
        <f t="shared" si="13"/>
        <v>385.13000000000005</v>
      </c>
      <c r="V224" s="25">
        <v>19146.849999999999</v>
      </c>
      <c r="W224" s="15">
        <f t="shared" si="14"/>
        <v>73740.263405000005</v>
      </c>
    </row>
    <row r="225" spans="1:23" s="154" customFormat="1" ht="45" x14ac:dyDescent="0.25">
      <c r="A225" s="44">
        <v>24</v>
      </c>
      <c r="B225" s="94" t="s">
        <v>181</v>
      </c>
      <c r="C225" s="36">
        <v>1</v>
      </c>
      <c r="D225" s="25"/>
      <c r="E225" s="25"/>
      <c r="F225" s="25"/>
      <c r="G225" s="25"/>
      <c r="H225" s="25">
        <v>900.26</v>
      </c>
      <c r="I225" s="25"/>
      <c r="J225" s="25">
        <v>519.15</v>
      </c>
      <c r="K225" s="25"/>
      <c r="L225" s="25">
        <v>389.75</v>
      </c>
      <c r="M225" s="25">
        <v>389.75</v>
      </c>
      <c r="N225" s="25"/>
      <c r="O225" s="25"/>
      <c r="P225" s="25">
        <v>723.40000000000009</v>
      </c>
      <c r="Q225" s="25"/>
      <c r="R225" s="25"/>
      <c r="S225" s="25"/>
      <c r="T225" s="25"/>
      <c r="U225" s="13">
        <f t="shared" si="13"/>
        <v>2922.31</v>
      </c>
      <c r="V225" s="25">
        <v>39.6</v>
      </c>
      <c r="W225" s="15">
        <f t="shared" si="14"/>
        <v>115723.476</v>
      </c>
    </row>
    <row r="226" spans="1:23" s="154" customFormat="1" ht="45" x14ac:dyDescent="0.25">
      <c r="A226" s="44">
        <v>25</v>
      </c>
      <c r="B226" s="134" t="s">
        <v>71</v>
      </c>
      <c r="C226" s="36">
        <v>1</v>
      </c>
      <c r="D226" s="25"/>
      <c r="E226" s="14"/>
      <c r="F226" s="14"/>
      <c r="G226" s="14"/>
      <c r="H226" s="14">
        <v>473.5</v>
      </c>
      <c r="I226" s="14"/>
      <c r="J226" s="14">
        <v>236.66</v>
      </c>
      <c r="K226" s="14"/>
      <c r="L226" s="14">
        <v>173.29</v>
      </c>
      <c r="M226" s="14">
        <v>176.57</v>
      </c>
      <c r="N226" s="14"/>
      <c r="O226" s="14"/>
      <c r="P226" s="14">
        <v>312.94</v>
      </c>
      <c r="Q226" s="14"/>
      <c r="R226" s="14"/>
      <c r="S226" s="14"/>
      <c r="T226" s="14"/>
      <c r="U226" s="13">
        <f t="shared" si="13"/>
        <v>1372.96</v>
      </c>
      <c r="V226" s="14">
        <v>809.4</v>
      </c>
      <c r="W226" s="15">
        <f t="shared" si="14"/>
        <v>1111273.824</v>
      </c>
    </row>
    <row r="227" spans="1:23" s="154" customFormat="1" ht="45" x14ac:dyDescent="0.25">
      <c r="A227" s="44">
        <v>26</v>
      </c>
      <c r="B227" s="94" t="s">
        <v>118</v>
      </c>
      <c r="C227" s="20"/>
      <c r="D227" s="20"/>
      <c r="E227" s="20"/>
      <c r="F227" s="20"/>
      <c r="G227" s="20"/>
      <c r="H227" s="20"/>
      <c r="I227" s="20"/>
      <c r="J227" s="20"/>
      <c r="K227" s="20"/>
      <c r="L227" s="20"/>
      <c r="M227" s="20"/>
      <c r="N227" s="20"/>
      <c r="O227" s="20"/>
      <c r="P227" s="20"/>
      <c r="Q227" s="20"/>
      <c r="R227" s="20"/>
      <c r="S227" s="20"/>
      <c r="T227" s="20"/>
      <c r="U227" s="13">
        <f t="shared" si="13"/>
        <v>0</v>
      </c>
      <c r="V227" s="20"/>
      <c r="W227" s="20"/>
    </row>
    <row r="228" spans="1:23" s="154" customFormat="1" x14ac:dyDescent="0.25">
      <c r="A228" s="44"/>
      <c r="B228" s="94" t="s">
        <v>148</v>
      </c>
      <c r="C228" s="36">
        <v>1</v>
      </c>
      <c r="D228" s="25"/>
      <c r="E228" s="14"/>
      <c r="F228" s="14"/>
      <c r="G228" s="14"/>
      <c r="H228" s="14">
        <v>500</v>
      </c>
      <c r="I228" s="14"/>
      <c r="J228" s="14">
        <v>150</v>
      </c>
      <c r="K228" s="14"/>
      <c r="L228" s="14">
        <v>100</v>
      </c>
      <c r="M228" s="14">
        <v>100</v>
      </c>
      <c r="N228" s="14"/>
      <c r="O228" s="14"/>
      <c r="P228" s="14">
        <v>350</v>
      </c>
      <c r="Q228" s="14"/>
      <c r="R228" s="14"/>
      <c r="S228" s="14"/>
      <c r="T228" s="14"/>
      <c r="U228" s="13">
        <f t="shared" si="13"/>
        <v>1200</v>
      </c>
      <c r="V228" s="25">
        <v>112.25</v>
      </c>
      <c r="W228" s="15">
        <f t="shared" si="14"/>
        <v>134700</v>
      </c>
    </row>
    <row r="229" spans="1:23" s="154" customFormat="1" x14ac:dyDescent="0.25">
      <c r="A229" s="44"/>
      <c r="B229" s="94" t="s">
        <v>149</v>
      </c>
      <c r="C229" s="36">
        <v>1</v>
      </c>
      <c r="D229" s="25"/>
      <c r="E229" s="14"/>
      <c r="F229" s="14"/>
      <c r="G229" s="14"/>
      <c r="H229" s="14">
        <v>300</v>
      </c>
      <c r="I229" s="14"/>
      <c r="J229" s="14">
        <v>150</v>
      </c>
      <c r="K229" s="14"/>
      <c r="L229" s="14">
        <v>100</v>
      </c>
      <c r="M229" s="14">
        <v>100</v>
      </c>
      <c r="N229" s="14"/>
      <c r="O229" s="14"/>
      <c r="P229" s="14">
        <v>250</v>
      </c>
      <c r="Q229" s="14"/>
      <c r="R229" s="14"/>
      <c r="S229" s="14"/>
      <c r="T229" s="14"/>
      <c r="U229" s="13">
        <f t="shared" si="13"/>
        <v>900</v>
      </c>
      <c r="V229" s="25">
        <v>133.6</v>
      </c>
      <c r="W229" s="15">
        <f t="shared" si="14"/>
        <v>120240</v>
      </c>
    </row>
    <row r="230" spans="1:23" s="154" customFormat="1" ht="75" x14ac:dyDescent="0.25">
      <c r="A230" s="44">
        <v>27</v>
      </c>
      <c r="B230" s="94" t="s">
        <v>123</v>
      </c>
      <c r="C230" s="20"/>
      <c r="D230" s="20"/>
      <c r="E230" s="20"/>
      <c r="F230" s="20"/>
      <c r="G230" s="20"/>
      <c r="H230" s="20"/>
      <c r="I230" s="20"/>
      <c r="J230" s="20"/>
      <c r="K230" s="20"/>
      <c r="L230" s="20"/>
      <c r="M230" s="20"/>
      <c r="N230" s="20"/>
      <c r="O230" s="20"/>
      <c r="P230" s="20"/>
      <c r="Q230" s="20"/>
      <c r="R230" s="20"/>
      <c r="S230" s="20"/>
      <c r="T230" s="20"/>
      <c r="U230" s="13">
        <f t="shared" si="13"/>
        <v>0</v>
      </c>
      <c r="V230" s="20"/>
      <c r="W230" s="20"/>
    </row>
    <row r="231" spans="1:23" s="154" customFormat="1" x14ac:dyDescent="0.25">
      <c r="A231" s="44"/>
      <c r="B231" s="94" t="s">
        <v>150</v>
      </c>
      <c r="C231" s="36">
        <v>1</v>
      </c>
      <c r="D231" s="25"/>
      <c r="E231" s="14"/>
      <c r="F231" s="14"/>
      <c r="G231" s="14"/>
      <c r="H231" s="14">
        <v>1000</v>
      </c>
      <c r="I231" s="14"/>
      <c r="J231" s="14">
        <v>500</v>
      </c>
      <c r="K231" s="14"/>
      <c r="L231" s="14">
        <v>250</v>
      </c>
      <c r="M231" s="14">
        <v>250</v>
      </c>
      <c r="N231" s="14"/>
      <c r="O231" s="14"/>
      <c r="P231" s="14">
        <v>1000</v>
      </c>
      <c r="Q231" s="14"/>
      <c r="R231" s="14"/>
      <c r="S231" s="14"/>
      <c r="T231" s="14"/>
      <c r="U231" s="13">
        <f t="shared" si="13"/>
        <v>3000</v>
      </c>
      <c r="V231" s="25">
        <v>35.700000000000003</v>
      </c>
      <c r="W231" s="15">
        <f t="shared" si="14"/>
        <v>107100.00000000001</v>
      </c>
    </row>
    <row r="232" spans="1:23" s="154" customFormat="1" x14ac:dyDescent="0.25">
      <c r="A232" s="44"/>
      <c r="B232" s="94" t="s">
        <v>151</v>
      </c>
      <c r="C232" s="36">
        <v>1</v>
      </c>
      <c r="D232" s="25"/>
      <c r="E232" s="14"/>
      <c r="F232" s="14"/>
      <c r="G232" s="14"/>
      <c r="H232" s="14">
        <v>500</v>
      </c>
      <c r="I232" s="14"/>
      <c r="J232" s="14">
        <v>300</v>
      </c>
      <c r="K232" s="14"/>
      <c r="L232" s="14">
        <v>200</v>
      </c>
      <c r="M232" s="14">
        <v>200</v>
      </c>
      <c r="N232" s="14"/>
      <c r="O232" s="14"/>
      <c r="P232" s="14">
        <v>500</v>
      </c>
      <c r="Q232" s="14"/>
      <c r="R232" s="14"/>
      <c r="S232" s="14"/>
      <c r="T232" s="14"/>
      <c r="U232" s="13">
        <f t="shared" si="13"/>
        <v>1700</v>
      </c>
      <c r="V232" s="25">
        <v>56.3</v>
      </c>
      <c r="W232" s="15">
        <f t="shared" si="14"/>
        <v>95710</v>
      </c>
    </row>
    <row r="233" spans="1:23" s="154" customFormat="1" ht="60" x14ac:dyDescent="0.25">
      <c r="A233" s="44">
        <v>28</v>
      </c>
      <c r="B233" s="94" t="s">
        <v>127</v>
      </c>
      <c r="C233" s="20"/>
      <c r="D233" s="20"/>
      <c r="E233" s="20"/>
      <c r="F233" s="20"/>
      <c r="G233" s="20"/>
      <c r="H233" s="20"/>
      <c r="I233" s="20"/>
      <c r="J233" s="20"/>
      <c r="K233" s="20"/>
      <c r="L233" s="20"/>
      <c r="M233" s="20"/>
      <c r="N233" s="20"/>
      <c r="O233" s="20"/>
      <c r="P233" s="20"/>
      <c r="Q233" s="20"/>
      <c r="R233" s="20"/>
      <c r="S233" s="20"/>
      <c r="T233" s="20"/>
      <c r="U233" s="13">
        <f t="shared" si="13"/>
        <v>0</v>
      </c>
      <c r="V233" s="20"/>
      <c r="W233" s="20"/>
    </row>
    <row r="234" spans="1:23" s="154" customFormat="1" x14ac:dyDescent="0.25">
      <c r="A234" s="44"/>
      <c r="B234" s="94" t="s">
        <v>153</v>
      </c>
      <c r="C234" s="38">
        <v>1</v>
      </c>
      <c r="D234" s="25"/>
      <c r="E234" s="14"/>
      <c r="F234" s="14"/>
      <c r="G234" s="14"/>
      <c r="H234" s="14">
        <v>10</v>
      </c>
      <c r="I234" s="14"/>
      <c r="J234" s="14">
        <v>5</v>
      </c>
      <c r="K234" s="14"/>
      <c r="L234" s="14">
        <v>3</v>
      </c>
      <c r="M234" s="14">
        <v>3</v>
      </c>
      <c r="N234" s="14"/>
      <c r="O234" s="14"/>
      <c r="P234" s="14">
        <v>10</v>
      </c>
      <c r="Q234" s="14"/>
      <c r="R234" s="14"/>
      <c r="S234" s="14"/>
      <c r="T234" s="14"/>
      <c r="U234" s="13">
        <f t="shared" si="13"/>
        <v>31</v>
      </c>
      <c r="V234" s="25">
        <v>522.75</v>
      </c>
      <c r="W234" s="15">
        <f t="shared" si="14"/>
        <v>16205.25</v>
      </c>
    </row>
    <row r="235" spans="1:23" s="154" customFormat="1" x14ac:dyDescent="0.25">
      <c r="A235" s="44">
        <v>29</v>
      </c>
      <c r="B235" s="94" t="s">
        <v>182</v>
      </c>
      <c r="C235" s="38">
        <v>1</v>
      </c>
      <c r="D235" s="25"/>
      <c r="E235" s="14"/>
      <c r="F235" s="14"/>
      <c r="G235" s="14"/>
      <c r="H235" s="14">
        <v>50</v>
      </c>
      <c r="I235" s="14"/>
      <c r="J235" s="14">
        <v>35</v>
      </c>
      <c r="K235" s="14"/>
      <c r="L235" s="14">
        <v>20</v>
      </c>
      <c r="M235" s="14">
        <v>20</v>
      </c>
      <c r="N235" s="14"/>
      <c r="O235" s="14"/>
      <c r="P235" s="14">
        <v>50</v>
      </c>
      <c r="Q235" s="14"/>
      <c r="R235" s="14"/>
      <c r="S235" s="14"/>
      <c r="T235" s="14"/>
      <c r="U235" s="13">
        <f t="shared" si="13"/>
        <v>175</v>
      </c>
      <c r="V235" s="25">
        <v>102.7</v>
      </c>
      <c r="W235" s="15">
        <f t="shared" si="14"/>
        <v>17972.5</v>
      </c>
    </row>
    <row r="236" spans="1:23" s="154" customFormat="1" ht="30" x14ac:dyDescent="0.25">
      <c r="A236" s="44">
        <v>30</v>
      </c>
      <c r="B236" s="94" t="s">
        <v>183</v>
      </c>
      <c r="C236" s="38">
        <v>1</v>
      </c>
      <c r="D236" s="25"/>
      <c r="E236" s="14"/>
      <c r="F236" s="14"/>
      <c r="G236" s="14"/>
      <c r="H236" s="14">
        <v>15</v>
      </c>
      <c r="I236" s="14"/>
      <c r="J236" s="14">
        <v>10</v>
      </c>
      <c r="K236" s="14"/>
      <c r="L236" s="14">
        <v>5</v>
      </c>
      <c r="M236" s="14">
        <v>5</v>
      </c>
      <c r="N236" s="14"/>
      <c r="O236" s="14"/>
      <c r="P236" s="14">
        <v>15</v>
      </c>
      <c r="Q236" s="14"/>
      <c r="R236" s="14"/>
      <c r="S236" s="14"/>
      <c r="T236" s="14"/>
      <c r="U236" s="13">
        <f t="shared" si="13"/>
        <v>50</v>
      </c>
      <c r="V236" s="25">
        <v>178.75</v>
      </c>
      <c r="W236" s="15">
        <f t="shared" si="14"/>
        <v>8937.5</v>
      </c>
    </row>
    <row r="237" spans="1:23" s="154" customFormat="1" x14ac:dyDescent="0.25">
      <c r="A237" s="44">
        <v>31</v>
      </c>
      <c r="B237" s="94" t="s">
        <v>132</v>
      </c>
      <c r="C237" s="38">
        <v>1</v>
      </c>
      <c r="D237" s="25"/>
      <c r="E237" s="14"/>
      <c r="F237" s="14"/>
      <c r="G237" s="14"/>
      <c r="H237" s="14">
        <v>15</v>
      </c>
      <c r="I237" s="14"/>
      <c r="J237" s="14">
        <v>10</v>
      </c>
      <c r="K237" s="14"/>
      <c r="L237" s="14">
        <v>5</v>
      </c>
      <c r="M237" s="14">
        <v>5</v>
      </c>
      <c r="N237" s="14"/>
      <c r="O237" s="14"/>
      <c r="P237" s="14">
        <v>15</v>
      </c>
      <c r="Q237" s="14"/>
      <c r="R237" s="14"/>
      <c r="S237" s="14"/>
      <c r="T237" s="14"/>
      <c r="U237" s="13">
        <f t="shared" si="13"/>
        <v>50</v>
      </c>
      <c r="V237" s="25">
        <v>96.3</v>
      </c>
      <c r="W237" s="15">
        <f t="shared" si="14"/>
        <v>4815</v>
      </c>
    </row>
    <row r="238" spans="1:23" s="154" customFormat="1" ht="90.75" x14ac:dyDescent="0.25">
      <c r="A238" s="44">
        <v>32</v>
      </c>
      <c r="B238" s="94" t="s">
        <v>184</v>
      </c>
      <c r="C238" s="37">
        <v>1</v>
      </c>
      <c r="D238" s="25"/>
      <c r="E238" s="14"/>
      <c r="F238" s="14"/>
      <c r="G238" s="14"/>
      <c r="H238" s="14">
        <v>1</v>
      </c>
      <c r="I238" s="14"/>
      <c r="J238" s="14">
        <v>1</v>
      </c>
      <c r="K238" s="14"/>
      <c r="L238" s="14">
        <v>1</v>
      </c>
      <c r="M238" s="14">
        <v>1</v>
      </c>
      <c r="N238" s="14"/>
      <c r="O238" s="14"/>
      <c r="P238" s="14">
        <v>1</v>
      </c>
      <c r="Q238" s="14"/>
      <c r="R238" s="14"/>
      <c r="S238" s="14"/>
      <c r="T238" s="14"/>
      <c r="U238" s="13">
        <f t="shared" si="13"/>
        <v>5</v>
      </c>
      <c r="V238" s="25">
        <v>5616.25</v>
      </c>
      <c r="W238" s="15">
        <f t="shared" si="14"/>
        <v>28081.25</v>
      </c>
    </row>
    <row r="239" spans="1:23" s="154" customFormat="1" ht="90.75" x14ac:dyDescent="0.25">
      <c r="A239" s="44">
        <v>33</v>
      </c>
      <c r="B239" s="94" t="s">
        <v>185</v>
      </c>
      <c r="C239" s="37">
        <v>1</v>
      </c>
      <c r="D239" s="25"/>
      <c r="E239" s="14"/>
      <c r="F239" s="14"/>
      <c r="G239" s="14"/>
      <c r="H239" s="14">
        <v>10</v>
      </c>
      <c r="I239" s="14"/>
      <c r="J239" s="14">
        <v>5</v>
      </c>
      <c r="K239" s="14"/>
      <c r="L239" s="14">
        <v>2</v>
      </c>
      <c r="M239" s="14">
        <v>2</v>
      </c>
      <c r="N239" s="14"/>
      <c r="O239" s="14"/>
      <c r="P239" s="14">
        <v>10</v>
      </c>
      <c r="Q239" s="14"/>
      <c r="R239" s="14"/>
      <c r="S239" s="14"/>
      <c r="T239" s="14"/>
      <c r="U239" s="13">
        <f t="shared" si="13"/>
        <v>29</v>
      </c>
      <c r="V239" s="25">
        <v>1453.75</v>
      </c>
      <c r="W239" s="15">
        <f t="shared" si="14"/>
        <v>42158.75</v>
      </c>
    </row>
    <row r="240" spans="1:23" s="154" customFormat="1" ht="60" x14ac:dyDescent="0.25">
      <c r="A240" s="44">
        <v>34</v>
      </c>
      <c r="B240" s="94" t="s">
        <v>186</v>
      </c>
      <c r="C240" s="38">
        <v>1</v>
      </c>
      <c r="D240" s="25"/>
      <c r="E240" s="14"/>
      <c r="F240" s="14"/>
      <c r="G240" s="14"/>
      <c r="H240" s="14">
        <v>10</v>
      </c>
      <c r="I240" s="14"/>
      <c r="J240" s="14">
        <v>6</v>
      </c>
      <c r="K240" s="14"/>
      <c r="L240" s="14">
        <v>4</v>
      </c>
      <c r="M240" s="14">
        <v>4</v>
      </c>
      <c r="N240" s="14"/>
      <c r="O240" s="14"/>
      <c r="P240" s="14">
        <v>10</v>
      </c>
      <c r="Q240" s="14"/>
      <c r="R240" s="14"/>
      <c r="S240" s="14"/>
      <c r="T240" s="14"/>
      <c r="U240" s="13">
        <f t="shared" si="13"/>
        <v>34</v>
      </c>
      <c r="V240" s="25">
        <v>11398.45</v>
      </c>
      <c r="W240" s="15">
        <f t="shared" si="14"/>
        <v>387547.30000000005</v>
      </c>
    </row>
    <row r="241" spans="1:25" s="154" customFormat="1" ht="60" x14ac:dyDescent="0.25">
      <c r="A241" s="44">
        <v>35</v>
      </c>
      <c r="B241" s="94" t="s">
        <v>139</v>
      </c>
      <c r="C241" s="37">
        <v>1</v>
      </c>
      <c r="D241" s="25"/>
      <c r="E241" s="14"/>
      <c r="F241" s="14"/>
      <c r="G241" s="14"/>
      <c r="H241" s="14">
        <v>15</v>
      </c>
      <c r="I241" s="14"/>
      <c r="J241" s="14">
        <v>10</v>
      </c>
      <c r="K241" s="14"/>
      <c r="L241" s="14">
        <v>5</v>
      </c>
      <c r="M241" s="14">
        <v>5</v>
      </c>
      <c r="N241" s="14"/>
      <c r="O241" s="14"/>
      <c r="P241" s="14">
        <v>15</v>
      </c>
      <c r="Q241" s="14"/>
      <c r="R241" s="14"/>
      <c r="S241" s="14"/>
      <c r="T241" s="14"/>
      <c r="U241" s="13">
        <f t="shared" si="13"/>
        <v>50</v>
      </c>
      <c r="V241" s="25">
        <v>1995.3</v>
      </c>
      <c r="W241" s="15">
        <f t="shared" si="14"/>
        <v>99765</v>
      </c>
    </row>
    <row r="242" spans="1:25" s="154" customFormat="1" x14ac:dyDescent="0.25">
      <c r="A242" s="44"/>
      <c r="B242" s="137" t="s">
        <v>193</v>
      </c>
      <c r="C242" s="42"/>
      <c r="D242" s="42"/>
      <c r="E242" s="42"/>
      <c r="F242" s="42"/>
      <c r="G242" s="42"/>
      <c r="H242" s="42"/>
      <c r="I242" s="42"/>
      <c r="J242" s="42"/>
      <c r="K242" s="42"/>
      <c r="L242" s="42"/>
      <c r="M242" s="42"/>
      <c r="N242" s="42"/>
      <c r="O242" s="42"/>
      <c r="P242" s="42"/>
      <c r="Q242" s="42"/>
      <c r="R242" s="42"/>
      <c r="S242" s="42"/>
      <c r="T242" s="42"/>
      <c r="U242" s="13">
        <f t="shared" si="13"/>
        <v>0</v>
      </c>
      <c r="V242" s="42"/>
      <c r="W242" s="42"/>
    </row>
    <row r="243" spans="1:25" s="154" customFormat="1" ht="30" x14ac:dyDescent="0.25">
      <c r="A243" s="120">
        <v>36</v>
      </c>
      <c r="B243" s="96" t="s">
        <v>58</v>
      </c>
      <c r="C243" s="12">
        <v>1000</v>
      </c>
      <c r="D243" s="102"/>
      <c r="E243" s="14"/>
      <c r="F243" s="14"/>
      <c r="G243" s="14"/>
      <c r="H243" s="14"/>
      <c r="I243" s="14"/>
      <c r="J243" s="14">
        <v>34138.375</v>
      </c>
      <c r="K243" s="14"/>
      <c r="L243" s="14">
        <v>10698.490000000002</v>
      </c>
      <c r="M243" s="14">
        <v>14034.924999999999</v>
      </c>
      <c r="N243" s="14"/>
      <c r="O243" s="14"/>
      <c r="P243" s="14"/>
      <c r="Q243" s="14"/>
      <c r="R243" s="14"/>
      <c r="S243" s="14"/>
      <c r="T243" s="14"/>
      <c r="U243" s="13">
        <f t="shared" si="13"/>
        <v>58871.790000000008</v>
      </c>
      <c r="V243" s="25">
        <v>10533.6</v>
      </c>
      <c r="W243" s="15">
        <f t="shared" si="14"/>
        <v>620131.88714400004</v>
      </c>
    </row>
    <row r="244" spans="1:25" s="154" customFormat="1" ht="60" x14ac:dyDescent="0.25">
      <c r="A244" s="120">
        <v>37</v>
      </c>
      <c r="B244" s="96" t="s">
        <v>194</v>
      </c>
      <c r="C244" s="12">
        <v>1000</v>
      </c>
      <c r="D244" s="102"/>
      <c r="E244" s="14"/>
      <c r="F244" s="14"/>
      <c r="G244" s="14"/>
      <c r="H244" s="14"/>
      <c r="I244" s="14"/>
      <c r="J244" s="14">
        <v>34138.375</v>
      </c>
      <c r="K244" s="14"/>
      <c r="L244" s="14">
        <v>10698.490000000002</v>
      </c>
      <c r="M244" s="14">
        <v>14034.924999999999</v>
      </c>
      <c r="N244" s="14"/>
      <c r="O244" s="14"/>
      <c r="P244" s="14"/>
      <c r="Q244" s="14"/>
      <c r="R244" s="14"/>
      <c r="S244" s="14"/>
      <c r="T244" s="14"/>
      <c r="U244" s="13">
        <f t="shared" si="13"/>
        <v>58871.790000000008</v>
      </c>
      <c r="V244" s="25">
        <v>1437.5</v>
      </c>
      <c r="W244" s="15">
        <f t="shared" si="14"/>
        <v>84628.19812500001</v>
      </c>
    </row>
    <row r="245" spans="1:25" s="154" customFormat="1" ht="60" x14ac:dyDescent="0.25">
      <c r="A245" s="120">
        <v>38</v>
      </c>
      <c r="B245" s="96" t="s">
        <v>195</v>
      </c>
      <c r="C245" s="12">
        <v>1000</v>
      </c>
      <c r="D245" s="102"/>
      <c r="E245" s="14"/>
      <c r="F245" s="14"/>
      <c r="G245" s="14"/>
      <c r="H245" s="14"/>
      <c r="I245" s="14"/>
      <c r="J245" s="14">
        <v>5910.3</v>
      </c>
      <c r="K245" s="14"/>
      <c r="L245" s="14">
        <v>4319.8550000000005</v>
      </c>
      <c r="M245" s="14">
        <v>4319.8550000000005</v>
      </c>
      <c r="N245" s="14"/>
      <c r="O245" s="14"/>
      <c r="P245" s="14"/>
      <c r="Q245" s="14"/>
      <c r="R245" s="14"/>
      <c r="S245" s="14"/>
      <c r="T245" s="14"/>
      <c r="U245" s="13">
        <f t="shared" si="13"/>
        <v>14550.010000000002</v>
      </c>
      <c r="V245" s="25">
        <v>5033.7</v>
      </c>
      <c r="W245" s="15">
        <f t="shared" si="14"/>
        <v>73240.385337000014</v>
      </c>
    </row>
    <row r="246" spans="1:25" s="154" customFormat="1" x14ac:dyDescent="0.25">
      <c r="A246" s="120"/>
      <c r="B246" s="96" t="s">
        <v>196</v>
      </c>
      <c r="C246" s="43"/>
      <c r="D246" s="43"/>
      <c r="E246" s="43"/>
      <c r="F246" s="43"/>
      <c r="G246" s="43"/>
      <c r="H246" s="43"/>
      <c r="I246" s="43"/>
      <c r="J246" s="43"/>
      <c r="K246" s="43"/>
      <c r="L246" s="43"/>
      <c r="M246" s="43"/>
      <c r="N246" s="43"/>
      <c r="O246" s="43"/>
      <c r="P246" s="43"/>
      <c r="Q246" s="43"/>
      <c r="R246" s="43"/>
      <c r="S246" s="43"/>
      <c r="T246" s="43"/>
      <c r="U246" s="13">
        <f t="shared" si="13"/>
        <v>0</v>
      </c>
      <c r="V246" s="43"/>
      <c r="W246" s="43"/>
    </row>
    <row r="247" spans="1:25" s="154" customFormat="1" x14ac:dyDescent="0.25">
      <c r="A247" s="120"/>
      <c r="B247" s="96" t="s">
        <v>197</v>
      </c>
      <c r="C247" s="19">
        <v>100</v>
      </c>
      <c r="D247" s="102"/>
      <c r="E247" s="13"/>
      <c r="F247" s="13"/>
      <c r="G247" s="13"/>
      <c r="H247" s="13"/>
      <c r="I247" s="13"/>
      <c r="J247" s="13">
        <v>1100</v>
      </c>
      <c r="K247" s="13"/>
      <c r="L247" s="13">
        <v>700</v>
      </c>
      <c r="M247" s="13">
        <v>700</v>
      </c>
      <c r="N247" s="13"/>
      <c r="O247" s="13"/>
      <c r="P247" s="13"/>
      <c r="Q247" s="13"/>
      <c r="R247" s="13"/>
      <c r="S247" s="13"/>
      <c r="T247" s="13"/>
      <c r="U247" s="13">
        <f t="shared" si="13"/>
        <v>2500</v>
      </c>
      <c r="V247" s="14">
        <v>6512.05</v>
      </c>
      <c r="W247" s="15">
        <f t="shared" si="14"/>
        <v>162801.25</v>
      </c>
    </row>
    <row r="248" spans="1:25" s="154" customFormat="1" x14ac:dyDescent="0.25">
      <c r="A248" s="120"/>
      <c r="B248" s="96" t="s">
        <v>198</v>
      </c>
      <c r="C248" s="19">
        <v>100</v>
      </c>
      <c r="D248" s="102"/>
      <c r="E248" s="13"/>
      <c r="F248" s="13"/>
      <c r="G248" s="13"/>
      <c r="H248" s="13"/>
      <c r="I248" s="13"/>
      <c r="J248" s="13">
        <v>1540</v>
      </c>
      <c r="K248" s="13"/>
      <c r="L248" s="13">
        <v>1168</v>
      </c>
      <c r="M248" s="13">
        <v>1168</v>
      </c>
      <c r="N248" s="13"/>
      <c r="O248" s="13"/>
      <c r="P248" s="13"/>
      <c r="Q248" s="13"/>
      <c r="R248" s="13"/>
      <c r="S248" s="13"/>
      <c r="T248" s="13"/>
      <c r="U248" s="13">
        <f t="shared" si="13"/>
        <v>3876</v>
      </c>
      <c r="V248" s="14">
        <v>7363.45</v>
      </c>
      <c r="W248" s="15">
        <f t="shared" si="14"/>
        <v>285407.32199999999</v>
      </c>
    </row>
    <row r="249" spans="1:25" s="154" customFormat="1" ht="30" x14ac:dyDescent="0.25">
      <c r="A249" s="120">
        <v>39</v>
      </c>
      <c r="B249" s="96" t="s">
        <v>199</v>
      </c>
      <c r="C249" s="43"/>
      <c r="D249" s="43"/>
      <c r="E249" s="43"/>
      <c r="F249" s="43"/>
      <c r="G249" s="43"/>
      <c r="H249" s="43"/>
      <c r="I249" s="43"/>
      <c r="J249" s="43"/>
      <c r="K249" s="43"/>
      <c r="L249" s="43"/>
      <c r="M249" s="43"/>
      <c r="N249" s="43"/>
      <c r="O249" s="43"/>
      <c r="P249" s="43"/>
      <c r="Q249" s="43"/>
      <c r="R249" s="43"/>
      <c r="S249" s="43"/>
      <c r="T249" s="43"/>
      <c r="U249" s="13">
        <f t="shared" si="13"/>
        <v>0</v>
      </c>
      <c r="V249" s="43"/>
      <c r="W249" s="43"/>
    </row>
    <row r="250" spans="1:25" s="154" customFormat="1" x14ac:dyDescent="0.25">
      <c r="A250" s="120"/>
      <c r="B250" s="96" t="s">
        <v>200</v>
      </c>
      <c r="C250" s="12">
        <v>100</v>
      </c>
      <c r="D250" s="102"/>
      <c r="E250" s="14"/>
      <c r="F250" s="14"/>
      <c r="G250" s="14"/>
      <c r="H250" s="14"/>
      <c r="I250" s="14"/>
      <c r="J250" s="14">
        <v>376.75</v>
      </c>
      <c r="K250" s="14"/>
      <c r="L250" s="14">
        <v>239.75</v>
      </c>
      <c r="M250" s="14">
        <v>239.75</v>
      </c>
      <c r="N250" s="14"/>
      <c r="O250" s="14"/>
      <c r="P250" s="14"/>
      <c r="Q250" s="14"/>
      <c r="R250" s="14"/>
      <c r="S250" s="14"/>
      <c r="T250" s="14"/>
      <c r="U250" s="13">
        <f t="shared" si="13"/>
        <v>856.25</v>
      </c>
      <c r="V250" s="13">
        <v>49016.9</v>
      </c>
      <c r="W250" s="15">
        <f t="shared" si="14"/>
        <v>419707.20624999999</v>
      </c>
    </row>
    <row r="251" spans="1:25" s="154" customFormat="1" x14ac:dyDescent="0.25">
      <c r="A251" s="120"/>
      <c r="B251" s="96" t="s">
        <v>201</v>
      </c>
      <c r="C251" s="12">
        <v>100</v>
      </c>
      <c r="D251" s="102"/>
      <c r="E251" s="14"/>
      <c r="F251" s="14"/>
      <c r="G251" s="14"/>
      <c r="H251" s="14"/>
      <c r="I251" s="14"/>
      <c r="J251" s="14">
        <v>527.45000000000005</v>
      </c>
      <c r="K251" s="14"/>
      <c r="L251" s="14">
        <v>400.04</v>
      </c>
      <c r="M251" s="14">
        <v>400.04</v>
      </c>
      <c r="N251" s="14"/>
      <c r="O251" s="14"/>
      <c r="P251" s="14"/>
      <c r="Q251" s="14"/>
      <c r="R251" s="14"/>
      <c r="S251" s="14"/>
      <c r="T251" s="14"/>
      <c r="U251" s="13">
        <f t="shared" si="13"/>
        <v>1327.53</v>
      </c>
      <c r="V251" s="13">
        <v>51301.8</v>
      </c>
      <c r="W251" s="15">
        <f t="shared" si="14"/>
        <v>681046.78554000007</v>
      </c>
    </row>
    <row r="252" spans="1:25" s="154" customFormat="1" ht="30" x14ac:dyDescent="0.25">
      <c r="A252" s="120">
        <v>40</v>
      </c>
      <c r="B252" s="96" t="s">
        <v>202</v>
      </c>
      <c r="C252" s="36">
        <v>1</v>
      </c>
      <c r="D252" s="102"/>
      <c r="E252" s="14"/>
      <c r="F252" s="14"/>
      <c r="G252" s="14"/>
      <c r="H252" s="14"/>
      <c r="I252" s="14"/>
      <c r="J252" s="14">
        <v>264</v>
      </c>
      <c r="K252" s="14"/>
      <c r="L252" s="14">
        <v>186.8</v>
      </c>
      <c r="M252" s="14">
        <v>186.8</v>
      </c>
      <c r="N252" s="14"/>
      <c r="O252" s="14"/>
      <c r="P252" s="14"/>
      <c r="Q252" s="14"/>
      <c r="R252" s="14"/>
      <c r="S252" s="14"/>
      <c r="T252" s="14"/>
      <c r="U252" s="13">
        <f t="shared" si="13"/>
        <v>637.6</v>
      </c>
      <c r="V252" s="14">
        <v>17.3</v>
      </c>
      <c r="W252" s="15">
        <f t="shared" si="14"/>
        <v>11030.480000000001</v>
      </c>
    </row>
    <row r="253" spans="1:25" s="154" customFormat="1" ht="30" x14ac:dyDescent="0.25">
      <c r="A253" s="120">
        <v>41</v>
      </c>
      <c r="B253" s="96" t="s">
        <v>203</v>
      </c>
      <c r="C253" s="19">
        <v>100</v>
      </c>
      <c r="D253" s="102"/>
      <c r="E253" s="14"/>
      <c r="F253" s="14"/>
      <c r="G253" s="14"/>
      <c r="H253" s="14"/>
      <c r="I253" s="14"/>
      <c r="J253" s="14">
        <v>132</v>
      </c>
      <c r="K253" s="14"/>
      <c r="L253" s="14">
        <v>93.4</v>
      </c>
      <c r="M253" s="14">
        <v>93.4</v>
      </c>
      <c r="N253" s="14"/>
      <c r="O253" s="14"/>
      <c r="P253" s="14"/>
      <c r="Q253" s="14"/>
      <c r="R253" s="14"/>
      <c r="S253" s="14"/>
      <c r="T253" s="14"/>
      <c r="U253" s="13">
        <f t="shared" si="13"/>
        <v>318.8</v>
      </c>
      <c r="V253" s="25">
        <v>1539.8</v>
      </c>
      <c r="W253" s="15">
        <f t="shared" si="14"/>
        <v>4908.8823999999995</v>
      </c>
    </row>
    <row r="254" spans="1:25" s="154" customFormat="1" ht="22.5" x14ac:dyDescent="0.25">
      <c r="A254" s="198">
        <v>10</v>
      </c>
      <c r="B254" s="198" t="s">
        <v>403</v>
      </c>
      <c r="C254" s="101"/>
      <c r="D254" s="101"/>
      <c r="E254" s="101"/>
      <c r="F254" s="101"/>
      <c r="G254" s="101"/>
      <c r="H254" s="101"/>
      <c r="I254" s="101"/>
      <c r="J254" s="101"/>
      <c r="K254" s="101"/>
      <c r="L254" s="101"/>
      <c r="M254" s="101"/>
      <c r="N254" s="101"/>
      <c r="O254" s="101"/>
      <c r="P254" s="101"/>
      <c r="Q254" s="101"/>
      <c r="R254" s="101"/>
      <c r="S254" s="101"/>
      <c r="T254" s="101"/>
      <c r="U254" s="101"/>
      <c r="V254" s="101"/>
      <c r="W254" s="101"/>
    </row>
    <row r="255" spans="1:25" s="154" customFormat="1" ht="75.75" x14ac:dyDescent="0.25">
      <c r="A255" s="118">
        <v>1</v>
      </c>
      <c r="B255" s="94" t="s">
        <v>204</v>
      </c>
      <c r="C255" s="12">
        <v>1000</v>
      </c>
      <c r="D255" s="25"/>
      <c r="E255" s="14"/>
      <c r="F255" s="14"/>
      <c r="G255" s="14"/>
      <c r="H255" s="14"/>
      <c r="I255" s="14"/>
      <c r="J255" s="14">
        <v>14140.759900000003</v>
      </c>
      <c r="K255" s="14">
        <v>3514.6564000000008</v>
      </c>
      <c r="L255" s="14">
        <v>12209.000500000002</v>
      </c>
      <c r="M255" s="14">
        <v>11890.325300000002</v>
      </c>
      <c r="N255" s="14">
        <v>4728.6509999999998</v>
      </c>
      <c r="O255" s="14"/>
      <c r="P255" s="14"/>
      <c r="Q255" s="14"/>
      <c r="R255" s="14"/>
      <c r="S255" s="14"/>
      <c r="T255" s="14"/>
      <c r="U255" s="13">
        <f t="shared" ref="U255:U269" si="15">SUM(D255:T255)</f>
        <v>46483.393100000008</v>
      </c>
      <c r="V255" s="14">
        <v>15824.15</v>
      </c>
      <c r="W255" s="15">
        <f t="shared" si="14"/>
        <v>735560.18492336513</v>
      </c>
      <c r="X255" s="191">
        <f>SUM(W255:W270)</f>
        <v>31715323.406500399</v>
      </c>
      <c r="Y255" s="154">
        <v>31715324</v>
      </c>
    </row>
    <row r="256" spans="1:25" s="154" customFormat="1" ht="45" x14ac:dyDescent="0.25">
      <c r="A256" s="44">
        <v>2</v>
      </c>
      <c r="B256" s="92" t="s">
        <v>106</v>
      </c>
      <c r="C256" s="11"/>
      <c r="D256" s="11"/>
      <c r="E256" s="11"/>
      <c r="F256" s="11"/>
      <c r="G256" s="11"/>
      <c r="H256" s="11"/>
      <c r="I256" s="11"/>
      <c r="J256" s="11"/>
      <c r="K256" s="11"/>
      <c r="L256" s="11"/>
      <c r="M256" s="11"/>
      <c r="N256" s="11"/>
      <c r="O256" s="11"/>
      <c r="P256" s="11"/>
      <c r="Q256" s="11"/>
      <c r="R256" s="11"/>
      <c r="S256" s="11"/>
      <c r="T256" s="11"/>
      <c r="U256" s="13">
        <f t="shared" si="15"/>
        <v>0</v>
      </c>
      <c r="V256" s="11"/>
      <c r="W256" s="11"/>
      <c r="X256" s="187">
        <f>Y255-X255</f>
        <v>0.59349960088729858</v>
      </c>
    </row>
    <row r="257" spans="1:24" s="154" customFormat="1" x14ac:dyDescent="0.25">
      <c r="A257" s="44"/>
      <c r="B257" s="92" t="s">
        <v>21</v>
      </c>
      <c r="C257" s="12">
        <v>100</v>
      </c>
      <c r="D257" s="25"/>
      <c r="E257" s="14"/>
      <c r="F257" s="14"/>
      <c r="G257" s="14"/>
      <c r="H257" s="14"/>
      <c r="I257" s="14"/>
      <c r="J257" s="14">
        <v>1744.5219</v>
      </c>
      <c r="K257" s="14">
        <v>463.38600000000008</v>
      </c>
      <c r="L257" s="14">
        <v>1730.8731</v>
      </c>
      <c r="M257" s="14">
        <v>1730.8731</v>
      </c>
      <c r="N257" s="14">
        <v>695.07900000000018</v>
      </c>
      <c r="O257" s="14"/>
      <c r="P257" s="14"/>
      <c r="Q257" s="14"/>
      <c r="R257" s="14"/>
      <c r="S257" s="14"/>
      <c r="T257" s="14"/>
      <c r="U257" s="13">
        <f t="shared" si="15"/>
        <v>6364.7330999999995</v>
      </c>
      <c r="V257" s="14">
        <v>34694.300000000003</v>
      </c>
      <c r="W257" s="15">
        <f t="shared" si="14"/>
        <v>2208199.5959132998</v>
      </c>
    </row>
    <row r="258" spans="1:24" s="154" customFormat="1" x14ac:dyDescent="0.25">
      <c r="A258" s="44"/>
      <c r="B258" s="92" t="s">
        <v>107</v>
      </c>
      <c r="C258" s="12">
        <v>100</v>
      </c>
      <c r="D258" s="25"/>
      <c r="E258" s="14"/>
      <c r="F258" s="14"/>
      <c r="G258" s="14"/>
      <c r="H258" s="14"/>
      <c r="I258" s="14"/>
      <c r="J258" s="14">
        <v>180.36562499999994</v>
      </c>
      <c r="K258" s="14">
        <v>48.097499999999997</v>
      </c>
      <c r="L258" s="14">
        <v>180.36562499999994</v>
      </c>
      <c r="M258" s="14">
        <v>180.36562499999994</v>
      </c>
      <c r="N258" s="14">
        <v>72.146249999999995</v>
      </c>
      <c r="O258" s="14"/>
      <c r="P258" s="14"/>
      <c r="Q258" s="14"/>
      <c r="R258" s="14"/>
      <c r="S258" s="14"/>
      <c r="T258" s="14"/>
      <c r="U258" s="13">
        <f t="shared" si="15"/>
        <v>661.34062499999982</v>
      </c>
      <c r="V258" s="14">
        <v>47135.9</v>
      </c>
      <c r="W258" s="15">
        <f t="shared" si="14"/>
        <v>311728.85565937491</v>
      </c>
    </row>
    <row r="259" spans="1:24" s="154" customFormat="1" ht="30" x14ac:dyDescent="0.25">
      <c r="A259" s="44">
        <v>3</v>
      </c>
      <c r="B259" s="94" t="s">
        <v>70</v>
      </c>
      <c r="C259" s="12">
        <v>100</v>
      </c>
      <c r="D259" s="25"/>
      <c r="E259" s="14"/>
      <c r="F259" s="14"/>
      <c r="G259" s="14"/>
      <c r="H259" s="14"/>
      <c r="I259" s="14"/>
      <c r="J259" s="14">
        <v>2798.8875000000007</v>
      </c>
      <c r="K259" s="14">
        <v>746.37</v>
      </c>
      <c r="L259" s="14">
        <v>2798.8875000000007</v>
      </c>
      <c r="M259" s="14">
        <v>2798.8875000000007</v>
      </c>
      <c r="N259" s="14">
        <v>1119.5550000000001</v>
      </c>
      <c r="O259" s="14"/>
      <c r="P259" s="14"/>
      <c r="Q259" s="14"/>
      <c r="R259" s="14"/>
      <c r="S259" s="14"/>
      <c r="T259" s="14"/>
      <c r="U259" s="13">
        <f t="shared" si="15"/>
        <v>10262.587500000001</v>
      </c>
      <c r="V259" s="14">
        <v>35727</v>
      </c>
      <c r="W259" s="15">
        <f t="shared" si="14"/>
        <v>3666514.6361250007</v>
      </c>
    </row>
    <row r="260" spans="1:24" s="154" customFormat="1" ht="120" x14ac:dyDescent="0.25">
      <c r="A260" s="44">
        <v>4</v>
      </c>
      <c r="B260" s="94" t="s">
        <v>85</v>
      </c>
      <c r="C260" s="20"/>
      <c r="D260" s="20"/>
      <c r="E260" s="20"/>
      <c r="F260" s="20"/>
      <c r="G260" s="20"/>
      <c r="H260" s="20"/>
      <c r="I260" s="20"/>
      <c r="J260" s="20"/>
      <c r="K260" s="20"/>
      <c r="L260" s="20"/>
      <c r="M260" s="20"/>
      <c r="N260" s="20"/>
      <c r="O260" s="20"/>
      <c r="P260" s="20"/>
      <c r="Q260" s="20"/>
      <c r="R260" s="20"/>
      <c r="S260" s="20"/>
      <c r="T260" s="20"/>
      <c r="U260" s="13">
        <f t="shared" si="15"/>
        <v>0</v>
      </c>
      <c r="V260" s="20"/>
      <c r="W260" s="20"/>
    </row>
    <row r="261" spans="1:24" s="154" customFormat="1" ht="75" x14ac:dyDescent="0.25">
      <c r="A261" s="122"/>
      <c r="B261" s="94" t="s">
        <v>86</v>
      </c>
      <c r="C261" s="12">
        <v>1</v>
      </c>
      <c r="D261" s="25"/>
      <c r="E261" s="14"/>
      <c r="F261" s="14"/>
      <c r="G261" s="14"/>
      <c r="H261" s="14"/>
      <c r="I261" s="14"/>
      <c r="J261" s="14">
        <v>2377.125</v>
      </c>
      <c r="K261" s="14">
        <v>625.5</v>
      </c>
      <c r="L261" s="14">
        <v>2314.125</v>
      </c>
      <c r="M261" s="14">
        <v>2314.125</v>
      </c>
      <c r="N261" s="14">
        <v>938.25</v>
      </c>
      <c r="O261" s="14"/>
      <c r="P261" s="14"/>
      <c r="Q261" s="14"/>
      <c r="R261" s="14"/>
      <c r="S261" s="14"/>
      <c r="T261" s="14"/>
      <c r="U261" s="13">
        <f t="shared" si="15"/>
        <v>8569.125</v>
      </c>
      <c r="V261" s="14">
        <v>817.55</v>
      </c>
      <c r="W261" s="15">
        <f t="shared" si="14"/>
        <v>7005688.1437499998</v>
      </c>
    </row>
    <row r="262" spans="1:24" s="154" customFormat="1" ht="75" x14ac:dyDescent="0.25">
      <c r="A262" s="122"/>
      <c r="B262" s="94" t="s">
        <v>160</v>
      </c>
      <c r="C262" s="12">
        <v>1</v>
      </c>
      <c r="D262" s="25"/>
      <c r="E262" s="14"/>
      <c r="F262" s="14"/>
      <c r="G262" s="14"/>
      <c r="H262" s="14"/>
      <c r="I262" s="14"/>
      <c r="J262" s="14">
        <v>823.5</v>
      </c>
      <c r="K262" s="14">
        <v>216</v>
      </c>
      <c r="L262" s="14">
        <v>796.5</v>
      </c>
      <c r="M262" s="14">
        <v>796.5</v>
      </c>
      <c r="N262" s="14">
        <v>324</v>
      </c>
      <c r="O262" s="14"/>
      <c r="P262" s="14"/>
      <c r="Q262" s="14"/>
      <c r="R262" s="14"/>
      <c r="S262" s="14"/>
      <c r="T262" s="14"/>
      <c r="U262" s="13">
        <f t="shared" si="15"/>
        <v>2956.5</v>
      </c>
      <c r="V262" s="14">
        <v>670.5</v>
      </c>
      <c r="W262" s="15">
        <f t="shared" si="14"/>
        <v>1982333.25</v>
      </c>
    </row>
    <row r="263" spans="1:24" s="154" customFormat="1" ht="90" x14ac:dyDescent="0.25">
      <c r="A263" s="122">
        <v>5</v>
      </c>
      <c r="B263" s="94" t="s">
        <v>205</v>
      </c>
      <c r="C263" s="29">
        <v>100</v>
      </c>
      <c r="D263" s="25"/>
      <c r="E263" s="14"/>
      <c r="F263" s="14"/>
      <c r="G263" s="14"/>
      <c r="H263" s="14"/>
      <c r="I263" s="14"/>
      <c r="J263" s="14">
        <v>9601.875</v>
      </c>
      <c r="K263" s="14">
        <v>2524.5</v>
      </c>
      <c r="L263" s="14">
        <v>9331.875</v>
      </c>
      <c r="M263" s="14">
        <v>9331.875</v>
      </c>
      <c r="N263" s="14">
        <v>3786.75</v>
      </c>
      <c r="O263" s="14"/>
      <c r="P263" s="14"/>
      <c r="Q263" s="14"/>
      <c r="R263" s="14"/>
      <c r="S263" s="14"/>
      <c r="T263" s="14"/>
      <c r="U263" s="13">
        <f t="shared" si="15"/>
        <v>34576.875</v>
      </c>
      <c r="V263" s="30">
        <v>30376.9</v>
      </c>
      <c r="W263" s="15">
        <f t="shared" si="14"/>
        <v>10503382.741875</v>
      </c>
    </row>
    <row r="264" spans="1:24" s="154" customFormat="1" ht="30" x14ac:dyDescent="0.25">
      <c r="A264" s="44">
        <v>6</v>
      </c>
      <c r="B264" s="131" t="s">
        <v>206</v>
      </c>
      <c r="C264" s="12">
        <v>100</v>
      </c>
      <c r="D264" s="25"/>
      <c r="E264" s="14"/>
      <c r="F264" s="14"/>
      <c r="G264" s="14"/>
      <c r="H264" s="14"/>
      <c r="I264" s="14"/>
      <c r="J264" s="14">
        <v>4464.8392000000003</v>
      </c>
      <c r="K264" s="14">
        <v>949.98720000000037</v>
      </c>
      <c r="L264" s="14">
        <v>2649.9022000000004</v>
      </c>
      <c r="M264" s="14">
        <v>2331.2270000000012</v>
      </c>
      <c r="N264" s="14">
        <v>881.64719999999977</v>
      </c>
      <c r="O264" s="14"/>
      <c r="P264" s="14"/>
      <c r="Q264" s="14"/>
      <c r="R264" s="14"/>
      <c r="S264" s="14"/>
      <c r="T264" s="14"/>
      <c r="U264" s="13">
        <f t="shared" si="15"/>
        <v>11277.602800000002</v>
      </c>
      <c r="V264" s="25">
        <v>6849</v>
      </c>
      <c r="W264" s="15">
        <f t="shared" si="14"/>
        <v>772403.01577200007</v>
      </c>
    </row>
    <row r="265" spans="1:24" s="154" customFormat="1" x14ac:dyDescent="0.25">
      <c r="A265" s="44">
        <v>7</v>
      </c>
      <c r="B265" s="94" t="s">
        <v>59</v>
      </c>
      <c r="C265" s="12">
        <v>1000</v>
      </c>
      <c r="D265" s="25"/>
      <c r="E265" s="14"/>
      <c r="F265" s="14"/>
      <c r="G265" s="14"/>
      <c r="H265" s="14"/>
      <c r="I265" s="14"/>
      <c r="J265" s="14">
        <v>4880</v>
      </c>
      <c r="K265" s="14">
        <v>1280</v>
      </c>
      <c r="L265" s="14">
        <v>4720</v>
      </c>
      <c r="M265" s="14">
        <v>4720</v>
      </c>
      <c r="N265" s="14">
        <v>1920</v>
      </c>
      <c r="O265" s="14"/>
      <c r="P265" s="14"/>
      <c r="Q265" s="14"/>
      <c r="R265" s="14"/>
      <c r="S265" s="14"/>
      <c r="T265" s="14"/>
      <c r="U265" s="13">
        <f t="shared" si="15"/>
        <v>17520</v>
      </c>
      <c r="V265" s="13">
        <v>5266.8</v>
      </c>
      <c r="W265" s="15">
        <f t="shared" si="14"/>
        <v>92274.335999999996</v>
      </c>
    </row>
    <row r="266" spans="1:24" s="154" customFormat="1" ht="75.75" x14ac:dyDescent="0.25">
      <c r="A266" s="44">
        <v>8</v>
      </c>
      <c r="B266" s="94" t="s">
        <v>36</v>
      </c>
      <c r="C266" s="22"/>
      <c r="D266" s="22"/>
      <c r="E266" s="22"/>
      <c r="F266" s="22"/>
      <c r="G266" s="22"/>
      <c r="H266" s="22"/>
      <c r="I266" s="22"/>
      <c r="J266" s="22"/>
      <c r="K266" s="22"/>
      <c r="L266" s="22"/>
      <c r="M266" s="22"/>
      <c r="N266" s="22"/>
      <c r="O266" s="22"/>
      <c r="P266" s="22"/>
      <c r="Q266" s="22"/>
      <c r="R266" s="22"/>
      <c r="S266" s="22"/>
      <c r="T266" s="22"/>
      <c r="U266" s="13">
        <f t="shared" si="15"/>
        <v>0</v>
      </c>
      <c r="V266" s="22"/>
      <c r="W266" s="22"/>
    </row>
    <row r="267" spans="1:24" s="154" customFormat="1" x14ac:dyDescent="0.25">
      <c r="A267" s="44" t="s">
        <v>60</v>
      </c>
      <c r="B267" s="94" t="s">
        <v>61</v>
      </c>
      <c r="C267" s="12">
        <v>100</v>
      </c>
      <c r="D267" s="25"/>
      <c r="E267" s="14"/>
      <c r="F267" s="14"/>
      <c r="G267" s="14"/>
      <c r="H267" s="14"/>
      <c r="I267" s="14"/>
      <c r="J267" s="14">
        <v>1674.7410239999999</v>
      </c>
      <c r="K267" s="14">
        <v>444.85056000000009</v>
      </c>
      <c r="L267" s="14">
        <v>1661.6381759999999</v>
      </c>
      <c r="M267" s="14">
        <v>1661.6381759999999</v>
      </c>
      <c r="N267" s="14">
        <v>667.27584000000013</v>
      </c>
      <c r="O267" s="14"/>
      <c r="P267" s="14"/>
      <c r="Q267" s="14"/>
      <c r="R267" s="14"/>
      <c r="S267" s="14"/>
      <c r="T267" s="14"/>
      <c r="U267" s="13">
        <f t="shared" si="15"/>
        <v>6110.1437759999999</v>
      </c>
      <c r="V267" s="13">
        <v>14042.6</v>
      </c>
      <c r="W267" s="15">
        <f t="shared" ref="W267:W330" si="16">V267*U267/C267</f>
        <v>858023.04988857592</v>
      </c>
    </row>
    <row r="268" spans="1:24" s="154" customFormat="1" x14ac:dyDescent="0.25">
      <c r="A268" s="44" t="s">
        <v>60</v>
      </c>
      <c r="B268" s="94" t="s">
        <v>38</v>
      </c>
      <c r="C268" s="12">
        <v>100</v>
      </c>
      <c r="D268" s="25"/>
      <c r="E268" s="14"/>
      <c r="F268" s="14"/>
      <c r="G268" s="14"/>
      <c r="H268" s="14"/>
      <c r="I268" s="14"/>
      <c r="J268" s="14">
        <v>158.72174999999996</v>
      </c>
      <c r="K268" s="14">
        <v>42.325799999999994</v>
      </c>
      <c r="L268" s="14">
        <v>158.72174999999996</v>
      </c>
      <c r="M268" s="14">
        <v>158.72174999999996</v>
      </c>
      <c r="N268" s="14">
        <v>63.488699999999994</v>
      </c>
      <c r="O268" s="14"/>
      <c r="P268" s="14"/>
      <c r="Q268" s="14"/>
      <c r="R268" s="14"/>
      <c r="S268" s="14"/>
      <c r="T268" s="14"/>
      <c r="U268" s="13">
        <f t="shared" si="15"/>
        <v>581.97974999999985</v>
      </c>
      <c r="V268" s="13">
        <v>14042.6</v>
      </c>
      <c r="W268" s="15">
        <f t="shared" si="16"/>
        <v>81725.088373499981</v>
      </c>
    </row>
    <row r="269" spans="1:24" s="154" customFormat="1" x14ac:dyDescent="0.25">
      <c r="A269" s="44" t="s">
        <v>37</v>
      </c>
      <c r="B269" s="94" t="s">
        <v>62</v>
      </c>
      <c r="C269" s="12">
        <v>100</v>
      </c>
      <c r="D269" s="25"/>
      <c r="E269" s="14"/>
      <c r="F269" s="14"/>
      <c r="G269" s="14"/>
      <c r="H269" s="14"/>
      <c r="I269" s="14"/>
      <c r="J269" s="14">
        <v>2688.5250000000001</v>
      </c>
      <c r="K269" s="14">
        <v>706.86</v>
      </c>
      <c r="L269" s="14">
        <v>2612.9249999999997</v>
      </c>
      <c r="M269" s="14">
        <v>2612.9249999999997</v>
      </c>
      <c r="N269" s="14">
        <v>1060.29</v>
      </c>
      <c r="O269" s="14"/>
      <c r="P269" s="14"/>
      <c r="Q269" s="14"/>
      <c r="R269" s="14"/>
      <c r="S269" s="14"/>
      <c r="T269" s="14"/>
      <c r="U269" s="13">
        <f t="shared" si="15"/>
        <v>9681.5249999999978</v>
      </c>
      <c r="V269" s="13">
        <v>14042.6</v>
      </c>
      <c r="W269" s="15">
        <f t="shared" si="16"/>
        <v>1359537.8296499997</v>
      </c>
    </row>
    <row r="270" spans="1:24" s="154" customFormat="1" x14ac:dyDescent="0.25">
      <c r="A270" s="44" t="s">
        <v>63</v>
      </c>
      <c r="B270" s="94" t="s">
        <v>207</v>
      </c>
      <c r="C270" s="12">
        <v>100</v>
      </c>
      <c r="D270" s="25"/>
      <c r="E270" s="14"/>
      <c r="F270" s="14"/>
      <c r="G270" s="14"/>
      <c r="H270" s="14"/>
      <c r="I270" s="14"/>
      <c r="J270" s="14">
        <v>6027.5329200000006</v>
      </c>
      <c r="K270" s="14">
        <v>1282.4827200000007</v>
      </c>
      <c r="L270" s="14">
        <v>3577.3679700000007</v>
      </c>
      <c r="M270" s="14">
        <v>3147.1564500000018</v>
      </c>
      <c r="N270" s="14">
        <v>1190.2237199999997</v>
      </c>
      <c r="O270" s="14"/>
      <c r="P270" s="14"/>
      <c r="Q270" s="14"/>
      <c r="R270" s="14"/>
      <c r="S270" s="14"/>
      <c r="T270" s="14"/>
      <c r="U270" s="13">
        <f>SUM(D270:T270)</f>
        <v>15224.763780000005</v>
      </c>
      <c r="V270" s="13">
        <v>14042.6</v>
      </c>
      <c r="W270" s="15">
        <f t="shared" si="16"/>
        <v>2137952.6785702808</v>
      </c>
    </row>
    <row r="271" spans="1:24" ht="22.5" x14ac:dyDescent="0.25">
      <c r="A271" s="198">
        <v>11</v>
      </c>
      <c r="B271" s="198" t="s">
        <v>404</v>
      </c>
      <c r="C271" s="101"/>
      <c r="D271" s="101"/>
      <c r="E271" s="101"/>
      <c r="F271" s="101"/>
      <c r="G271" s="101"/>
      <c r="H271" s="101"/>
      <c r="I271" s="101"/>
      <c r="J271" s="101"/>
      <c r="K271" s="101"/>
      <c r="L271" s="101"/>
      <c r="M271" s="101"/>
      <c r="N271" s="101"/>
      <c r="O271" s="101"/>
      <c r="P271" s="101"/>
      <c r="Q271" s="101"/>
      <c r="R271" s="101"/>
      <c r="S271" s="101"/>
      <c r="T271" s="101"/>
      <c r="U271" s="101"/>
      <c r="V271" s="101"/>
      <c r="W271" s="101"/>
    </row>
    <row r="272" spans="1:24" ht="75.75" x14ac:dyDescent="0.25">
      <c r="A272" s="118">
        <v>1</v>
      </c>
      <c r="B272" s="94" t="s">
        <v>301</v>
      </c>
      <c r="C272" s="12">
        <v>1000</v>
      </c>
      <c r="D272" s="25">
        <v>72531.663749999992</v>
      </c>
      <c r="E272" s="25"/>
      <c r="F272" s="25"/>
      <c r="G272" s="25"/>
      <c r="H272" s="25"/>
      <c r="I272" s="25"/>
      <c r="J272" s="25"/>
      <c r="K272" s="25"/>
      <c r="L272" s="25"/>
      <c r="M272" s="25"/>
      <c r="N272" s="25"/>
      <c r="O272" s="25"/>
      <c r="P272" s="25"/>
      <c r="Q272" s="25"/>
      <c r="R272" s="25"/>
      <c r="S272" s="25"/>
      <c r="T272" s="25"/>
      <c r="U272" s="13">
        <f t="shared" ref="U272:U335" si="17">SUM(D272:T272)</f>
        <v>72531.663749999992</v>
      </c>
      <c r="V272" s="14">
        <v>15824.15</v>
      </c>
      <c r="W272" s="15">
        <f t="shared" si="16"/>
        <v>1147751.9269295624</v>
      </c>
      <c r="X272" s="186">
        <f>SUM(W272:W350)</f>
        <v>157218842.13167644</v>
      </c>
    </row>
    <row r="273" spans="1:23" x14ac:dyDescent="0.25">
      <c r="A273" s="118">
        <v>2</v>
      </c>
      <c r="B273" s="94" t="s">
        <v>302</v>
      </c>
      <c r="C273" s="19">
        <v>1</v>
      </c>
      <c r="D273" s="25">
        <v>88776.1875</v>
      </c>
      <c r="E273" s="25"/>
      <c r="F273" s="25"/>
      <c r="G273" s="25"/>
      <c r="H273" s="25"/>
      <c r="I273" s="25"/>
      <c r="J273" s="25"/>
      <c r="K273" s="25"/>
      <c r="L273" s="25"/>
      <c r="M273" s="25"/>
      <c r="N273" s="25"/>
      <c r="O273" s="25"/>
      <c r="P273" s="25"/>
      <c r="Q273" s="25"/>
      <c r="R273" s="25"/>
      <c r="S273" s="25"/>
      <c r="T273" s="25"/>
      <c r="U273" s="13">
        <f t="shared" si="17"/>
        <v>88776.1875</v>
      </c>
      <c r="V273" s="25">
        <v>12.55</v>
      </c>
      <c r="W273" s="15">
        <f t="shared" si="16"/>
        <v>1114141.153125</v>
      </c>
    </row>
    <row r="274" spans="1:23" ht="45" x14ac:dyDescent="0.25">
      <c r="A274" s="44">
        <v>3</v>
      </c>
      <c r="B274" s="94" t="s">
        <v>20</v>
      </c>
      <c r="C274" s="22"/>
      <c r="D274" s="22"/>
      <c r="E274" s="22"/>
      <c r="F274" s="22"/>
      <c r="G274" s="22"/>
      <c r="H274" s="22"/>
      <c r="I274" s="22"/>
      <c r="J274" s="22"/>
      <c r="K274" s="22"/>
      <c r="L274" s="22"/>
      <c r="M274" s="22"/>
      <c r="N274" s="22"/>
      <c r="O274" s="22"/>
      <c r="P274" s="22"/>
      <c r="Q274" s="22"/>
      <c r="R274" s="22"/>
      <c r="S274" s="22"/>
      <c r="T274" s="22"/>
      <c r="U274" s="13">
        <f t="shared" si="17"/>
        <v>0</v>
      </c>
      <c r="V274" s="22"/>
      <c r="W274" s="22"/>
    </row>
    <row r="275" spans="1:23" x14ac:dyDescent="0.25">
      <c r="A275" s="44"/>
      <c r="B275" s="94" t="s">
        <v>21</v>
      </c>
      <c r="C275" s="12">
        <v>100</v>
      </c>
      <c r="D275" s="25">
        <v>11548.92375</v>
      </c>
      <c r="E275" s="14"/>
      <c r="F275" s="14"/>
      <c r="G275" s="14"/>
      <c r="H275" s="14"/>
      <c r="I275" s="14"/>
      <c r="J275" s="14"/>
      <c r="K275" s="14"/>
      <c r="L275" s="14"/>
      <c r="M275" s="14"/>
      <c r="N275" s="14"/>
      <c r="O275" s="14"/>
      <c r="P275" s="14"/>
      <c r="Q275" s="14"/>
      <c r="R275" s="14"/>
      <c r="S275" s="14"/>
      <c r="T275" s="14"/>
      <c r="U275" s="13">
        <f t="shared" si="17"/>
        <v>11548.92375</v>
      </c>
      <c r="V275" s="14">
        <v>34694.300000000003</v>
      </c>
      <c r="W275" s="15">
        <f t="shared" si="16"/>
        <v>4006818.2525962503</v>
      </c>
    </row>
    <row r="276" spans="1:23" ht="30" x14ac:dyDescent="0.25">
      <c r="A276" s="44">
        <v>4</v>
      </c>
      <c r="B276" s="94" t="s">
        <v>22</v>
      </c>
      <c r="C276" s="12">
        <v>100</v>
      </c>
      <c r="D276" s="25">
        <v>44360.679999999993</v>
      </c>
      <c r="E276" s="14"/>
      <c r="F276" s="14"/>
      <c r="G276" s="14"/>
      <c r="H276" s="14"/>
      <c r="I276" s="14"/>
      <c r="J276" s="14"/>
      <c r="K276" s="14"/>
      <c r="L276" s="14"/>
      <c r="M276" s="14"/>
      <c r="N276" s="14"/>
      <c r="O276" s="14"/>
      <c r="P276" s="14"/>
      <c r="Q276" s="14"/>
      <c r="R276" s="14"/>
      <c r="S276" s="14"/>
      <c r="T276" s="14"/>
      <c r="U276" s="13">
        <f t="shared" si="17"/>
        <v>44360.679999999993</v>
      </c>
      <c r="V276" s="14">
        <v>32675.95</v>
      </c>
      <c r="W276" s="15">
        <f t="shared" si="16"/>
        <v>14495273.616459999</v>
      </c>
    </row>
    <row r="277" spans="1:23" ht="60" x14ac:dyDescent="0.25">
      <c r="A277" s="44">
        <v>5</v>
      </c>
      <c r="B277" s="94" t="s">
        <v>92</v>
      </c>
      <c r="C277" s="19">
        <v>100</v>
      </c>
      <c r="D277" s="25">
        <v>8834.109375</v>
      </c>
      <c r="E277" s="14"/>
      <c r="F277" s="14"/>
      <c r="G277" s="14"/>
      <c r="H277" s="14"/>
      <c r="I277" s="14"/>
      <c r="J277" s="14"/>
      <c r="K277" s="14"/>
      <c r="L277" s="14"/>
      <c r="M277" s="14"/>
      <c r="N277" s="14"/>
      <c r="O277" s="14"/>
      <c r="P277" s="14"/>
      <c r="Q277" s="14"/>
      <c r="R277" s="14"/>
      <c r="S277" s="14"/>
      <c r="T277" s="14"/>
      <c r="U277" s="13">
        <f t="shared" si="17"/>
        <v>8834.109375</v>
      </c>
      <c r="V277" s="14">
        <v>11460.2</v>
      </c>
      <c r="W277" s="15">
        <f t="shared" si="16"/>
        <v>1012406.6025937501</v>
      </c>
    </row>
    <row r="278" spans="1:23" ht="60" x14ac:dyDescent="0.25">
      <c r="A278" s="44">
        <v>6</v>
      </c>
      <c r="B278" s="94" t="s">
        <v>93</v>
      </c>
      <c r="C278" s="19">
        <v>100</v>
      </c>
      <c r="D278" s="25">
        <v>8771.49</v>
      </c>
      <c r="E278" s="14"/>
      <c r="F278" s="14"/>
      <c r="G278" s="14"/>
      <c r="H278" s="14"/>
      <c r="I278" s="14"/>
      <c r="J278" s="14"/>
      <c r="K278" s="14"/>
      <c r="L278" s="14"/>
      <c r="M278" s="14"/>
      <c r="N278" s="14"/>
      <c r="O278" s="14"/>
      <c r="P278" s="14"/>
      <c r="Q278" s="14"/>
      <c r="R278" s="14"/>
      <c r="S278" s="14"/>
      <c r="T278" s="14"/>
      <c r="U278" s="13">
        <f t="shared" si="17"/>
        <v>8771.49</v>
      </c>
      <c r="V278" s="14">
        <v>7607.35</v>
      </c>
      <c r="W278" s="15">
        <f t="shared" si="16"/>
        <v>667277.94451499998</v>
      </c>
    </row>
    <row r="279" spans="1:23" ht="30" x14ac:dyDescent="0.25">
      <c r="A279" s="44">
        <v>7</v>
      </c>
      <c r="B279" s="94" t="s">
        <v>94</v>
      </c>
      <c r="C279" s="12">
        <v>1000</v>
      </c>
      <c r="D279" s="25">
        <v>31674.37</v>
      </c>
      <c r="E279" s="14"/>
      <c r="F279" s="14"/>
      <c r="G279" s="14"/>
      <c r="H279" s="14"/>
      <c r="I279" s="14"/>
      <c r="J279" s="14"/>
      <c r="K279" s="14"/>
      <c r="L279" s="14"/>
      <c r="M279" s="14"/>
      <c r="N279" s="14"/>
      <c r="O279" s="14"/>
      <c r="P279" s="14"/>
      <c r="Q279" s="14"/>
      <c r="R279" s="14"/>
      <c r="S279" s="14"/>
      <c r="T279" s="14"/>
      <c r="U279" s="13">
        <f t="shared" si="17"/>
        <v>31674.37</v>
      </c>
      <c r="V279" s="14">
        <v>7547.75</v>
      </c>
      <c r="W279" s="15">
        <f t="shared" si="16"/>
        <v>239070.22616749999</v>
      </c>
    </row>
    <row r="280" spans="1:23" ht="30" x14ac:dyDescent="0.25">
      <c r="A280" s="44">
        <v>8</v>
      </c>
      <c r="B280" s="94" t="s">
        <v>303</v>
      </c>
      <c r="C280" s="12">
        <v>100</v>
      </c>
      <c r="D280" s="25">
        <v>47794.11</v>
      </c>
      <c r="E280" s="14"/>
      <c r="F280" s="14"/>
      <c r="G280" s="14"/>
      <c r="H280" s="14"/>
      <c r="I280" s="14"/>
      <c r="J280" s="14"/>
      <c r="K280" s="14"/>
      <c r="L280" s="14"/>
      <c r="M280" s="14"/>
      <c r="N280" s="14"/>
      <c r="O280" s="14"/>
      <c r="P280" s="14"/>
      <c r="Q280" s="14"/>
      <c r="R280" s="14"/>
      <c r="S280" s="14"/>
      <c r="T280" s="14"/>
      <c r="U280" s="13">
        <f t="shared" si="17"/>
        <v>47794.11</v>
      </c>
      <c r="V280" s="14">
        <v>35830.6</v>
      </c>
      <c r="W280" s="15">
        <f t="shared" si="16"/>
        <v>17124916.377659999</v>
      </c>
    </row>
    <row r="281" spans="1:23" s="154" customFormat="1" ht="195.75" x14ac:dyDescent="0.25">
      <c r="A281" s="122">
        <v>9</v>
      </c>
      <c r="B281" s="94" t="s">
        <v>304</v>
      </c>
      <c r="C281" s="12">
        <v>1</v>
      </c>
      <c r="D281" s="25">
        <v>21724.43</v>
      </c>
      <c r="E281" s="14"/>
      <c r="F281" s="14"/>
      <c r="G281" s="14"/>
      <c r="H281" s="14"/>
      <c r="I281" s="14"/>
      <c r="J281" s="14"/>
      <c r="K281" s="14"/>
      <c r="L281" s="14"/>
      <c r="M281" s="14"/>
      <c r="N281" s="14"/>
      <c r="O281" s="14"/>
      <c r="P281" s="14"/>
      <c r="Q281" s="14"/>
      <c r="R281" s="14"/>
      <c r="S281" s="14"/>
      <c r="T281" s="14"/>
      <c r="U281" s="13">
        <f t="shared" si="17"/>
        <v>21724.43</v>
      </c>
      <c r="V281" s="14">
        <v>741.85</v>
      </c>
      <c r="W281" s="15">
        <f t="shared" si="16"/>
        <v>16116268.395500001</v>
      </c>
    </row>
    <row r="282" spans="1:23" s="154" customFormat="1" ht="90" x14ac:dyDescent="0.25">
      <c r="A282" s="122">
        <v>10</v>
      </c>
      <c r="B282" s="94" t="s">
        <v>98</v>
      </c>
      <c r="C282" s="29">
        <v>100</v>
      </c>
      <c r="D282" s="25">
        <v>65173.289999999994</v>
      </c>
      <c r="E282" s="14"/>
      <c r="F282" s="14"/>
      <c r="G282" s="14"/>
      <c r="H282" s="14"/>
      <c r="I282" s="14"/>
      <c r="J282" s="14"/>
      <c r="K282" s="14"/>
      <c r="L282" s="14"/>
      <c r="M282" s="14"/>
      <c r="N282" s="14"/>
      <c r="O282" s="14"/>
      <c r="P282" s="14"/>
      <c r="Q282" s="14"/>
      <c r="R282" s="14"/>
      <c r="S282" s="14"/>
      <c r="T282" s="14"/>
      <c r="U282" s="13">
        <f t="shared" si="17"/>
        <v>65173.289999999994</v>
      </c>
      <c r="V282" s="14">
        <v>30376.9</v>
      </c>
      <c r="W282" s="15">
        <f t="shared" si="16"/>
        <v>19797625.130009998</v>
      </c>
    </row>
    <row r="283" spans="1:23" s="154" customFormat="1" ht="180" x14ac:dyDescent="0.25">
      <c r="A283" s="44">
        <v>11</v>
      </c>
      <c r="B283" s="94" t="s">
        <v>99</v>
      </c>
      <c r="C283" s="19">
        <v>1</v>
      </c>
      <c r="D283" s="25">
        <v>3276</v>
      </c>
      <c r="E283" s="14"/>
      <c r="F283" s="14"/>
      <c r="G283" s="14"/>
      <c r="H283" s="14"/>
      <c r="I283" s="14"/>
      <c r="J283" s="14"/>
      <c r="K283" s="14"/>
      <c r="L283" s="14"/>
      <c r="M283" s="14"/>
      <c r="N283" s="14"/>
      <c r="O283" s="14"/>
      <c r="P283" s="14"/>
      <c r="Q283" s="14"/>
      <c r="R283" s="14"/>
      <c r="S283" s="14"/>
      <c r="T283" s="14"/>
      <c r="U283" s="13">
        <f t="shared" si="17"/>
        <v>3276</v>
      </c>
      <c r="V283" s="14">
        <v>2180.6999999999998</v>
      </c>
      <c r="W283" s="15">
        <f t="shared" si="16"/>
        <v>7143973.1999999993</v>
      </c>
    </row>
    <row r="284" spans="1:23" s="154" customFormat="1" ht="60" x14ac:dyDescent="0.25">
      <c r="A284" s="44">
        <v>12</v>
      </c>
      <c r="B284" s="94" t="s">
        <v>100</v>
      </c>
      <c r="C284" s="19">
        <v>1</v>
      </c>
      <c r="D284" s="25">
        <v>3822</v>
      </c>
      <c r="E284" s="14"/>
      <c r="F284" s="14"/>
      <c r="G284" s="14"/>
      <c r="H284" s="14"/>
      <c r="I284" s="14"/>
      <c r="J284" s="14"/>
      <c r="K284" s="14"/>
      <c r="L284" s="14"/>
      <c r="M284" s="14"/>
      <c r="N284" s="14"/>
      <c r="O284" s="14"/>
      <c r="P284" s="14"/>
      <c r="Q284" s="14"/>
      <c r="R284" s="14"/>
      <c r="S284" s="14"/>
      <c r="T284" s="14"/>
      <c r="U284" s="13">
        <f t="shared" si="17"/>
        <v>3822</v>
      </c>
      <c r="V284" s="14">
        <v>457.1</v>
      </c>
      <c r="W284" s="15">
        <f t="shared" si="16"/>
        <v>1747036.2000000002</v>
      </c>
    </row>
    <row r="285" spans="1:23" s="154" customFormat="1" ht="90" x14ac:dyDescent="0.25">
      <c r="A285" s="44">
        <v>13</v>
      </c>
      <c r="B285" s="94" t="s">
        <v>305</v>
      </c>
      <c r="C285" s="19">
        <v>1</v>
      </c>
      <c r="D285" s="25">
        <v>3822</v>
      </c>
      <c r="E285" s="14"/>
      <c r="F285" s="14"/>
      <c r="G285" s="14"/>
      <c r="H285" s="14"/>
      <c r="I285" s="14"/>
      <c r="J285" s="14"/>
      <c r="K285" s="14"/>
      <c r="L285" s="14"/>
      <c r="M285" s="14"/>
      <c r="N285" s="14"/>
      <c r="O285" s="14"/>
      <c r="P285" s="14"/>
      <c r="Q285" s="14"/>
      <c r="R285" s="14"/>
      <c r="S285" s="14"/>
      <c r="T285" s="14"/>
      <c r="U285" s="13">
        <f t="shared" si="17"/>
        <v>3822</v>
      </c>
      <c r="V285" s="14">
        <v>638.85</v>
      </c>
      <c r="W285" s="15">
        <f t="shared" si="16"/>
        <v>2441684.7000000002</v>
      </c>
    </row>
    <row r="286" spans="1:23" s="154" customFormat="1" ht="75" x14ac:dyDescent="0.25">
      <c r="A286" s="118">
        <v>14</v>
      </c>
      <c r="B286" s="94" t="s">
        <v>102</v>
      </c>
      <c r="C286" s="19">
        <v>100</v>
      </c>
      <c r="D286" s="25">
        <v>33854.84375</v>
      </c>
      <c r="E286" s="14"/>
      <c r="F286" s="14"/>
      <c r="G286" s="14"/>
      <c r="H286" s="14"/>
      <c r="I286" s="14"/>
      <c r="J286" s="14"/>
      <c r="K286" s="14"/>
      <c r="L286" s="14"/>
      <c r="M286" s="14"/>
      <c r="N286" s="14"/>
      <c r="O286" s="14"/>
      <c r="P286" s="14"/>
      <c r="Q286" s="14"/>
      <c r="R286" s="14"/>
      <c r="S286" s="14"/>
      <c r="T286" s="14"/>
      <c r="U286" s="13">
        <f t="shared" si="17"/>
        <v>33854.84375</v>
      </c>
      <c r="V286" s="14">
        <v>13179.6</v>
      </c>
      <c r="W286" s="15">
        <f t="shared" si="16"/>
        <v>4461932.9868750004</v>
      </c>
    </row>
    <row r="287" spans="1:23" s="154" customFormat="1" ht="30" x14ac:dyDescent="0.25">
      <c r="A287" s="118">
        <v>15</v>
      </c>
      <c r="B287" s="94" t="s">
        <v>103</v>
      </c>
      <c r="C287" s="19">
        <v>1</v>
      </c>
      <c r="D287" s="25">
        <v>34218.84375</v>
      </c>
      <c r="E287" s="14"/>
      <c r="F287" s="14"/>
      <c r="G287" s="14"/>
      <c r="H287" s="14"/>
      <c r="I287" s="14"/>
      <c r="J287" s="14"/>
      <c r="K287" s="14"/>
      <c r="L287" s="14"/>
      <c r="M287" s="14"/>
      <c r="N287" s="14"/>
      <c r="O287" s="14"/>
      <c r="P287" s="14"/>
      <c r="Q287" s="14"/>
      <c r="R287" s="14"/>
      <c r="S287" s="14"/>
      <c r="T287" s="14"/>
      <c r="U287" s="13">
        <f t="shared" si="17"/>
        <v>34218.84375</v>
      </c>
      <c r="V287" s="14">
        <v>11</v>
      </c>
      <c r="W287" s="15">
        <f t="shared" si="16"/>
        <v>376407.28125</v>
      </c>
    </row>
    <row r="288" spans="1:23" s="154" customFormat="1" x14ac:dyDescent="0.25">
      <c r="A288" s="44">
        <v>16</v>
      </c>
      <c r="B288" s="94" t="s">
        <v>104</v>
      </c>
      <c r="C288" s="12">
        <v>100</v>
      </c>
      <c r="D288" s="25">
        <v>7420.14</v>
      </c>
      <c r="E288" s="14"/>
      <c r="F288" s="14"/>
      <c r="G288" s="14"/>
      <c r="H288" s="14"/>
      <c r="I288" s="14"/>
      <c r="J288" s="14"/>
      <c r="K288" s="14"/>
      <c r="L288" s="14"/>
      <c r="M288" s="14"/>
      <c r="N288" s="14"/>
      <c r="O288" s="14"/>
      <c r="P288" s="14"/>
      <c r="Q288" s="14"/>
      <c r="R288" s="14"/>
      <c r="S288" s="14"/>
      <c r="T288" s="14"/>
      <c r="U288" s="13">
        <f t="shared" si="17"/>
        <v>7420.14</v>
      </c>
      <c r="V288" s="25">
        <v>3987</v>
      </c>
      <c r="W288" s="15">
        <f t="shared" si="16"/>
        <v>295840.98180000001</v>
      </c>
    </row>
    <row r="289" spans="1:23" s="154" customFormat="1" ht="45" x14ac:dyDescent="0.25">
      <c r="A289" s="118">
        <v>17</v>
      </c>
      <c r="B289" s="94" t="s">
        <v>105</v>
      </c>
      <c r="C289" s="12">
        <v>100</v>
      </c>
      <c r="D289" s="25">
        <v>9109.1</v>
      </c>
      <c r="E289" s="25"/>
      <c r="F289" s="25"/>
      <c r="G289" s="25"/>
      <c r="H289" s="25"/>
      <c r="I289" s="25"/>
      <c r="J289" s="25"/>
      <c r="K289" s="25"/>
      <c r="L289" s="25"/>
      <c r="M289" s="25"/>
      <c r="N289" s="25"/>
      <c r="O289" s="25"/>
      <c r="P289" s="25"/>
      <c r="Q289" s="25"/>
      <c r="R289" s="25"/>
      <c r="S289" s="25"/>
      <c r="T289" s="25"/>
      <c r="U289" s="13">
        <f t="shared" si="17"/>
        <v>9109.1</v>
      </c>
      <c r="V289" s="25">
        <v>12801.2</v>
      </c>
      <c r="W289" s="15">
        <f t="shared" si="16"/>
        <v>1166074.1092000001</v>
      </c>
    </row>
    <row r="290" spans="1:23" s="154" customFormat="1" ht="90" x14ac:dyDescent="0.25">
      <c r="A290" s="118">
        <v>18</v>
      </c>
      <c r="B290" s="94" t="s">
        <v>191</v>
      </c>
      <c r="C290" s="19">
        <v>100</v>
      </c>
      <c r="D290" s="25">
        <v>22325.37125</v>
      </c>
      <c r="E290" s="25"/>
      <c r="F290" s="25"/>
      <c r="G290" s="25"/>
      <c r="H290" s="25"/>
      <c r="I290" s="25"/>
      <c r="J290" s="25"/>
      <c r="K290" s="25"/>
      <c r="L290" s="25"/>
      <c r="M290" s="25"/>
      <c r="N290" s="25"/>
      <c r="O290" s="25"/>
      <c r="P290" s="25"/>
      <c r="Q290" s="25"/>
      <c r="R290" s="25"/>
      <c r="S290" s="25"/>
      <c r="T290" s="25"/>
      <c r="U290" s="13">
        <f t="shared" si="17"/>
        <v>22325.37125</v>
      </c>
      <c r="V290" s="25">
        <v>29658.5</v>
      </c>
      <c r="W290" s="15">
        <f t="shared" si="16"/>
        <v>6621370.2321812501</v>
      </c>
    </row>
    <row r="291" spans="1:23" s="154" customFormat="1" ht="75" x14ac:dyDescent="0.25">
      <c r="A291" s="118">
        <v>19</v>
      </c>
      <c r="B291" s="94" t="s">
        <v>180</v>
      </c>
      <c r="C291" s="19">
        <v>100</v>
      </c>
      <c r="D291" s="25">
        <v>14054.039999999999</v>
      </c>
      <c r="E291" s="25"/>
      <c r="F291" s="25"/>
      <c r="G291" s="25"/>
      <c r="H291" s="25"/>
      <c r="I291" s="25"/>
      <c r="J291" s="25"/>
      <c r="K291" s="25"/>
      <c r="L291" s="25"/>
      <c r="M291" s="25"/>
      <c r="N291" s="25"/>
      <c r="O291" s="25"/>
      <c r="P291" s="25"/>
      <c r="Q291" s="25"/>
      <c r="R291" s="25"/>
      <c r="S291" s="25"/>
      <c r="T291" s="25"/>
      <c r="U291" s="13">
        <f t="shared" si="17"/>
        <v>14054.039999999999</v>
      </c>
      <c r="V291" s="25">
        <v>19146.849999999999</v>
      </c>
      <c r="W291" s="15">
        <f t="shared" si="16"/>
        <v>2690905.95774</v>
      </c>
    </row>
    <row r="292" spans="1:23" s="154" customFormat="1" ht="45" x14ac:dyDescent="0.25">
      <c r="A292" s="118">
        <v>20</v>
      </c>
      <c r="B292" s="94" t="s">
        <v>192</v>
      </c>
      <c r="C292" s="36">
        <v>1</v>
      </c>
      <c r="D292" s="25">
        <v>22750</v>
      </c>
      <c r="E292" s="25"/>
      <c r="F292" s="25"/>
      <c r="G292" s="25"/>
      <c r="H292" s="25"/>
      <c r="I292" s="25"/>
      <c r="J292" s="25"/>
      <c r="K292" s="25"/>
      <c r="L292" s="25"/>
      <c r="M292" s="25"/>
      <c r="N292" s="25"/>
      <c r="O292" s="25"/>
      <c r="P292" s="25"/>
      <c r="Q292" s="25"/>
      <c r="R292" s="25"/>
      <c r="S292" s="25"/>
      <c r="T292" s="25"/>
      <c r="U292" s="13">
        <f t="shared" si="17"/>
        <v>22750</v>
      </c>
      <c r="V292" s="25">
        <v>39.6</v>
      </c>
      <c r="W292" s="15">
        <f t="shared" si="16"/>
        <v>900900</v>
      </c>
    </row>
    <row r="293" spans="1:23" s="154" customFormat="1" ht="45" x14ac:dyDescent="0.25">
      <c r="A293" s="44">
        <v>21</v>
      </c>
      <c r="B293" s="92" t="s">
        <v>106</v>
      </c>
      <c r="C293" s="20"/>
      <c r="D293" s="20"/>
      <c r="E293" s="20"/>
      <c r="F293" s="20"/>
      <c r="G293" s="20"/>
      <c r="H293" s="20"/>
      <c r="I293" s="20"/>
      <c r="J293" s="20"/>
      <c r="K293" s="20"/>
      <c r="L293" s="20"/>
      <c r="M293" s="20"/>
      <c r="N293" s="20"/>
      <c r="O293" s="20"/>
      <c r="P293" s="20"/>
      <c r="Q293" s="20"/>
      <c r="R293" s="20"/>
      <c r="S293" s="20"/>
      <c r="T293" s="20"/>
      <c r="U293" s="13">
        <f t="shared" si="17"/>
        <v>0</v>
      </c>
      <c r="V293" s="20"/>
      <c r="W293" s="20"/>
    </row>
    <row r="294" spans="1:23" s="154" customFormat="1" x14ac:dyDescent="0.25">
      <c r="A294" s="44"/>
      <c r="B294" s="92" t="s">
        <v>107</v>
      </c>
      <c r="C294" s="12">
        <v>100</v>
      </c>
      <c r="D294" s="25">
        <v>1780.1875</v>
      </c>
      <c r="E294" s="14"/>
      <c r="F294" s="14"/>
      <c r="G294" s="14"/>
      <c r="H294" s="14"/>
      <c r="I294" s="14"/>
      <c r="J294" s="14"/>
      <c r="K294" s="14"/>
      <c r="L294" s="14"/>
      <c r="M294" s="14"/>
      <c r="N294" s="14"/>
      <c r="O294" s="14"/>
      <c r="P294" s="14"/>
      <c r="Q294" s="14"/>
      <c r="R294" s="14"/>
      <c r="S294" s="14"/>
      <c r="T294" s="14"/>
      <c r="U294" s="13">
        <f t="shared" si="17"/>
        <v>1780.1875</v>
      </c>
      <c r="V294" s="14">
        <v>47135.9</v>
      </c>
      <c r="W294" s="15">
        <f t="shared" si="16"/>
        <v>839107.39981249999</v>
      </c>
    </row>
    <row r="295" spans="1:23" s="154" customFormat="1" ht="30" x14ac:dyDescent="0.25">
      <c r="A295" s="44">
        <v>22</v>
      </c>
      <c r="B295" s="94" t="s">
        <v>108</v>
      </c>
      <c r="C295" s="19">
        <v>100</v>
      </c>
      <c r="D295" s="33">
        <v>113184.66250000001</v>
      </c>
      <c r="E295" s="33"/>
      <c r="F295" s="33"/>
      <c r="G295" s="33"/>
      <c r="H295" s="33"/>
      <c r="I295" s="33"/>
      <c r="J295" s="33"/>
      <c r="K295" s="33"/>
      <c r="L295" s="33"/>
      <c r="M295" s="33"/>
      <c r="N295" s="33"/>
      <c r="O295" s="33"/>
      <c r="P295" s="33"/>
      <c r="Q295" s="33"/>
      <c r="R295" s="33"/>
      <c r="S295" s="33"/>
      <c r="T295" s="33"/>
      <c r="U295" s="13">
        <f t="shared" si="17"/>
        <v>113184.66250000001</v>
      </c>
      <c r="V295" s="25">
        <v>4614.1000000000004</v>
      </c>
      <c r="W295" s="15">
        <f t="shared" si="16"/>
        <v>5222453.5124125006</v>
      </c>
    </row>
    <row r="296" spans="1:23" s="154" customFormat="1" ht="30" x14ac:dyDescent="0.25">
      <c r="A296" s="44">
        <v>23</v>
      </c>
      <c r="B296" s="94" t="s">
        <v>162</v>
      </c>
      <c r="C296" s="19">
        <v>100</v>
      </c>
      <c r="D296" s="25">
        <v>21116.55</v>
      </c>
      <c r="E296" s="14"/>
      <c r="F296" s="14"/>
      <c r="G296" s="14"/>
      <c r="H296" s="14"/>
      <c r="I296" s="14"/>
      <c r="J296" s="14"/>
      <c r="K296" s="14"/>
      <c r="L296" s="14"/>
      <c r="M296" s="14"/>
      <c r="N296" s="14"/>
      <c r="O296" s="14"/>
      <c r="P296" s="14"/>
      <c r="Q296" s="14"/>
      <c r="R296" s="14"/>
      <c r="S296" s="14"/>
      <c r="T296" s="14"/>
      <c r="U296" s="13">
        <f t="shared" si="17"/>
        <v>21116.55</v>
      </c>
      <c r="V296" s="25">
        <v>5264.65</v>
      </c>
      <c r="W296" s="15">
        <f t="shared" si="16"/>
        <v>1111712.449575</v>
      </c>
    </row>
    <row r="297" spans="1:23" s="154" customFormat="1" x14ac:dyDescent="0.25">
      <c r="A297" s="44">
        <v>24</v>
      </c>
      <c r="B297" s="94" t="s">
        <v>114</v>
      </c>
      <c r="C297" s="19">
        <v>100</v>
      </c>
      <c r="D297" s="25">
        <v>99928.237500000003</v>
      </c>
      <c r="E297" s="14"/>
      <c r="F297" s="14"/>
      <c r="G297" s="14"/>
      <c r="H297" s="14"/>
      <c r="I297" s="14"/>
      <c r="J297" s="14"/>
      <c r="K297" s="14"/>
      <c r="L297" s="14"/>
      <c r="M297" s="14"/>
      <c r="N297" s="14"/>
      <c r="O297" s="14"/>
      <c r="P297" s="14"/>
      <c r="Q297" s="14"/>
      <c r="R297" s="14"/>
      <c r="S297" s="14"/>
      <c r="T297" s="14"/>
      <c r="U297" s="13">
        <f t="shared" si="17"/>
        <v>99928.237500000003</v>
      </c>
      <c r="V297" s="25">
        <v>1548.2</v>
      </c>
      <c r="W297" s="15">
        <f t="shared" si="16"/>
        <v>1547088.972975</v>
      </c>
    </row>
    <row r="298" spans="1:23" s="154" customFormat="1" ht="45" x14ac:dyDescent="0.25">
      <c r="A298" s="44">
        <v>25</v>
      </c>
      <c r="B298" s="94" t="s">
        <v>115</v>
      </c>
      <c r="C298" s="19">
        <v>100</v>
      </c>
      <c r="D298" s="25">
        <v>31339.945</v>
      </c>
      <c r="E298" s="14"/>
      <c r="F298" s="14"/>
      <c r="G298" s="14"/>
      <c r="H298" s="14"/>
      <c r="I298" s="14"/>
      <c r="J298" s="14"/>
      <c r="K298" s="14"/>
      <c r="L298" s="14"/>
      <c r="M298" s="14"/>
      <c r="N298" s="14"/>
      <c r="O298" s="14"/>
      <c r="P298" s="14"/>
      <c r="Q298" s="14"/>
      <c r="R298" s="14"/>
      <c r="S298" s="14"/>
      <c r="T298" s="14"/>
      <c r="U298" s="13">
        <f t="shared" si="17"/>
        <v>31339.945</v>
      </c>
      <c r="V298" s="25">
        <v>7379.1</v>
      </c>
      <c r="W298" s="15">
        <f t="shared" si="16"/>
        <v>2312605.8814950003</v>
      </c>
    </row>
    <row r="299" spans="1:23" s="154" customFormat="1" ht="60" x14ac:dyDescent="0.25">
      <c r="A299" s="44">
        <v>26</v>
      </c>
      <c r="B299" s="94" t="s">
        <v>110</v>
      </c>
      <c r="C299" s="19">
        <v>100</v>
      </c>
      <c r="D299" s="25">
        <v>65280.215000000004</v>
      </c>
      <c r="E299" s="14"/>
      <c r="F299" s="14"/>
      <c r="G299" s="14"/>
      <c r="H299" s="14"/>
      <c r="I299" s="14"/>
      <c r="J299" s="14"/>
      <c r="K299" s="14"/>
      <c r="L299" s="14"/>
      <c r="M299" s="14"/>
      <c r="N299" s="14"/>
      <c r="O299" s="14"/>
      <c r="P299" s="14"/>
      <c r="Q299" s="14"/>
      <c r="R299" s="14"/>
      <c r="S299" s="14"/>
      <c r="T299" s="14"/>
      <c r="U299" s="13">
        <f t="shared" si="17"/>
        <v>65280.215000000004</v>
      </c>
      <c r="V299" s="25">
        <v>5012.6499999999996</v>
      </c>
      <c r="W299" s="15">
        <f t="shared" si="16"/>
        <v>3272268.6971974997</v>
      </c>
    </row>
    <row r="300" spans="1:23" s="154" customFormat="1" ht="45" x14ac:dyDescent="0.25">
      <c r="A300" s="44">
        <v>27</v>
      </c>
      <c r="B300" s="94" t="s">
        <v>111</v>
      </c>
      <c r="C300" s="36">
        <v>1</v>
      </c>
      <c r="D300" s="25">
        <v>1183</v>
      </c>
      <c r="E300" s="14"/>
      <c r="F300" s="14"/>
      <c r="G300" s="14"/>
      <c r="H300" s="14"/>
      <c r="I300" s="14"/>
      <c r="J300" s="14"/>
      <c r="K300" s="14"/>
      <c r="L300" s="14"/>
      <c r="M300" s="14"/>
      <c r="N300" s="14"/>
      <c r="O300" s="14"/>
      <c r="P300" s="14"/>
      <c r="Q300" s="14"/>
      <c r="R300" s="14"/>
      <c r="S300" s="14"/>
      <c r="T300" s="14"/>
      <c r="U300" s="13">
        <f t="shared" si="17"/>
        <v>1183</v>
      </c>
      <c r="V300" s="25">
        <v>514.9</v>
      </c>
      <c r="W300" s="15">
        <f t="shared" si="16"/>
        <v>609126.69999999995</v>
      </c>
    </row>
    <row r="301" spans="1:23" s="154" customFormat="1" ht="30" x14ac:dyDescent="0.25">
      <c r="A301" s="44">
        <v>28</v>
      </c>
      <c r="B301" s="94" t="s">
        <v>112</v>
      </c>
      <c r="C301" s="37">
        <v>1</v>
      </c>
      <c r="D301" s="25">
        <v>182</v>
      </c>
      <c r="E301" s="14"/>
      <c r="F301" s="14"/>
      <c r="G301" s="14"/>
      <c r="H301" s="14"/>
      <c r="I301" s="14"/>
      <c r="J301" s="14"/>
      <c r="K301" s="14"/>
      <c r="L301" s="14"/>
      <c r="M301" s="14"/>
      <c r="N301" s="14"/>
      <c r="O301" s="14"/>
      <c r="P301" s="14"/>
      <c r="Q301" s="14"/>
      <c r="R301" s="14"/>
      <c r="S301" s="14"/>
      <c r="T301" s="14"/>
      <c r="U301" s="13">
        <f t="shared" si="17"/>
        <v>182</v>
      </c>
      <c r="V301" s="25">
        <v>849.7</v>
      </c>
      <c r="W301" s="15">
        <f t="shared" si="16"/>
        <v>154645.4</v>
      </c>
    </row>
    <row r="302" spans="1:23" s="154" customFormat="1" x14ac:dyDescent="0.25">
      <c r="A302" s="44">
        <v>29</v>
      </c>
      <c r="B302" s="94" t="s">
        <v>113</v>
      </c>
      <c r="C302" s="37">
        <v>1</v>
      </c>
      <c r="D302" s="25">
        <v>91</v>
      </c>
      <c r="E302" s="14"/>
      <c r="F302" s="14"/>
      <c r="G302" s="14"/>
      <c r="H302" s="14"/>
      <c r="I302" s="14"/>
      <c r="J302" s="14"/>
      <c r="K302" s="14"/>
      <c r="L302" s="14"/>
      <c r="M302" s="14"/>
      <c r="N302" s="14"/>
      <c r="O302" s="14"/>
      <c r="P302" s="14"/>
      <c r="Q302" s="14"/>
      <c r="R302" s="14"/>
      <c r="S302" s="14"/>
      <c r="T302" s="14"/>
      <c r="U302" s="13">
        <f t="shared" si="17"/>
        <v>91</v>
      </c>
      <c r="V302" s="25">
        <v>1159.6500000000001</v>
      </c>
      <c r="W302" s="15">
        <f t="shared" si="16"/>
        <v>105528.15000000001</v>
      </c>
    </row>
    <row r="303" spans="1:23" s="154" customFormat="1" ht="30" x14ac:dyDescent="0.25">
      <c r="A303" s="44">
        <v>30</v>
      </c>
      <c r="B303" s="94" t="s">
        <v>306</v>
      </c>
      <c r="C303" s="37">
        <v>1</v>
      </c>
      <c r="D303" s="25">
        <v>182</v>
      </c>
      <c r="E303" s="14"/>
      <c r="F303" s="14"/>
      <c r="G303" s="14"/>
      <c r="H303" s="14"/>
      <c r="I303" s="14"/>
      <c r="J303" s="14"/>
      <c r="K303" s="14"/>
      <c r="L303" s="14"/>
      <c r="M303" s="14"/>
      <c r="N303" s="14"/>
      <c r="O303" s="14"/>
      <c r="P303" s="14"/>
      <c r="Q303" s="14"/>
      <c r="R303" s="14"/>
      <c r="S303" s="14"/>
      <c r="T303" s="14"/>
      <c r="U303" s="13">
        <f t="shared" si="17"/>
        <v>182</v>
      </c>
      <c r="V303" s="25">
        <v>656.85</v>
      </c>
      <c r="W303" s="15">
        <f t="shared" si="16"/>
        <v>119546.7</v>
      </c>
    </row>
    <row r="304" spans="1:23" s="154" customFormat="1" ht="45" x14ac:dyDescent="0.25">
      <c r="A304" s="44">
        <v>31</v>
      </c>
      <c r="B304" s="94" t="s">
        <v>307</v>
      </c>
      <c r="C304" s="19">
        <v>100</v>
      </c>
      <c r="D304" s="25">
        <v>7644</v>
      </c>
      <c r="E304" s="14"/>
      <c r="F304" s="14"/>
      <c r="G304" s="14"/>
      <c r="H304" s="14"/>
      <c r="I304" s="14"/>
      <c r="J304" s="14"/>
      <c r="K304" s="14"/>
      <c r="L304" s="14"/>
      <c r="M304" s="14"/>
      <c r="N304" s="14"/>
      <c r="O304" s="14"/>
      <c r="P304" s="14"/>
      <c r="Q304" s="14"/>
      <c r="R304" s="14"/>
      <c r="S304" s="14"/>
      <c r="T304" s="14"/>
      <c r="U304" s="13">
        <f t="shared" si="17"/>
        <v>7644</v>
      </c>
      <c r="V304" s="25">
        <v>3052.4</v>
      </c>
      <c r="W304" s="15">
        <f t="shared" si="16"/>
        <v>233325.45600000001</v>
      </c>
    </row>
    <row r="305" spans="1:23" s="154" customFormat="1" ht="30" x14ac:dyDescent="0.25">
      <c r="A305" s="44">
        <v>32</v>
      </c>
      <c r="B305" s="94" t="s">
        <v>308</v>
      </c>
      <c r="C305" s="38">
        <v>1</v>
      </c>
      <c r="D305" s="25">
        <v>91</v>
      </c>
      <c r="E305" s="14"/>
      <c r="F305" s="14"/>
      <c r="G305" s="14"/>
      <c r="H305" s="14"/>
      <c r="I305" s="14"/>
      <c r="J305" s="14"/>
      <c r="K305" s="14"/>
      <c r="L305" s="14"/>
      <c r="M305" s="14"/>
      <c r="N305" s="14"/>
      <c r="O305" s="14"/>
      <c r="P305" s="14"/>
      <c r="Q305" s="14"/>
      <c r="R305" s="14"/>
      <c r="S305" s="14"/>
      <c r="T305" s="14"/>
      <c r="U305" s="13">
        <f t="shared" si="17"/>
        <v>91</v>
      </c>
      <c r="V305" s="25">
        <v>4105.05</v>
      </c>
      <c r="W305" s="15">
        <f t="shared" si="16"/>
        <v>373559.55</v>
      </c>
    </row>
    <row r="306" spans="1:23" s="154" customFormat="1" ht="30" x14ac:dyDescent="0.25">
      <c r="A306" s="44">
        <v>33</v>
      </c>
      <c r="B306" s="94" t="s">
        <v>309</v>
      </c>
      <c r="C306" s="38">
        <v>1</v>
      </c>
      <c r="D306" s="25">
        <v>273</v>
      </c>
      <c r="E306" s="14"/>
      <c r="F306" s="14"/>
      <c r="G306" s="14"/>
      <c r="H306" s="14"/>
      <c r="I306" s="14"/>
      <c r="J306" s="14"/>
      <c r="K306" s="14"/>
      <c r="L306" s="14"/>
      <c r="M306" s="14"/>
      <c r="N306" s="14"/>
      <c r="O306" s="14"/>
      <c r="P306" s="14"/>
      <c r="Q306" s="14"/>
      <c r="R306" s="14"/>
      <c r="S306" s="14"/>
      <c r="T306" s="14"/>
      <c r="U306" s="13">
        <f t="shared" si="17"/>
        <v>273</v>
      </c>
      <c r="V306" s="25">
        <v>463.15</v>
      </c>
      <c r="W306" s="15">
        <f t="shared" si="16"/>
        <v>126439.95</v>
      </c>
    </row>
    <row r="307" spans="1:23" s="154" customFormat="1" ht="30" x14ac:dyDescent="0.25">
      <c r="A307" s="44">
        <v>34</v>
      </c>
      <c r="B307" s="94" t="s">
        <v>310</v>
      </c>
      <c r="C307" s="38">
        <v>1</v>
      </c>
      <c r="D307" s="25">
        <v>364</v>
      </c>
      <c r="E307" s="14"/>
      <c r="F307" s="14"/>
      <c r="G307" s="14"/>
      <c r="H307" s="14"/>
      <c r="I307" s="14"/>
      <c r="J307" s="14"/>
      <c r="K307" s="14"/>
      <c r="L307" s="14"/>
      <c r="M307" s="14"/>
      <c r="N307" s="14"/>
      <c r="O307" s="14"/>
      <c r="P307" s="14"/>
      <c r="Q307" s="14"/>
      <c r="R307" s="14"/>
      <c r="S307" s="14"/>
      <c r="T307" s="14"/>
      <c r="U307" s="13">
        <f t="shared" si="17"/>
        <v>364</v>
      </c>
      <c r="V307" s="25">
        <v>1639.2</v>
      </c>
      <c r="W307" s="15">
        <f t="shared" si="16"/>
        <v>596668.80000000005</v>
      </c>
    </row>
    <row r="308" spans="1:23" s="154" customFormat="1" ht="45" x14ac:dyDescent="0.25">
      <c r="A308" s="44">
        <v>35</v>
      </c>
      <c r="B308" s="94" t="s">
        <v>311</v>
      </c>
      <c r="C308" s="38">
        <v>1</v>
      </c>
      <c r="D308" s="25">
        <v>91</v>
      </c>
      <c r="E308" s="14"/>
      <c r="F308" s="14"/>
      <c r="G308" s="14"/>
      <c r="H308" s="14"/>
      <c r="I308" s="14"/>
      <c r="J308" s="14"/>
      <c r="K308" s="14"/>
      <c r="L308" s="14"/>
      <c r="M308" s="14"/>
      <c r="N308" s="14"/>
      <c r="O308" s="14"/>
      <c r="P308" s="14"/>
      <c r="Q308" s="14"/>
      <c r="R308" s="14"/>
      <c r="S308" s="14"/>
      <c r="T308" s="14"/>
      <c r="U308" s="13">
        <f t="shared" si="17"/>
        <v>91</v>
      </c>
      <c r="V308" s="25">
        <v>8069.2</v>
      </c>
      <c r="W308" s="15">
        <f t="shared" si="16"/>
        <v>734297.2</v>
      </c>
    </row>
    <row r="309" spans="1:23" s="154" customFormat="1" ht="45" x14ac:dyDescent="0.25">
      <c r="A309" s="44">
        <v>36</v>
      </c>
      <c r="B309" s="94" t="s">
        <v>111</v>
      </c>
      <c r="C309" s="36">
        <v>1</v>
      </c>
      <c r="D309" s="25">
        <v>9100</v>
      </c>
      <c r="E309" s="14"/>
      <c r="F309" s="14"/>
      <c r="G309" s="14"/>
      <c r="H309" s="14"/>
      <c r="I309" s="14"/>
      <c r="J309" s="14"/>
      <c r="K309" s="14"/>
      <c r="L309" s="14"/>
      <c r="M309" s="14"/>
      <c r="N309" s="14"/>
      <c r="O309" s="14"/>
      <c r="P309" s="14"/>
      <c r="Q309" s="14"/>
      <c r="R309" s="14"/>
      <c r="S309" s="14"/>
      <c r="T309" s="14"/>
      <c r="U309" s="13">
        <f t="shared" si="17"/>
        <v>9100</v>
      </c>
      <c r="V309" s="25">
        <v>514.9</v>
      </c>
      <c r="W309" s="15">
        <f t="shared" si="16"/>
        <v>4685590</v>
      </c>
    </row>
    <row r="310" spans="1:23" s="154" customFormat="1" ht="30" x14ac:dyDescent="0.25">
      <c r="A310" s="44">
        <v>37</v>
      </c>
      <c r="B310" s="94" t="s">
        <v>112</v>
      </c>
      <c r="C310" s="37">
        <v>1</v>
      </c>
      <c r="D310" s="25">
        <v>364</v>
      </c>
      <c r="E310" s="14"/>
      <c r="F310" s="14"/>
      <c r="G310" s="14"/>
      <c r="H310" s="14"/>
      <c r="I310" s="14"/>
      <c r="J310" s="14"/>
      <c r="K310" s="14"/>
      <c r="L310" s="14"/>
      <c r="M310" s="14"/>
      <c r="N310" s="14"/>
      <c r="O310" s="14"/>
      <c r="P310" s="14"/>
      <c r="Q310" s="14"/>
      <c r="R310" s="14"/>
      <c r="S310" s="14"/>
      <c r="T310" s="14"/>
      <c r="U310" s="13">
        <f t="shared" si="17"/>
        <v>364</v>
      </c>
      <c r="V310" s="25">
        <v>849.7</v>
      </c>
      <c r="W310" s="15">
        <f t="shared" si="16"/>
        <v>309290.8</v>
      </c>
    </row>
    <row r="311" spans="1:23" s="154" customFormat="1" ht="30" x14ac:dyDescent="0.25">
      <c r="A311" s="44">
        <v>38</v>
      </c>
      <c r="B311" s="94" t="s">
        <v>312</v>
      </c>
      <c r="C311" s="37">
        <v>1</v>
      </c>
      <c r="D311" s="25">
        <v>364</v>
      </c>
      <c r="E311" s="14"/>
      <c r="F311" s="14"/>
      <c r="G311" s="14"/>
      <c r="H311" s="14"/>
      <c r="I311" s="14"/>
      <c r="J311" s="14"/>
      <c r="K311" s="14"/>
      <c r="L311" s="14"/>
      <c r="M311" s="14"/>
      <c r="N311" s="14"/>
      <c r="O311" s="14"/>
      <c r="P311" s="14"/>
      <c r="Q311" s="14"/>
      <c r="R311" s="14"/>
      <c r="S311" s="14"/>
      <c r="T311" s="14"/>
      <c r="U311" s="13">
        <f t="shared" si="17"/>
        <v>364</v>
      </c>
      <c r="V311" s="25">
        <v>2374.25</v>
      </c>
      <c r="W311" s="15">
        <f t="shared" si="16"/>
        <v>864227</v>
      </c>
    </row>
    <row r="312" spans="1:23" s="154" customFormat="1" ht="135" x14ac:dyDescent="0.25">
      <c r="A312" s="44">
        <v>39</v>
      </c>
      <c r="B312" s="94" t="s">
        <v>313</v>
      </c>
      <c r="C312" s="20"/>
      <c r="D312" s="20"/>
      <c r="E312" s="20"/>
      <c r="F312" s="20"/>
      <c r="G312" s="20"/>
      <c r="H312" s="20"/>
      <c r="I312" s="20"/>
      <c r="J312" s="20"/>
      <c r="K312" s="20"/>
      <c r="L312" s="20"/>
      <c r="M312" s="20"/>
      <c r="N312" s="20"/>
      <c r="O312" s="20"/>
      <c r="P312" s="20"/>
      <c r="Q312" s="20"/>
      <c r="R312" s="20"/>
      <c r="S312" s="20"/>
      <c r="T312" s="20"/>
      <c r="U312" s="13">
        <f t="shared" si="17"/>
        <v>0</v>
      </c>
      <c r="V312" s="20"/>
      <c r="W312" s="20"/>
    </row>
    <row r="313" spans="1:23" s="154" customFormat="1" x14ac:dyDescent="0.25">
      <c r="A313" s="44" t="s">
        <v>60</v>
      </c>
      <c r="B313" s="94" t="s">
        <v>314</v>
      </c>
      <c r="C313" s="36">
        <v>1</v>
      </c>
      <c r="D313" s="25">
        <v>9100</v>
      </c>
      <c r="E313" s="14"/>
      <c r="F313" s="14"/>
      <c r="G313" s="14"/>
      <c r="H313" s="14"/>
      <c r="I313" s="14"/>
      <c r="J313" s="14"/>
      <c r="K313" s="14"/>
      <c r="L313" s="14"/>
      <c r="M313" s="14"/>
      <c r="N313" s="14"/>
      <c r="O313" s="14"/>
      <c r="P313" s="14"/>
      <c r="Q313" s="14"/>
      <c r="R313" s="14"/>
      <c r="S313" s="14"/>
      <c r="T313" s="14"/>
      <c r="U313" s="13">
        <f t="shared" si="17"/>
        <v>9100</v>
      </c>
      <c r="V313" s="25">
        <v>62.95</v>
      </c>
      <c r="W313" s="15">
        <f t="shared" si="16"/>
        <v>572845</v>
      </c>
    </row>
    <row r="314" spans="1:23" s="154" customFormat="1" x14ac:dyDescent="0.25">
      <c r="A314" s="44" t="s">
        <v>37</v>
      </c>
      <c r="B314" s="94" t="s">
        <v>315</v>
      </c>
      <c r="C314" s="36">
        <v>1</v>
      </c>
      <c r="D314" s="25">
        <v>4550</v>
      </c>
      <c r="E314" s="14"/>
      <c r="F314" s="14"/>
      <c r="G314" s="14"/>
      <c r="H314" s="14"/>
      <c r="I314" s="14"/>
      <c r="J314" s="14"/>
      <c r="K314" s="14"/>
      <c r="L314" s="14"/>
      <c r="M314" s="14"/>
      <c r="N314" s="14"/>
      <c r="O314" s="14"/>
      <c r="P314" s="14"/>
      <c r="Q314" s="14"/>
      <c r="R314" s="14"/>
      <c r="S314" s="14"/>
      <c r="T314" s="14"/>
      <c r="U314" s="13">
        <f t="shared" si="17"/>
        <v>4550</v>
      </c>
      <c r="V314" s="25">
        <v>87.1</v>
      </c>
      <c r="W314" s="15">
        <f t="shared" si="16"/>
        <v>396305</v>
      </c>
    </row>
    <row r="315" spans="1:23" s="154" customFormat="1" ht="30" x14ac:dyDescent="0.25">
      <c r="A315" s="44">
        <v>40</v>
      </c>
      <c r="B315" s="94" t="s">
        <v>316</v>
      </c>
      <c r="C315" s="38">
        <v>1</v>
      </c>
      <c r="D315" s="25">
        <v>91</v>
      </c>
      <c r="E315" s="14"/>
      <c r="F315" s="14"/>
      <c r="G315" s="14"/>
      <c r="H315" s="14"/>
      <c r="I315" s="14"/>
      <c r="J315" s="14"/>
      <c r="K315" s="14"/>
      <c r="L315" s="14"/>
      <c r="M315" s="14"/>
      <c r="N315" s="14"/>
      <c r="O315" s="14"/>
      <c r="P315" s="14"/>
      <c r="Q315" s="14"/>
      <c r="R315" s="14"/>
      <c r="S315" s="14"/>
      <c r="T315" s="14"/>
      <c r="U315" s="13">
        <f t="shared" si="17"/>
        <v>91</v>
      </c>
      <c r="V315" s="25">
        <v>1457.7</v>
      </c>
      <c r="W315" s="15">
        <f t="shared" si="16"/>
        <v>132650.70000000001</v>
      </c>
    </row>
    <row r="316" spans="1:23" s="154" customFormat="1" ht="45" x14ac:dyDescent="0.25">
      <c r="A316" s="44">
        <v>41</v>
      </c>
      <c r="B316" s="94" t="s">
        <v>317</v>
      </c>
      <c r="C316" s="38">
        <v>1</v>
      </c>
      <c r="D316" s="25">
        <v>91</v>
      </c>
      <c r="E316" s="14"/>
      <c r="F316" s="14"/>
      <c r="G316" s="14"/>
      <c r="H316" s="14"/>
      <c r="I316" s="14"/>
      <c r="J316" s="14"/>
      <c r="K316" s="14"/>
      <c r="L316" s="14"/>
      <c r="M316" s="14"/>
      <c r="N316" s="14"/>
      <c r="O316" s="14"/>
      <c r="P316" s="14"/>
      <c r="Q316" s="14"/>
      <c r="R316" s="14"/>
      <c r="S316" s="14"/>
      <c r="T316" s="14"/>
      <c r="U316" s="13">
        <f t="shared" si="17"/>
        <v>91</v>
      </c>
      <c r="V316" s="25">
        <v>15209.1</v>
      </c>
      <c r="W316" s="15">
        <f t="shared" si="16"/>
        <v>1384028.1</v>
      </c>
    </row>
    <row r="317" spans="1:23" s="154" customFormat="1" x14ac:dyDescent="0.25">
      <c r="A317" s="44">
        <v>42</v>
      </c>
      <c r="B317" s="94" t="s">
        <v>318</v>
      </c>
      <c r="C317" s="25"/>
      <c r="D317" s="25"/>
      <c r="E317" s="25"/>
      <c r="F317" s="25"/>
      <c r="G317" s="25"/>
      <c r="H317" s="25"/>
      <c r="I317" s="25"/>
      <c r="J317" s="25"/>
      <c r="K317" s="25"/>
      <c r="L317" s="25"/>
      <c r="M317" s="25"/>
      <c r="N317" s="25"/>
      <c r="O317" s="25"/>
      <c r="P317" s="25"/>
      <c r="Q317" s="25"/>
      <c r="R317" s="25"/>
      <c r="S317" s="25"/>
      <c r="T317" s="25"/>
      <c r="U317" s="13">
        <f t="shared" si="17"/>
        <v>0</v>
      </c>
      <c r="V317" s="25"/>
      <c r="W317" s="25"/>
    </row>
    <row r="318" spans="1:23" s="154" customFormat="1" x14ac:dyDescent="0.25">
      <c r="A318" s="44"/>
      <c r="B318" s="94" t="s">
        <v>319</v>
      </c>
      <c r="C318" s="38">
        <v>1</v>
      </c>
      <c r="D318" s="25">
        <v>91</v>
      </c>
      <c r="E318" s="14"/>
      <c r="F318" s="14"/>
      <c r="G318" s="14"/>
      <c r="H318" s="14"/>
      <c r="I318" s="14"/>
      <c r="J318" s="14"/>
      <c r="K318" s="14"/>
      <c r="L318" s="14"/>
      <c r="M318" s="14"/>
      <c r="N318" s="14"/>
      <c r="O318" s="14"/>
      <c r="P318" s="14"/>
      <c r="Q318" s="14"/>
      <c r="R318" s="14"/>
      <c r="S318" s="14"/>
      <c r="T318" s="14"/>
      <c r="U318" s="13">
        <f t="shared" si="17"/>
        <v>91</v>
      </c>
      <c r="V318" s="25">
        <v>1380</v>
      </c>
      <c r="W318" s="15">
        <f t="shared" si="16"/>
        <v>125580</v>
      </c>
    </row>
    <row r="319" spans="1:23" s="154" customFormat="1" x14ac:dyDescent="0.25">
      <c r="A319" s="44"/>
      <c r="B319" s="94" t="s">
        <v>320</v>
      </c>
      <c r="C319" s="38">
        <v>1</v>
      </c>
      <c r="D319" s="25">
        <v>91</v>
      </c>
      <c r="E319" s="14"/>
      <c r="F319" s="14"/>
      <c r="G319" s="14"/>
      <c r="H319" s="14"/>
      <c r="I319" s="14"/>
      <c r="J319" s="14"/>
      <c r="K319" s="14"/>
      <c r="L319" s="14"/>
      <c r="M319" s="14"/>
      <c r="N319" s="14"/>
      <c r="O319" s="14"/>
      <c r="P319" s="14"/>
      <c r="Q319" s="14"/>
      <c r="R319" s="14"/>
      <c r="S319" s="14"/>
      <c r="T319" s="14"/>
      <c r="U319" s="13">
        <f t="shared" si="17"/>
        <v>91</v>
      </c>
      <c r="V319" s="25">
        <v>1610</v>
      </c>
      <c r="W319" s="15">
        <f t="shared" si="16"/>
        <v>146510</v>
      </c>
    </row>
    <row r="320" spans="1:23" s="154" customFormat="1" x14ac:dyDescent="0.25">
      <c r="A320" s="44"/>
      <c r="B320" s="94" t="s">
        <v>321</v>
      </c>
      <c r="C320" s="38">
        <v>1</v>
      </c>
      <c r="D320" s="25">
        <v>91</v>
      </c>
      <c r="E320" s="14"/>
      <c r="F320" s="14"/>
      <c r="G320" s="14"/>
      <c r="H320" s="14"/>
      <c r="I320" s="14"/>
      <c r="J320" s="14"/>
      <c r="K320" s="14"/>
      <c r="L320" s="14"/>
      <c r="M320" s="14"/>
      <c r="N320" s="14"/>
      <c r="O320" s="14"/>
      <c r="P320" s="14"/>
      <c r="Q320" s="14"/>
      <c r="R320" s="14"/>
      <c r="S320" s="14"/>
      <c r="T320" s="14"/>
      <c r="U320" s="13">
        <f t="shared" si="17"/>
        <v>91</v>
      </c>
      <c r="V320" s="25">
        <v>1035</v>
      </c>
      <c r="W320" s="15">
        <f t="shared" si="16"/>
        <v>94185</v>
      </c>
    </row>
    <row r="321" spans="1:23" s="154" customFormat="1" ht="30" x14ac:dyDescent="0.25">
      <c r="A321" s="44">
        <v>43</v>
      </c>
      <c r="B321" s="94" t="s">
        <v>322</v>
      </c>
      <c r="C321" s="38">
        <v>1</v>
      </c>
      <c r="D321" s="25">
        <v>91</v>
      </c>
      <c r="E321" s="14"/>
      <c r="F321" s="14"/>
      <c r="G321" s="14"/>
      <c r="H321" s="14"/>
      <c r="I321" s="14"/>
      <c r="J321" s="14"/>
      <c r="K321" s="14"/>
      <c r="L321" s="14"/>
      <c r="M321" s="14"/>
      <c r="N321" s="14"/>
      <c r="O321" s="14"/>
      <c r="P321" s="14"/>
      <c r="Q321" s="14"/>
      <c r="R321" s="14"/>
      <c r="S321" s="14"/>
      <c r="T321" s="14"/>
      <c r="U321" s="13">
        <f t="shared" si="17"/>
        <v>91</v>
      </c>
      <c r="V321" s="25">
        <v>1999.2</v>
      </c>
      <c r="W321" s="15">
        <f t="shared" si="16"/>
        <v>181927.2</v>
      </c>
    </row>
    <row r="322" spans="1:23" s="154" customFormat="1" ht="45" x14ac:dyDescent="0.25">
      <c r="A322" s="44">
        <v>44</v>
      </c>
      <c r="B322" s="94" t="s">
        <v>118</v>
      </c>
      <c r="C322" s="20"/>
      <c r="D322" s="20"/>
      <c r="E322" s="20"/>
      <c r="F322" s="20"/>
      <c r="G322" s="20"/>
      <c r="H322" s="20"/>
      <c r="I322" s="20"/>
      <c r="J322" s="20"/>
      <c r="K322" s="20"/>
      <c r="L322" s="20"/>
      <c r="M322" s="20"/>
      <c r="N322" s="20"/>
      <c r="O322" s="20"/>
      <c r="P322" s="20"/>
      <c r="Q322" s="20"/>
      <c r="R322" s="20"/>
      <c r="S322" s="20"/>
      <c r="T322" s="20"/>
      <c r="U322" s="13">
        <f t="shared" si="17"/>
        <v>0</v>
      </c>
      <c r="V322" s="20"/>
      <c r="W322" s="20"/>
    </row>
    <row r="323" spans="1:23" s="154" customFormat="1" x14ac:dyDescent="0.25">
      <c r="A323" s="44"/>
      <c r="B323" s="94" t="s">
        <v>148</v>
      </c>
      <c r="C323" s="36">
        <v>1</v>
      </c>
      <c r="D323" s="25">
        <v>9100</v>
      </c>
      <c r="E323" s="14"/>
      <c r="F323" s="14"/>
      <c r="G323" s="14"/>
      <c r="H323" s="14"/>
      <c r="I323" s="14"/>
      <c r="J323" s="14"/>
      <c r="K323" s="14"/>
      <c r="L323" s="14"/>
      <c r="M323" s="14"/>
      <c r="N323" s="14"/>
      <c r="O323" s="14"/>
      <c r="P323" s="14"/>
      <c r="Q323" s="14"/>
      <c r="R323" s="14"/>
      <c r="S323" s="14"/>
      <c r="T323" s="14"/>
      <c r="U323" s="13">
        <f t="shared" si="17"/>
        <v>9100</v>
      </c>
      <c r="V323" s="25">
        <v>112.25</v>
      </c>
      <c r="W323" s="15">
        <f t="shared" si="16"/>
        <v>1021475</v>
      </c>
    </row>
    <row r="324" spans="1:23" s="154" customFormat="1" x14ac:dyDescent="0.25">
      <c r="A324" s="44"/>
      <c r="B324" s="94" t="s">
        <v>149</v>
      </c>
      <c r="C324" s="36">
        <v>1</v>
      </c>
      <c r="D324" s="25">
        <v>4550</v>
      </c>
      <c r="E324" s="14"/>
      <c r="F324" s="14"/>
      <c r="G324" s="14"/>
      <c r="H324" s="14"/>
      <c r="I324" s="14"/>
      <c r="J324" s="14"/>
      <c r="K324" s="14"/>
      <c r="L324" s="14"/>
      <c r="M324" s="14"/>
      <c r="N324" s="14"/>
      <c r="O324" s="14"/>
      <c r="P324" s="14"/>
      <c r="Q324" s="14"/>
      <c r="R324" s="14"/>
      <c r="S324" s="14"/>
      <c r="T324" s="14"/>
      <c r="U324" s="13">
        <f t="shared" si="17"/>
        <v>4550</v>
      </c>
      <c r="V324" s="25">
        <v>133.6</v>
      </c>
      <c r="W324" s="15">
        <f t="shared" si="16"/>
        <v>607880</v>
      </c>
    </row>
    <row r="325" spans="1:23" s="154" customFormat="1" ht="75" x14ac:dyDescent="0.25">
      <c r="A325" s="44">
        <v>45</v>
      </c>
      <c r="B325" s="94" t="s">
        <v>123</v>
      </c>
      <c r="C325" s="20"/>
      <c r="D325" s="20"/>
      <c r="E325" s="20"/>
      <c r="F325" s="20"/>
      <c r="G325" s="20"/>
      <c r="H325" s="20"/>
      <c r="I325" s="20"/>
      <c r="J325" s="20"/>
      <c r="K325" s="20"/>
      <c r="L325" s="20"/>
      <c r="M325" s="20"/>
      <c r="N325" s="20"/>
      <c r="O325" s="20"/>
      <c r="P325" s="20"/>
      <c r="Q325" s="20"/>
      <c r="R325" s="20"/>
      <c r="S325" s="20"/>
      <c r="T325" s="20"/>
      <c r="U325" s="13">
        <f t="shared" si="17"/>
        <v>0</v>
      </c>
      <c r="V325" s="20"/>
      <c r="W325" s="20"/>
    </row>
    <row r="326" spans="1:23" s="154" customFormat="1" x14ac:dyDescent="0.25">
      <c r="A326" s="44"/>
      <c r="B326" s="94" t="s">
        <v>150</v>
      </c>
      <c r="C326" s="36">
        <v>1</v>
      </c>
      <c r="D326" s="25">
        <v>27300</v>
      </c>
      <c r="E326" s="14"/>
      <c r="F326" s="14"/>
      <c r="G326" s="14"/>
      <c r="H326" s="14"/>
      <c r="I326" s="14"/>
      <c r="J326" s="14"/>
      <c r="K326" s="14"/>
      <c r="L326" s="14"/>
      <c r="M326" s="14"/>
      <c r="N326" s="14"/>
      <c r="O326" s="14"/>
      <c r="P326" s="14"/>
      <c r="Q326" s="14"/>
      <c r="R326" s="14"/>
      <c r="S326" s="14"/>
      <c r="T326" s="14"/>
      <c r="U326" s="13">
        <f t="shared" si="17"/>
        <v>27300</v>
      </c>
      <c r="V326" s="25">
        <v>35.700000000000003</v>
      </c>
      <c r="W326" s="15">
        <f t="shared" si="16"/>
        <v>974610.00000000012</v>
      </c>
    </row>
    <row r="327" spans="1:23" s="154" customFormat="1" x14ac:dyDescent="0.25">
      <c r="A327" s="44"/>
      <c r="B327" s="94" t="s">
        <v>151</v>
      </c>
      <c r="C327" s="36">
        <v>1</v>
      </c>
      <c r="D327" s="25">
        <v>9100</v>
      </c>
      <c r="E327" s="14"/>
      <c r="F327" s="14"/>
      <c r="G327" s="14"/>
      <c r="H327" s="14"/>
      <c r="I327" s="14"/>
      <c r="J327" s="14"/>
      <c r="K327" s="14"/>
      <c r="L327" s="14"/>
      <c r="M327" s="14"/>
      <c r="N327" s="14"/>
      <c r="O327" s="14"/>
      <c r="P327" s="14"/>
      <c r="Q327" s="14"/>
      <c r="R327" s="14"/>
      <c r="S327" s="14"/>
      <c r="T327" s="14"/>
      <c r="U327" s="13">
        <f t="shared" si="17"/>
        <v>9100</v>
      </c>
      <c r="V327" s="25">
        <v>56.3</v>
      </c>
      <c r="W327" s="15">
        <f t="shared" si="16"/>
        <v>512330</v>
      </c>
    </row>
    <row r="328" spans="1:23" s="154" customFormat="1" ht="75" x14ac:dyDescent="0.25">
      <c r="A328" s="44">
        <v>46</v>
      </c>
      <c r="B328" s="94" t="s">
        <v>126</v>
      </c>
      <c r="C328" s="36">
        <v>1</v>
      </c>
      <c r="D328" s="25">
        <v>18200</v>
      </c>
      <c r="E328" s="14"/>
      <c r="F328" s="14"/>
      <c r="G328" s="14"/>
      <c r="H328" s="14"/>
      <c r="I328" s="14"/>
      <c r="J328" s="14"/>
      <c r="K328" s="14"/>
      <c r="L328" s="14"/>
      <c r="M328" s="14"/>
      <c r="N328" s="14"/>
      <c r="O328" s="14"/>
      <c r="P328" s="14"/>
      <c r="Q328" s="14"/>
      <c r="R328" s="14"/>
      <c r="S328" s="14"/>
      <c r="T328" s="14"/>
      <c r="U328" s="13">
        <f t="shared" si="17"/>
        <v>18200</v>
      </c>
      <c r="V328" s="25">
        <v>237.65</v>
      </c>
      <c r="W328" s="15">
        <f t="shared" si="16"/>
        <v>4325230</v>
      </c>
    </row>
    <row r="329" spans="1:23" s="154" customFormat="1" ht="60" x14ac:dyDescent="0.25">
      <c r="A329" s="44">
        <v>47</v>
      </c>
      <c r="B329" s="94" t="s">
        <v>127</v>
      </c>
      <c r="C329" s="20"/>
      <c r="D329" s="20"/>
      <c r="E329" s="20"/>
      <c r="F329" s="20"/>
      <c r="G329" s="20"/>
      <c r="H329" s="20"/>
      <c r="I329" s="20"/>
      <c r="J329" s="20"/>
      <c r="K329" s="20"/>
      <c r="L329" s="20"/>
      <c r="M329" s="20"/>
      <c r="N329" s="20"/>
      <c r="O329" s="20"/>
      <c r="P329" s="20"/>
      <c r="Q329" s="20"/>
      <c r="R329" s="20"/>
      <c r="S329" s="20"/>
      <c r="T329" s="20"/>
      <c r="U329" s="13">
        <f t="shared" si="17"/>
        <v>0</v>
      </c>
      <c r="V329" s="20"/>
      <c r="W329" s="20"/>
    </row>
    <row r="330" spans="1:23" s="154" customFormat="1" x14ac:dyDescent="0.25">
      <c r="A330" s="44"/>
      <c r="B330" s="94" t="s">
        <v>152</v>
      </c>
      <c r="C330" s="38">
        <v>1</v>
      </c>
      <c r="D330" s="25">
        <v>182</v>
      </c>
      <c r="E330" s="14"/>
      <c r="F330" s="14"/>
      <c r="G330" s="14"/>
      <c r="H330" s="14"/>
      <c r="I330" s="14"/>
      <c r="J330" s="14"/>
      <c r="K330" s="14"/>
      <c r="L330" s="14"/>
      <c r="M330" s="14"/>
      <c r="N330" s="14"/>
      <c r="O330" s="14"/>
      <c r="P330" s="14"/>
      <c r="Q330" s="14"/>
      <c r="R330" s="14"/>
      <c r="S330" s="14"/>
      <c r="T330" s="14"/>
      <c r="U330" s="13">
        <f t="shared" si="17"/>
        <v>182</v>
      </c>
      <c r="V330" s="25">
        <v>382.3</v>
      </c>
      <c r="W330" s="15">
        <f t="shared" si="16"/>
        <v>69578.600000000006</v>
      </c>
    </row>
    <row r="331" spans="1:23" s="154" customFormat="1" x14ac:dyDescent="0.25">
      <c r="A331" s="44"/>
      <c r="B331" s="94" t="s">
        <v>153</v>
      </c>
      <c r="C331" s="38">
        <v>1</v>
      </c>
      <c r="D331" s="25">
        <v>364</v>
      </c>
      <c r="E331" s="14"/>
      <c r="F331" s="14"/>
      <c r="G331" s="14"/>
      <c r="H331" s="14"/>
      <c r="I331" s="14"/>
      <c r="J331" s="14"/>
      <c r="K331" s="14"/>
      <c r="L331" s="14"/>
      <c r="M331" s="14"/>
      <c r="N331" s="14"/>
      <c r="O331" s="14"/>
      <c r="P331" s="14"/>
      <c r="Q331" s="14"/>
      <c r="R331" s="14"/>
      <c r="S331" s="14"/>
      <c r="T331" s="14"/>
      <c r="U331" s="13">
        <f t="shared" si="17"/>
        <v>364</v>
      </c>
      <c r="V331" s="25">
        <v>522.75</v>
      </c>
      <c r="W331" s="15">
        <f t="shared" ref="W331:W394" si="18">V331*U331/C331</f>
        <v>190281</v>
      </c>
    </row>
    <row r="332" spans="1:23" s="154" customFormat="1" x14ac:dyDescent="0.25">
      <c r="A332" s="44"/>
      <c r="B332" s="94" t="s">
        <v>154</v>
      </c>
      <c r="C332" s="38">
        <v>1</v>
      </c>
      <c r="D332" s="25">
        <v>91</v>
      </c>
      <c r="E332" s="14"/>
      <c r="F332" s="14"/>
      <c r="G332" s="14"/>
      <c r="H332" s="14"/>
      <c r="I332" s="14"/>
      <c r="J332" s="14"/>
      <c r="K332" s="14"/>
      <c r="L332" s="14"/>
      <c r="M332" s="14"/>
      <c r="N332" s="14"/>
      <c r="O332" s="14"/>
      <c r="P332" s="14"/>
      <c r="Q332" s="14"/>
      <c r="R332" s="14"/>
      <c r="S332" s="14"/>
      <c r="T332" s="14"/>
      <c r="U332" s="13">
        <f t="shared" si="17"/>
        <v>91</v>
      </c>
      <c r="V332" s="25">
        <v>668.8</v>
      </c>
      <c r="W332" s="15">
        <f t="shared" si="18"/>
        <v>60860.799999999996</v>
      </c>
    </row>
    <row r="333" spans="1:23" s="154" customFormat="1" ht="30" x14ac:dyDescent="0.25">
      <c r="A333" s="44">
        <v>48</v>
      </c>
      <c r="B333" s="94" t="s">
        <v>131</v>
      </c>
      <c r="C333" s="38">
        <v>1</v>
      </c>
      <c r="D333" s="25">
        <v>3185</v>
      </c>
      <c r="E333" s="14"/>
      <c r="F333" s="14"/>
      <c r="G333" s="14"/>
      <c r="H333" s="14"/>
      <c r="I333" s="14"/>
      <c r="J333" s="14"/>
      <c r="K333" s="14"/>
      <c r="L333" s="14"/>
      <c r="M333" s="14"/>
      <c r="N333" s="14"/>
      <c r="O333" s="14"/>
      <c r="P333" s="14"/>
      <c r="Q333" s="14"/>
      <c r="R333" s="14"/>
      <c r="S333" s="14"/>
      <c r="T333" s="14"/>
      <c r="U333" s="13">
        <f t="shared" si="17"/>
        <v>3185</v>
      </c>
      <c r="V333" s="25">
        <v>102.7</v>
      </c>
      <c r="W333" s="15">
        <f t="shared" si="18"/>
        <v>327099.5</v>
      </c>
    </row>
    <row r="334" spans="1:23" s="154" customFormat="1" ht="30" x14ac:dyDescent="0.25">
      <c r="A334" s="44">
        <v>49</v>
      </c>
      <c r="B334" s="94" t="s">
        <v>183</v>
      </c>
      <c r="C334" s="38">
        <v>1</v>
      </c>
      <c r="D334" s="25">
        <v>546</v>
      </c>
      <c r="E334" s="14"/>
      <c r="F334" s="14"/>
      <c r="G334" s="14"/>
      <c r="H334" s="14"/>
      <c r="I334" s="14"/>
      <c r="J334" s="14"/>
      <c r="K334" s="14"/>
      <c r="L334" s="14"/>
      <c r="M334" s="14"/>
      <c r="N334" s="14"/>
      <c r="O334" s="14"/>
      <c r="P334" s="14"/>
      <c r="Q334" s="14"/>
      <c r="R334" s="14"/>
      <c r="S334" s="14"/>
      <c r="T334" s="14"/>
      <c r="U334" s="13">
        <f t="shared" si="17"/>
        <v>546</v>
      </c>
      <c r="V334" s="25">
        <v>178.75</v>
      </c>
      <c r="W334" s="15">
        <f t="shared" si="18"/>
        <v>97597.5</v>
      </c>
    </row>
    <row r="335" spans="1:23" s="154" customFormat="1" x14ac:dyDescent="0.25">
      <c r="A335" s="44">
        <v>50</v>
      </c>
      <c r="B335" s="94" t="s">
        <v>132</v>
      </c>
      <c r="C335" s="38">
        <v>1</v>
      </c>
      <c r="D335" s="25">
        <v>546</v>
      </c>
      <c r="E335" s="14"/>
      <c r="F335" s="14"/>
      <c r="G335" s="14"/>
      <c r="H335" s="14"/>
      <c r="I335" s="14"/>
      <c r="J335" s="14"/>
      <c r="K335" s="14"/>
      <c r="L335" s="14"/>
      <c r="M335" s="14"/>
      <c r="N335" s="14"/>
      <c r="O335" s="14"/>
      <c r="P335" s="14"/>
      <c r="Q335" s="14"/>
      <c r="R335" s="14"/>
      <c r="S335" s="14"/>
      <c r="T335" s="14"/>
      <c r="U335" s="13">
        <f t="shared" si="17"/>
        <v>546</v>
      </c>
      <c r="V335" s="25">
        <v>96.3</v>
      </c>
      <c r="W335" s="15">
        <f t="shared" si="18"/>
        <v>52579.799999999996</v>
      </c>
    </row>
    <row r="336" spans="1:23" s="154" customFormat="1" x14ac:dyDescent="0.25">
      <c r="A336" s="44">
        <v>51</v>
      </c>
      <c r="B336" s="94" t="s">
        <v>133</v>
      </c>
      <c r="C336" s="38">
        <v>1</v>
      </c>
      <c r="D336" s="25">
        <v>182</v>
      </c>
      <c r="E336" s="14"/>
      <c r="F336" s="14"/>
      <c r="G336" s="14"/>
      <c r="H336" s="14"/>
      <c r="I336" s="14"/>
      <c r="J336" s="14"/>
      <c r="K336" s="14"/>
      <c r="L336" s="14"/>
      <c r="M336" s="14"/>
      <c r="N336" s="14"/>
      <c r="O336" s="14"/>
      <c r="P336" s="14"/>
      <c r="Q336" s="14"/>
      <c r="R336" s="14"/>
      <c r="S336" s="14"/>
      <c r="T336" s="14"/>
      <c r="U336" s="13">
        <f t="shared" ref="U336:U350" si="19">SUM(D336:T336)</f>
        <v>182</v>
      </c>
      <c r="V336" s="25">
        <v>204.7</v>
      </c>
      <c r="W336" s="15">
        <f t="shared" si="18"/>
        <v>37255.4</v>
      </c>
    </row>
    <row r="337" spans="1:24" s="154" customFormat="1" ht="30" x14ac:dyDescent="0.25">
      <c r="A337" s="44">
        <v>52</v>
      </c>
      <c r="B337" s="94" t="s">
        <v>155</v>
      </c>
      <c r="C337" s="38">
        <v>1</v>
      </c>
      <c r="D337" s="25">
        <v>182</v>
      </c>
      <c r="E337" s="14"/>
      <c r="F337" s="14"/>
      <c r="G337" s="14"/>
      <c r="H337" s="14"/>
      <c r="I337" s="14"/>
      <c r="J337" s="14"/>
      <c r="K337" s="14"/>
      <c r="L337" s="14"/>
      <c r="M337" s="14"/>
      <c r="N337" s="14"/>
      <c r="O337" s="14"/>
      <c r="P337" s="14"/>
      <c r="Q337" s="14"/>
      <c r="R337" s="14"/>
      <c r="S337" s="14"/>
      <c r="T337" s="14"/>
      <c r="U337" s="13">
        <f t="shared" si="19"/>
        <v>182</v>
      </c>
      <c r="V337" s="25">
        <v>213.1</v>
      </c>
      <c r="W337" s="15">
        <f t="shared" si="18"/>
        <v>38784.199999999997</v>
      </c>
    </row>
    <row r="338" spans="1:24" s="154" customFormat="1" ht="135" x14ac:dyDescent="0.25">
      <c r="A338" s="44">
        <v>53</v>
      </c>
      <c r="B338" s="94" t="s">
        <v>163</v>
      </c>
      <c r="C338" s="37">
        <v>1</v>
      </c>
      <c r="D338" s="25">
        <v>91</v>
      </c>
      <c r="E338" s="14"/>
      <c r="F338" s="14"/>
      <c r="G338" s="14"/>
      <c r="H338" s="14"/>
      <c r="I338" s="14"/>
      <c r="J338" s="14"/>
      <c r="K338" s="14"/>
      <c r="L338" s="14"/>
      <c r="M338" s="14"/>
      <c r="N338" s="14"/>
      <c r="O338" s="14"/>
      <c r="P338" s="14"/>
      <c r="Q338" s="14"/>
      <c r="R338" s="14"/>
      <c r="S338" s="14"/>
      <c r="T338" s="14"/>
      <c r="U338" s="13">
        <f t="shared" si="19"/>
        <v>91</v>
      </c>
      <c r="V338" s="25">
        <v>24422.65</v>
      </c>
      <c r="W338" s="15">
        <f t="shared" si="18"/>
        <v>2222461.15</v>
      </c>
    </row>
    <row r="339" spans="1:24" s="154" customFormat="1" ht="90.75" x14ac:dyDescent="0.25">
      <c r="A339" s="44">
        <v>54</v>
      </c>
      <c r="B339" s="94" t="s">
        <v>184</v>
      </c>
      <c r="C339" s="37">
        <v>1</v>
      </c>
      <c r="D339" s="25">
        <v>91</v>
      </c>
      <c r="E339" s="14"/>
      <c r="F339" s="14"/>
      <c r="G339" s="14"/>
      <c r="H339" s="14"/>
      <c r="I339" s="14"/>
      <c r="J339" s="14"/>
      <c r="K339" s="14"/>
      <c r="L339" s="14"/>
      <c r="M339" s="14"/>
      <c r="N339" s="14"/>
      <c r="O339" s="14"/>
      <c r="P339" s="14"/>
      <c r="Q339" s="14"/>
      <c r="R339" s="14"/>
      <c r="S339" s="14"/>
      <c r="T339" s="14"/>
      <c r="U339" s="13">
        <f t="shared" si="19"/>
        <v>91</v>
      </c>
      <c r="V339" s="25">
        <v>5616.25</v>
      </c>
      <c r="W339" s="15">
        <f t="shared" si="18"/>
        <v>511078.75</v>
      </c>
    </row>
    <row r="340" spans="1:24" s="154" customFormat="1" ht="90.75" x14ac:dyDescent="0.25">
      <c r="A340" s="44">
        <v>55</v>
      </c>
      <c r="B340" s="94" t="s">
        <v>185</v>
      </c>
      <c r="C340" s="37">
        <v>1</v>
      </c>
      <c r="D340" s="25">
        <v>364</v>
      </c>
      <c r="E340" s="14"/>
      <c r="F340" s="14"/>
      <c r="G340" s="14"/>
      <c r="H340" s="14"/>
      <c r="I340" s="14"/>
      <c r="J340" s="14"/>
      <c r="K340" s="14"/>
      <c r="L340" s="14"/>
      <c r="M340" s="14"/>
      <c r="N340" s="14"/>
      <c r="O340" s="14"/>
      <c r="P340" s="14"/>
      <c r="Q340" s="14"/>
      <c r="R340" s="14"/>
      <c r="S340" s="14"/>
      <c r="T340" s="14"/>
      <c r="U340" s="13">
        <f t="shared" si="19"/>
        <v>364</v>
      </c>
      <c r="V340" s="25">
        <v>1453.75</v>
      </c>
      <c r="W340" s="15">
        <f t="shared" si="18"/>
        <v>529165</v>
      </c>
    </row>
    <row r="341" spans="1:24" s="154" customFormat="1" ht="30" x14ac:dyDescent="0.25">
      <c r="A341" s="44">
        <v>56</v>
      </c>
      <c r="B341" s="94" t="s">
        <v>323</v>
      </c>
      <c r="C341" s="38">
        <v>1</v>
      </c>
      <c r="D341" s="25">
        <v>91</v>
      </c>
      <c r="E341" s="14"/>
      <c r="F341" s="14"/>
      <c r="G341" s="14"/>
      <c r="H341" s="14"/>
      <c r="I341" s="14"/>
      <c r="J341" s="14"/>
      <c r="K341" s="14"/>
      <c r="L341" s="14"/>
      <c r="M341" s="14"/>
      <c r="N341" s="14"/>
      <c r="O341" s="14"/>
      <c r="P341" s="14"/>
      <c r="Q341" s="14"/>
      <c r="R341" s="14"/>
      <c r="S341" s="14"/>
      <c r="T341" s="14"/>
      <c r="U341" s="13">
        <f t="shared" si="19"/>
        <v>91</v>
      </c>
      <c r="V341" s="25">
        <v>83.75</v>
      </c>
      <c r="W341" s="15">
        <f t="shared" si="18"/>
        <v>7621.25</v>
      </c>
    </row>
    <row r="342" spans="1:24" s="154" customFormat="1" ht="60" x14ac:dyDescent="0.25">
      <c r="A342" s="44">
        <v>57</v>
      </c>
      <c r="B342" s="94" t="s">
        <v>324</v>
      </c>
      <c r="C342" s="38">
        <v>1</v>
      </c>
      <c r="D342" s="25">
        <v>91</v>
      </c>
      <c r="E342" s="14"/>
      <c r="F342" s="14"/>
      <c r="G342" s="14"/>
      <c r="H342" s="14"/>
      <c r="I342" s="14"/>
      <c r="J342" s="14"/>
      <c r="K342" s="14"/>
      <c r="L342" s="14"/>
      <c r="M342" s="14"/>
      <c r="N342" s="14"/>
      <c r="O342" s="14"/>
      <c r="P342" s="14"/>
      <c r="Q342" s="14"/>
      <c r="R342" s="14"/>
      <c r="S342" s="14"/>
      <c r="T342" s="14"/>
      <c r="U342" s="13">
        <f t="shared" si="19"/>
        <v>91</v>
      </c>
      <c r="V342" s="25">
        <v>10815.4</v>
      </c>
      <c r="W342" s="15">
        <f t="shared" si="18"/>
        <v>984201.4</v>
      </c>
    </row>
    <row r="343" spans="1:24" s="154" customFormat="1" ht="60" x14ac:dyDescent="0.25">
      <c r="A343" s="44">
        <v>58</v>
      </c>
      <c r="B343" s="94" t="s">
        <v>325</v>
      </c>
      <c r="C343" s="38">
        <v>1</v>
      </c>
      <c r="D343" s="25">
        <v>91</v>
      </c>
      <c r="E343" s="14"/>
      <c r="F343" s="14"/>
      <c r="G343" s="14"/>
      <c r="H343" s="14"/>
      <c r="I343" s="14"/>
      <c r="J343" s="14"/>
      <c r="K343" s="14"/>
      <c r="L343" s="14"/>
      <c r="M343" s="14"/>
      <c r="N343" s="14"/>
      <c r="O343" s="14"/>
      <c r="P343" s="14"/>
      <c r="Q343" s="14"/>
      <c r="R343" s="14"/>
      <c r="S343" s="14"/>
      <c r="T343" s="14"/>
      <c r="U343" s="13">
        <f t="shared" si="19"/>
        <v>91</v>
      </c>
      <c r="V343" s="25">
        <v>663.65</v>
      </c>
      <c r="W343" s="15">
        <f t="shared" si="18"/>
        <v>60392.15</v>
      </c>
    </row>
    <row r="344" spans="1:24" s="154" customFormat="1" ht="60" x14ac:dyDescent="0.25">
      <c r="A344" s="44">
        <v>59</v>
      </c>
      <c r="B344" s="94" t="s">
        <v>139</v>
      </c>
      <c r="C344" s="37">
        <v>1</v>
      </c>
      <c r="D344" s="25">
        <v>546</v>
      </c>
      <c r="E344" s="14"/>
      <c r="F344" s="14"/>
      <c r="G344" s="14"/>
      <c r="H344" s="14"/>
      <c r="I344" s="14"/>
      <c r="J344" s="14"/>
      <c r="K344" s="14"/>
      <c r="L344" s="14"/>
      <c r="M344" s="14"/>
      <c r="N344" s="14"/>
      <c r="O344" s="14"/>
      <c r="P344" s="14"/>
      <c r="Q344" s="14"/>
      <c r="R344" s="14"/>
      <c r="S344" s="14"/>
      <c r="T344" s="14"/>
      <c r="U344" s="13">
        <f t="shared" si="19"/>
        <v>546</v>
      </c>
      <c r="V344" s="25">
        <v>1995.3</v>
      </c>
      <c r="W344" s="15">
        <f t="shared" si="18"/>
        <v>1089433.8</v>
      </c>
    </row>
    <row r="345" spans="1:24" ht="60" x14ac:dyDescent="0.25">
      <c r="A345" s="44">
        <v>60</v>
      </c>
      <c r="B345" s="94" t="s">
        <v>326</v>
      </c>
      <c r="C345" s="38">
        <v>1</v>
      </c>
      <c r="D345" s="25">
        <v>91</v>
      </c>
      <c r="E345" s="14"/>
      <c r="F345" s="14"/>
      <c r="G345" s="14"/>
      <c r="H345" s="14"/>
      <c r="I345" s="14"/>
      <c r="J345" s="14"/>
      <c r="K345" s="14"/>
      <c r="L345" s="14"/>
      <c r="M345" s="14"/>
      <c r="N345" s="14"/>
      <c r="O345" s="14"/>
      <c r="P345" s="14"/>
      <c r="Q345" s="14"/>
      <c r="R345" s="14"/>
      <c r="S345" s="14"/>
      <c r="T345" s="14"/>
      <c r="U345" s="13">
        <f t="shared" si="19"/>
        <v>91</v>
      </c>
      <c r="V345" s="25">
        <v>99800</v>
      </c>
      <c r="W345" s="15">
        <f t="shared" si="18"/>
        <v>9081800</v>
      </c>
    </row>
    <row r="346" spans="1:24" ht="75.75" x14ac:dyDescent="0.25">
      <c r="A346" s="44">
        <v>61</v>
      </c>
      <c r="B346" s="94" t="s">
        <v>36</v>
      </c>
      <c r="C346" s="22"/>
      <c r="D346" s="22"/>
      <c r="E346" s="22"/>
      <c r="F346" s="22"/>
      <c r="G346" s="22"/>
      <c r="H346" s="22"/>
      <c r="I346" s="22"/>
      <c r="J346" s="22"/>
      <c r="K346" s="22"/>
      <c r="L346" s="22"/>
      <c r="M346" s="22"/>
      <c r="N346" s="22"/>
      <c r="O346" s="22"/>
      <c r="P346" s="22"/>
      <c r="Q346" s="22"/>
      <c r="R346" s="22"/>
      <c r="S346" s="22"/>
      <c r="T346" s="22"/>
      <c r="U346" s="13">
        <f t="shared" si="19"/>
        <v>0</v>
      </c>
      <c r="V346" s="22"/>
      <c r="W346" s="22"/>
    </row>
    <row r="347" spans="1:24" x14ac:dyDescent="0.25">
      <c r="A347" s="44" t="s">
        <v>60</v>
      </c>
      <c r="B347" s="94" t="s">
        <v>61</v>
      </c>
      <c r="C347" s="12">
        <v>100</v>
      </c>
      <c r="D347" s="25">
        <v>11086.966799999998</v>
      </c>
      <c r="E347" s="14"/>
      <c r="F347" s="14"/>
      <c r="G347" s="14"/>
      <c r="H347" s="14"/>
      <c r="I347" s="14"/>
      <c r="J347" s="14"/>
      <c r="K347" s="14"/>
      <c r="L347" s="14"/>
      <c r="M347" s="14"/>
      <c r="N347" s="14"/>
      <c r="O347" s="14"/>
      <c r="P347" s="14"/>
      <c r="Q347" s="14"/>
      <c r="R347" s="14"/>
      <c r="S347" s="14"/>
      <c r="T347" s="14"/>
      <c r="U347" s="13">
        <f t="shared" si="19"/>
        <v>11086.966799999998</v>
      </c>
      <c r="V347" s="13">
        <v>14042.6</v>
      </c>
      <c r="W347" s="15">
        <f t="shared" si="18"/>
        <v>1556898.3998567997</v>
      </c>
    </row>
    <row r="348" spans="1:24" x14ac:dyDescent="0.25">
      <c r="A348" s="44" t="s">
        <v>37</v>
      </c>
      <c r="B348" s="94" t="s">
        <v>38</v>
      </c>
      <c r="C348" s="12">
        <v>100</v>
      </c>
      <c r="D348" s="25">
        <v>1566.5650000000001</v>
      </c>
      <c r="E348" s="14"/>
      <c r="F348" s="14"/>
      <c r="G348" s="14"/>
      <c r="H348" s="14"/>
      <c r="I348" s="14"/>
      <c r="J348" s="14"/>
      <c r="K348" s="14"/>
      <c r="L348" s="14"/>
      <c r="M348" s="14"/>
      <c r="N348" s="14"/>
      <c r="O348" s="14"/>
      <c r="P348" s="14"/>
      <c r="Q348" s="14"/>
      <c r="R348" s="14"/>
      <c r="S348" s="14"/>
      <c r="T348" s="14"/>
      <c r="U348" s="13">
        <f t="shared" si="19"/>
        <v>1566.5650000000001</v>
      </c>
      <c r="V348" s="13">
        <v>14042.6</v>
      </c>
      <c r="W348" s="15">
        <f t="shared" si="18"/>
        <v>219986.45668999999</v>
      </c>
    </row>
    <row r="349" spans="1:24" x14ac:dyDescent="0.25">
      <c r="A349" s="44" t="s">
        <v>63</v>
      </c>
      <c r="B349" s="94" t="s">
        <v>141</v>
      </c>
      <c r="C349" s="12">
        <v>100</v>
      </c>
      <c r="D349" s="25">
        <v>19117.498399999997</v>
      </c>
      <c r="E349" s="14"/>
      <c r="F349" s="14"/>
      <c r="G349" s="14"/>
      <c r="H349" s="14"/>
      <c r="I349" s="14"/>
      <c r="J349" s="14"/>
      <c r="K349" s="14"/>
      <c r="L349" s="14"/>
      <c r="M349" s="14"/>
      <c r="N349" s="14"/>
      <c r="O349" s="14"/>
      <c r="P349" s="14"/>
      <c r="Q349" s="14"/>
      <c r="R349" s="14"/>
      <c r="S349" s="14"/>
      <c r="T349" s="14"/>
      <c r="U349" s="13">
        <f t="shared" si="19"/>
        <v>19117.498399999997</v>
      </c>
      <c r="V349" s="13">
        <v>14042.6</v>
      </c>
      <c r="W349" s="15">
        <f t="shared" si="18"/>
        <v>2684593.8303183997</v>
      </c>
    </row>
    <row r="350" spans="1:24" x14ac:dyDescent="0.25">
      <c r="A350" s="44" t="s">
        <v>142</v>
      </c>
      <c r="B350" s="94" t="s">
        <v>143</v>
      </c>
      <c r="C350" s="12">
        <v>100</v>
      </c>
      <c r="D350" s="25">
        <v>971.75203124999996</v>
      </c>
      <c r="E350" s="14"/>
      <c r="F350" s="14"/>
      <c r="G350" s="14"/>
      <c r="H350" s="14"/>
      <c r="I350" s="14"/>
      <c r="J350" s="14"/>
      <c r="K350" s="14"/>
      <c r="L350" s="14"/>
      <c r="M350" s="14"/>
      <c r="N350" s="14"/>
      <c r="O350" s="14"/>
      <c r="P350" s="14"/>
      <c r="Q350" s="14"/>
      <c r="R350" s="14"/>
      <c r="S350" s="14"/>
      <c r="T350" s="14"/>
      <c r="U350" s="13">
        <f t="shared" si="19"/>
        <v>971.75203124999996</v>
      </c>
      <c r="V350" s="13">
        <v>14042.6</v>
      </c>
      <c r="W350" s="15">
        <f t="shared" si="18"/>
        <v>136459.25074031251</v>
      </c>
      <c r="X350" s="186">
        <f>SUM(W272:W350)</f>
        <v>157218842.13167644</v>
      </c>
    </row>
    <row r="351" spans="1:24" s="155" customFormat="1" ht="22.5" x14ac:dyDescent="0.25">
      <c r="A351" s="198">
        <v>12</v>
      </c>
      <c r="B351" s="198" t="s">
        <v>405</v>
      </c>
      <c r="C351" s="406"/>
      <c r="D351" s="406"/>
      <c r="E351" s="406"/>
      <c r="F351" s="406"/>
      <c r="G351" s="406"/>
      <c r="H351" s="406"/>
      <c r="I351" s="406"/>
      <c r="J351" s="406"/>
      <c r="K351" s="406"/>
      <c r="L351" s="406"/>
      <c r="M351" s="406"/>
      <c r="N351" s="406"/>
      <c r="O351" s="406"/>
      <c r="P351" s="406"/>
      <c r="Q351" s="406"/>
      <c r="R351" s="406"/>
      <c r="S351" s="406"/>
      <c r="T351" s="406"/>
      <c r="U351" s="406"/>
      <c r="V351" s="406"/>
      <c r="W351" s="406"/>
    </row>
    <row r="352" spans="1:24" s="155" customFormat="1" x14ac:dyDescent="0.25">
      <c r="A352" s="123">
        <v>1</v>
      </c>
      <c r="B352" s="138" t="s">
        <v>210</v>
      </c>
      <c r="C352" s="106">
        <v>1</v>
      </c>
      <c r="D352" s="4">
        <v>25</v>
      </c>
      <c r="E352" s="5"/>
      <c r="F352" s="5"/>
      <c r="G352" s="5"/>
      <c r="H352" s="5"/>
      <c r="I352" s="5"/>
      <c r="J352" s="5"/>
      <c r="K352" s="5"/>
      <c r="L352" s="5"/>
      <c r="M352" s="5"/>
      <c r="N352" s="5"/>
      <c r="O352" s="5"/>
      <c r="P352" s="5"/>
      <c r="Q352" s="5"/>
      <c r="R352" s="5"/>
      <c r="S352" s="5"/>
      <c r="T352" s="5"/>
      <c r="U352" s="13">
        <f t="shared" ref="U352:U406" si="20">SUM(D352:T352)</f>
        <v>25</v>
      </c>
      <c r="V352" s="5">
        <v>71344</v>
      </c>
      <c r="W352" s="105">
        <f>V352*U352/C352</f>
        <v>1783600</v>
      </c>
    </row>
    <row r="353" spans="1:24" s="155" customFormat="1" x14ac:dyDescent="0.25">
      <c r="A353" s="123">
        <v>2</v>
      </c>
      <c r="B353" s="138" t="s">
        <v>211</v>
      </c>
      <c r="C353" s="106">
        <v>1</v>
      </c>
      <c r="D353" s="4">
        <v>700</v>
      </c>
      <c r="E353" s="5"/>
      <c r="F353" s="5"/>
      <c r="G353" s="5"/>
      <c r="H353" s="5"/>
      <c r="I353" s="5"/>
      <c r="J353" s="5"/>
      <c r="K353" s="5"/>
      <c r="L353" s="5"/>
      <c r="M353" s="5"/>
      <c r="N353" s="5"/>
      <c r="O353" s="5"/>
      <c r="P353" s="5"/>
      <c r="Q353" s="5"/>
      <c r="R353" s="5"/>
      <c r="S353" s="5"/>
      <c r="T353" s="5"/>
      <c r="U353" s="13">
        <f t="shared" si="20"/>
        <v>700</v>
      </c>
      <c r="V353" s="5">
        <v>71680</v>
      </c>
      <c r="W353" s="15">
        <f t="shared" si="18"/>
        <v>50176000</v>
      </c>
    </row>
    <row r="354" spans="1:24" s="155" customFormat="1" x14ac:dyDescent="0.25">
      <c r="A354" s="123">
        <v>3</v>
      </c>
      <c r="B354" s="138" t="s">
        <v>212</v>
      </c>
      <c r="C354" s="106">
        <v>1</v>
      </c>
      <c r="D354" s="4">
        <v>700</v>
      </c>
      <c r="E354" s="5"/>
      <c r="F354" s="5"/>
      <c r="G354" s="5"/>
      <c r="H354" s="5"/>
      <c r="I354" s="5"/>
      <c r="J354" s="5"/>
      <c r="K354" s="5"/>
      <c r="L354" s="5"/>
      <c r="M354" s="5"/>
      <c r="N354" s="5"/>
      <c r="O354" s="5"/>
      <c r="P354" s="5"/>
      <c r="Q354" s="5"/>
      <c r="R354" s="5"/>
      <c r="S354" s="5"/>
      <c r="T354" s="5"/>
      <c r="U354" s="13">
        <f>700+120</f>
        <v>820</v>
      </c>
      <c r="V354" s="5">
        <v>5488</v>
      </c>
      <c r="W354" s="15">
        <f t="shared" si="18"/>
        <v>4500160</v>
      </c>
    </row>
    <row r="355" spans="1:24" s="155" customFormat="1" x14ac:dyDescent="0.25">
      <c r="A355" s="123">
        <v>4</v>
      </c>
      <c r="B355" s="138" t="s">
        <v>213</v>
      </c>
      <c r="C355" s="106">
        <v>1</v>
      </c>
      <c r="D355" s="4">
        <v>1000</v>
      </c>
      <c r="E355" s="5"/>
      <c r="F355" s="5"/>
      <c r="G355" s="5"/>
      <c r="H355" s="5"/>
      <c r="I355" s="5"/>
      <c r="J355" s="5"/>
      <c r="K355" s="5"/>
      <c r="L355" s="5"/>
      <c r="M355" s="5"/>
      <c r="N355" s="5"/>
      <c r="O355" s="5"/>
      <c r="P355" s="5"/>
      <c r="Q355" s="5"/>
      <c r="R355" s="5"/>
      <c r="S355" s="5"/>
      <c r="T355" s="5"/>
      <c r="U355" s="13">
        <v>1760</v>
      </c>
      <c r="V355" s="5">
        <v>8333</v>
      </c>
      <c r="W355" s="15">
        <f t="shared" si="18"/>
        <v>14666080</v>
      </c>
    </row>
    <row r="356" spans="1:24" s="155" customFormat="1" x14ac:dyDescent="0.25">
      <c r="A356" s="123">
        <v>5</v>
      </c>
      <c r="B356" s="138" t="s">
        <v>214</v>
      </c>
      <c r="C356" s="106">
        <v>1</v>
      </c>
      <c r="D356" s="4">
        <v>1500</v>
      </c>
      <c r="E356" s="5"/>
      <c r="F356" s="5"/>
      <c r="G356" s="5"/>
      <c r="H356" s="5"/>
      <c r="I356" s="5"/>
      <c r="J356" s="5"/>
      <c r="K356" s="5"/>
      <c r="L356" s="5"/>
      <c r="M356" s="5"/>
      <c r="N356" s="5"/>
      <c r="O356" s="5"/>
      <c r="P356" s="5"/>
      <c r="Q356" s="5"/>
      <c r="R356" s="5"/>
      <c r="S356" s="5"/>
      <c r="T356" s="5"/>
      <c r="U356" s="13">
        <f t="shared" si="20"/>
        <v>1500</v>
      </c>
      <c r="V356" s="5">
        <v>4250</v>
      </c>
      <c r="W356" s="15">
        <f t="shared" si="18"/>
        <v>6375000</v>
      </c>
    </row>
    <row r="357" spans="1:24" s="155" customFormat="1" x14ac:dyDescent="0.25">
      <c r="A357" s="123">
        <v>6</v>
      </c>
      <c r="B357" s="138" t="s">
        <v>215</v>
      </c>
      <c r="C357" s="106">
        <v>1</v>
      </c>
      <c r="D357" s="4">
        <v>1200</v>
      </c>
      <c r="E357" s="5"/>
      <c r="F357" s="5"/>
      <c r="G357" s="5"/>
      <c r="H357" s="5"/>
      <c r="I357" s="5"/>
      <c r="J357" s="5"/>
      <c r="K357" s="5"/>
      <c r="L357" s="5"/>
      <c r="M357" s="5"/>
      <c r="N357" s="5"/>
      <c r="O357" s="5"/>
      <c r="P357" s="5"/>
      <c r="Q357" s="5"/>
      <c r="R357" s="5"/>
      <c r="S357" s="5"/>
      <c r="T357" s="5"/>
      <c r="U357" s="13">
        <f t="shared" si="20"/>
        <v>1200</v>
      </c>
      <c r="V357" s="5">
        <v>609</v>
      </c>
      <c r="W357" s="15">
        <f t="shared" si="18"/>
        <v>730800</v>
      </c>
    </row>
    <row r="358" spans="1:24" s="155" customFormat="1" x14ac:dyDescent="0.25">
      <c r="A358" s="123">
        <v>7</v>
      </c>
      <c r="B358" s="138" t="s">
        <v>216</v>
      </c>
      <c r="C358" s="106">
        <v>1</v>
      </c>
      <c r="D358" s="4">
        <v>250</v>
      </c>
      <c r="E358" s="5"/>
      <c r="F358" s="5"/>
      <c r="G358" s="5"/>
      <c r="H358" s="5"/>
      <c r="I358" s="5"/>
      <c r="J358" s="5"/>
      <c r="K358" s="5"/>
      <c r="L358" s="5"/>
      <c r="M358" s="5"/>
      <c r="N358" s="5"/>
      <c r="O358" s="5"/>
      <c r="P358" s="5"/>
      <c r="Q358" s="5"/>
      <c r="R358" s="5"/>
      <c r="S358" s="5"/>
      <c r="T358" s="5"/>
      <c r="U358" s="13">
        <f>2100+250</f>
        <v>2350</v>
      </c>
      <c r="V358" s="5">
        <v>1797</v>
      </c>
      <c r="W358" s="15">
        <f t="shared" si="18"/>
        <v>4222950</v>
      </c>
    </row>
    <row r="359" spans="1:24" s="155" customFormat="1" x14ac:dyDescent="0.25">
      <c r="A359" s="123">
        <v>8</v>
      </c>
      <c r="B359" s="138" t="s">
        <v>217</v>
      </c>
      <c r="C359" s="106">
        <v>1</v>
      </c>
      <c r="D359" s="4">
        <v>1000</v>
      </c>
      <c r="E359" s="5"/>
      <c r="F359" s="5"/>
      <c r="G359" s="5"/>
      <c r="H359" s="5"/>
      <c r="I359" s="5"/>
      <c r="J359" s="5"/>
      <c r="K359" s="5"/>
      <c r="L359" s="5"/>
      <c r="M359" s="5"/>
      <c r="N359" s="5"/>
      <c r="O359" s="5"/>
      <c r="P359" s="5"/>
      <c r="Q359" s="5"/>
      <c r="R359" s="5"/>
      <c r="S359" s="5"/>
      <c r="T359" s="5"/>
      <c r="U359" s="13">
        <f t="shared" si="20"/>
        <v>1000</v>
      </c>
      <c r="V359" s="5">
        <v>599</v>
      </c>
      <c r="W359" s="15">
        <f t="shared" si="18"/>
        <v>599000</v>
      </c>
    </row>
    <row r="360" spans="1:24" s="155" customFormat="1" x14ac:dyDescent="0.25">
      <c r="A360" s="123">
        <v>9</v>
      </c>
      <c r="B360" s="138" t="s">
        <v>218</v>
      </c>
      <c r="C360" s="106">
        <v>1</v>
      </c>
      <c r="D360" s="4">
        <v>700</v>
      </c>
      <c r="E360" s="5"/>
      <c r="F360" s="5"/>
      <c r="G360" s="5"/>
      <c r="H360" s="5"/>
      <c r="I360" s="5"/>
      <c r="J360" s="5"/>
      <c r="K360" s="5"/>
      <c r="L360" s="5"/>
      <c r="M360" s="5"/>
      <c r="N360" s="5"/>
      <c r="O360" s="5"/>
      <c r="P360" s="5"/>
      <c r="Q360" s="5"/>
      <c r="R360" s="5"/>
      <c r="S360" s="5"/>
      <c r="T360" s="5"/>
      <c r="U360" s="13">
        <f t="shared" si="20"/>
        <v>700</v>
      </c>
      <c r="V360" s="5">
        <v>358</v>
      </c>
      <c r="W360" s="15">
        <f t="shared" si="18"/>
        <v>250600</v>
      </c>
    </row>
    <row r="361" spans="1:24" s="155" customFormat="1" x14ac:dyDescent="0.25">
      <c r="A361" s="123">
        <v>10</v>
      </c>
      <c r="B361" s="138" t="s">
        <v>219</v>
      </c>
      <c r="C361" s="106">
        <v>1</v>
      </c>
      <c r="D361" s="4">
        <v>500</v>
      </c>
      <c r="E361" s="5"/>
      <c r="F361" s="5"/>
      <c r="G361" s="5"/>
      <c r="H361" s="5"/>
      <c r="I361" s="5"/>
      <c r="J361" s="5"/>
      <c r="K361" s="5"/>
      <c r="L361" s="5"/>
      <c r="M361" s="5"/>
      <c r="N361" s="5"/>
      <c r="O361" s="5"/>
      <c r="P361" s="5"/>
      <c r="Q361" s="5"/>
      <c r="R361" s="5"/>
      <c r="S361" s="5"/>
      <c r="T361" s="5"/>
      <c r="U361" s="13">
        <f t="shared" si="20"/>
        <v>500</v>
      </c>
      <c r="V361" s="5">
        <v>208</v>
      </c>
      <c r="W361" s="15">
        <f t="shared" si="18"/>
        <v>104000</v>
      </c>
    </row>
    <row r="362" spans="1:24" s="155" customFormat="1" x14ac:dyDescent="0.25">
      <c r="A362" s="123">
        <v>11</v>
      </c>
      <c r="B362" s="138" t="s">
        <v>220</v>
      </c>
      <c r="C362" s="106">
        <v>1</v>
      </c>
      <c r="D362" s="4">
        <v>500</v>
      </c>
      <c r="E362" s="5"/>
      <c r="F362" s="5"/>
      <c r="G362" s="5"/>
      <c r="H362" s="5"/>
      <c r="I362" s="5"/>
      <c r="J362" s="5"/>
      <c r="K362" s="5"/>
      <c r="L362" s="5"/>
      <c r="M362" s="5"/>
      <c r="N362" s="5"/>
      <c r="O362" s="5"/>
      <c r="P362" s="5"/>
      <c r="Q362" s="5"/>
      <c r="R362" s="5"/>
      <c r="S362" s="5"/>
      <c r="T362" s="5"/>
      <c r="U362" s="13">
        <f t="shared" si="20"/>
        <v>500</v>
      </c>
      <c r="V362" s="5">
        <v>184</v>
      </c>
      <c r="W362" s="15">
        <f t="shared" si="18"/>
        <v>92000</v>
      </c>
    </row>
    <row r="363" spans="1:24" s="155" customFormat="1" x14ac:dyDescent="0.25">
      <c r="A363" s="123">
        <v>12</v>
      </c>
      <c r="B363" s="138" t="s">
        <v>221</v>
      </c>
      <c r="C363" s="106">
        <v>1</v>
      </c>
      <c r="D363" s="4">
        <v>200</v>
      </c>
      <c r="E363" s="5"/>
      <c r="F363" s="5"/>
      <c r="G363" s="5"/>
      <c r="H363" s="5"/>
      <c r="I363" s="5"/>
      <c r="J363" s="5"/>
      <c r="K363" s="5"/>
      <c r="L363" s="5"/>
      <c r="M363" s="5"/>
      <c r="N363" s="5"/>
      <c r="O363" s="5"/>
      <c r="P363" s="5"/>
      <c r="Q363" s="5"/>
      <c r="R363" s="5"/>
      <c r="S363" s="5"/>
      <c r="T363" s="5"/>
      <c r="U363" s="13">
        <f t="shared" si="20"/>
        <v>200</v>
      </c>
      <c r="V363" s="5">
        <v>49</v>
      </c>
      <c r="W363" s="15">
        <f t="shared" si="18"/>
        <v>9800</v>
      </c>
    </row>
    <row r="364" spans="1:24" s="155" customFormat="1" x14ac:dyDescent="0.25">
      <c r="A364" s="123">
        <v>13</v>
      </c>
      <c r="B364" s="138" t="s">
        <v>222</v>
      </c>
      <c r="C364" s="106">
        <v>1</v>
      </c>
      <c r="D364" s="4">
        <v>150</v>
      </c>
      <c r="E364" s="5"/>
      <c r="F364" s="5"/>
      <c r="G364" s="5"/>
      <c r="H364" s="5"/>
      <c r="I364" s="5"/>
      <c r="J364" s="5"/>
      <c r="K364" s="5"/>
      <c r="L364" s="5"/>
      <c r="M364" s="5"/>
      <c r="N364" s="5"/>
      <c r="O364" s="5"/>
      <c r="P364" s="5"/>
      <c r="Q364" s="5"/>
      <c r="R364" s="5"/>
      <c r="S364" s="5"/>
      <c r="T364" s="5"/>
      <c r="U364" s="13">
        <f t="shared" si="20"/>
        <v>150</v>
      </c>
      <c r="V364" s="5">
        <v>3935</v>
      </c>
      <c r="W364" s="15">
        <f t="shared" si="18"/>
        <v>590250</v>
      </c>
    </row>
    <row r="365" spans="1:24" s="155" customFormat="1" x14ac:dyDescent="0.25">
      <c r="A365" s="123">
        <v>14</v>
      </c>
      <c r="B365" s="138" t="s">
        <v>223</v>
      </c>
      <c r="C365" s="107">
        <v>1</v>
      </c>
      <c r="D365" s="4">
        <v>1200</v>
      </c>
      <c r="E365" s="5"/>
      <c r="F365" s="5"/>
      <c r="G365" s="5"/>
      <c r="H365" s="5"/>
      <c r="I365" s="5"/>
      <c r="J365" s="5"/>
      <c r="K365" s="5"/>
      <c r="L365" s="5"/>
      <c r="M365" s="5"/>
      <c r="N365" s="5"/>
      <c r="O365" s="5"/>
      <c r="P365" s="5"/>
      <c r="Q365" s="5"/>
      <c r="R365" s="5"/>
      <c r="S365" s="5"/>
      <c r="T365" s="5"/>
      <c r="U365" s="13">
        <f>1200+670</f>
        <v>1870</v>
      </c>
      <c r="V365" s="5">
        <v>399</v>
      </c>
      <c r="W365" s="15">
        <f t="shared" si="18"/>
        <v>746130</v>
      </c>
    </row>
    <row r="366" spans="1:24" s="155" customFormat="1" x14ac:dyDescent="0.25">
      <c r="A366" s="123">
        <v>15</v>
      </c>
      <c r="B366" s="138" t="s">
        <v>224</v>
      </c>
      <c r="C366" s="106">
        <v>1</v>
      </c>
      <c r="D366" s="4">
        <v>55000</v>
      </c>
      <c r="E366" s="5"/>
      <c r="F366" s="5"/>
      <c r="G366" s="5"/>
      <c r="H366" s="5"/>
      <c r="I366" s="5"/>
      <c r="J366" s="5"/>
      <c r="K366" s="5"/>
      <c r="L366" s="5"/>
      <c r="M366" s="5"/>
      <c r="N366" s="5"/>
      <c r="O366" s="5"/>
      <c r="P366" s="5"/>
      <c r="Q366" s="5"/>
      <c r="R366" s="5"/>
      <c r="S366" s="5"/>
      <c r="T366" s="5"/>
      <c r="U366" s="13">
        <f>55000+3200</f>
        <v>58200</v>
      </c>
      <c r="V366" s="5">
        <v>246</v>
      </c>
      <c r="W366" s="15">
        <f t="shared" si="18"/>
        <v>14317200</v>
      </c>
      <c r="X366" s="155">
        <f>SUM(W352:W366)</f>
        <v>99163570</v>
      </c>
    </row>
    <row r="367" spans="1:24" s="155" customFormat="1" x14ac:dyDescent="0.25">
      <c r="A367" s="123">
        <v>16</v>
      </c>
      <c r="B367" s="138" t="s">
        <v>225</v>
      </c>
      <c r="C367" s="106">
        <v>1</v>
      </c>
      <c r="D367" s="4">
        <v>2</v>
      </c>
      <c r="E367" s="5"/>
      <c r="F367" s="5"/>
      <c r="G367" s="5"/>
      <c r="H367" s="5"/>
      <c r="I367" s="5"/>
      <c r="J367" s="5"/>
      <c r="K367" s="5"/>
      <c r="L367" s="5"/>
      <c r="M367" s="5"/>
      <c r="N367" s="5"/>
      <c r="O367" s="5"/>
      <c r="P367" s="5"/>
      <c r="Q367" s="5"/>
      <c r="R367" s="5"/>
      <c r="S367" s="5"/>
      <c r="T367" s="5"/>
      <c r="U367" s="13">
        <f t="shared" si="20"/>
        <v>2</v>
      </c>
      <c r="V367" s="5">
        <v>2189000</v>
      </c>
      <c r="W367" s="15">
        <f t="shared" si="18"/>
        <v>4378000</v>
      </c>
      <c r="X367" s="188">
        <f>SUM(W367:W379)</f>
        <v>40158955</v>
      </c>
    </row>
    <row r="368" spans="1:24" s="155" customFormat="1" x14ac:dyDescent="0.25">
      <c r="A368" s="123">
        <v>17</v>
      </c>
      <c r="B368" s="138" t="s">
        <v>226</v>
      </c>
      <c r="C368" s="106">
        <v>1</v>
      </c>
      <c r="D368" s="4">
        <v>5</v>
      </c>
      <c r="E368" s="5"/>
      <c r="F368" s="5"/>
      <c r="G368" s="5"/>
      <c r="H368" s="5"/>
      <c r="I368" s="5"/>
      <c r="J368" s="5"/>
      <c r="K368" s="5"/>
      <c r="L368" s="5"/>
      <c r="M368" s="5"/>
      <c r="N368" s="5"/>
      <c r="O368" s="5"/>
      <c r="P368" s="5"/>
      <c r="Q368" s="5"/>
      <c r="R368" s="5"/>
      <c r="S368" s="5"/>
      <c r="T368" s="5"/>
      <c r="U368" s="13">
        <f t="shared" si="20"/>
        <v>5</v>
      </c>
      <c r="V368" s="5">
        <v>506760</v>
      </c>
      <c r="W368" s="15">
        <f t="shared" si="18"/>
        <v>2533800</v>
      </c>
    </row>
    <row r="369" spans="1:23" s="155" customFormat="1" x14ac:dyDescent="0.25">
      <c r="A369" s="123">
        <v>18</v>
      </c>
      <c r="B369" s="138" t="s">
        <v>227</v>
      </c>
      <c r="C369" s="106">
        <v>1</v>
      </c>
      <c r="D369" s="4">
        <v>5</v>
      </c>
      <c r="E369" s="5"/>
      <c r="F369" s="5"/>
      <c r="G369" s="5"/>
      <c r="H369" s="5"/>
      <c r="I369" s="5"/>
      <c r="J369" s="5"/>
      <c r="K369" s="5"/>
      <c r="L369" s="5"/>
      <c r="M369" s="5"/>
      <c r="N369" s="5"/>
      <c r="O369" s="5"/>
      <c r="P369" s="5"/>
      <c r="Q369" s="5"/>
      <c r="R369" s="5"/>
      <c r="S369" s="5"/>
      <c r="T369" s="5"/>
      <c r="U369" s="13">
        <f t="shared" si="20"/>
        <v>5</v>
      </c>
      <c r="V369" s="5">
        <v>400567</v>
      </c>
      <c r="W369" s="15">
        <f t="shared" si="18"/>
        <v>2002835</v>
      </c>
    </row>
    <row r="370" spans="1:23" s="155" customFormat="1" x14ac:dyDescent="0.25">
      <c r="A370" s="123">
        <v>19</v>
      </c>
      <c r="B370" s="138" t="s">
        <v>228</v>
      </c>
      <c r="C370" s="106">
        <v>1</v>
      </c>
      <c r="D370" s="4">
        <v>40</v>
      </c>
      <c r="E370" s="5"/>
      <c r="F370" s="5"/>
      <c r="G370" s="5"/>
      <c r="H370" s="5"/>
      <c r="I370" s="5"/>
      <c r="J370" s="5"/>
      <c r="K370" s="5"/>
      <c r="L370" s="5"/>
      <c r="M370" s="5"/>
      <c r="N370" s="5"/>
      <c r="O370" s="5"/>
      <c r="P370" s="5"/>
      <c r="Q370" s="5"/>
      <c r="R370" s="5"/>
      <c r="S370" s="5"/>
      <c r="T370" s="5"/>
      <c r="U370" s="13">
        <f t="shared" si="20"/>
        <v>40</v>
      </c>
      <c r="V370" s="5">
        <v>286340</v>
      </c>
      <c r="W370" s="15">
        <f t="shared" si="18"/>
        <v>11453600</v>
      </c>
    </row>
    <row r="371" spans="1:23" s="155" customFormat="1" x14ac:dyDescent="0.25">
      <c r="A371" s="123">
        <v>23</v>
      </c>
      <c r="B371" s="138" t="s">
        <v>229</v>
      </c>
      <c r="C371" s="106">
        <v>1</v>
      </c>
      <c r="D371" s="4">
        <v>60</v>
      </c>
      <c r="E371" s="5"/>
      <c r="F371" s="5"/>
      <c r="G371" s="5"/>
      <c r="H371" s="5"/>
      <c r="I371" s="5"/>
      <c r="J371" s="5"/>
      <c r="K371" s="5"/>
      <c r="L371" s="5"/>
      <c r="M371" s="5"/>
      <c r="N371" s="5"/>
      <c r="O371" s="5"/>
      <c r="P371" s="5"/>
      <c r="Q371" s="5"/>
      <c r="R371" s="5"/>
      <c r="S371" s="5"/>
      <c r="T371" s="5"/>
      <c r="U371" s="13">
        <f t="shared" si="20"/>
        <v>60</v>
      </c>
      <c r="V371" s="5">
        <v>24290</v>
      </c>
      <c r="W371" s="15">
        <f t="shared" si="18"/>
        <v>1457400</v>
      </c>
    </row>
    <row r="372" spans="1:23" s="155" customFormat="1" x14ac:dyDescent="0.25">
      <c r="A372" s="123">
        <v>25</v>
      </c>
      <c r="B372" s="138" t="s">
        <v>230</v>
      </c>
      <c r="C372" s="106">
        <v>1</v>
      </c>
      <c r="D372" s="4">
        <v>500</v>
      </c>
      <c r="E372" s="5"/>
      <c r="F372" s="5"/>
      <c r="G372" s="5"/>
      <c r="H372" s="5"/>
      <c r="I372" s="5"/>
      <c r="J372" s="5"/>
      <c r="K372" s="5"/>
      <c r="L372" s="5"/>
      <c r="M372" s="5"/>
      <c r="N372" s="5"/>
      <c r="O372" s="5"/>
      <c r="P372" s="5"/>
      <c r="Q372" s="5"/>
      <c r="R372" s="5"/>
      <c r="S372" s="5"/>
      <c r="T372" s="5"/>
      <c r="U372" s="13">
        <f t="shared" si="20"/>
        <v>500</v>
      </c>
      <c r="V372" s="5">
        <v>198</v>
      </c>
      <c r="W372" s="15">
        <f t="shared" si="18"/>
        <v>99000</v>
      </c>
    </row>
    <row r="373" spans="1:23" s="155" customFormat="1" x14ac:dyDescent="0.25">
      <c r="A373" s="123">
        <v>26</v>
      </c>
      <c r="B373" s="138" t="s">
        <v>231</v>
      </c>
      <c r="C373" s="106">
        <v>1</v>
      </c>
      <c r="D373" s="4">
        <v>150</v>
      </c>
      <c r="E373" s="5"/>
      <c r="F373" s="5"/>
      <c r="G373" s="5"/>
      <c r="H373" s="5"/>
      <c r="I373" s="5"/>
      <c r="J373" s="5"/>
      <c r="K373" s="5"/>
      <c r="L373" s="5"/>
      <c r="M373" s="5"/>
      <c r="N373" s="5"/>
      <c r="O373" s="5"/>
      <c r="P373" s="5"/>
      <c r="Q373" s="5"/>
      <c r="R373" s="5"/>
      <c r="S373" s="5"/>
      <c r="T373" s="5"/>
      <c r="U373" s="13">
        <f t="shared" si="20"/>
        <v>150</v>
      </c>
      <c r="V373" s="5">
        <v>18250</v>
      </c>
      <c r="W373" s="15">
        <f t="shared" si="18"/>
        <v>2737500</v>
      </c>
    </row>
    <row r="374" spans="1:23" s="155" customFormat="1" x14ac:dyDescent="0.25">
      <c r="A374" s="123">
        <v>27</v>
      </c>
      <c r="B374" s="138" t="s">
        <v>232</v>
      </c>
      <c r="C374" s="106">
        <v>1</v>
      </c>
      <c r="D374" s="4">
        <v>50</v>
      </c>
      <c r="E374" s="5"/>
      <c r="F374" s="5"/>
      <c r="G374" s="5"/>
      <c r="H374" s="5"/>
      <c r="I374" s="5"/>
      <c r="J374" s="5"/>
      <c r="K374" s="5"/>
      <c r="L374" s="5"/>
      <c r="M374" s="5"/>
      <c r="N374" s="5"/>
      <c r="O374" s="5"/>
      <c r="P374" s="5"/>
      <c r="Q374" s="5"/>
      <c r="R374" s="5"/>
      <c r="S374" s="5"/>
      <c r="T374" s="5"/>
      <c r="U374" s="13">
        <f t="shared" si="20"/>
        <v>50</v>
      </c>
      <c r="V374" s="5">
        <v>4770</v>
      </c>
      <c r="W374" s="15">
        <f t="shared" si="18"/>
        <v>238500</v>
      </c>
    </row>
    <row r="375" spans="1:23" s="155" customFormat="1" x14ac:dyDescent="0.25">
      <c r="A375" s="123">
        <v>28</v>
      </c>
      <c r="B375" s="138" t="s">
        <v>233</v>
      </c>
      <c r="C375" s="106">
        <v>1</v>
      </c>
      <c r="D375" s="4">
        <v>50</v>
      </c>
      <c r="E375" s="5"/>
      <c r="F375" s="5"/>
      <c r="G375" s="5"/>
      <c r="H375" s="5"/>
      <c r="I375" s="5"/>
      <c r="J375" s="5"/>
      <c r="K375" s="5"/>
      <c r="L375" s="5"/>
      <c r="M375" s="5"/>
      <c r="N375" s="5"/>
      <c r="O375" s="5"/>
      <c r="P375" s="5"/>
      <c r="Q375" s="5"/>
      <c r="R375" s="5"/>
      <c r="S375" s="5"/>
      <c r="T375" s="5"/>
      <c r="U375" s="13">
        <f t="shared" si="20"/>
        <v>50</v>
      </c>
      <c r="V375" s="5">
        <v>10900</v>
      </c>
      <c r="W375" s="15">
        <f t="shared" si="18"/>
        <v>545000</v>
      </c>
    </row>
    <row r="376" spans="1:23" s="155" customFormat="1" x14ac:dyDescent="0.25">
      <c r="A376" s="123">
        <v>29</v>
      </c>
      <c r="B376" s="138" t="s">
        <v>234</v>
      </c>
      <c r="C376" s="106">
        <v>1</v>
      </c>
      <c r="D376" s="4">
        <v>500</v>
      </c>
      <c r="E376" s="5"/>
      <c r="F376" s="5"/>
      <c r="G376" s="5"/>
      <c r="H376" s="5"/>
      <c r="I376" s="5"/>
      <c r="J376" s="5"/>
      <c r="K376" s="5"/>
      <c r="L376" s="5"/>
      <c r="M376" s="5"/>
      <c r="N376" s="5"/>
      <c r="O376" s="5"/>
      <c r="P376" s="5"/>
      <c r="Q376" s="5"/>
      <c r="R376" s="5"/>
      <c r="S376" s="5"/>
      <c r="T376" s="5"/>
      <c r="U376" s="13">
        <f t="shared" si="20"/>
        <v>500</v>
      </c>
      <c r="V376" s="5">
        <v>23650</v>
      </c>
      <c r="W376" s="15">
        <f t="shared" si="18"/>
        <v>11825000</v>
      </c>
    </row>
    <row r="377" spans="1:23" s="155" customFormat="1" ht="47.25" x14ac:dyDescent="0.25">
      <c r="A377" s="123">
        <v>30</v>
      </c>
      <c r="B377" s="138" t="s">
        <v>235</v>
      </c>
      <c r="C377" s="106">
        <v>1</v>
      </c>
      <c r="D377" s="4">
        <v>200</v>
      </c>
      <c r="E377" s="5"/>
      <c r="F377" s="5"/>
      <c r="G377" s="5"/>
      <c r="H377" s="5"/>
      <c r="I377" s="5"/>
      <c r="J377" s="5"/>
      <c r="K377" s="5"/>
      <c r="L377" s="5"/>
      <c r="M377" s="5"/>
      <c r="N377" s="5"/>
      <c r="O377" s="5"/>
      <c r="P377" s="5"/>
      <c r="Q377" s="5"/>
      <c r="R377" s="5"/>
      <c r="S377" s="5"/>
      <c r="T377" s="5"/>
      <c r="U377" s="13">
        <f t="shared" si="20"/>
        <v>200</v>
      </c>
      <c r="V377" s="5">
        <v>3378.5</v>
      </c>
      <c r="W377" s="15">
        <f t="shared" si="18"/>
        <v>675700</v>
      </c>
    </row>
    <row r="378" spans="1:23" s="155" customFormat="1" ht="63" x14ac:dyDescent="0.25">
      <c r="A378" s="123">
        <v>31</v>
      </c>
      <c r="B378" s="138" t="s">
        <v>236</v>
      </c>
      <c r="C378" s="106">
        <v>1</v>
      </c>
      <c r="D378" s="4">
        <v>200</v>
      </c>
      <c r="E378" s="5"/>
      <c r="F378" s="5"/>
      <c r="G378" s="5"/>
      <c r="H378" s="5"/>
      <c r="I378" s="5"/>
      <c r="J378" s="5"/>
      <c r="K378" s="5"/>
      <c r="L378" s="5"/>
      <c r="M378" s="5"/>
      <c r="N378" s="5"/>
      <c r="O378" s="5"/>
      <c r="P378" s="5"/>
      <c r="Q378" s="5"/>
      <c r="R378" s="5"/>
      <c r="S378" s="5"/>
      <c r="T378" s="5"/>
      <c r="U378" s="13">
        <f t="shared" si="20"/>
        <v>200</v>
      </c>
      <c r="V378" s="5">
        <v>6949.8</v>
      </c>
      <c r="W378" s="15">
        <f t="shared" si="18"/>
        <v>1389960</v>
      </c>
    </row>
    <row r="379" spans="1:23" s="155" customFormat="1" ht="31.5" x14ac:dyDescent="0.25">
      <c r="A379" s="123">
        <v>32</v>
      </c>
      <c r="B379" s="138" t="s">
        <v>237</v>
      </c>
      <c r="C379" s="106">
        <v>1</v>
      </c>
      <c r="D379" s="4">
        <v>200</v>
      </c>
      <c r="E379" s="5"/>
      <c r="F379" s="5"/>
      <c r="G379" s="5"/>
      <c r="H379" s="5"/>
      <c r="I379" s="5"/>
      <c r="J379" s="5"/>
      <c r="K379" s="5"/>
      <c r="L379" s="5"/>
      <c r="M379" s="5"/>
      <c r="N379" s="5"/>
      <c r="O379" s="5"/>
      <c r="P379" s="5"/>
      <c r="Q379" s="5"/>
      <c r="R379" s="5"/>
      <c r="S379" s="5"/>
      <c r="T379" s="5"/>
      <c r="U379" s="13">
        <f t="shared" si="20"/>
        <v>200</v>
      </c>
      <c r="V379" s="5">
        <v>4113.3</v>
      </c>
      <c r="W379" s="15">
        <f t="shared" si="18"/>
        <v>822660</v>
      </c>
    </row>
    <row r="380" spans="1:23" s="155" customFormat="1" x14ac:dyDescent="0.25">
      <c r="A380" s="123">
        <v>33</v>
      </c>
      <c r="B380" s="138" t="s">
        <v>238</v>
      </c>
      <c r="C380" s="106">
        <v>1</v>
      </c>
      <c r="D380" s="4">
        <v>5000</v>
      </c>
      <c r="E380" s="5"/>
      <c r="F380" s="5"/>
      <c r="G380" s="5"/>
      <c r="H380" s="5"/>
      <c r="I380" s="5"/>
      <c r="J380" s="5"/>
      <c r="K380" s="5"/>
      <c r="L380" s="5"/>
      <c r="M380" s="5"/>
      <c r="N380" s="5"/>
      <c r="O380" s="5"/>
      <c r="P380" s="5"/>
      <c r="Q380" s="5"/>
      <c r="R380" s="5"/>
      <c r="S380" s="5"/>
      <c r="T380" s="5"/>
      <c r="U380" s="13">
        <f t="shared" si="20"/>
        <v>5000</v>
      </c>
      <c r="V380" s="5">
        <v>976</v>
      </c>
      <c r="W380" s="15">
        <f t="shared" si="18"/>
        <v>4880000</v>
      </c>
    </row>
    <row r="381" spans="1:23" s="155" customFormat="1" x14ac:dyDescent="0.25">
      <c r="A381" s="123">
        <v>34</v>
      </c>
      <c r="B381" s="138" t="s">
        <v>239</v>
      </c>
      <c r="C381" s="106">
        <v>1</v>
      </c>
      <c r="D381" s="4">
        <v>50</v>
      </c>
      <c r="E381" s="5"/>
      <c r="F381" s="5"/>
      <c r="G381" s="5"/>
      <c r="H381" s="5"/>
      <c r="I381" s="5"/>
      <c r="J381" s="5"/>
      <c r="K381" s="5"/>
      <c r="L381" s="5"/>
      <c r="M381" s="5"/>
      <c r="N381" s="5"/>
      <c r="O381" s="5"/>
      <c r="P381" s="5"/>
      <c r="Q381" s="5"/>
      <c r="R381" s="5"/>
      <c r="S381" s="5"/>
      <c r="T381" s="5"/>
      <c r="U381" s="13">
        <f t="shared" si="20"/>
        <v>50</v>
      </c>
      <c r="V381" s="5">
        <v>48900</v>
      </c>
      <c r="W381" s="15">
        <f t="shared" si="18"/>
        <v>2445000</v>
      </c>
    </row>
    <row r="382" spans="1:23" s="155" customFormat="1" x14ac:dyDescent="0.25">
      <c r="A382" s="123">
        <v>35</v>
      </c>
      <c r="B382" s="138" t="s">
        <v>240</v>
      </c>
      <c r="C382" s="106">
        <v>1</v>
      </c>
      <c r="D382" s="4">
        <v>10</v>
      </c>
      <c r="E382" s="5"/>
      <c r="F382" s="5"/>
      <c r="G382" s="5"/>
      <c r="H382" s="5"/>
      <c r="I382" s="5"/>
      <c r="J382" s="5"/>
      <c r="K382" s="5"/>
      <c r="L382" s="5"/>
      <c r="M382" s="5"/>
      <c r="N382" s="5"/>
      <c r="O382" s="5"/>
      <c r="P382" s="5"/>
      <c r="Q382" s="5"/>
      <c r="R382" s="5"/>
      <c r="S382" s="5"/>
      <c r="T382" s="5"/>
      <c r="U382" s="13">
        <f t="shared" si="20"/>
        <v>10</v>
      </c>
      <c r="V382" s="5">
        <v>31300</v>
      </c>
      <c r="W382" s="15">
        <f t="shared" si="18"/>
        <v>313000</v>
      </c>
    </row>
    <row r="383" spans="1:23" s="155" customFormat="1" x14ac:dyDescent="0.25">
      <c r="A383" s="123">
        <v>36</v>
      </c>
      <c r="B383" s="138" t="s">
        <v>241</v>
      </c>
      <c r="C383" s="106">
        <v>1</v>
      </c>
      <c r="D383" s="4">
        <v>20</v>
      </c>
      <c r="E383" s="5"/>
      <c r="F383" s="5"/>
      <c r="G383" s="5"/>
      <c r="H383" s="5"/>
      <c r="I383" s="5"/>
      <c r="J383" s="5"/>
      <c r="K383" s="5"/>
      <c r="L383" s="5"/>
      <c r="M383" s="5"/>
      <c r="N383" s="5"/>
      <c r="O383" s="5"/>
      <c r="P383" s="5"/>
      <c r="Q383" s="5"/>
      <c r="R383" s="5"/>
      <c r="S383" s="5"/>
      <c r="T383" s="5"/>
      <c r="U383" s="13">
        <f t="shared" si="20"/>
        <v>20</v>
      </c>
      <c r="V383" s="5">
        <v>5488</v>
      </c>
      <c r="W383" s="15">
        <f t="shared" si="18"/>
        <v>109760</v>
      </c>
    </row>
    <row r="384" spans="1:23" s="155" customFormat="1" x14ac:dyDescent="0.25">
      <c r="A384" s="123">
        <v>37</v>
      </c>
      <c r="B384" s="138" t="s">
        <v>242</v>
      </c>
      <c r="C384" s="106">
        <v>1</v>
      </c>
      <c r="D384" s="4">
        <v>80</v>
      </c>
      <c r="E384" s="5"/>
      <c r="F384" s="5"/>
      <c r="G384" s="5"/>
      <c r="H384" s="5"/>
      <c r="I384" s="5"/>
      <c r="J384" s="5"/>
      <c r="K384" s="5"/>
      <c r="L384" s="5"/>
      <c r="M384" s="5"/>
      <c r="N384" s="5"/>
      <c r="O384" s="5"/>
      <c r="P384" s="5"/>
      <c r="Q384" s="5"/>
      <c r="R384" s="5"/>
      <c r="S384" s="5"/>
      <c r="T384" s="5"/>
      <c r="U384" s="13">
        <f t="shared" si="20"/>
        <v>80</v>
      </c>
      <c r="V384" s="5">
        <v>10530</v>
      </c>
      <c r="W384" s="15">
        <f t="shared" si="18"/>
        <v>842400</v>
      </c>
    </row>
    <row r="385" spans="1:25" s="155" customFormat="1" x14ac:dyDescent="0.25">
      <c r="A385" s="123">
        <v>38</v>
      </c>
      <c r="B385" s="138" t="s">
        <v>243</v>
      </c>
      <c r="C385" s="106">
        <v>1</v>
      </c>
      <c r="D385" s="4"/>
      <c r="E385" s="5"/>
      <c r="F385" s="5"/>
      <c r="G385" s="5"/>
      <c r="H385" s="5"/>
      <c r="I385" s="5"/>
      <c r="J385" s="5"/>
      <c r="K385" s="5"/>
      <c r="L385" s="5"/>
      <c r="M385" s="5"/>
      <c r="N385" s="5"/>
      <c r="O385" s="5"/>
      <c r="P385" s="5"/>
      <c r="Q385" s="5"/>
      <c r="R385" s="5"/>
      <c r="S385" s="5"/>
      <c r="T385" s="5"/>
      <c r="U385" s="13">
        <f t="shared" si="20"/>
        <v>0</v>
      </c>
      <c r="V385" s="5">
        <v>16263340</v>
      </c>
      <c r="W385" s="15">
        <f t="shared" ref="W385:W390" si="21">V385</f>
        <v>16263340</v>
      </c>
    </row>
    <row r="386" spans="1:25" s="155" customFormat="1" x14ac:dyDescent="0.25">
      <c r="A386" s="123">
        <v>39</v>
      </c>
      <c r="B386" s="138" t="s">
        <v>244</v>
      </c>
      <c r="C386" s="106">
        <v>1</v>
      </c>
      <c r="D386" s="4"/>
      <c r="E386" s="5"/>
      <c r="F386" s="5"/>
      <c r="G386" s="5"/>
      <c r="H386" s="5"/>
      <c r="I386" s="5"/>
      <c r="J386" s="5"/>
      <c r="K386" s="5"/>
      <c r="L386" s="5"/>
      <c r="M386" s="5"/>
      <c r="N386" s="5"/>
      <c r="O386" s="5"/>
      <c r="P386" s="5"/>
      <c r="Q386" s="5"/>
      <c r="R386" s="5"/>
      <c r="S386" s="5"/>
      <c r="T386" s="5"/>
      <c r="U386" s="13">
        <f t="shared" si="20"/>
        <v>0</v>
      </c>
      <c r="V386" s="5">
        <v>5598490</v>
      </c>
      <c r="W386" s="15">
        <f>V386</f>
        <v>5598490</v>
      </c>
    </row>
    <row r="387" spans="1:25" s="155" customFormat="1" x14ac:dyDescent="0.25">
      <c r="A387" s="123">
        <v>40</v>
      </c>
      <c r="B387" s="138" t="s">
        <v>245</v>
      </c>
      <c r="C387" s="106">
        <v>1</v>
      </c>
      <c r="D387" s="4"/>
      <c r="E387" s="5"/>
      <c r="F387" s="5"/>
      <c r="G387" s="5"/>
      <c r="H387" s="5"/>
      <c r="I387" s="5"/>
      <c r="J387" s="5"/>
      <c r="K387" s="5"/>
      <c r="L387" s="5"/>
      <c r="M387" s="5"/>
      <c r="N387" s="5"/>
      <c r="O387" s="5"/>
      <c r="P387" s="5"/>
      <c r="Q387" s="5"/>
      <c r="R387" s="5"/>
      <c r="S387" s="5"/>
      <c r="T387" s="5"/>
      <c r="U387" s="13">
        <f t="shared" si="20"/>
        <v>0</v>
      </c>
      <c r="V387" s="5">
        <v>1034832</v>
      </c>
      <c r="W387" s="15">
        <f t="shared" si="21"/>
        <v>1034832</v>
      </c>
    </row>
    <row r="388" spans="1:25" s="155" customFormat="1" x14ac:dyDescent="0.25">
      <c r="A388" s="123">
        <v>41</v>
      </c>
      <c r="B388" s="138" t="s">
        <v>246</v>
      </c>
      <c r="C388" s="106">
        <v>1</v>
      </c>
      <c r="D388" s="4"/>
      <c r="E388" s="5"/>
      <c r="F388" s="5"/>
      <c r="G388" s="5"/>
      <c r="H388" s="5"/>
      <c r="I388" s="5"/>
      <c r="J388" s="5"/>
      <c r="K388" s="5"/>
      <c r="L388" s="5"/>
      <c r="M388" s="5"/>
      <c r="N388" s="5"/>
      <c r="O388" s="5"/>
      <c r="P388" s="5"/>
      <c r="Q388" s="5"/>
      <c r="R388" s="5"/>
      <c r="S388" s="5"/>
      <c r="T388" s="5"/>
      <c r="U388" s="13">
        <f t="shared" si="20"/>
        <v>0</v>
      </c>
      <c r="V388" s="3">
        <v>8064000</v>
      </c>
      <c r="W388" s="15">
        <f t="shared" si="21"/>
        <v>8064000</v>
      </c>
    </row>
    <row r="389" spans="1:25" s="155" customFormat="1" x14ac:dyDescent="0.25">
      <c r="A389" s="123">
        <v>42</v>
      </c>
      <c r="B389" s="138" t="s">
        <v>247</v>
      </c>
      <c r="C389" s="106">
        <v>1</v>
      </c>
      <c r="D389" s="4"/>
      <c r="E389" s="5"/>
      <c r="F389" s="5"/>
      <c r="G389" s="5"/>
      <c r="H389" s="5"/>
      <c r="I389" s="5"/>
      <c r="J389" s="5"/>
      <c r="K389" s="5"/>
      <c r="L389" s="5"/>
      <c r="M389" s="5"/>
      <c r="N389" s="5"/>
      <c r="O389" s="5"/>
      <c r="P389" s="5"/>
      <c r="Q389" s="5"/>
      <c r="R389" s="5"/>
      <c r="S389" s="5"/>
      <c r="T389" s="5"/>
      <c r="U389" s="13">
        <f t="shared" si="20"/>
        <v>0</v>
      </c>
      <c r="V389" s="3">
        <v>42000000</v>
      </c>
      <c r="W389" s="15">
        <f t="shared" si="21"/>
        <v>42000000</v>
      </c>
    </row>
    <row r="390" spans="1:25" s="155" customFormat="1" x14ac:dyDescent="0.25">
      <c r="A390" s="123">
        <v>43</v>
      </c>
      <c r="B390" s="138" t="s">
        <v>248</v>
      </c>
      <c r="C390" s="106">
        <v>1</v>
      </c>
      <c r="D390" s="4"/>
      <c r="E390" s="5"/>
      <c r="F390" s="5"/>
      <c r="G390" s="5"/>
      <c r="H390" s="5"/>
      <c r="I390" s="5"/>
      <c r="J390" s="5"/>
      <c r="K390" s="5"/>
      <c r="L390" s="5"/>
      <c r="M390" s="5"/>
      <c r="N390" s="5"/>
      <c r="O390" s="5"/>
      <c r="P390" s="5"/>
      <c r="Q390" s="5"/>
      <c r="R390" s="5"/>
      <c r="S390" s="5"/>
      <c r="T390" s="5"/>
      <c r="U390" s="13">
        <f t="shared" si="20"/>
        <v>0</v>
      </c>
      <c r="V390" s="3">
        <v>2000000</v>
      </c>
      <c r="W390" s="15">
        <f t="shared" si="21"/>
        <v>2000000</v>
      </c>
      <c r="X390" s="155">
        <f>SUM(W352:W390)</f>
        <v>222873347</v>
      </c>
    </row>
    <row r="391" spans="1:25" s="155" customFormat="1" x14ac:dyDescent="0.25">
      <c r="A391" s="123">
        <v>44</v>
      </c>
      <c r="B391" s="138" t="s">
        <v>269</v>
      </c>
      <c r="C391" s="108">
        <v>1</v>
      </c>
      <c r="D391" s="103"/>
      <c r="E391" s="10"/>
      <c r="F391" s="10"/>
      <c r="G391" s="10"/>
      <c r="H391" s="10"/>
      <c r="I391" s="10"/>
      <c r="J391" s="10"/>
      <c r="K391" s="10"/>
      <c r="L391" s="10">
        <v>2</v>
      </c>
      <c r="M391" s="10"/>
      <c r="N391" s="10"/>
      <c r="O391" s="10"/>
      <c r="P391" s="10"/>
      <c r="Q391" s="10"/>
      <c r="R391" s="10"/>
      <c r="S391" s="10"/>
      <c r="T391" s="10"/>
      <c r="U391" s="13">
        <f t="shared" si="20"/>
        <v>2</v>
      </c>
      <c r="V391" s="5">
        <v>2375000</v>
      </c>
      <c r="W391" s="15">
        <f t="shared" si="18"/>
        <v>4750000</v>
      </c>
      <c r="X391" s="188">
        <f>SUM(W391:W409)</f>
        <v>13826383</v>
      </c>
      <c r="Y391" s="155">
        <v>14594316</v>
      </c>
    </row>
    <row r="392" spans="1:25" s="155" customFormat="1" x14ac:dyDescent="0.25">
      <c r="A392" s="123">
        <v>45</v>
      </c>
      <c r="B392" s="138" t="s">
        <v>263</v>
      </c>
      <c r="C392" s="108">
        <v>1</v>
      </c>
      <c r="D392" s="103"/>
      <c r="E392" s="10"/>
      <c r="F392" s="10"/>
      <c r="G392" s="10"/>
      <c r="H392" s="10">
        <v>1</v>
      </c>
      <c r="I392" s="10"/>
      <c r="J392" s="10">
        <v>1</v>
      </c>
      <c r="K392" s="10"/>
      <c r="L392" s="10"/>
      <c r="M392" s="10"/>
      <c r="N392" s="10"/>
      <c r="O392" s="10"/>
      <c r="P392" s="10"/>
      <c r="Q392" s="10"/>
      <c r="R392" s="10"/>
      <c r="S392" s="10"/>
      <c r="T392" s="10"/>
      <c r="U392" s="13">
        <f t="shared" si="20"/>
        <v>2</v>
      </c>
      <c r="V392" s="5">
        <v>904422</v>
      </c>
      <c r="W392" s="15">
        <f t="shared" si="18"/>
        <v>1808844</v>
      </c>
      <c r="Y392" s="189">
        <f>Y391-X391</f>
        <v>767933</v>
      </c>
    </row>
    <row r="393" spans="1:25" s="155" customFormat="1" x14ac:dyDescent="0.25">
      <c r="A393" s="123">
        <v>46</v>
      </c>
      <c r="B393" s="138" t="s">
        <v>264</v>
      </c>
      <c r="C393" s="108">
        <v>1</v>
      </c>
      <c r="D393" s="103"/>
      <c r="E393" s="10"/>
      <c r="F393" s="10"/>
      <c r="G393" s="10"/>
      <c r="H393" s="10">
        <v>1</v>
      </c>
      <c r="I393" s="10"/>
      <c r="J393" s="10">
        <v>1</v>
      </c>
      <c r="K393" s="10"/>
      <c r="L393" s="10">
        <v>5</v>
      </c>
      <c r="M393" s="10"/>
      <c r="N393" s="10"/>
      <c r="O393" s="10"/>
      <c r="P393" s="10"/>
      <c r="Q393" s="10"/>
      <c r="R393" s="10"/>
      <c r="S393" s="10"/>
      <c r="T393" s="10"/>
      <c r="U393" s="13">
        <f t="shared" si="20"/>
        <v>7</v>
      </c>
      <c r="V393" s="5">
        <v>24290</v>
      </c>
      <c r="W393" s="15">
        <f t="shared" si="18"/>
        <v>170030</v>
      </c>
    </row>
    <row r="394" spans="1:25" s="155" customFormat="1" x14ac:dyDescent="0.25">
      <c r="A394" s="123">
        <v>48</v>
      </c>
      <c r="B394" s="138" t="s">
        <v>265</v>
      </c>
      <c r="C394" s="108">
        <v>1</v>
      </c>
      <c r="D394" s="103"/>
      <c r="E394" s="10"/>
      <c r="F394" s="10"/>
      <c r="G394" s="10"/>
      <c r="H394" s="10">
        <v>1</v>
      </c>
      <c r="I394" s="10"/>
      <c r="J394" s="10">
        <v>1</v>
      </c>
      <c r="K394" s="10"/>
      <c r="L394" s="10">
        <v>25</v>
      </c>
      <c r="M394" s="10"/>
      <c r="N394" s="10"/>
      <c r="O394" s="10"/>
      <c r="P394" s="10"/>
      <c r="Q394" s="10"/>
      <c r="R394" s="10"/>
      <c r="S394" s="10"/>
      <c r="T394" s="10"/>
      <c r="U394" s="13">
        <f t="shared" si="20"/>
        <v>27</v>
      </c>
      <c r="V394" s="5">
        <v>23650</v>
      </c>
      <c r="W394" s="15">
        <f t="shared" si="18"/>
        <v>638550</v>
      </c>
    </row>
    <row r="395" spans="1:25" s="155" customFormat="1" x14ac:dyDescent="0.25">
      <c r="A395" s="123">
        <v>49</v>
      </c>
      <c r="B395" s="138" t="s">
        <v>266</v>
      </c>
      <c r="C395" s="108">
        <v>1</v>
      </c>
      <c r="D395" s="103"/>
      <c r="E395" s="10"/>
      <c r="F395" s="10"/>
      <c r="G395" s="10"/>
      <c r="H395" s="10">
        <v>2</v>
      </c>
      <c r="I395" s="10"/>
      <c r="J395" s="10">
        <v>2</v>
      </c>
      <c r="K395" s="10"/>
      <c r="L395" s="10">
        <v>3</v>
      </c>
      <c r="M395" s="10"/>
      <c r="N395" s="10"/>
      <c r="O395" s="10"/>
      <c r="P395" s="10"/>
      <c r="Q395" s="10"/>
      <c r="R395" s="10"/>
      <c r="S395" s="10"/>
      <c r="T395" s="10"/>
      <c r="U395" s="13">
        <f t="shared" si="20"/>
        <v>7</v>
      </c>
      <c r="V395" s="5">
        <v>31300</v>
      </c>
      <c r="W395" s="15">
        <f t="shared" ref="W395:W455" si="22">V395*U395/C395</f>
        <v>219100</v>
      </c>
    </row>
    <row r="396" spans="1:25" s="155" customFormat="1" x14ac:dyDescent="0.25">
      <c r="A396" s="123">
        <v>50</v>
      </c>
      <c r="B396" s="138" t="s">
        <v>267</v>
      </c>
      <c r="C396" s="108">
        <v>1</v>
      </c>
      <c r="D396" s="103"/>
      <c r="E396" s="10"/>
      <c r="F396" s="10"/>
      <c r="G396" s="10"/>
      <c r="H396" s="10">
        <v>8</v>
      </c>
      <c r="I396" s="10"/>
      <c r="J396" s="10">
        <v>8</v>
      </c>
      <c r="K396" s="10"/>
      <c r="L396" s="10">
        <v>12</v>
      </c>
      <c r="M396" s="10"/>
      <c r="N396" s="10"/>
      <c r="O396" s="10"/>
      <c r="P396" s="10"/>
      <c r="Q396" s="10"/>
      <c r="R396" s="10"/>
      <c r="S396" s="10"/>
      <c r="T396" s="10"/>
      <c r="U396" s="13">
        <f t="shared" si="20"/>
        <v>28</v>
      </c>
      <c r="V396" s="5">
        <v>10530</v>
      </c>
      <c r="W396" s="15">
        <f t="shared" si="22"/>
        <v>294840</v>
      </c>
    </row>
    <row r="397" spans="1:25" s="155" customFormat="1" x14ac:dyDescent="0.25">
      <c r="A397" s="123">
        <v>51</v>
      </c>
      <c r="B397" s="138" t="s">
        <v>249</v>
      </c>
      <c r="C397" s="108">
        <v>1</v>
      </c>
      <c r="D397" s="4">
        <v>1</v>
      </c>
      <c r="E397" s="5">
        <v>1</v>
      </c>
      <c r="F397" s="5">
        <v>1</v>
      </c>
      <c r="G397" s="5">
        <v>1</v>
      </c>
      <c r="H397" s="5"/>
      <c r="I397" s="5">
        <v>1</v>
      </c>
      <c r="J397" s="5"/>
      <c r="K397" s="5">
        <v>1</v>
      </c>
      <c r="L397" s="5"/>
      <c r="M397" s="5"/>
      <c r="N397" s="5"/>
      <c r="O397" s="5"/>
      <c r="P397" s="5"/>
      <c r="Q397" s="5"/>
      <c r="R397" s="5"/>
      <c r="S397" s="5"/>
      <c r="T397" s="5"/>
      <c r="U397" s="13">
        <f t="shared" si="20"/>
        <v>6</v>
      </c>
      <c r="V397" s="5">
        <v>286340</v>
      </c>
      <c r="W397" s="15">
        <f t="shared" si="22"/>
        <v>1718040</v>
      </c>
    </row>
    <row r="398" spans="1:25" s="155" customFormat="1" x14ac:dyDescent="0.25">
      <c r="A398" s="123">
        <v>52</v>
      </c>
      <c r="B398" s="138" t="s">
        <v>250</v>
      </c>
      <c r="C398" s="108">
        <v>1</v>
      </c>
      <c r="D398" s="4">
        <v>1</v>
      </c>
      <c r="E398" s="5">
        <v>1</v>
      </c>
      <c r="F398" s="5">
        <v>1</v>
      </c>
      <c r="G398" s="5">
        <v>1</v>
      </c>
      <c r="H398" s="5"/>
      <c r="I398" s="5">
        <v>1</v>
      </c>
      <c r="J398" s="5"/>
      <c r="K398" s="5">
        <v>1</v>
      </c>
      <c r="L398" s="5"/>
      <c r="M398" s="5"/>
      <c r="N398" s="5"/>
      <c r="O398" s="5"/>
      <c r="P398" s="5"/>
      <c r="Q398" s="5"/>
      <c r="R398" s="5"/>
      <c r="S398" s="5"/>
      <c r="T398" s="5"/>
      <c r="U398" s="13">
        <f t="shared" si="20"/>
        <v>6</v>
      </c>
      <c r="V398" s="5">
        <v>15786</v>
      </c>
      <c r="W398" s="15">
        <f t="shared" si="22"/>
        <v>94716</v>
      </c>
    </row>
    <row r="399" spans="1:25" s="155" customFormat="1" x14ac:dyDescent="0.25">
      <c r="A399" s="123">
        <v>53</v>
      </c>
      <c r="B399" s="138" t="s">
        <v>251</v>
      </c>
      <c r="C399" s="108">
        <v>1</v>
      </c>
      <c r="D399" s="4">
        <v>3</v>
      </c>
      <c r="E399" s="5">
        <v>1</v>
      </c>
      <c r="F399" s="5">
        <v>1</v>
      </c>
      <c r="G399" s="5">
        <v>4</v>
      </c>
      <c r="H399" s="5"/>
      <c r="I399" s="5">
        <v>1</v>
      </c>
      <c r="J399" s="5"/>
      <c r="K399" s="5">
        <v>1</v>
      </c>
      <c r="L399" s="5"/>
      <c r="M399" s="5"/>
      <c r="N399" s="5"/>
      <c r="O399" s="5"/>
      <c r="P399" s="5"/>
      <c r="Q399" s="5"/>
      <c r="R399" s="5"/>
      <c r="S399" s="5"/>
      <c r="T399" s="5"/>
      <c r="U399" s="13">
        <v>12</v>
      </c>
      <c r="V399" s="5">
        <v>33000</v>
      </c>
      <c r="W399" s="15">
        <f t="shared" si="22"/>
        <v>396000</v>
      </c>
    </row>
    <row r="400" spans="1:25" s="155" customFormat="1" x14ac:dyDescent="0.25">
      <c r="A400" s="123">
        <v>55</v>
      </c>
      <c r="B400" s="138" t="s">
        <v>252</v>
      </c>
      <c r="C400" s="108">
        <v>1</v>
      </c>
      <c r="D400" s="4">
        <v>3</v>
      </c>
      <c r="E400" s="5">
        <v>3</v>
      </c>
      <c r="F400" s="5">
        <v>3</v>
      </c>
      <c r="G400" s="5">
        <v>3</v>
      </c>
      <c r="H400" s="5">
        <v>3</v>
      </c>
      <c r="I400" s="5">
        <v>3</v>
      </c>
      <c r="J400" s="5">
        <v>3</v>
      </c>
      <c r="K400" s="5">
        <v>3</v>
      </c>
      <c r="L400" s="5">
        <v>9</v>
      </c>
      <c r="M400" s="5"/>
      <c r="N400" s="5"/>
      <c r="O400" s="5"/>
      <c r="P400" s="5"/>
      <c r="Q400" s="5"/>
      <c r="R400" s="5"/>
      <c r="S400" s="5"/>
      <c r="T400" s="5"/>
      <c r="U400" s="13">
        <f t="shared" si="20"/>
        <v>33</v>
      </c>
      <c r="V400" s="5">
        <v>18250</v>
      </c>
      <c r="W400" s="15">
        <f t="shared" si="22"/>
        <v>602250</v>
      </c>
    </row>
    <row r="401" spans="1:25" s="155" customFormat="1" x14ac:dyDescent="0.25">
      <c r="A401" s="123">
        <v>56</v>
      </c>
      <c r="B401" s="138" t="s">
        <v>253</v>
      </c>
      <c r="C401" s="107">
        <v>1</v>
      </c>
      <c r="D401" s="4">
        <v>930</v>
      </c>
      <c r="E401" s="5">
        <v>30</v>
      </c>
      <c r="F401" s="5">
        <v>380</v>
      </c>
      <c r="G401" s="5">
        <v>1130</v>
      </c>
      <c r="H401" s="5">
        <v>50</v>
      </c>
      <c r="I401" s="5">
        <v>380</v>
      </c>
      <c r="J401" s="5">
        <v>50</v>
      </c>
      <c r="K401" s="5">
        <v>290</v>
      </c>
      <c r="L401" s="5">
        <v>150</v>
      </c>
      <c r="M401" s="5"/>
      <c r="N401" s="5"/>
      <c r="O401" s="5"/>
      <c r="P401" s="5"/>
      <c r="Q401" s="5"/>
      <c r="R401" s="5"/>
      <c r="S401" s="5"/>
      <c r="T401" s="5"/>
      <c r="U401" s="13">
        <f t="shared" si="20"/>
        <v>3390</v>
      </c>
      <c r="V401" s="5">
        <v>245</v>
      </c>
      <c r="W401" s="15">
        <f t="shared" si="22"/>
        <v>830550</v>
      </c>
    </row>
    <row r="402" spans="1:25" s="155" customFormat="1" x14ac:dyDescent="0.25">
      <c r="A402" s="123">
        <v>57</v>
      </c>
      <c r="B402" s="138" t="s">
        <v>254</v>
      </c>
      <c r="C402" s="108">
        <v>1</v>
      </c>
      <c r="D402" s="4">
        <v>1</v>
      </c>
      <c r="E402" s="5">
        <v>1</v>
      </c>
      <c r="F402" s="5">
        <v>1</v>
      </c>
      <c r="G402" s="5">
        <v>1</v>
      </c>
      <c r="H402" s="5">
        <v>1</v>
      </c>
      <c r="I402" s="5">
        <v>1</v>
      </c>
      <c r="J402" s="5">
        <v>1</v>
      </c>
      <c r="K402" s="5">
        <v>1</v>
      </c>
      <c r="L402" s="5">
        <v>1</v>
      </c>
      <c r="M402" s="5"/>
      <c r="N402" s="5"/>
      <c r="O402" s="5"/>
      <c r="P402" s="5"/>
      <c r="Q402" s="5"/>
      <c r="R402" s="5"/>
      <c r="S402" s="5"/>
      <c r="T402" s="5"/>
      <c r="U402" s="13">
        <f t="shared" si="20"/>
        <v>9</v>
      </c>
      <c r="V402" s="5">
        <v>35200</v>
      </c>
      <c r="W402" s="15">
        <f t="shared" si="22"/>
        <v>316800</v>
      </c>
    </row>
    <row r="403" spans="1:25" s="155" customFormat="1" x14ac:dyDescent="0.25">
      <c r="A403" s="123">
        <v>58</v>
      </c>
      <c r="B403" s="138" t="s">
        <v>255</v>
      </c>
      <c r="C403" s="108">
        <v>1</v>
      </c>
      <c r="D403" s="4">
        <v>9</v>
      </c>
      <c r="E403" s="5">
        <v>6</v>
      </c>
      <c r="F403" s="5">
        <v>6</v>
      </c>
      <c r="G403" s="5">
        <v>12</v>
      </c>
      <c r="H403" s="5">
        <v>6</v>
      </c>
      <c r="I403" s="5">
        <v>6</v>
      </c>
      <c r="J403" s="5">
        <v>6</v>
      </c>
      <c r="K403" s="5">
        <v>6</v>
      </c>
      <c r="L403" s="5">
        <v>8</v>
      </c>
      <c r="M403" s="5"/>
      <c r="N403" s="5"/>
      <c r="O403" s="5"/>
      <c r="P403" s="5"/>
      <c r="Q403" s="5"/>
      <c r="R403" s="5"/>
      <c r="S403" s="5"/>
      <c r="T403" s="5"/>
      <c r="U403" s="13">
        <f t="shared" si="20"/>
        <v>65</v>
      </c>
      <c r="V403" s="5">
        <v>1797</v>
      </c>
      <c r="W403" s="15">
        <f t="shared" si="22"/>
        <v>116805</v>
      </c>
    </row>
    <row r="404" spans="1:25" s="155" customFormat="1" x14ac:dyDescent="0.25">
      <c r="A404" s="123">
        <v>59</v>
      </c>
      <c r="B404" s="138" t="s">
        <v>256</v>
      </c>
      <c r="C404" s="108">
        <v>1</v>
      </c>
      <c r="D404" s="4">
        <v>6</v>
      </c>
      <c r="E404" s="5"/>
      <c r="F404" s="5">
        <v>6</v>
      </c>
      <c r="G404" s="5">
        <v>6</v>
      </c>
      <c r="H404" s="5"/>
      <c r="I404" s="5">
        <v>6</v>
      </c>
      <c r="J404" s="5"/>
      <c r="K404" s="5">
        <v>6</v>
      </c>
      <c r="L404" s="5"/>
      <c r="M404" s="5"/>
      <c r="N404" s="5"/>
      <c r="O404" s="5"/>
      <c r="P404" s="5"/>
      <c r="Q404" s="5"/>
      <c r="R404" s="5"/>
      <c r="S404" s="5"/>
      <c r="T404" s="5"/>
      <c r="U404" s="13">
        <f t="shared" si="20"/>
        <v>30</v>
      </c>
      <c r="V404" s="5">
        <v>4250</v>
      </c>
      <c r="W404" s="15">
        <f t="shared" si="22"/>
        <v>127500</v>
      </c>
    </row>
    <row r="405" spans="1:25" s="155" customFormat="1" x14ac:dyDescent="0.25">
      <c r="A405" s="123">
        <v>60</v>
      </c>
      <c r="B405" s="138" t="s">
        <v>257</v>
      </c>
      <c r="C405" s="108">
        <v>1</v>
      </c>
      <c r="D405" s="4">
        <v>4</v>
      </c>
      <c r="E405" s="5"/>
      <c r="F405" s="5">
        <v>2</v>
      </c>
      <c r="G405" s="5">
        <v>4</v>
      </c>
      <c r="H405" s="5"/>
      <c r="I405" s="5">
        <v>2</v>
      </c>
      <c r="J405" s="5"/>
      <c r="K405" s="5">
        <v>2</v>
      </c>
      <c r="L405" s="5"/>
      <c r="M405" s="5"/>
      <c r="N405" s="5"/>
      <c r="O405" s="5"/>
      <c r="P405" s="5"/>
      <c r="Q405" s="5"/>
      <c r="R405" s="5"/>
      <c r="S405" s="5"/>
      <c r="T405" s="5"/>
      <c r="U405" s="13">
        <f t="shared" si="20"/>
        <v>14</v>
      </c>
      <c r="V405" s="5">
        <v>3591</v>
      </c>
      <c r="W405" s="15">
        <f t="shared" si="22"/>
        <v>50274</v>
      </c>
    </row>
    <row r="406" spans="1:25" s="155" customFormat="1" x14ac:dyDescent="0.25">
      <c r="A406" s="123">
        <v>62</v>
      </c>
      <c r="B406" s="138" t="s">
        <v>258</v>
      </c>
      <c r="C406" s="108">
        <v>1</v>
      </c>
      <c r="D406" s="4">
        <v>7</v>
      </c>
      <c r="E406" s="5">
        <v>3</v>
      </c>
      <c r="F406" s="5">
        <v>4</v>
      </c>
      <c r="G406" s="5">
        <v>8</v>
      </c>
      <c r="H406" s="5">
        <v>4</v>
      </c>
      <c r="I406" s="5">
        <v>4</v>
      </c>
      <c r="J406" s="5">
        <v>4</v>
      </c>
      <c r="K406" s="5">
        <v>4</v>
      </c>
      <c r="L406" s="5">
        <v>20</v>
      </c>
      <c r="M406" s="5"/>
      <c r="N406" s="5"/>
      <c r="O406" s="5"/>
      <c r="P406" s="5"/>
      <c r="Q406" s="5"/>
      <c r="R406" s="5"/>
      <c r="S406" s="5"/>
      <c r="T406" s="5"/>
      <c r="U406" s="13">
        <f t="shared" si="20"/>
        <v>58</v>
      </c>
      <c r="V406" s="5">
        <v>1498</v>
      </c>
      <c r="W406" s="15">
        <f t="shared" si="22"/>
        <v>86884</v>
      </c>
    </row>
    <row r="407" spans="1:25" s="155" customFormat="1" x14ac:dyDescent="0.25">
      <c r="A407" s="123">
        <v>63</v>
      </c>
      <c r="B407" s="138" t="s">
        <v>259</v>
      </c>
      <c r="C407" s="107">
        <v>1</v>
      </c>
      <c r="D407" s="4">
        <v>30</v>
      </c>
      <c r="E407" s="5">
        <v>30</v>
      </c>
      <c r="F407" s="5">
        <v>30</v>
      </c>
      <c r="G407" s="5">
        <v>30</v>
      </c>
      <c r="H407" s="5">
        <v>100</v>
      </c>
      <c r="I407" s="5">
        <v>100</v>
      </c>
      <c r="J407" s="5"/>
      <c r="K407" s="5">
        <v>200</v>
      </c>
      <c r="L407" s="5"/>
      <c r="M407" s="5"/>
      <c r="N407" s="5"/>
      <c r="O407" s="5"/>
      <c r="P407" s="5"/>
      <c r="Q407" s="5"/>
      <c r="R407" s="5"/>
      <c r="S407" s="5"/>
      <c r="T407" s="5"/>
      <c r="U407" s="13">
        <v>420</v>
      </c>
      <c r="V407" s="5">
        <v>435</v>
      </c>
      <c r="W407" s="15">
        <f t="shared" si="22"/>
        <v>182700</v>
      </c>
    </row>
    <row r="408" spans="1:25" s="155" customFormat="1" x14ac:dyDescent="0.25">
      <c r="A408" s="123">
        <v>64</v>
      </c>
      <c r="B408" s="138" t="s">
        <v>268</v>
      </c>
      <c r="C408" s="107">
        <v>1</v>
      </c>
      <c r="D408" s="4"/>
      <c r="E408" s="5"/>
      <c r="F408" s="5"/>
      <c r="G408" s="5"/>
      <c r="H408" s="5"/>
      <c r="I408" s="5"/>
      <c r="J408" s="5">
        <v>200</v>
      </c>
      <c r="K408" s="5"/>
      <c r="L408" s="5">
        <v>1000</v>
      </c>
      <c r="M408" s="5"/>
      <c r="N408" s="5"/>
      <c r="O408" s="5"/>
      <c r="P408" s="5"/>
      <c r="Q408" s="5"/>
      <c r="R408" s="5"/>
      <c r="S408" s="5"/>
      <c r="T408" s="5"/>
      <c r="U408" s="13">
        <v>1300</v>
      </c>
      <c r="V408" s="5">
        <v>975</v>
      </c>
      <c r="W408" s="15">
        <f t="shared" si="22"/>
        <v>1267500</v>
      </c>
    </row>
    <row r="409" spans="1:25" s="155" customFormat="1" x14ac:dyDescent="0.25">
      <c r="A409" s="123">
        <v>65</v>
      </c>
      <c r="B409" s="138" t="s">
        <v>260</v>
      </c>
      <c r="C409" s="110" t="s">
        <v>261</v>
      </c>
      <c r="D409" s="4">
        <v>1</v>
      </c>
      <c r="E409" s="5">
        <v>1</v>
      </c>
      <c r="F409" s="5">
        <v>1</v>
      </c>
      <c r="G409" s="5">
        <v>1</v>
      </c>
      <c r="H409" s="5">
        <v>1</v>
      </c>
      <c r="I409" s="5">
        <v>1</v>
      </c>
      <c r="J409" s="5">
        <v>1</v>
      </c>
      <c r="K409" s="5">
        <v>1</v>
      </c>
      <c r="L409" s="5">
        <v>1</v>
      </c>
      <c r="M409" s="5"/>
      <c r="N409" s="5"/>
      <c r="O409" s="5"/>
      <c r="P409" s="5"/>
      <c r="Q409" s="5"/>
      <c r="R409" s="5"/>
      <c r="S409" s="5"/>
      <c r="T409" s="5"/>
      <c r="U409" s="13">
        <f t="shared" ref="U409:U420" si="23">SUM(D409:T409)</f>
        <v>9</v>
      </c>
      <c r="V409" s="5">
        <f>20000+10000+20000+20000+10000+20000+10000+10000+35000</f>
        <v>155000</v>
      </c>
      <c r="W409" s="15">
        <f>V409</f>
        <v>155000</v>
      </c>
    </row>
    <row r="410" spans="1:25" s="155" customFormat="1" x14ac:dyDescent="0.25">
      <c r="A410" s="123">
        <v>66</v>
      </c>
      <c r="B410" s="138" t="s">
        <v>262</v>
      </c>
      <c r="C410" s="108">
        <v>1</v>
      </c>
      <c r="D410" s="4">
        <v>3</v>
      </c>
      <c r="E410" s="5">
        <v>1</v>
      </c>
      <c r="F410" s="5">
        <v>1</v>
      </c>
      <c r="G410" s="5">
        <v>4</v>
      </c>
      <c r="H410" s="5">
        <v>1</v>
      </c>
      <c r="I410" s="5">
        <v>1</v>
      </c>
      <c r="J410" s="5">
        <v>2</v>
      </c>
      <c r="K410" s="5">
        <v>1</v>
      </c>
      <c r="L410" s="5">
        <v>1</v>
      </c>
      <c r="M410" s="5"/>
      <c r="N410" s="5"/>
      <c r="O410" s="5"/>
      <c r="P410" s="5"/>
      <c r="Q410" s="5"/>
      <c r="R410" s="5"/>
      <c r="S410" s="5"/>
      <c r="T410" s="5"/>
      <c r="U410" s="13">
        <f t="shared" si="23"/>
        <v>15</v>
      </c>
      <c r="V410" s="5">
        <v>15000</v>
      </c>
      <c r="W410" s="15">
        <f t="shared" si="22"/>
        <v>225000</v>
      </c>
      <c r="X410" s="155">
        <f>SUM(W352:W410)</f>
        <v>236924730</v>
      </c>
      <c r="Y410" s="155">
        <f>X481</f>
        <v>3629203</v>
      </c>
    </row>
    <row r="411" spans="1:25" s="155" customFormat="1" ht="105" x14ac:dyDescent="0.25">
      <c r="A411" s="123">
        <v>67</v>
      </c>
      <c r="B411" s="139" t="s">
        <v>406</v>
      </c>
      <c r="C411" s="89">
        <v>100</v>
      </c>
      <c r="D411" s="90">
        <v>49390</v>
      </c>
      <c r="E411" s="50"/>
      <c r="F411" s="50"/>
      <c r="G411" s="50"/>
      <c r="H411" s="50"/>
      <c r="I411" s="50"/>
      <c r="J411" s="50"/>
      <c r="K411" s="50"/>
      <c r="L411" s="50"/>
      <c r="M411" s="50"/>
      <c r="N411" s="50"/>
      <c r="O411" s="50"/>
      <c r="P411" s="48"/>
      <c r="Q411" s="50"/>
      <c r="R411" s="50"/>
      <c r="S411" s="50"/>
      <c r="T411" s="50"/>
      <c r="U411" s="13">
        <f t="shared" si="23"/>
        <v>49390</v>
      </c>
      <c r="V411" s="51">
        <v>69347.899999999994</v>
      </c>
      <c r="W411" s="15">
        <f t="shared" si="22"/>
        <v>34250927.809999995</v>
      </c>
      <c r="Y411" s="155">
        <f>X410+Y410</f>
        <v>240553933</v>
      </c>
    </row>
    <row r="412" spans="1:25" s="155" customFormat="1" ht="75" x14ac:dyDescent="0.25">
      <c r="A412" s="123">
        <v>68</v>
      </c>
      <c r="B412" s="139" t="s">
        <v>270</v>
      </c>
      <c r="C412" s="91">
        <v>1000</v>
      </c>
      <c r="D412" s="90">
        <v>2062.9820000000004</v>
      </c>
      <c r="E412" s="52"/>
      <c r="F412" s="52"/>
      <c r="G412" s="52"/>
      <c r="H412" s="52"/>
      <c r="I412" s="52"/>
      <c r="J412" s="52"/>
      <c r="K412" s="52"/>
      <c r="L412" s="52"/>
      <c r="M412" s="52"/>
      <c r="N412" s="52"/>
      <c r="O412" s="52"/>
      <c r="P412" s="48"/>
      <c r="Q412" s="52"/>
      <c r="R412" s="52"/>
      <c r="S412" s="52"/>
      <c r="T412" s="52"/>
      <c r="U412" s="13">
        <f t="shared" si="23"/>
        <v>2062.9820000000004</v>
      </c>
      <c r="V412" s="51">
        <v>15824.15</v>
      </c>
      <c r="W412" s="15">
        <f t="shared" si="22"/>
        <v>32644.936615300008</v>
      </c>
      <c r="Y412" s="155">
        <f>Y411-240554556</f>
        <v>-623</v>
      </c>
    </row>
    <row r="413" spans="1:25" s="155" customFormat="1" ht="45" x14ac:dyDescent="0.25">
      <c r="A413" s="123">
        <v>69</v>
      </c>
      <c r="B413" s="139" t="s">
        <v>271</v>
      </c>
      <c r="C413" s="91">
        <v>100</v>
      </c>
      <c r="D413" s="90">
        <v>515.74550000000011</v>
      </c>
      <c r="E413" s="52"/>
      <c r="F413" s="52"/>
      <c r="G413" s="52"/>
      <c r="H413" s="52"/>
      <c r="I413" s="52"/>
      <c r="J413" s="52"/>
      <c r="K413" s="52"/>
      <c r="L413" s="52"/>
      <c r="M413" s="52"/>
      <c r="N413" s="52"/>
      <c r="O413" s="52"/>
      <c r="P413" s="48"/>
      <c r="Q413" s="52"/>
      <c r="R413" s="52"/>
      <c r="S413" s="52"/>
      <c r="T413" s="52"/>
      <c r="U413" s="13">
        <f t="shared" si="23"/>
        <v>515.74550000000011</v>
      </c>
      <c r="V413" s="51">
        <v>34694.300000000003</v>
      </c>
      <c r="W413" s="15">
        <f t="shared" si="22"/>
        <v>178934.29100650005</v>
      </c>
    </row>
    <row r="414" spans="1:25" s="155" customFormat="1" ht="30" x14ac:dyDescent="0.25">
      <c r="A414" s="123">
        <v>70</v>
      </c>
      <c r="B414" s="139" t="s">
        <v>22</v>
      </c>
      <c r="C414" s="91">
        <v>100</v>
      </c>
      <c r="D414" s="90">
        <v>745.64550000000008</v>
      </c>
      <c r="E414" s="52"/>
      <c r="F414" s="52"/>
      <c r="G414" s="52"/>
      <c r="H414" s="52"/>
      <c r="I414" s="52"/>
      <c r="J414" s="52"/>
      <c r="K414" s="52"/>
      <c r="L414" s="52"/>
      <c r="M414" s="52"/>
      <c r="N414" s="52"/>
      <c r="O414" s="52"/>
      <c r="P414" s="48"/>
      <c r="Q414" s="52"/>
      <c r="R414" s="52"/>
      <c r="S414" s="52"/>
      <c r="T414" s="52"/>
      <c r="U414" s="13">
        <f t="shared" si="23"/>
        <v>745.64550000000008</v>
      </c>
      <c r="V414" s="51">
        <v>32675.95</v>
      </c>
      <c r="W414" s="15">
        <f t="shared" si="22"/>
        <v>243646.75075725003</v>
      </c>
    </row>
    <row r="415" spans="1:25" s="155" customFormat="1" ht="45" x14ac:dyDescent="0.25">
      <c r="A415" s="123">
        <v>71</v>
      </c>
      <c r="B415" s="139" t="s">
        <v>272</v>
      </c>
      <c r="C415" s="53">
        <v>100</v>
      </c>
      <c r="D415" s="90">
        <v>427.5</v>
      </c>
      <c r="E415" s="53"/>
      <c r="F415" s="53"/>
      <c r="G415" s="53"/>
      <c r="H415" s="53"/>
      <c r="I415" s="53"/>
      <c r="J415" s="53"/>
      <c r="K415" s="53"/>
      <c r="L415" s="53"/>
      <c r="M415" s="53"/>
      <c r="N415" s="53"/>
      <c r="O415" s="53"/>
      <c r="P415" s="48"/>
      <c r="Q415" s="53"/>
      <c r="R415" s="53"/>
      <c r="S415" s="53"/>
      <c r="T415" s="53"/>
      <c r="U415" s="13">
        <f t="shared" si="23"/>
        <v>427.5</v>
      </c>
      <c r="V415" s="51">
        <v>11851.7</v>
      </c>
      <c r="W415" s="15">
        <f t="shared" si="22"/>
        <v>50666.017500000002</v>
      </c>
    </row>
    <row r="416" spans="1:25" s="155" customFormat="1" ht="30" x14ac:dyDescent="0.25">
      <c r="A416" s="123">
        <v>72</v>
      </c>
      <c r="B416" s="139" t="s">
        <v>273</v>
      </c>
      <c r="C416" s="91">
        <v>100</v>
      </c>
      <c r="D416" s="90">
        <v>1656.5625</v>
      </c>
      <c r="E416" s="52"/>
      <c r="F416" s="52"/>
      <c r="G416" s="52"/>
      <c r="H416" s="52"/>
      <c r="I416" s="52"/>
      <c r="J416" s="52"/>
      <c r="K416" s="52"/>
      <c r="L416" s="52"/>
      <c r="M416" s="52"/>
      <c r="N416" s="52"/>
      <c r="O416" s="52"/>
      <c r="P416" s="48"/>
      <c r="Q416" s="52"/>
      <c r="R416" s="52"/>
      <c r="S416" s="52"/>
      <c r="T416" s="52"/>
      <c r="U416" s="13">
        <f t="shared" si="23"/>
        <v>1656.5625</v>
      </c>
      <c r="V416" s="51">
        <v>35727</v>
      </c>
      <c r="W416" s="15">
        <f t="shared" si="22"/>
        <v>591840.08437499998</v>
      </c>
    </row>
    <row r="417" spans="1:24" s="155" customFormat="1" ht="30" x14ac:dyDescent="0.25">
      <c r="A417" s="123">
        <v>73</v>
      </c>
      <c r="B417" s="139" t="s">
        <v>274</v>
      </c>
      <c r="C417" s="53">
        <v>100</v>
      </c>
      <c r="D417" s="90">
        <v>6225.46875</v>
      </c>
      <c r="E417" s="54"/>
      <c r="F417" s="54"/>
      <c r="G417" s="54"/>
      <c r="H417" s="54"/>
      <c r="I417" s="54"/>
      <c r="J417" s="54"/>
      <c r="K417" s="54"/>
      <c r="L417" s="54"/>
      <c r="M417" s="54"/>
      <c r="N417" s="54"/>
      <c r="O417" s="54"/>
      <c r="P417" s="48"/>
      <c r="Q417" s="54"/>
      <c r="R417" s="54"/>
      <c r="S417" s="54"/>
      <c r="T417" s="54"/>
      <c r="U417" s="13">
        <f t="shared" si="23"/>
        <v>6225.46875</v>
      </c>
      <c r="V417" s="51">
        <v>4614.1000000000004</v>
      </c>
      <c r="W417" s="15">
        <f t="shared" si="22"/>
        <v>287249.35359375004</v>
      </c>
    </row>
    <row r="418" spans="1:24" s="155" customFormat="1" ht="150" x14ac:dyDescent="0.25">
      <c r="A418" s="123">
        <v>74</v>
      </c>
      <c r="B418" s="139" t="s">
        <v>275</v>
      </c>
      <c r="C418" s="53">
        <v>1</v>
      </c>
      <c r="D418" s="90">
        <v>6650</v>
      </c>
      <c r="E418" s="54"/>
      <c r="F418" s="54"/>
      <c r="G418" s="54"/>
      <c r="H418" s="54"/>
      <c r="I418" s="54"/>
      <c r="J418" s="54"/>
      <c r="K418" s="54"/>
      <c r="L418" s="54"/>
      <c r="M418" s="54"/>
      <c r="N418" s="54"/>
      <c r="O418" s="54"/>
      <c r="P418" s="48"/>
      <c r="Q418" s="54"/>
      <c r="R418" s="54"/>
      <c r="S418" s="54"/>
      <c r="T418" s="54"/>
      <c r="U418" s="13">
        <f t="shared" si="23"/>
        <v>6650</v>
      </c>
      <c r="V418" s="51">
        <v>1985.95</v>
      </c>
      <c r="W418" s="15">
        <f t="shared" si="22"/>
        <v>13206567.5</v>
      </c>
    </row>
    <row r="419" spans="1:24" s="155" customFormat="1" ht="45" x14ac:dyDescent="0.25">
      <c r="A419" s="123">
        <v>75</v>
      </c>
      <c r="B419" s="139" t="s">
        <v>276</v>
      </c>
      <c r="C419" s="89">
        <v>1</v>
      </c>
      <c r="D419" s="90">
        <v>14250</v>
      </c>
      <c r="E419" s="50"/>
      <c r="F419" s="50"/>
      <c r="G419" s="50"/>
      <c r="H419" s="50"/>
      <c r="I419" s="50"/>
      <c r="J419" s="50"/>
      <c r="K419" s="50"/>
      <c r="L419" s="50"/>
      <c r="M419" s="50"/>
      <c r="N419" s="50"/>
      <c r="O419" s="50"/>
      <c r="P419" s="48"/>
      <c r="Q419" s="50"/>
      <c r="R419" s="50"/>
      <c r="S419" s="50"/>
      <c r="T419" s="50"/>
      <c r="U419" s="13">
        <f t="shared" si="23"/>
        <v>14250</v>
      </c>
      <c r="V419" s="51">
        <v>234.95</v>
      </c>
      <c r="W419" s="15">
        <f t="shared" si="22"/>
        <v>3348037.5</v>
      </c>
    </row>
    <row r="420" spans="1:24" s="155" customFormat="1" ht="60" x14ac:dyDescent="0.25">
      <c r="A420" s="123">
        <v>76</v>
      </c>
      <c r="B420" s="139" t="s">
        <v>277</v>
      </c>
      <c r="C420" s="89">
        <v>1</v>
      </c>
      <c r="D420" s="90">
        <v>28500</v>
      </c>
      <c r="E420" s="50"/>
      <c r="F420" s="50"/>
      <c r="G420" s="50"/>
      <c r="H420" s="50"/>
      <c r="I420" s="50"/>
      <c r="J420" s="50"/>
      <c r="K420" s="50"/>
      <c r="L420" s="50"/>
      <c r="M420" s="50"/>
      <c r="N420" s="50"/>
      <c r="O420" s="50"/>
      <c r="P420" s="48"/>
      <c r="Q420" s="50"/>
      <c r="R420" s="50"/>
      <c r="S420" s="50"/>
      <c r="T420" s="50"/>
      <c r="U420" s="13">
        <f t="shared" si="23"/>
        <v>28500</v>
      </c>
      <c r="V420" s="51">
        <v>56.3</v>
      </c>
      <c r="W420" s="15">
        <f t="shared" si="22"/>
        <v>1604550</v>
      </c>
      <c r="X420" s="188">
        <f>SUM(W411:W420)</f>
        <v>53795064.243847795</v>
      </c>
    </row>
    <row r="421" spans="1:24" customFormat="1" ht="22.5" x14ac:dyDescent="0.25">
      <c r="A421" s="198" t="s">
        <v>407</v>
      </c>
      <c r="B421" s="198" t="s">
        <v>408</v>
      </c>
      <c r="C421" s="407"/>
      <c r="D421" s="407"/>
      <c r="E421" s="407"/>
      <c r="F421" s="407"/>
      <c r="G421" s="407"/>
      <c r="H421" s="407"/>
      <c r="I421" s="407"/>
      <c r="J421" s="407"/>
      <c r="K421" s="407"/>
      <c r="L421" s="407"/>
      <c r="M421" s="407"/>
      <c r="N421" s="407"/>
      <c r="O421" s="407"/>
      <c r="P421" s="407"/>
      <c r="Q421" s="407"/>
      <c r="R421" s="407"/>
      <c r="S421" s="407"/>
      <c r="T421" s="407"/>
      <c r="U421" s="407"/>
      <c r="V421" s="407"/>
      <c r="W421" s="407"/>
    </row>
    <row r="422" spans="1:24" customFormat="1" ht="216.75" x14ac:dyDescent="0.25">
      <c r="A422" s="124">
        <v>1</v>
      </c>
      <c r="B422" s="140" t="s">
        <v>386</v>
      </c>
      <c r="C422" s="37">
        <v>1</v>
      </c>
      <c r="D422" s="55">
        <v>37</v>
      </c>
      <c r="E422" s="55"/>
      <c r="F422" s="55"/>
      <c r="G422" s="55"/>
      <c r="H422" s="55"/>
      <c r="I422" s="55"/>
      <c r="J422" s="55"/>
      <c r="K422" s="55"/>
      <c r="L422" s="55"/>
      <c r="M422" s="55"/>
      <c r="N422" s="55"/>
      <c r="O422" s="55"/>
      <c r="P422" s="55"/>
      <c r="Q422" s="55"/>
      <c r="R422" s="55"/>
      <c r="S422" s="55"/>
      <c r="T422" s="55"/>
      <c r="U422" s="13">
        <f t="shared" ref="U422:U445" si="24">SUM(D422:T422)</f>
        <v>37</v>
      </c>
      <c r="V422" s="56">
        <v>4350150</v>
      </c>
      <c r="W422" s="15">
        <f>V422*U422/C422</f>
        <v>160955550</v>
      </c>
    </row>
    <row r="423" spans="1:24" customFormat="1" ht="267.75" x14ac:dyDescent="0.25">
      <c r="A423" s="124">
        <v>2</v>
      </c>
      <c r="B423" s="129" t="s">
        <v>389</v>
      </c>
      <c r="C423" s="37">
        <v>1</v>
      </c>
      <c r="D423" s="47">
        <v>8</v>
      </c>
      <c r="E423" s="55"/>
      <c r="F423" s="55"/>
      <c r="G423" s="55"/>
      <c r="H423" s="55"/>
      <c r="I423" s="55"/>
      <c r="J423" s="55"/>
      <c r="K423" s="55"/>
      <c r="L423" s="55"/>
      <c r="M423" s="55"/>
      <c r="N423" s="55"/>
      <c r="O423" s="55"/>
      <c r="P423" s="55"/>
      <c r="Q423" s="55"/>
      <c r="R423" s="55"/>
      <c r="S423" s="55"/>
      <c r="T423" s="55"/>
      <c r="U423" s="13">
        <f t="shared" si="24"/>
        <v>8</v>
      </c>
      <c r="V423" s="60">
        <v>3886124</v>
      </c>
      <c r="W423" s="15">
        <f t="shared" si="22"/>
        <v>31088992</v>
      </c>
    </row>
    <row r="424" spans="1:24" customFormat="1" ht="280.5" x14ac:dyDescent="0.25">
      <c r="A424" s="125">
        <v>3</v>
      </c>
      <c r="B424" s="141" t="s">
        <v>338</v>
      </c>
      <c r="C424" s="111">
        <v>1</v>
      </c>
      <c r="D424" s="25">
        <v>6</v>
      </c>
      <c r="E424" s="14"/>
      <c r="F424" s="14"/>
      <c r="G424" s="14"/>
      <c r="H424" s="14"/>
      <c r="I424" s="14"/>
      <c r="J424" s="14"/>
      <c r="K424" s="14"/>
      <c r="L424" s="14"/>
      <c r="M424" s="14"/>
      <c r="N424" s="14"/>
      <c r="O424" s="14"/>
      <c r="P424" s="14"/>
      <c r="Q424" s="14"/>
      <c r="R424" s="14"/>
      <c r="S424" s="14"/>
      <c r="T424" s="14"/>
      <c r="U424" s="13">
        <f t="shared" si="24"/>
        <v>6</v>
      </c>
      <c r="V424" s="64">
        <v>4140119</v>
      </c>
      <c r="W424" s="15">
        <f t="shared" si="22"/>
        <v>24840714</v>
      </c>
    </row>
    <row r="425" spans="1:24" customFormat="1" ht="280.5" x14ac:dyDescent="0.25">
      <c r="A425" s="124">
        <v>4</v>
      </c>
      <c r="B425" s="141" t="s">
        <v>298</v>
      </c>
      <c r="C425" s="37">
        <v>1</v>
      </c>
      <c r="D425" s="47">
        <v>1</v>
      </c>
      <c r="E425" s="55"/>
      <c r="F425" s="55"/>
      <c r="G425" s="55"/>
      <c r="H425" s="55"/>
      <c r="I425" s="55"/>
      <c r="J425" s="55"/>
      <c r="K425" s="55"/>
      <c r="L425" s="55"/>
      <c r="M425" s="55"/>
      <c r="N425" s="55"/>
      <c r="O425" s="55"/>
      <c r="P425" s="55"/>
      <c r="Q425" s="55"/>
      <c r="R425" s="55"/>
      <c r="S425" s="55"/>
      <c r="T425" s="55"/>
      <c r="U425" s="13">
        <f t="shared" si="24"/>
        <v>1</v>
      </c>
      <c r="V425" s="59">
        <v>8178639</v>
      </c>
      <c r="W425" s="15">
        <f t="shared" si="22"/>
        <v>8178639</v>
      </c>
    </row>
    <row r="426" spans="1:24" customFormat="1" ht="306" x14ac:dyDescent="0.25">
      <c r="A426" s="124">
        <v>5</v>
      </c>
      <c r="B426" s="128" t="s">
        <v>388</v>
      </c>
      <c r="C426" s="37">
        <v>1</v>
      </c>
      <c r="D426" s="55">
        <v>8</v>
      </c>
      <c r="E426" s="55"/>
      <c r="F426" s="55"/>
      <c r="G426" s="55"/>
      <c r="H426" s="55"/>
      <c r="I426" s="55"/>
      <c r="J426" s="55"/>
      <c r="K426" s="55"/>
      <c r="L426" s="55"/>
      <c r="M426" s="55"/>
      <c r="N426" s="55"/>
      <c r="O426" s="55"/>
      <c r="P426" s="55"/>
      <c r="Q426" s="55"/>
      <c r="R426" s="55"/>
      <c r="S426" s="55"/>
      <c r="T426" s="55"/>
      <c r="U426" s="13">
        <f t="shared" si="24"/>
        <v>8</v>
      </c>
      <c r="V426" s="59">
        <v>13004544</v>
      </c>
      <c r="W426" s="15">
        <f t="shared" si="22"/>
        <v>104036352</v>
      </c>
    </row>
    <row r="427" spans="1:24" customFormat="1" ht="51" x14ac:dyDescent="0.25">
      <c r="A427" s="124">
        <v>6</v>
      </c>
      <c r="B427" s="141" t="s">
        <v>299</v>
      </c>
      <c r="C427" s="37">
        <v>1</v>
      </c>
      <c r="D427" s="47">
        <v>3</v>
      </c>
      <c r="E427" s="55"/>
      <c r="F427" s="55"/>
      <c r="G427" s="55"/>
      <c r="H427" s="55"/>
      <c r="I427" s="55"/>
      <c r="J427" s="55"/>
      <c r="K427" s="55"/>
      <c r="L427" s="55"/>
      <c r="M427" s="55"/>
      <c r="N427" s="55"/>
      <c r="O427" s="55"/>
      <c r="P427" s="55"/>
      <c r="Q427" s="55"/>
      <c r="R427" s="55"/>
      <c r="S427" s="55"/>
      <c r="T427" s="55"/>
      <c r="U427" s="13">
        <v>3</v>
      </c>
      <c r="V427" s="59">
        <v>1472223</v>
      </c>
      <c r="W427" s="15">
        <f t="shared" si="22"/>
        <v>4416669</v>
      </c>
    </row>
    <row r="428" spans="1:24" customFormat="1" ht="51" x14ac:dyDescent="0.25">
      <c r="A428" s="124"/>
      <c r="B428" s="141" t="s">
        <v>299</v>
      </c>
      <c r="C428" s="37">
        <v>1</v>
      </c>
      <c r="D428" s="47">
        <v>1</v>
      </c>
      <c r="E428" s="55"/>
      <c r="F428" s="55"/>
      <c r="G428" s="55"/>
      <c r="H428" s="55"/>
      <c r="I428" s="55"/>
      <c r="J428" s="55"/>
      <c r="K428" s="55"/>
      <c r="L428" s="55"/>
      <c r="M428" s="55"/>
      <c r="N428" s="55"/>
      <c r="O428" s="55"/>
      <c r="P428" s="55"/>
      <c r="Q428" s="55"/>
      <c r="R428" s="55"/>
      <c r="S428" s="55"/>
      <c r="T428" s="55"/>
      <c r="U428" s="13">
        <v>1</v>
      </c>
      <c r="V428" s="59">
        <v>1315342</v>
      </c>
      <c r="W428" s="15">
        <f t="shared" si="22"/>
        <v>1315342</v>
      </c>
    </row>
    <row r="429" spans="1:24" customFormat="1" ht="60" x14ac:dyDescent="0.25">
      <c r="A429" s="124">
        <v>7</v>
      </c>
      <c r="B429" s="97" t="s">
        <v>297</v>
      </c>
      <c r="C429" s="37">
        <v>1</v>
      </c>
      <c r="D429" s="47">
        <v>1</v>
      </c>
      <c r="E429" s="55"/>
      <c r="F429" s="55"/>
      <c r="G429" s="55"/>
      <c r="H429" s="55"/>
      <c r="I429" s="55"/>
      <c r="J429" s="55"/>
      <c r="K429" s="55"/>
      <c r="L429" s="55"/>
      <c r="M429" s="55"/>
      <c r="N429" s="55"/>
      <c r="O429" s="55"/>
      <c r="P429" s="55"/>
      <c r="Q429" s="55"/>
      <c r="R429" s="55"/>
      <c r="S429" s="55"/>
      <c r="T429" s="55"/>
      <c r="U429" s="13">
        <f t="shared" si="24"/>
        <v>1</v>
      </c>
      <c r="V429" s="59">
        <v>1472223</v>
      </c>
      <c r="W429" s="15">
        <f t="shared" si="22"/>
        <v>1472223</v>
      </c>
    </row>
    <row r="430" spans="1:24" customFormat="1" ht="45" x14ac:dyDescent="0.25">
      <c r="A430" s="126">
        <v>8</v>
      </c>
      <c r="B430" s="97" t="s">
        <v>390</v>
      </c>
      <c r="C430" s="47" t="s">
        <v>278</v>
      </c>
      <c r="D430" s="47">
        <v>8140</v>
      </c>
      <c r="E430" s="47"/>
      <c r="F430" s="47"/>
      <c r="G430" s="47"/>
      <c r="H430" s="47"/>
      <c r="I430" s="47"/>
      <c r="J430" s="47"/>
      <c r="K430" s="47"/>
      <c r="L430" s="47"/>
      <c r="M430" s="47"/>
      <c r="N430" s="47"/>
      <c r="O430" s="47"/>
      <c r="P430" s="47"/>
      <c r="Q430" s="47"/>
      <c r="R430" s="47"/>
      <c r="S430" s="47"/>
      <c r="T430" s="47"/>
      <c r="U430" s="13">
        <f t="shared" si="24"/>
        <v>8140</v>
      </c>
      <c r="V430" s="47">
        <v>864.05</v>
      </c>
      <c r="W430" s="15">
        <f>V430*U430</f>
        <v>7033367</v>
      </c>
    </row>
    <row r="431" spans="1:24" customFormat="1" ht="30" x14ac:dyDescent="0.25">
      <c r="A431" s="124">
        <v>9</v>
      </c>
      <c r="B431" s="97" t="s">
        <v>279</v>
      </c>
      <c r="C431" s="37">
        <v>1</v>
      </c>
      <c r="D431" s="47">
        <v>1628</v>
      </c>
      <c r="E431" s="47"/>
      <c r="F431" s="47"/>
      <c r="G431" s="47"/>
      <c r="H431" s="47"/>
      <c r="I431" s="47"/>
      <c r="J431" s="47"/>
      <c r="K431" s="47"/>
      <c r="L431" s="47"/>
      <c r="M431" s="47"/>
      <c r="N431" s="47"/>
      <c r="O431" s="47"/>
      <c r="P431" s="47"/>
      <c r="Q431" s="47"/>
      <c r="R431" s="47"/>
      <c r="S431" s="47"/>
      <c r="T431" s="47"/>
      <c r="U431" s="13">
        <f t="shared" si="24"/>
        <v>1628</v>
      </c>
      <c r="V431" s="47">
        <v>80</v>
      </c>
      <c r="W431" s="15">
        <f t="shared" si="22"/>
        <v>130240</v>
      </c>
    </row>
    <row r="432" spans="1:24" customFormat="1" ht="30" x14ac:dyDescent="0.25">
      <c r="A432" s="126">
        <v>10</v>
      </c>
      <c r="B432" s="97" t="s">
        <v>280</v>
      </c>
      <c r="C432" s="57" t="s">
        <v>281</v>
      </c>
      <c r="D432" s="47">
        <v>37</v>
      </c>
      <c r="E432" s="47"/>
      <c r="F432" s="47"/>
      <c r="G432" s="47"/>
      <c r="H432" s="47"/>
      <c r="I432" s="47"/>
      <c r="J432" s="47"/>
      <c r="K432" s="47"/>
      <c r="L432" s="47"/>
      <c r="M432" s="47"/>
      <c r="N432" s="47"/>
      <c r="O432" s="47"/>
      <c r="P432" s="47"/>
      <c r="Q432" s="47"/>
      <c r="R432" s="47"/>
      <c r="S432" s="47"/>
      <c r="T432" s="47"/>
      <c r="U432" s="13">
        <f t="shared" si="24"/>
        <v>37</v>
      </c>
      <c r="V432" s="47">
        <v>232.8</v>
      </c>
      <c r="W432" s="15">
        <f>V432*U432</f>
        <v>8613.6</v>
      </c>
    </row>
    <row r="433" spans="1:24" customFormat="1" ht="60" x14ac:dyDescent="0.25">
      <c r="A433" s="124">
        <v>11</v>
      </c>
      <c r="B433" s="97" t="s">
        <v>282</v>
      </c>
      <c r="C433" s="47" t="s">
        <v>278</v>
      </c>
      <c r="D433" s="47">
        <v>2590</v>
      </c>
      <c r="E433" s="47"/>
      <c r="F433" s="47"/>
      <c r="G433" s="47"/>
      <c r="H433" s="47"/>
      <c r="I433" s="47"/>
      <c r="J433" s="47"/>
      <c r="K433" s="47"/>
      <c r="L433" s="47"/>
      <c r="M433" s="47"/>
      <c r="N433" s="47"/>
      <c r="O433" s="47"/>
      <c r="P433" s="47"/>
      <c r="Q433" s="47"/>
      <c r="R433" s="47"/>
      <c r="S433" s="47"/>
      <c r="T433" s="47"/>
      <c r="U433" s="13">
        <f t="shared" si="24"/>
        <v>2590</v>
      </c>
      <c r="V433" s="47">
        <v>5371</v>
      </c>
      <c r="W433" s="15">
        <f>V433*U433</f>
        <v>13910890</v>
      </c>
    </row>
    <row r="434" spans="1:24" customFormat="1" ht="45" x14ac:dyDescent="0.25">
      <c r="A434" s="126">
        <v>12</v>
      </c>
      <c r="B434" s="97" t="s">
        <v>283</v>
      </c>
      <c r="C434" s="37">
        <v>1</v>
      </c>
      <c r="D434" s="47">
        <v>74</v>
      </c>
      <c r="E434" s="47"/>
      <c r="F434" s="47"/>
      <c r="G434" s="47"/>
      <c r="H434" s="47"/>
      <c r="I434" s="47"/>
      <c r="J434" s="47"/>
      <c r="K434" s="47"/>
      <c r="L434" s="47"/>
      <c r="M434" s="47"/>
      <c r="N434" s="47"/>
      <c r="O434" s="47"/>
      <c r="P434" s="47"/>
      <c r="Q434" s="47"/>
      <c r="R434" s="47"/>
      <c r="S434" s="47"/>
      <c r="T434" s="47"/>
      <c r="U434" s="13">
        <f t="shared" si="24"/>
        <v>74</v>
      </c>
      <c r="V434" s="47">
        <v>35582</v>
      </c>
      <c r="W434" s="15">
        <f t="shared" si="22"/>
        <v>2633068</v>
      </c>
    </row>
    <row r="435" spans="1:24" customFormat="1" ht="75" x14ac:dyDescent="0.25">
      <c r="A435" s="124">
        <v>13</v>
      </c>
      <c r="B435" s="97" t="s">
        <v>284</v>
      </c>
      <c r="C435" s="47" t="s">
        <v>278</v>
      </c>
      <c r="D435" s="47">
        <v>4440</v>
      </c>
      <c r="E435" s="47"/>
      <c r="F435" s="47"/>
      <c r="G435" s="47"/>
      <c r="H435" s="47"/>
      <c r="I435" s="47"/>
      <c r="J435" s="47"/>
      <c r="K435" s="47"/>
      <c r="L435" s="47"/>
      <c r="M435" s="47"/>
      <c r="N435" s="47"/>
      <c r="O435" s="47"/>
      <c r="P435" s="47"/>
      <c r="Q435" s="47"/>
      <c r="R435" s="47"/>
      <c r="S435" s="47"/>
      <c r="T435" s="47"/>
      <c r="U435" s="13">
        <f t="shared" si="24"/>
        <v>4440</v>
      </c>
      <c r="V435" s="47">
        <v>3866.45</v>
      </c>
      <c r="W435" s="15">
        <f>V435*U435</f>
        <v>17167038</v>
      </c>
    </row>
    <row r="436" spans="1:24" customFormat="1" ht="60" x14ac:dyDescent="0.25">
      <c r="A436" s="126">
        <v>14</v>
      </c>
      <c r="B436" s="97" t="s">
        <v>285</v>
      </c>
      <c r="C436" s="47" t="s">
        <v>278</v>
      </c>
      <c r="D436" s="47">
        <v>740</v>
      </c>
      <c r="E436" s="47"/>
      <c r="F436" s="47"/>
      <c r="G436" s="47"/>
      <c r="H436" s="47"/>
      <c r="I436" s="47"/>
      <c r="J436" s="47"/>
      <c r="K436" s="47"/>
      <c r="L436" s="47"/>
      <c r="M436" s="47"/>
      <c r="N436" s="47"/>
      <c r="O436" s="47"/>
      <c r="P436" s="47"/>
      <c r="Q436" s="47"/>
      <c r="R436" s="47"/>
      <c r="S436" s="47"/>
      <c r="T436" s="47"/>
      <c r="U436" s="13">
        <f t="shared" si="24"/>
        <v>740</v>
      </c>
      <c r="V436" s="47">
        <v>3583</v>
      </c>
      <c r="W436" s="15">
        <f>V436*U436</f>
        <v>2651420</v>
      </c>
    </row>
    <row r="437" spans="1:24" customFormat="1" ht="75" x14ac:dyDescent="0.25">
      <c r="A437" s="124">
        <v>15</v>
      </c>
      <c r="B437" s="97" t="s">
        <v>286</v>
      </c>
      <c r="C437" s="47" t="s">
        <v>278</v>
      </c>
      <c r="D437" s="47">
        <v>370</v>
      </c>
      <c r="E437" s="47"/>
      <c r="F437" s="47"/>
      <c r="G437" s="47"/>
      <c r="H437" s="47"/>
      <c r="I437" s="47"/>
      <c r="J437" s="47"/>
      <c r="K437" s="47"/>
      <c r="L437" s="47"/>
      <c r="M437" s="47"/>
      <c r="N437" s="47"/>
      <c r="O437" s="47"/>
      <c r="P437" s="47"/>
      <c r="Q437" s="47"/>
      <c r="R437" s="47"/>
      <c r="S437" s="47"/>
      <c r="T437" s="47"/>
      <c r="U437" s="13">
        <f t="shared" si="24"/>
        <v>370</v>
      </c>
      <c r="V437" s="47">
        <v>3735.5</v>
      </c>
      <c r="W437" s="15">
        <f>V437*U437</f>
        <v>1382135</v>
      </c>
    </row>
    <row r="438" spans="1:24" customFormat="1" ht="30" x14ac:dyDescent="0.25">
      <c r="A438" s="126">
        <v>16</v>
      </c>
      <c r="B438" s="97" t="s">
        <v>287</v>
      </c>
      <c r="C438" s="37">
        <v>1</v>
      </c>
      <c r="D438" s="47">
        <v>148</v>
      </c>
      <c r="E438" s="47"/>
      <c r="F438" s="47"/>
      <c r="G438" s="47"/>
      <c r="H438" s="47"/>
      <c r="I438" s="47"/>
      <c r="J438" s="47"/>
      <c r="K438" s="47"/>
      <c r="L438" s="47"/>
      <c r="M438" s="47"/>
      <c r="N438" s="47"/>
      <c r="O438" s="47"/>
      <c r="P438" s="47"/>
      <c r="Q438" s="47"/>
      <c r="R438" s="47"/>
      <c r="S438" s="47"/>
      <c r="T438" s="47"/>
      <c r="U438" s="13">
        <f t="shared" si="24"/>
        <v>148</v>
      </c>
      <c r="V438" s="47">
        <v>1148</v>
      </c>
      <c r="W438" s="15">
        <f t="shared" si="22"/>
        <v>169904</v>
      </c>
    </row>
    <row r="439" spans="1:24" customFormat="1" ht="30" x14ac:dyDescent="0.25">
      <c r="A439" s="124">
        <v>17</v>
      </c>
      <c r="B439" s="97" t="s">
        <v>288</v>
      </c>
      <c r="C439" s="47" t="s">
        <v>289</v>
      </c>
      <c r="D439" s="47">
        <v>6520.88</v>
      </c>
      <c r="E439" s="47"/>
      <c r="F439" s="47"/>
      <c r="G439" s="47"/>
      <c r="H439" s="47"/>
      <c r="I439" s="47"/>
      <c r="J439" s="47"/>
      <c r="K439" s="47"/>
      <c r="L439" s="47"/>
      <c r="M439" s="47"/>
      <c r="N439" s="47"/>
      <c r="O439" s="47"/>
      <c r="P439" s="47"/>
      <c r="Q439" s="47"/>
      <c r="R439" s="47"/>
      <c r="S439" s="47"/>
      <c r="T439" s="47"/>
      <c r="U439" s="13">
        <f t="shared" si="24"/>
        <v>6520.88</v>
      </c>
      <c r="V439" s="47">
        <v>186.65</v>
      </c>
      <c r="W439" s="15">
        <f>V439*U439</f>
        <v>1217122.2520000001</v>
      </c>
    </row>
    <row r="440" spans="1:24" customFormat="1" ht="30" x14ac:dyDescent="0.25">
      <c r="A440" s="126">
        <v>18</v>
      </c>
      <c r="B440" s="97" t="s">
        <v>387</v>
      </c>
      <c r="C440" s="47" t="s">
        <v>290</v>
      </c>
      <c r="D440" s="47">
        <v>2664</v>
      </c>
      <c r="E440" s="47"/>
      <c r="F440" s="47"/>
      <c r="G440" s="47"/>
      <c r="H440" s="47"/>
      <c r="I440" s="47"/>
      <c r="J440" s="47"/>
      <c r="K440" s="47"/>
      <c r="L440" s="47"/>
      <c r="M440" s="47"/>
      <c r="N440" s="47"/>
      <c r="O440" s="47"/>
      <c r="P440" s="47"/>
      <c r="Q440" s="47"/>
      <c r="R440" s="47"/>
      <c r="S440" s="47"/>
      <c r="T440" s="47"/>
      <c r="U440" s="13">
        <f t="shared" si="24"/>
        <v>2664</v>
      </c>
      <c r="V440" s="47">
        <v>3253.1</v>
      </c>
      <c r="W440" s="15">
        <f>V440*U440</f>
        <v>8666258.4000000004</v>
      </c>
    </row>
    <row r="441" spans="1:24" customFormat="1" ht="45" x14ac:dyDescent="0.25">
      <c r="A441" s="124">
        <v>19</v>
      </c>
      <c r="B441" s="97" t="s">
        <v>291</v>
      </c>
      <c r="C441" s="47" t="s">
        <v>278</v>
      </c>
      <c r="D441" s="47">
        <v>1850</v>
      </c>
      <c r="E441" s="47"/>
      <c r="F441" s="47"/>
      <c r="G441" s="47"/>
      <c r="H441" s="47"/>
      <c r="I441" s="47"/>
      <c r="J441" s="47"/>
      <c r="K441" s="47"/>
      <c r="L441" s="47"/>
      <c r="M441" s="47"/>
      <c r="N441" s="47"/>
      <c r="O441" s="47"/>
      <c r="P441" s="47"/>
      <c r="Q441" s="47"/>
      <c r="R441" s="47"/>
      <c r="S441" s="47"/>
      <c r="T441" s="47"/>
      <c r="U441" s="13">
        <f t="shared" si="24"/>
        <v>1850</v>
      </c>
      <c r="V441" s="47">
        <v>924.05</v>
      </c>
      <c r="W441" s="15">
        <f>V441*U441</f>
        <v>1709492.5</v>
      </c>
    </row>
    <row r="442" spans="1:24" customFormat="1" ht="60" x14ac:dyDescent="0.25">
      <c r="A442" s="126">
        <v>20</v>
      </c>
      <c r="B442" s="97" t="s">
        <v>292</v>
      </c>
      <c r="C442" s="58">
        <v>1000</v>
      </c>
      <c r="D442" s="47">
        <v>118400</v>
      </c>
      <c r="E442" s="47"/>
      <c r="F442" s="47"/>
      <c r="G442" s="47"/>
      <c r="H442" s="47"/>
      <c r="I442" s="47"/>
      <c r="J442" s="47"/>
      <c r="K442" s="47"/>
      <c r="L442" s="47"/>
      <c r="M442" s="47"/>
      <c r="N442" s="47"/>
      <c r="O442" s="47"/>
      <c r="P442" s="47"/>
      <c r="Q442" s="47"/>
      <c r="R442" s="47"/>
      <c r="S442" s="47"/>
      <c r="T442" s="47"/>
      <c r="U442" s="13">
        <f t="shared" si="24"/>
        <v>118400</v>
      </c>
      <c r="V442" s="47">
        <v>11293.9</v>
      </c>
      <c r="W442" s="15">
        <f t="shared" si="22"/>
        <v>1337197.76</v>
      </c>
    </row>
    <row r="443" spans="1:24" customFormat="1" ht="15" x14ac:dyDescent="0.25">
      <c r="A443" s="124">
        <v>21</v>
      </c>
      <c r="B443" s="97" t="s">
        <v>293</v>
      </c>
      <c r="C443" s="58">
        <v>1000</v>
      </c>
      <c r="D443" s="47">
        <v>118400</v>
      </c>
      <c r="E443" s="47"/>
      <c r="F443" s="47"/>
      <c r="G443" s="47"/>
      <c r="H443" s="47"/>
      <c r="I443" s="47"/>
      <c r="J443" s="47"/>
      <c r="K443" s="47"/>
      <c r="L443" s="47"/>
      <c r="M443" s="47"/>
      <c r="N443" s="47"/>
      <c r="O443" s="47"/>
      <c r="P443" s="47"/>
      <c r="Q443" s="47"/>
      <c r="R443" s="47"/>
      <c r="S443" s="47"/>
      <c r="T443" s="47"/>
      <c r="U443" s="13">
        <f t="shared" si="24"/>
        <v>118400</v>
      </c>
      <c r="V443" s="47">
        <v>5266.8</v>
      </c>
      <c r="W443" s="15">
        <f t="shared" si="22"/>
        <v>623589.12</v>
      </c>
    </row>
    <row r="444" spans="1:24" customFormat="1" ht="75" x14ac:dyDescent="0.25">
      <c r="A444" s="126">
        <v>22</v>
      </c>
      <c r="B444" s="97" t="s">
        <v>294</v>
      </c>
      <c r="C444" s="47" t="s">
        <v>295</v>
      </c>
      <c r="D444" s="47">
        <v>14800</v>
      </c>
      <c r="E444" s="47"/>
      <c r="F444" s="47"/>
      <c r="G444" s="47"/>
      <c r="H444" s="47"/>
      <c r="I444" s="47"/>
      <c r="J444" s="47"/>
      <c r="K444" s="47"/>
      <c r="L444" s="47"/>
      <c r="M444" s="47"/>
      <c r="N444" s="47"/>
      <c r="O444" s="47"/>
      <c r="P444" s="47"/>
      <c r="Q444" s="47"/>
      <c r="R444" s="47"/>
      <c r="S444" s="47"/>
      <c r="T444" s="47"/>
      <c r="U444" s="13">
        <f t="shared" si="24"/>
        <v>14800</v>
      </c>
      <c r="V444" s="47">
        <v>3565</v>
      </c>
      <c r="W444" s="15">
        <f>V444*U444</f>
        <v>52762000</v>
      </c>
    </row>
    <row r="445" spans="1:24" customFormat="1" ht="75" x14ac:dyDescent="0.25">
      <c r="A445" s="124">
        <v>23</v>
      </c>
      <c r="B445" s="97" t="s">
        <v>296</v>
      </c>
      <c r="C445" s="47" t="s">
        <v>295</v>
      </c>
      <c r="D445" s="47">
        <v>555</v>
      </c>
      <c r="E445" s="47"/>
      <c r="F445" s="47"/>
      <c r="G445" s="47"/>
      <c r="H445" s="47"/>
      <c r="I445" s="47"/>
      <c r="J445" s="47"/>
      <c r="K445" s="47"/>
      <c r="L445" s="47"/>
      <c r="M445" s="47"/>
      <c r="N445" s="47"/>
      <c r="O445" s="47"/>
      <c r="P445" s="47"/>
      <c r="Q445" s="47"/>
      <c r="R445" s="47"/>
      <c r="S445" s="47"/>
      <c r="T445" s="47"/>
      <c r="U445" s="13">
        <f t="shared" si="24"/>
        <v>555</v>
      </c>
      <c r="V445" s="47">
        <v>500.3</v>
      </c>
      <c r="W445" s="15">
        <f>V445*U445</f>
        <v>277666.5</v>
      </c>
      <c r="X445" s="190">
        <f>SUM(W430:W445)</f>
        <v>111680002.132</v>
      </c>
    </row>
    <row r="446" spans="1:24" customFormat="1" ht="22.5" x14ac:dyDescent="0.25">
      <c r="A446" s="198">
        <v>14</v>
      </c>
      <c r="B446" s="198" t="s">
        <v>409</v>
      </c>
      <c r="C446" s="407"/>
      <c r="D446" s="407"/>
      <c r="E446" s="407"/>
      <c r="F446" s="407"/>
      <c r="G446" s="407"/>
      <c r="H446" s="407"/>
      <c r="I446" s="407"/>
      <c r="J446" s="407"/>
      <c r="K446" s="407"/>
      <c r="L446" s="407"/>
      <c r="M446" s="407"/>
      <c r="N446" s="407"/>
      <c r="O446" s="407"/>
      <c r="P446" s="407"/>
      <c r="Q446" s="407"/>
      <c r="R446" s="407"/>
      <c r="S446" s="407"/>
      <c r="T446" s="407"/>
      <c r="U446" s="407"/>
      <c r="V446" s="407"/>
      <c r="W446" s="407"/>
    </row>
    <row r="447" spans="1:24" customFormat="1" ht="216.75" x14ac:dyDescent="0.25">
      <c r="A447" s="126">
        <v>1</v>
      </c>
      <c r="B447" s="141" t="s">
        <v>300</v>
      </c>
      <c r="C447" s="37">
        <v>1</v>
      </c>
      <c r="D447" s="4">
        <v>87</v>
      </c>
      <c r="E447" s="60"/>
      <c r="F447" s="60"/>
      <c r="G447" s="60"/>
      <c r="H447" s="60"/>
      <c r="I447" s="60"/>
      <c r="J447" s="60"/>
      <c r="K447" s="60"/>
      <c r="L447" s="60"/>
      <c r="M447" s="60"/>
      <c r="N447" s="60"/>
      <c r="O447" s="60"/>
      <c r="P447" s="60"/>
      <c r="Q447" s="60"/>
      <c r="R447" s="60"/>
      <c r="S447" s="60"/>
      <c r="T447" s="60"/>
      <c r="U447" s="13">
        <f t="shared" ref="U447:U471" si="25">SUM(D447:T447)</f>
        <v>87</v>
      </c>
      <c r="V447" s="60">
        <v>1950150</v>
      </c>
      <c r="W447" s="15">
        <f t="shared" si="22"/>
        <v>169663050</v>
      </c>
    </row>
    <row r="448" spans="1:24" customFormat="1" ht="25.5" x14ac:dyDescent="0.25">
      <c r="A448" s="124">
        <v>3</v>
      </c>
      <c r="B448" s="128" t="s">
        <v>339</v>
      </c>
      <c r="C448" s="37">
        <v>1</v>
      </c>
      <c r="D448" s="49">
        <v>1</v>
      </c>
      <c r="E448" s="49"/>
      <c r="F448" s="49"/>
      <c r="G448" s="49"/>
      <c r="H448" s="49"/>
      <c r="I448" s="49"/>
      <c r="J448" s="49"/>
      <c r="K448" s="49"/>
      <c r="L448" s="49"/>
      <c r="M448" s="49"/>
      <c r="N448" s="49"/>
      <c r="O448" s="49"/>
      <c r="P448" s="49"/>
      <c r="Q448" s="49"/>
      <c r="R448" s="49"/>
      <c r="S448" s="49"/>
      <c r="T448" s="49"/>
      <c r="U448" s="13">
        <f t="shared" si="25"/>
        <v>1</v>
      </c>
      <c r="V448" s="65">
        <v>1829000</v>
      </c>
      <c r="W448" s="15">
        <f t="shared" si="22"/>
        <v>1829000</v>
      </c>
    </row>
    <row r="449" spans="1:23" customFormat="1" ht="89.25" x14ac:dyDescent="0.25">
      <c r="A449" s="124">
        <v>4</v>
      </c>
      <c r="B449" s="128" t="s">
        <v>340</v>
      </c>
      <c r="C449" s="37">
        <v>1</v>
      </c>
      <c r="D449" s="49">
        <v>1</v>
      </c>
      <c r="E449" s="49"/>
      <c r="F449" s="49"/>
      <c r="G449" s="49"/>
      <c r="H449" s="49"/>
      <c r="I449" s="49"/>
      <c r="J449" s="49"/>
      <c r="K449" s="49"/>
      <c r="L449" s="49"/>
      <c r="M449" s="49"/>
      <c r="N449" s="49"/>
      <c r="O449" s="49"/>
      <c r="P449" s="49"/>
      <c r="Q449" s="49"/>
      <c r="R449" s="49"/>
      <c r="S449" s="49"/>
      <c r="T449" s="49"/>
      <c r="U449" s="13">
        <f t="shared" si="25"/>
        <v>1</v>
      </c>
      <c r="V449" s="65">
        <v>4250000</v>
      </c>
      <c r="W449" s="15">
        <f t="shared" si="22"/>
        <v>4250000</v>
      </c>
    </row>
    <row r="450" spans="1:23" customFormat="1" ht="76.5" x14ac:dyDescent="0.25">
      <c r="A450" s="124">
        <v>5</v>
      </c>
      <c r="B450" s="128" t="s">
        <v>341</v>
      </c>
      <c r="C450" s="37">
        <v>1</v>
      </c>
      <c r="D450" s="49">
        <v>1</v>
      </c>
      <c r="E450" s="49"/>
      <c r="F450" s="49"/>
      <c r="G450" s="49"/>
      <c r="H450" s="49"/>
      <c r="I450" s="49"/>
      <c r="J450" s="49"/>
      <c r="K450" s="49"/>
      <c r="L450" s="49"/>
      <c r="M450" s="49"/>
      <c r="N450" s="49"/>
      <c r="O450" s="49"/>
      <c r="P450" s="49"/>
      <c r="Q450" s="49"/>
      <c r="R450" s="49"/>
      <c r="S450" s="49"/>
      <c r="T450" s="49"/>
      <c r="U450" s="13">
        <f t="shared" si="25"/>
        <v>1</v>
      </c>
      <c r="V450" s="49">
        <v>1475000</v>
      </c>
      <c r="W450" s="15">
        <f>V450*U450/C450</f>
        <v>1475000</v>
      </c>
    </row>
    <row r="451" spans="1:23" customFormat="1" ht="51" x14ac:dyDescent="0.25">
      <c r="A451" s="124">
        <v>6</v>
      </c>
      <c r="B451" s="128" t="s">
        <v>342</v>
      </c>
      <c r="C451" s="37">
        <v>1</v>
      </c>
      <c r="D451" s="49">
        <v>4</v>
      </c>
      <c r="E451" s="49"/>
      <c r="F451" s="49"/>
      <c r="G451" s="49"/>
      <c r="H451" s="49"/>
      <c r="I451" s="49"/>
      <c r="J451" s="49"/>
      <c r="K451" s="49"/>
      <c r="L451" s="49"/>
      <c r="M451" s="49"/>
      <c r="N451" s="49"/>
      <c r="O451" s="49"/>
      <c r="P451" s="49"/>
      <c r="Q451" s="49"/>
      <c r="R451" s="49"/>
      <c r="S451" s="49"/>
      <c r="T451" s="49"/>
      <c r="U451" s="13">
        <f t="shared" si="25"/>
        <v>4</v>
      </c>
      <c r="V451" s="49">
        <v>129800</v>
      </c>
      <c r="W451" s="15">
        <f t="shared" si="22"/>
        <v>519200</v>
      </c>
    </row>
    <row r="452" spans="1:23" customFormat="1" ht="102" x14ac:dyDescent="0.25">
      <c r="A452" s="124">
        <v>7</v>
      </c>
      <c r="B452" s="128" t="s">
        <v>343</v>
      </c>
      <c r="C452" s="37">
        <v>1</v>
      </c>
      <c r="D452" s="49">
        <v>2</v>
      </c>
      <c r="E452" s="49"/>
      <c r="F452" s="49"/>
      <c r="G452" s="49"/>
      <c r="H452" s="49"/>
      <c r="I452" s="49"/>
      <c r="J452" s="49"/>
      <c r="K452" s="49"/>
      <c r="L452" s="49"/>
      <c r="M452" s="49"/>
      <c r="N452" s="49"/>
      <c r="O452" s="49"/>
      <c r="P452" s="49"/>
      <c r="Q452" s="49"/>
      <c r="R452" s="49"/>
      <c r="S452" s="49"/>
      <c r="T452" s="49"/>
      <c r="U452" s="13">
        <f t="shared" si="25"/>
        <v>2</v>
      </c>
      <c r="V452" s="49">
        <v>850000</v>
      </c>
      <c r="W452" s="15">
        <f t="shared" si="22"/>
        <v>1700000</v>
      </c>
    </row>
    <row r="453" spans="1:23" customFormat="1" ht="285.75" x14ac:dyDescent="0.25">
      <c r="A453" s="124">
        <v>8</v>
      </c>
      <c r="B453" s="142" t="s">
        <v>344</v>
      </c>
      <c r="C453" s="37">
        <v>1</v>
      </c>
      <c r="D453" s="61">
        <v>6</v>
      </c>
      <c r="E453" s="61"/>
      <c r="F453" s="61"/>
      <c r="G453" s="61"/>
      <c r="H453" s="61"/>
      <c r="I453" s="61"/>
      <c r="J453" s="61"/>
      <c r="K453" s="61"/>
      <c r="L453" s="61"/>
      <c r="M453" s="61"/>
      <c r="N453" s="61"/>
      <c r="O453" s="61"/>
      <c r="P453" s="61"/>
      <c r="Q453" s="61"/>
      <c r="R453" s="61"/>
      <c r="S453" s="61"/>
      <c r="T453" s="61"/>
      <c r="U453" s="13">
        <f t="shared" si="25"/>
        <v>6</v>
      </c>
      <c r="V453" s="66">
        <v>5061387.5</v>
      </c>
      <c r="W453" s="15">
        <f t="shared" si="22"/>
        <v>30368325</v>
      </c>
    </row>
    <row r="454" spans="1:23" customFormat="1" ht="285" x14ac:dyDescent="0.25">
      <c r="A454" s="124"/>
      <c r="B454" s="142" t="s">
        <v>426</v>
      </c>
      <c r="C454" s="37">
        <v>1</v>
      </c>
      <c r="D454" s="61">
        <v>7</v>
      </c>
      <c r="E454" s="61"/>
      <c r="F454" s="61"/>
      <c r="G454" s="61"/>
      <c r="H454" s="61"/>
      <c r="I454" s="61"/>
      <c r="J454" s="61"/>
      <c r="K454" s="61"/>
      <c r="L454" s="61"/>
      <c r="M454" s="61"/>
      <c r="N454" s="61"/>
      <c r="O454" s="61"/>
      <c r="P454" s="61"/>
      <c r="Q454" s="61"/>
      <c r="R454" s="61"/>
      <c r="S454" s="61"/>
      <c r="T454" s="61"/>
      <c r="U454" s="13">
        <f t="shared" si="25"/>
        <v>7</v>
      </c>
      <c r="V454" s="66">
        <v>4116450</v>
      </c>
      <c r="W454" s="15">
        <f t="shared" si="22"/>
        <v>28815150</v>
      </c>
    </row>
    <row r="455" spans="1:23" customFormat="1" ht="285" x14ac:dyDescent="0.25">
      <c r="A455" s="124"/>
      <c r="B455" s="142" t="s">
        <v>427</v>
      </c>
      <c r="C455" s="37">
        <v>1</v>
      </c>
      <c r="D455" s="61">
        <v>1</v>
      </c>
      <c r="E455" s="61"/>
      <c r="F455" s="61"/>
      <c r="G455" s="61"/>
      <c r="H455" s="61"/>
      <c r="I455" s="61"/>
      <c r="J455" s="61"/>
      <c r="K455" s="61"/>
      <c r="L455" s="61"/>
      <c r="M455" s="61"/>
      <c r="N455" s="61"/>
      <c r="O455" s="61"/>
      <c r="P455" s="61"/>
      <c r="Q455" s="61"/>
      <c r="R455" s="61"/>
      <c r="S455" s="61"/>
      <c r="T455" s="61"/>
      <c r="U455" s="13">
        <f t="shared" si="25"/>
        <v>1</v>
      </c>
      <c r="V455" s="66">
        <v>8787425</v>
      </c>
      <c r="W455" s="15">
        <f t="shared" si="22"/>
        <v>8787425</v>
      </c>
    </row>
    <row r="456" spans="1:23" s="154" customFormat="1" x14ac:dyDescent="0.25">
      <c r="A456" s="117" t="s">
        <v>51</v>
      </c>
      <c r="B456" s="92" t="s">
        <v>429</v>
      </c>
      <c r="C456" s="22" t="s">
        <v>347</v>
      </c>
      <c r="D456" s="25"/>
      <c r="E456" s="30"/>
      <c r="F456" s="30"/>
      <c r="G456" s="30"/>
      <c r="H456" s="30"/>
      <c r="I456" s="30"/>
      <c r="J456" s="30"/>
      <c r="K456" s="30"/>
      <c r="L456" s="30"/>
      <c r="M456" s="30"/>
      <c r="N456" s="30"/>
      <c r="O456" s="30"/>
      <c r="P456" s="30"/>
      <c r="Q456" s="30"/>
      <c r="R456" s="30"/>
      <c r="S456" s="30"/>
      <c r="T456" s="30"/>
      <c r="U456" s="13">
        <f t="shared" si="25"/>
        <v>0</v>
      </c>
      <c r="V456" s="30"/>
      <c r="W456" s="15">
        <v>1300000</v>
      </c>
    </row>
    <row r="457" spans="1:23" s="154" customFormat="1" x14ac:dyDescent="0.25">
      <c r="A457" s="117" t="s">
        <v>53</v>
      </c>
      <c r="B457" s="92" t="s">
        <v>428</v>
      </c>
      <c r="C457" s="22" t="s">
        <v>347</v>
      </c>
      <c r="D457" s="25"/>
      <c r="E457" s="30"/>
      <c r="F457" s="30"/>
      <c r="G457" s="30"/>
      <c r="H457" s="30"/>
      <c r="I457" s="30"/>
      <c r="J457" s="30"/>
      <c r="K457" s="30"/>
      <c r="L457" s="30"/>
      <c r="M457" s="30"/>
      <c r="N457" s="30"/>
      <c r="O457" s="30"/>
      <c r="P457" s="30"/>
      <c r="Q457" s="30"/>
      <c r="R457" s="30"/>
      <c r="S457" s="30"/>
      <c r="T457" s="30"/>
      <c r="U457" s="13">
        <f t="shared" si="25"/>
        <v>0</v>
      </c>
      <c r="V457" s="30"/>
      <c r="W457" s="15">
        <v>700000</v>
      </c>
    </row>
    <row r="458" spans="1:23" s="154" customFormat="1" x14ac:dyDescent="0.25">
      <c r="A458" s="117" t="s">
        <v>55</v>
      </c>
      <c r="B458" s="92" t="s">
        <v>432</v>
      </c>
      <c r="C458" s="22" t="s">
        <v>347</v>
      </c>
      <c r="D458" s="25"/>
      <c r="E458" s="30"/>
      <c r="F458" s="30"/>
      <c r="G458" s="30"/>
      <c r="H458" s="30"/>
      <c r="I458" s="30"/>
      <c r="J458" s="30"/>
      <c r="K458" s="30"/>
      <c r="L458" s="30"/>
      <c r="M458" s="30"/>
      <c r="N458" s="30"/>
      <c r="O458" s="30"/>
      <c r="P458" s="30"/>
      <c r="Q458" s="30"/>
      <c r="R458" s="30"/>
      <c r="S458" s="30"/>
      <c r="T458" s="30"/>
      <c r="U458" s="13">
        <f t="shared" si="25"/>
        <v>0</v>
      </c>
      <c r="V458" s="30"/>
      <c r="W458" s="15">
        <v>500000</v>
      </c>
    </row>
    <row r="459" spans="1:23" s="154" customFormat="1" x14ac:dyDescent="0.25">
      <c r="A459" s="117" t="s">
        <v>51</v>
      </c>
      <c r="B459" s="92" t="s">
        <v>430</v>
      </c>
      <c r="C459" s="22" t="s">
        <v>347</v>
      </c>
      <c r="D459" s="25"/>
      <c r="E459" s="30"/>
      <c r="F459" s="30"/>
      <c r="G459" s="30"/>
      <c r="H459" s="30"/>
      <c r="I459" s="30"/>
      <c r="J459" s="30"/>
      <c r="K459" s="30"/>
      <c r="L459" s="30"/>
      <c r="M459" s="30"/>
      <c r="N459" s="30"/>
      <c r="O459" s="30"/>
      <c r="P459" s="30"/>
      <c r="Q459" s="30"/>
      <c r="R459" s="30"/>
      <c r="S459" s="30"/>
      <c r="T459" s="30"/>
      <c r="U459" s="13">
        <f t="shared" si="25"/>
        <v>0</v>
      </c>
      <c r="V459" s="30"/>
      <c r="W459" s="15">
        <v>500000</v>
      </c>
    </row>
    <row r="460" spans="1:23" s="154" customFormat="1" x14ac:dyDescent="0.25">
      <c r="A460" s="117" t="s">
        <v>53</v>
      </c>
      <c r="B460" s="92" t="s">
        <v>431</v>
      </c>
      <c r="C460" s="22" t="s">
        <v>347</v>
      </c>
      <c r="D460" s="25"/>
      <c r="E460" s="30"/>
      <c r="F460" s="30"/>
      <c r="G460" s="30"/>
      <c r="H460" s="30"/>
      <c r="I460" s="30"/>
      <c r="J460" s="30"/>
      <c r="K460" s="30"/>
      <c r="L460" s="30"/>
      <c r="M460" s="30"/>
      <c r="N460" s="30"/>
      <c r="O460" s="30"/>
      <c r="P460" s="30"/>
      <c r="Q460" s="30"/>
      <c r="R460" s="30"/>
      <c r="S460" s="30"/>
      <c r="T460" s="30"/>
      <c r="U460" s="13">
        <f t="shared" si="25"/>
        <v>0</v>
      </c>
      <c r="V460" s="30"/>
      <c r="W460" s="15">
        <v>500000</v>
      </c>
    </row>
    <row r="461" spans="1:23" s="154" customFormat="1" ht="30" x14ac:dyDescent="0.25">
      <c r="A461" s="117" t="s">
        <v>51</v>
      </c>
      <c r="B461" s="94" t="s">
        <v>433</v>
      </c>
      <c r="C461" s="22" t="s">
        <v>347</v>
      </c>
      <c r="D461" s="25"/>
      <c r="E461" s="30"/>
      <c r="F461" s="30"/>
      <c r="G461" s="30"/>
      <c r="H461" s="30"/>
      <c r="I461" s="30"/>
      <c r="J461" s="30"/>
      <c r="K461" s="30"/>
      <c r="L461" s="30"/>
      <c r="M461" s="30"/>
      <c r="N461" s="30"/>
      <c r="O461" s="30"/>
      <c r="P461" s="30"/>
      <c r="Q461" s="30"/>
      <c r="R461" s="30"/>
      <c r="S461" s="30"/>
      <c r="T461" s="30"/>
      <c r="U461" s="13">
        <f t="shared" si="25"/>
        <v>0</v>
      </c>
      <c r="V461" s="30"/>
      <c r="W461" s="15">
        <v>250000</v>
      </c>
    </row>
    <row r="462" spans="1:23" s="154" customFormat="1" ht="30" x14ac:dyDescent="0.25">
      <c r="A462" s="117" t="s">
        <v>53</v>
      </c>
      <c r="B462" s="94" t="s">
        <v>434</v>
      </c>
      <c r="C462" s="22" t="s">
        <v>347</v>
      </c>
      <c r="D462" s="25"/>
      <c r="E462" s="30"/>
      <c r="F462" s="30"/>
      <c r="G462" s="30"/>
      <c r="H462" s="30"/>
      <c r="I462" s="30"/>
      <c r="J462" s="30"/>
      <c r="K462" s="30"/>
      <c r="L462" s="30"/>
      <c r="M462" s="30"/>
      <c r="N462" s="30"/>
      <c r="O462" s="30"/>
      <c r="P462" s="30"/>
      <c r="Q462" s="30"/>
      <c r="R462" s="30"/>
      <c r="S462" s="30"/>
      <c r="T462" s="30"/>
      <c r="U462" s="13">
        <f t="shared" si="25"/>
        <v>0</v>
      </c>
      <c r="V462" s="30"/>
      <c r="W462" s="15">
        <v>250000</v>
      </c>
    </row>
    <row r="463" spans="1:23" s="154" customFormat="1" x14ac:dyDescent="0.25">
      <c r="A463" s="117" t="s">
        <v>51</v>
      </c>
      <c r="B463" s="94" t="s">
        <v>354</v>
      </c>
      <c r="C463" s="22" t="s">
        <v>347</v>
      </c>
      <c r="D463" s="33">
        <v>5</v>
      </c>
      <c r="E463" s="40"/>
      <c r="F463" s="40"/>
      <c r="G463" s="40"/>
      <c r="H463" s="40"/>
      <c r="I463" s="40"/>
      <c r="J463" s="40"/>
      <c r="K463" s="40"/>
      <c r="L463" s="40"/>
      <c r="M463" s="40"/>
      <c r="N463" s="40"/>
      <c r="O463" s="40"/>
      <c r="P463" s="40"/>
      <c r="Q463" s="40"/>
      <c r="R463" s="40"/>
      <c r="S463" s="40"/>
      <c r="T463" s="40"/>
      <c r="U463" s="13">
        <f t="shared" si="25"/>
        <v>5</v>
      </c>
      <c r="V463" s="40">
        <v>100000</v>
      </c>
      <c r="W463" s="15">
        <v>500000</v>
      </c>
    </row>
    <row r="464" spans="1:23" s="154" customFormat="1" x14ac:dyDescent="0.25">
      <c r="A464" s="127">
        <v>13</v>
      </c>
      <c r="B464" s="98" t="s">
        <v>355</v>
      </c>
      <c r="C464" s="22" t="s">
        <v>347</v>
      </c>
      <c r="D464" s="25">
        <v>1</v>
      </c>
      <c r="E464" s="30"/>
      <c r="F464" s="30"/>
      <c r="G464" s="30"/>
      <c r="H464" s="30"/>
      <c r="I464" s="30"/>
      <c r="J464" s="30"/>
      <c r="K464" s="30"/>
      <c r="L464" s="30"/>
      <c r="M464" s="30"/>
      <c r="N464" s="30"/>
      <c r="O464" s="30"/>
      <c r="P464" s="30"/>
      <c r="Q464" s="30"/>
      <c r="R464" s="30"/>
      <c r="S464" s="30"/>
      <c r="T464" s="30"/>
      <c r="U464" s="13">
        <f t="shared" si="25"/>
        <v>1</v>
      </c>
      <c r="V464" s="30"/>
      <c r="W464" s="15">
        <v>1500000</v>
      </c>
    </row>
    <row r="465" spans="1:31" s="154" customFormat="1" x14ac:dyDescent="0.25">
      <c r="A465" s="127">
        <v>14</v>
      </c>
      <c r="B465" s="98" t="s">
        <v>356</v>
      </c>
      <c r="C465" s="22" t="s">
        <v>347</v>
      </c>
      <c r="D465" s="33">
        <v>3</v>
      </c>
      <c r="E465" s="40"/>
      <c r="F465" s="40"/>
      <c r="G465" s="40"/>
      <c r="H465" s="40"/>
      <c r="I465" s="40"/>
      <c r="J465" s="40"/>
      <c r="K465" s="40"/>
      <c r="L465" s="40"/>
      <c r="M465" s="40"/>
      <c r="N465" s="40"/>
      <c r="O465" s="40"/>
      <c r="P465" s="40"/>
      <c r="Q465" s="40"/>
      <c r="R465" s="40"/>
      <c r="S465" s="40"/>
      <c r="T465" s="40"/>
      <c r="U465" s="13">
        <f t="shared" si="25"/>
        <v>3</v>
      </c>
      <c r="V465" s="40">
        <v>500000</v>
      </c>
      <c r="W465" s="15">
        <v>1500000</v>
      </c>
    </row>
    <row r="466" spans="1:31" s="154" customFormat="1" x14ac:dyDescent="0.25">
      <c r="A466" s="127">
        <v>15</v>
      </c>
      <c r="B466" s="98" t="s">
        <v>357</v>
      </c>
      <c r="C466" s="22" t="s">
        <v>347</v>
      </c>
      <c r="D466" s="25">
        <v>1</v>
      </c>
      <c r="E466" s="30"/>
      <c r="F466" s="30"/>
      <c r="G466" s="30"/>
      <c r="H466" s="30"/>
      <c r="I466" s="30"/>
      <c r="J466" s="30"/>
      <c r="K466" s="30"/>
      <c r="L466" s="30"/>
      <c r="M466" s="30"/>
      <c r="N466" s="30"/>
      <c r="O466" s="30"/>
      <c r="P466" s="30"/>
      <c r="Q466" s="30"/>
      <c r="R466" s="30"/>
      <c r="S466" s="30"/>
      <c r="T466" s="30"/>
      <c r="U466" s="13">
        <f t="shared" si="25"/>
        <v>1</v>
      </c>
      <c r="V466" s="30"/>
      <c r="W466" s="15">
        <v>500000</v>
      </c>
    </row>
    <row r="467" spans="1:31" x14ac:dyDescent="0.25">
      <c r="A467" s="117" t="s">
        <v>51</v>
      </c>
      <c r="B467" s="94" t="s">
        <v>435</v>
      </c>
      <c r="C467" s="22" t="s">
        <v>347</v>
      </c>
      <c r="D467" s="33">
        <v>1</v>
      </c>
      <c r="E467" s="40"/>
      <c r="F467" s="40"/>
      <c r="G467" s="40"/>
      <c r="H467" s="40"/>
      <c r="I467" s="40"/>
      <c r="J467" s="40"/>
      <c r="K467" s="40"/>
      <c r="L467" s="40"/>
      <c r="M467" s="40"/>
      <c r="N467" s="40"/>
      <c r="O467" s="40"/>
      <c r="P467" s="40"/>
      <c r="Q467" s="40"/>
      <c r="R467" s="40"/>
      <c r="S467" s="40"/>
      <c r="T467" s="40"/>
      <c r="U467" s="13">
        <f t="shared" si="25"/>
        <v>1</v>
      </c>
      <c r="V467" s="30"/>
      <c r="W467" s="15">
        <v>125000</v>
      </c>
    </row>
    <row r="468" spans="1:31" ht="30" x14ac:dyDescent="0.25">
      <c r="A468" s="117" t="s">
        <v>53</v>
      </c>
      <c r="B468" s="94" t="s">
        <v>436</v>
      </c>
      <c r="C468" s="22" t="s">
        <v>347</v>
      </c>
      <c r="D468" s="33">
        <v>1</v>
      </c>
      <c r="E468" s="40"/>
      <c r="F468" s="40"/>
      <c r="G468" s="40"/>
      <c r="H468" s="40"/>
      <c r="I468" s="40"/>
      <c r="J468" s="40"/>
      <c r="K468" s="40"/>
      <c r="L468" s="40"/>
      <c r="M468" s="40"/>
      <c r="N468" s="40"/>
      <c r="O468" s="40"/>
      <c r="P468" s="40"/>
      <c r="Q468" s="40"/>
      <c r="R468" s="40"/>
      <c r="S468" s="40"/>
      <c r="T468" s="40"/>
      <c r="U468" s="13">
        <f t="shared" si="25"/>
        <v>1</v>
      </c>
      <c r="V468" s="30"/>
      <c r="W468" s="15">
        <v>100000</v>
      </c>
      <c r="AC468"/>
      <c r="AD468"/>
      <c r="AE468">
        <f>AC468+AD468</f>
        <v>0</v>
      </c>
    </row>
    <row r="469" spans="1:31" x14ac:dyDescent="0.25">
      <c r="A469" s="117" t="s">
        <v>55</v>
      </c>
      <c r="B469" s="94" t="s">
        <v>437</v>
      </c>
      <c r="C469" s="22" t="s">
        <v>347</v>
      </c>
      <c r="D469" s="33">
        <v>1</v>
      </c>
      <c r="E469" s="40"/>
      <c r="F469" s="40"/>
      <c r="G469" s="40"/>
      <c r="H469" s="40"/>
      <c r="I469" s="40"/>
      <c r="J469" s="40"/>
      <c r="K469" s="40"/>
      <c r="L469" s="40"/>
      <c r="M469" s="40"/>
      <c r="N469" s="40"/>
      <c r="O469" s="40"/>
      <c r="P469" s="40"/>
      <c r="Q469" s="40"/>
      <c r="R469" s="40"/>
      <c r="S469" s="40"/>
      <c r="T469" s="40"/>
      <c r="U469" s="13">
        <f t="shared" si="25"/>
        <v>1</v>
      </c>
      <c r="V469" s="30"/>
      <c r="W469" s="15">
        <v>100000</v>
      </c>
      <c r="AC469">
        <v>187601.82</v>
      </c>
      <c r="AD469">
        <v>40000</v>
      </c>
      <c r="AE469">
        <f t="shared" ref="AE469:AE477" si="26">AC469+AD469</f>
        <v>227601.82</v>
      </c>
    </row>
    <row r="470" spans="1:31" x14ac:dyDescent="0.25">
      <c r="A470" s="117" t="s">
        <v>362</v>
      </c>
      <c r="B470" s="94" t="s">
        <v>438</v>
      </c>
      <c r="C470" s="22" t="s">
        <v>347</v>
      </c>
      <c r="D470" s="33">
        <v>1</v>
      </c>
      <c r="E470" s="40"/>
      <c r="F470" s="40"/>
      <c r="G470" s="40"/>
      <c r="H470" s="40"/>
      <c r="I470" s="40"/>
      <c r="J470" s="40"/>
      <c r="K470" s="40"/>
      <c r="L470" s="40"/>
      <c r="M470" s="40"/>
      <c r="N470" s="40"/>
      <c r="O470" s="40"/>
      <c r="P470" s="40"/>
      <c r="Q470" s="40"/>
      <c r="R470" s="40"/>
      <c r="S470" s="40"/>
      <c r="T470" s="40"/>
      <c r="U470" s="13">
        <f t="shared" si="25"/>
        <v>1</v>
      </c>
      <c r="V470" s="30"/>
      <c r="W470" s="15">
        <v>175000</v>
      </c>
      <c r="AC470">
        <v>101544.2</v>
      </c>
      <c r="AD470">
        <v>40000</v>
      </c>
      <c r="AE470">
        <f t="shared" si="26"/>
        <v>141544.20000000001</v>
      </c>
    </row>
    <row r="471" spans="1:31" ht="30" x14ac:dyDescent="0.25">
      <c r="A471" s="117" t="s">
        <v>364</v>
      </c>
      <c r="B471" s="94" t="s">
        <v>439</v>
      </c>
      <c r="C471" s="22" t="s">
        <v>347</v>
      </c>
      <c r="D471" s="33">
        <v>1</v>
      </c>
      <c r="E471" s="40"/>
      <c r="F471" s="40"/>
      <c r="G471" s="40"/>
      <c r="H471" s="40"/>
      <c r="I471" s="40"/>
      <c r="J471" s="40"/>
      <c r="K471" s="40"/>
      <c r="L471" s="40"/>
      <c r="M471" s="40"/>
      <c r="N471" s="40"/>
      <c r="O471" s="40"/>
      <c r="P471" s="40"/>
      <c r="Q471" s="40"/>
      <c r="R471" s="40"/>
      <c r="S471" s="40"/>
      <c r="T471" s="40"/>
      <c r="U471" s="13">
        <f t="shared" si="25"/>
        <v>1</v>
      </c>
      <c r="V471" s="30"/>
      <c r="W471" s="15">
        <v>500000</v>
      </c>
      <c r="X471" s="186">
        <f>SUM(W456:W471)</f>
        <v>9000000</v>
      </c>
      <c r="AC471">
        <v>134924</v>
      </c>
      <c r="AD471">
        <v>40000</v>
      </c>
      <c r="AE471">
        <f t="shared" si="26"/>
        <v>174924</v>
      </c>
    </row>
    <row r="472" spans="1:31" x14ac:dyDescent="0.25">
      <c r="B472" s="157"/>
      <c r="AC472">
        <v>207719.6</v>
      </c>
      <c r="AD472">
        <v>40000</v>
      </c>
      <c r="AE472">
        <f t="shared" si="26"/>
        <v>247719.6</v>
      </c>
    </row>
    <row r="473" spans="1:31" x14ac:dyDescent="0.25">
      <c r="B473" s="157"/>
      <c r="AC473">
        <v>274993.59999999998</v>
      </c>
      <c r="AD473">
        <v>156780</v>
      </c>
      <c r="AE473">
        <f t="shared" si="26"/>
        <v>431773.6</v>
      </c>
    </row>
    <row r="474" spans="1:31" x14ac:dyDescent="0.25">
      <c r="B474" s="157"/>
      <c r="V474" s="153" t="s">
        <v>415</v>
      </c>
      <c r="W474" s="68">
        <f>SUM(W5:W471)</f>
        <v>2264326090.2352781</v>
      </c>
      <c r="AC474">
        <v>141014</v>
      </c>
      <c r="AD474">
        <v>40000</v>
      </c>
      <c r="AE474">
        <f t="shared" si="26"/>
        <v>181014</v>
      </c>
    </row>
    <row r="475" spans="1:31" x14ac:dyDescent="0.25">
      <c r="W475" s="159"/>
      <c r="AC475">
        <v>301093.59999999998</v>
      </c>
      <c r="AD475">
        <v>156780</v>
      </c>
      <c r="AE475">
        <f t="shared" si="26"/>
        <v>457873.6</v>
      </c>
    </row>
    <row r="476" spans="1:31" x14ac:dyDescent="0.25">
      <c r="V476" s="153" t="s">
        <v>416</v>
      </c>
      <c r="W476" s="68">
        <v>2279229198.29</v>
      </c>
      <c r="AC476">
        <v>143304</v>
      </c>
      <c r="AD476">
        <v>40000</v>
      </c>
      <c r="AE476">
        <f t="shared" si="26"/>
        <v>183304</v>
      </c>
    </row>
    <row r="477" spans="1:31" x14ac:dyDescent="0.25">
      <c r="W477" s="159"/>
      <c r="AC477">
        <v>1426668.4</v>
      </c>
      <c r="AD477">
        <v>156780</v>
      </c>
      <c r="AE477">
        <f t="shared" si="26"/>
        <v>1583448.4</v>
      </c>
    </row>
    <row r="478" spans="1:31" x14ac:dyDescent="0.25">
      <c r="V478" s="153" t="s">
        <v>417</v>
      </c>
      <c r="W478" s="165">
        <f>W474-W476</f>
        <v>-14903108.054721832</v>
      </c>
      <c r="X478" s="1">
        <f>16069459</f>
        <v>16069459</v>
      </c>
      <c r="AC478"/>
      <c r="AD478"/>
      <c r="AE478">
        <f>SUM(AE468:AE477)</f>
        <v>3629203.2199999997</v>
      </c>
    </row>
    <row r="479" spans="1:31" x14ac:dyDescent="0.25">
      <c r="X479" s="1">
        <v>4726644</v>
      </c>
    </row>
    <row r="480" spans="1:31" x14ac:dyDescent="0.25">
      <c r="W480" s="153">
        <f>W478+X480+X481+X482+Z481+Z485</f>
        <v>69532.945278167725</v>
      </c>
      <c r="X480" s="1">
        <f>X478-X479</f>
        <v>11342815</v>
      </c>
    </row>
    <row r="481" spans="24:29" x14ac:dyDescent="0.25">
      <c r="X481">
        <v>3629203</v>
      </c>
    </row>
    <row r="482" spans="24:29" x14ac:dyDescent="0.25">
      <c r="X482" s="1">
        <v>623</v>
      </c>
    </row>
    <row r="483" spans="24:29" x14ac:dyDescent="0.25">
      <c r="AA483" s="187">
        <f>AA482+AB504</f>
        <v>0</v>
      </c>
    </row>
    <row r="485" spans="24:29" x14ac:dyDescent="0.25">
      <c r="AC485" s="187"/>
    </row>
  </sheetData>
  <autoFilter ref="A3:G452" xr:uid="{00000000-0009-0000-0000-000001000000}"/>
  <mergeCells count="3">
    <mergeCell ref="A1:W1"/>
    <mergeCell ref="A2:W2"/>
    <mergeCell ref="A200:A202"/>
  </mergeCells>
  <conditionalFormatting sqref="B1:B1048576">
    <cfRule type="duplicateValues" dxfId="64" priority="1"/>
  </conditionalFormatting>
  <conditionalFormatting sqref="B60:B62 W352:W420 W447:W471">
    <cfRule type="cellIs" dxfId="63" priority="5" operator="equal">
      <formula>0</formula>
    </cfRule>
  </conditionalFormatting>
  <conditionalFormatting sqref="B72">
    <cfRule type="cellIs" dxfId="62" priority="4" operator="equal">
      <formula>0</formula>
    </cfRule>
  </conditionalFormatting>
  <conditionalFormatting sqref="B78:B85 W70:W80 V78:V80 W89:W100">
    <cfRule type="cellIs" dxfId="61" priority="11" operator="equal">
      <formula>0</formula>
    </cfRule>
  </conditionalFormatting>
  <conditionalFormatting sqref="B113">
    <cfRule type="cellIs" dxfId="60" priority="9" operator="equal">
      <formula>0</formula>
    </cfRule>
  </conditionalFormatting>
  <conditionalFormatting sqref="B226">
    <cfRule type="cellIs" dxfId="59" priority="7" operator="equal">
      <formula>0</formula>
    </cfRule>
  </conditionalFormatting>
  <conditionalFormatting sqref="J78:M80">
    <cfRule type="cellIs" dxfId="58" priority="6" operator="equal">
      <formula>0</formula>
    </cfRule>
  </conditionalFormatting>
  <conditionalFormatting sqref="O78:O80">
    <cfRule type="cellIs" dxfId="57" priority="3" operator="equal">
      <formula>0</formula>
    </cfRule>
  </conditionalFormatting>
  <conditionalFormatting sqref="V72">
    <cfRule type="cellIs" dxfId="56" priority="2" operator="equal">
      <formula>0</formula>
    </cfRule>
  </conditionalFormatting>
  <conditionalFormatting sqref="V113:V114">
    <cfRule type="cellIs" dxfId="55" priority="10" operator="equal">
      <formula>0</formula>
    </cfRule>
  </conditionalFormatting>
  <conditionalFormatting sqref="V226">
    <cfRule type="cellIs" dxfId="54" priority="8" operator="equal">
      <formula>0</formula>
    </cfRule>
  </conditionalFormatting>
  <conditionalFormatting sqref="W3 W5:W6 W8:W22 W24:W32 W34 W36:W42 W44 W46:W51 W53 W55:W58 W60:W64 W66:W68 D78:D80 W82:W87 W102:W103 W105:W107 W109:W115 W117:W119 W121:W136 W138:W139 W141:W146 W148:W157 W159:W169 W171:W173 W175:W177 W179:W191 W193:W196 W198:W199 W201:W203 W205:W226 W228:W229 W231:W232 W234:W241 W243:W245 W247:W248 W250:W253 W255 W257:W259 W261:W265 W267:W270 W272:W273 W275:W292 W294:W311 W313:W316 W318:W321 W323:W324 W326:W328 W330:W345 W347:W350 W422:W445">
    <cfRule type="cellIs" dxfId="53" priority="12" operator="equal">
      <formula>0</formula>
    </cfRule>
  </conditionalFormatting>
  <printOptions horizontalCentered="1"/>
  <pageMargins left="0.39370078740157483" right="7.874015748031496E-2" top="0.27559055118110237" bottom="0.11811023622047245" header="0.31496062992125984" footer="0.31496062992125984"/>
  <pageSetup paperSize="9" scale="75"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AE541"/>
  <sheetViews>
    <sheetView tabSelected="1" view="pageBreakPreview" zoomScale="89" zoomScaleNormal="70" zoomScaleSheetLayoutView="89" workbookViewId="0">
      <pane xSplit="3" ySplit="3" topLeftCell="D4" activePane="bottomRight" state="frozen"/>
      <selection activeCell="T122" sqref="T122"/>
      <selection pane="topRight" activeCell="T122" sqref="T122"/>
      <selection pane="bottomLeft" activeCell="T122" sqref="T122"/>
      <selection pane="bottomRight" activeCell="E5" sqref="E5"/>
    </sheetView>
  </sheetViews>
  <sheetFormatPr defaultColWidth="9.140625" defaultRowHeight="15.75" x14ac:dyDescent="0.25"/>
  <cols>
    <col min="1" max="1" width="5.85546875" style="156" bestFit="1" customWidth="1"/>
    <col min="2" max="2" width="63.7109375" style="809" customWidth="1"/>
    <col min="3" max="3" width="17.7109375" style="7" bestFit="1" customWidth="1"/>
    <col min="4" max="4" width="18.85546875" style="151" customWidth="1"/>
    <col min="5" max="5" width="17.85546875" style="153" customWidth="1"/>
    <col min="6" max="6" width="16.85546875" style="153" bestFit="1" customWidth="1"/>
    <col min="7" max="7" width="17" style="153" customWidth="1"/>
    <col min="8" max="10" width="18.28515625" style="153" bestFit="1" customWidth="1"/>
    <col min="11" max="13" width="16.7109375" style="153" bestFit="1" customWidth="1"/>
    <col min="14" max="14" width="14.7109375" style="153" bestFit="1" customWidth="1"/>
    <col min="15" max="18" width="16.7109375" style="153" bestFit="1" customWidth="1"/>
    <col min="19" max="19" width="14.42578125" style="153" customWidth="1"/>
    <col min="20" max="20" width="18.7109375" style="153" customWidth="1"/>
    <col min="21" max="21" width="19.140625" style="153" bestFit="1" customWidth="1"/>
    <col min="22" max="22" width="17.85546875" style="153" hidden="1" customWidth="1"/>
    <col min="23" max="23" width="24.7109375" style="153" hidden="1" customWidth="1"/>
    <col min="24" max="24" width="21.28515625" style="1" bestFit="1" customWidth="1"/>
    <col min="25" max="26" width="18.42578125" style="1" bestFit="1" customWidth="1"/>
    <col min="27" max="27" width="16.5703125" style="1" bestFit="1" customWidth="1"/>
    <col min="28" max="28" width="17.28515625" style="1" bestFit="1" customWidth="1"/>
    <col min="29" max="29" width="16.5703125" style="1" bestFit="1" customWidth="1"/>
    <col min="30" max="16384" width="9.140625" style="1"/>
  </cols>
  <sheetData>
    <row r="1" spans="1:25" ht="26.25" customHeight="1" x14ac:dyDescent="0.25">
      <c r="A1" s="777" t="s">
        <v>0</v>
      </c>
      <c r="B1" s="795"/>
      <c r="C1" s="777"/>
      <c r="D1" s="777"/>
      <c r="E1" s="777"/>
      <c r="F1" s="777"/>
      <c r="G1" s="777"/>
      <c r="H1" s="777"/>
      <c r="I1" s="777"/>
      <c r="J1" s="777"/>
      <c r="K1" s="777"/>
      <c r="L1" s="777"/>
      <c r="M1" s="777"/>
      <c r="N1" s="777"/>
      <c r="O1" s="777"/>
      <c r="P1" s="777"/>
      <c r="Q1" s="777"/>
      <c r="R1" s="777"/>
      <c r="S1" s="777"/>
      <c r="T1" s="777"/>
      <c r="U1" s="777"/>
      <c r="V1" s="777"/>
      <c r="W1" s="777"/>
    </row>
    <row r="2" spans="1:25" ht="21" x14ac:dyDescent="0.25">
      <c r="A2" s="778" t="s">
        <v>1</v>
      </c>
      <c r="B2" s="796"/>
      <c r="C2" s="778"/>
      <c r="D2" s="778"/>
      <c r="E2" s="778"/>
      <c r="F2" s="778"/>
      <c r="G2" s="778"/>
      <c r="H2" s="778"/>
      <c r="I2" s="778"/>
      <c r="J2" s="778"/>
      <c r="K2" s="778"/>
      <c r="L2" s="778"/>
      <c r="M2" s="778"/>
      <c r="N2" s="778"/>
      <c r="O2" s="778"/>
      <c r="P2" s="778"/>
      <c r="Q2" s="778"/>
      <c r="R2" s="778"/>
      <c r="S2" s="778"/>
      <c r="T2" s="778"/>
      <c r="U2" s="778"/>
      <c r="V2" s="778"/>
      <c r="W2" s="778"/>
    </row>
    <row r="3" spans="1:25" s="2" customFormat="1" ht="72" x14ac:dyDescent="0.3">
      <c r="A3" s="196" t="s">
        <v>2</v>
      </c>
      <c r="B3" s="797" t="s">
        <v>3</v>
      </c>
      <c r="C3" s="396" t="s">
        <v>4</v>
      </c>
      <c r="D3" s="397" t="s">
        <v>366</v>
      </c>
      <c r="E3" s="397" t="s">
        <v>367</v>
      </c>
      <c r="F3" s="397" t="s">
        <v>368</v>
      </c>
      <c r="G3" s="397" t="s">
        <v>369</v>
      </c>
      <c r="H3" s="397" t="s">
        <v>370</v>
      </c>
      <c r="I3" s="397" t="s">
        <v>371</v>
      </c>
      <c r="J3" s="398" t="s">
        <v>372</v>
      </c>
      <c r="K3" s="397" t="s">
        <v>373</v>
      </c>
      <c r="L3" s="398" t="s">
        <v>374</v>
      </c>
      <c r="M3" s="398" t="s">
        <v>375</v>
      </c>
      <c r="N3" s="397" t="s">
        <v>376</v>
      </c>
      <c r="O3" s="397" t="s">
        <v>377</v>
      </c>
      <c r="P3" s="397" t="s">
        <v>379</v>
      </c>
      <c r="Q3" s="397" t="s">
        <v>382</v>
      </c>
      <c r="R3" s="397" t="s">
        <v>383</v>
      </c>
      <c r="S3" s="397" t="s">
        <v>379</v>
      </c>
      <c r="T3" s="398" t="s">
        <v>400</v>
      </c>
      <c r="U3" s="398" t="s">
        <v>391</v>
      </c>
      <c r="V3" s="398" t="s">
        <v>6</v>
      </c>
      <c r="W3" s="397" t="s">
        <v>7</v>
      </c>
    </row>
    <row r="4" spans="1:25" s="161" customFormat="1" ht="22.5" x14ac:dyDescent="0.45">
      <c r="A4" s="197">
        <v>1</v>
      </c>
      <c r="B4" s="798" t="s">
        <v>394</v>
      </c>
      <c r="C4" s="399"/>
      <c r="D4" s="399"/>
      <c r="E4" s="400"/>
      <c r="F4" s="400"/>
      <c r="G4" s="400"/>
      <c r="H4" s="400"/>
      <c r="I4" s="400"/>
      <c r="J4" s="400"/>
      <c r="K4" s="400"/>
      <c r="L4" s="400"/>
      <c r="M4" s="400"/>
      <c r="N4" s="400"/>
      <c r="O4" s="400"/>
      <c r="P4" s="400"/>
      <c r="Q4" s="400"/>
      <c r="R4" s="400"/>
      <c r="S4" s="400"/>
      <c r="T4" s="400"/>
      <c r="U4" s="400"/>
      <c r="V4" s="400"/>
      <c r="W4" s="400"/>
    </row>
    <row r="5" spans="1:25" s="785" customFormat="1" ht="71.25" x14ac:dyDescent="0.25">
      <c r="A5" s="786">
        <v>1</v>
      </c>
      <c r="B5" s="826" t="s">
        <v>8</v>
      </c>
      <c r="C5" s="780">
        <v>1000</v>
      </c>
      <c r="D5" s="1048">
        <v>616487.5</v>
      </c>
      <c r="E5" s="1049">
        <v>590424.88</v>
      </c>
      <c r="F5" s="1049">
        <v>203524.5</v>
      </c>
      <c r="G5" s="1049">
        <v>2110200</v>
      </c>
      <c r="H5" s="1049">
        <v>15023937.5</v>
      </c>
      <c r="I5" s="1049">
        <v>10154747.5</v>
      </c>
      <c r="J5" s="1049">
        <v>19380715.75</v>
      </c>
      <c r="K5" s="1049">
        <v>4710315</v>
      </c>
      <c r="L5" s="1049">
        <v>2187776.7000000002</v>
      </c>
      <c r="M5" s="1049">
        <v>1671902.1400000001</v>
      </c>
      <c r="N5" s="1049">
        <v>307260.39</v>
      </c>
      <c r="O5" s="1049">
        <v>4234073.0999999996</v>
      </c>
      <c r="P5" s="1049">
        <v>3676695</v>
      </c>
      <c r="Q5" s="1049">
        <v>15402.5</v>
      </c>
      <c r="R5" s="1049">
        <v>4410982.0599999996</v>
      </c>
      <c r="S5" s="783"/>
      <c r="T5" s="783"/>
      <c r="U5" s="783">
        <f>SUM(D5:T5)</f>
        <v>69294444.519999996</v>
      </c>
      <c r="V5" s="782">
        <v>4640.7</v>
      </c>
      <c r="W5" s="784">
        <f>V5*U5/C5</f>
        <v>321574728.68396401</v>
      </c>
    </row>
    <row r="6" spans="1:25" s="785" customFormat="1" ht="28.5" x14ac:dyDescent="0.25">
      <c r="A6" s="858">
        <v>4</v>
      </c>
      <c r="B6" s="803" t="s">
        <v>454</v>
      </c>
      <c r="C6" s="780">
        <v>1000</v>
      </c>
      <c r="D6" s="860"/>
      <c r="E6" s="861"/>
      <c r="F6" s="861"/>
      <c r="G6" s="782"/>
      <c r="H6" s="782"/>
      <c r="I6" s="861"/>
      <c r="J6" s="782"/>
      <c r="K6" s="782"/>
      <c r="L6" s="782"/>
      <c r="M6" s="782"/>
      <c r="N6" s="782"/>
      <c r="O6" s="782">
        <f>32500+3274.04</f>
        <v>35774.04</v>
      </c>
      <c r="P6" s="862"/>
      <c r="Q6" s="782">
        <v>8700</v>
      </c>
      <c r="R6" s="782"/>
      <c r="S6" s="861"/>
      <c r="T6" s="861"/>
      <c r="U6" s="783">
        <f>SUM(D6:T6)</f>
        <v>44474.04</v>
      </c>
      <c r="V6" s="782">
        <v>4640.7</v>
      </c>
      <c r="W6" s="784">
        <f>V6*U6/C6</f>
        <v>206390.677428</v>
      </c>
    </row>
    <row r="7" spans="1:25" s="789" customFormat="1" ht="28.5" x14ac:dyDescent="0.3">
      <c r="A7" s="863">
        <v>2</v>
      </c>
      <c r="B7" s="803" t="s">
        <v>454</v>
      </c>
      <c r="C7" s="780">
        <v>1000</v>
      </c>
      <c r="D7" s="781">
        <v>476.44</v>
      </c>
      <c r="E7" s="781">
        <v>355.5</v>
      </c>
      <c r="F7" s="781">
        <v>312.56</v>
      </c>
      <c r="G7" s="781">
        <v>129745.5</v>
      </c>
      <c r="H7" s="781">
        <v>275894.18</v>
      </c>
      <c r="I7" s="782"/>
      <c r="J7" s="781">
        <v>10137.189999999999</v>
      </c>
      <c r="K7" s="781">
        <v>269.25</v>
      </c>
      <c r="L7" s="781">
        <v>6208.72</v>
      </c>
      <c r="M7" s="781">
        <v>6208.72</v>
      </c>
      <c r="N7" s="781">
        <v>148.5</v>
      </c>
      <c r="O7" s="782">
        <v>967.12999999999988</v>
      </c>
      <c r="P7" s="782"/>
      <c r="Q7" s="782">
        <v>2700.32</v>
      </c>
      <c r="R7" s="782">
        <v>967.13</v>
      </c>
      <c r="S7" s="782">
        <v>967.12999999999988</v>
      </c>
      <c r="T7" s="782">
        <v>967.12999999999988</v>
      </c>
      <c r="U7" s="783">
        <f>SUM(D7:T7)</f>
        <v>436325.39999999997</v>
      </c>
      <c r="V7" s="782">
        <v>4640.7</v>
      </c>
      <c r="W7" s="784">
        <v>2024855.2837799997</v>
      </c>
      <c r="X7" s="964"/>
      <c r="Y7" s="823">
        <f>Y171-Y172</f>
        <v>2528567.5076962709</v>
      </c>
    </row>
    <row r="8" spans="1:25" ht="28.5" x14ac:dyDescent="0.25">
      <c r="A8" s="116">
        <v>2</v>
      </c>
      <c r="B8" s="799" t="s">
        <v>9</v>
      </c>
      <c r="C8" s="12">
        <v>1000</v>
      </c>
      <c r="D8" s="1047">
        <v>174315</v>
      </c>
      <c r="E8" s="1050">
        <v>112011.005</v>
      </c>
      <c r="F8" s="1050">
        <v>262075.5</v>
      </c>
      <c r="G8" s="1050">
        <v>680530</v>
      </c>
      <c r="H8" s="1050">
        <v>2113837.5</v>
      </c>
      <c r="I8" s="1050">
        <v>4167935</v>
      </c>
      <c r="J8" s="1050">
        <v>5396103.75</v>
      </c>
      <c r="K8" s="1050">
        <v>2201861.25</v>
      </c>
      <c r="L8" s="1050">
        <v>1607647.35</v>
      </c>
      <c r="M8" s="1050">
        <v>1638852.06</v>
      </c>
      <c r="N8" s="1050">
        <v>392780.14500000002</v>
      </c>
      <c r="O8" s="1050">
        <v>1712983.98</v>
      </c>
      <c r="P8" s="1050">
        <v>4402362.5</v>
      </c>
      <c r="Q8" s="1050">
        <v>51770</v>
      </c>
      <c r="R8" s="1050">
        <v>1949662.13</v>
      </c>
      <c r="S8" s="13"/>
      <c r="T8" s="13"/>
      <c r="U8" s="13">
        <f>SUM(D8:T8)</f>
        <v>26864727.169999998</v>
      </c>
      <c r="V8" s="14">
        <v>940.9</v>
      </c>
      <c r="W8" s="15">
        <f t="shared" ref="W8:W100" si="0">V8*U8/C8</f>
        <v>25277021.794252999</v>
      </c>
    </row>
    <row r="9" spans="1:25" ht="28.5" x14ac:dyDescent="0.25">
      <c r="A9" s="116">
        <v>3</v>
      </c>
      <c r="B9" s="799" t="s">
        <v>10</v>
      </c>
      <c r="C9" s="33"/>
      <c r="D9" s="33"/>
      <c r="E9" s="13"/>
      <c r="F9" s="13"/>
      <c r="G9" s="13"/>
      <c r="H9" s="1050"/>
      <c r="I9" s="13"/>
      <c r="J9" s="1050"/>
      <c r="K9" s="1050"/>
      <c r="L9" s="1050"/>
      <c r="M9" s="1050"/>
      <c r="N9" s="1050"/>
      <c r="O9" s="1050"/>
      <c r="P9" s="1050"/>
      <c r="Q9" s="13"/>
      <c r="R9" s="13"/>
      <c r="S9" s="13"/>
      <c r="T9" s="13"/>
      <c r="U9" s="13">
        <v>0</v>
      </c>
      <c r="V9" s="14">
        <v>0</v>
      </c>
      <c r="W9" s="14">
        <v>0</v>
      </c>
    </row>
    <row r="10" spans="1:25" x14ac:dyDescent="0.25">
      <c r="A10" s="116"/>
      <c r="B10" s="800" t="s">
        <v>11</v>
      </c>
      <c r="C10" s="12">
        <v>1000</v>
      </c>
      <c r="D10" s="1047">
        <v>20640</v>
      </c>
      <c r="E10" s="1050">
        <v>4055.6700000000005</v>
      </c>
      <c r="F10" s="1050">
        <v>3727.5</v>
      </c>
      <c r="G10" s="1050">
        <v>8217.5000000000036</v>
      </c>
      <c r="H10" s="1050">
        <v>12747.499999999998</v>
      </c>
      <c r="I10" s="1050">
        <v>100405</v>
      </c>
      <c r="J10" s="1050">
        <v>10945.75</v>
      </c>
      <c r="K10" s="1050">
        <v>17267.5</v>
      </c>
      <c r="L10" s="1050">
        <v>1752.5</v>
      </c>
      <c r="M10" s="1050">
        <v>10467.499999999996</v>
      </c>
      <c r="N10" s="1050"/>
      <c r="O10" s="1050">
        <v>70005.000000000015</v>
      </c>
      <c r="P10" s="1050">
        <v>137177.5</v>
      </c>
      <c r="Q10" s="1050">
        <v>1360</v>
      </c>
      <c r="R10" s="1050">
        <v>147378.57999999999</v>
      </c>
      <c r="S10" s="13"/>
      <c r="T10" s="13"/>
      <c r="U10" s="13">
        <f t="shared" ref="U10:U38" si="1">SUM(D10:T10)</f>
        <v>546147.5</v>
      </c>
      <c r="V10" s="14">
        <v>1073.2</v>
      </c>
      <c r="W10" s="15">
        <f t="shared" si="0"/>
        <v>586125.49699999997</v>
      </c>
    </row>
    <row r="11" spans="1:25" x14ac:dyDescent="0.25">
      <c r="A11" s="116"/>
      <c r="B11" s="799" t="s">
        <v>144</v>
      </c>
      <c r="C11" s="12">
        <v>1000</v>
      </c>
      <c r="D11" s="33"/>
      <c r="E11" s="1050">
        <v>4805</v>
      </c>
      <c r="F11" s="1050">
        <v>5270</v>
      </c>
      <c r="G11" s="1050"/>
      <c r="H11" s="1050"/>
      <c r="I11" s="1050">
        <v>9912.5</v>
      </c>
      <c r="J11" s="1050"/>
      <c r="K11" s="13"/>
      <c r="L11" s="1050">
        <v>16955</v>
      </c>
      <c r="M11" s="1050">
        <v>23964.999999999996</v>
      </c>
      <c r="N11" s="1050"/>
      <c r="O11" s="1050">
        <v>29937.499999999982</v>
      </c>
      <c r="P11" s="1050">
        <v>898790</v>
      </c>
      <c r="Q11" s="13"/>
      <c r="R11" s="13"/>
      <c r="S11" s="13"/>
      <c r="T11" s="13"/>
      <c r="U11" s="13">
        <f t="shared" si="1"/>
        <v>989635</v>
      </c>
      <c r="V11" s="14">
        <v>1743.95</v>
      </c>
      <c r="W11" s="15">
        <f t="shared" si="0"/>
        <v>1725873.9582499999</v>
      </c>
    </row>
    <row r="12" spans="1:25" x14ac:dyDescent="0.25">
      <c r="A12" s="116"/>
      <c r="B12" s="799" t="s">
        <v>12</v>
      </c>
      <c r="C12" s="12">
        <v>1000</v>
      </c>
      <c r="D12" s="1047">
        <v>2970</v>
      </c>
      <c r="E12" s="13"/>
      <c r="F12" s="13"/>
      <c r="G12" s="1050"/>
      <c r="H12" s="1050">
        <v>5975.0000000000018</v>
      </c>
      <c r="I12" s="1050">
        <v>24562.5</v>
      </c>
      <c r="J12" s="13"/>
      <c r="K12" s="13"/>
      <c r="L12" s="1050"/>
      <c r="M12" s="1050">
        <v>5747.4999999999964</v>
      </c>
      <c r="N12" s="1050">
        <v>11732.790000000008</v>
      </c>
      <c r="O12" s="13"/>
      <c r="P12" s="1050"/>
      <c r="Q12" s="13"/>
      <c r="R12" s="1050">
        <v>224897.5</v>
      </c>
      <c r="S12" s="13"/>
      <c r="T12" s="13"/>
      <c r="U12" s="13">
        <f t="shared" si="1"/>
        <v>275885.29000000004</v>
      </c>
      <c r="V12" s="14">
        <v>2414.6999999999998</v>
      </c>
      <c r="W12" s="15">
        <f t="shared" si="0"/>
        <v>666180.20976300002</v>
      </c>
    </row>
    <row r="13" spans="1:25" x14ac:dyDescent="0.25">
      <c r="A13" s="116"/>
      <c r="B13" s="799" t="s">
        <v>13</v>
      </c>
      <c r="C13" s="12">
        <v>1000</v>
      </c>
      <c r="D13" s="1047">
        <v>8792.5</v>
      </c>
      <c r="E13" s="1050">
        <v>20505</v>
      </c>
      <c r="F13" s="13"/>
      <c r="G13" s="1050"/>
      <c r="H13" s="13"/>
      <c r="I13" s="1050">
        <v>33180.000000000007</v>
      </c>
      <c r="J13" s="13"/>
      <c r="K13" s="13"/>
      <c r="L13" s="1050"/>
      <c r="M13" s="1050"/>
      <c r="N13" s="1050"/>
      <c r="O13" s="13"/>
      <c r="P13" s="1050"/>
      <c r="Q13" s="13"/>
      <c r="R13" s="13"/>
      <c r="S13" s="13"/>
      <c r="T13" s="13"/>
      <c r="U13" s="13">
        <f t="shared" si="1"/>
        <v>62477.500000000007</v>
      </c>
      <c r="V13" s="14">
        <v>6677.8</v>
      </c>
      <c r="W13" s="15">
        <f t="shared" si="0"/>
        <v>417212.24950000003</v>
      </c>
    </row>
    <row r="14" spans="1:25" x14ac:dyDescent="0.25">
      <c r="A14" s="116"/>
      <c r="B14" s="799" t="s">
        <v>14</v>
      </c>
      <c r="C14" s="12">
        <v>1000</v>
      </c>
      <c r="D14" s="1047">
        <v>1215</v>
      </c>
      <c r="E14" s="13"/>
      <c r="F14" s="13"/>
      <c r="G14" s="1050"/>
      <c r="H14" s="13"/>
      <c r="I14" s="1050">
        <v>79555</v>
      </c>
      <c r="J14" s="13"/>
      <c r="K14" s="13"/>
      <c r="L14" s="1050"/>
      <c r="M14" s="1050"/>
      <c r="N14" s="1050"/>
      <c r="O14" s="13"/>
      <c r="P14" s="1050"/>
      <c r="Q14" s="13"/>
      <c r="R14" s="1050">
        <v>468525</v>
      </c>
      <c r="S14" s="13"/>
      <c r="T14" s="13"/>
      <c r="U14" s="13">
        <f t="shared" si="1"/>
        <v>549295</v>
      </c>
      <c r="V14" s="14">
        <v>6751.2</v>
      </c>
      <c r="W14" s="15">
        <f t="shared" si="0"/>
        <v>3708400.4040000001</v>
      </c>
    </row>
    <row r="15" spans="1:25" x14ac:dyDescent="0.25">
      <c r="A15" s="116"/>
      <c r="B15" s="799" t="s">
        <v>380</v>
      </c>
      <c r="C15" s="12">
        <v>1000</v>
      </c>
      <c r="D15" s="45"/>
      <c r="E15" s="13"/>
      <c r="F15" s="13"/>
      <c r="G15" s="1050">
        <v>58687.5</v>
      </c>
      <c r="H15" s="13"/>
      <c r="I15" s="1050"/>
      <c r="J15" s="13"/>
      <c r="K15" s="13"/>
      <c r="L15" s="1050"/>
      <c r="M15" s="1050"/>
      <c r="N15" s="1050"/>
      <c r="O15" s="13"/>
      <c r="P15" s="1050">
        <v>496885</v>
      </c>
      <c r="Q15" s="13"/>
      <c r="R15" s="13"/>
      <c r="S15" s="13"/>
      <c r="T15" s="13"/>
      <c r="U15" s="13">
        <f t="shared" si="1"/>
        <v>555572.5</v>
      </c>
      <c r="V15" s="39">
        <v>6751.2</v>
      </c>
      <c r="W15" s="15">
        <f t="shared" si="0"/>
        <v>3750781.0619999999</v>
      </c>
    </row>
    <row r="16" spans="1:25" x14ac:dyDescent="0.25">
      <c r="A16" s="116"/>
      <c r="B16" s="799" t="s">
        <v>15</v>
      </c>
      <c r="C16" s="12">
        <v>1000</v>
      </c>
      <c r="D16" s="1047">
        <v>18740</v>
      </c>
      <c r="E16" s="13"/>
      <c r="F16" s="13"/>
      <c r="G16" s="1050"/>
      <c r="H16" s="13"/>
      <c r="I16" s="1050"/>
      <c r="J16" s="13"/>
      <c r="K16" s="13"/>
      <c r="L16" s="1050"/>
      <c r="M16" s="1050"/>
      <c r="N16" s="1050"/>
      <c r="O16" s="13"/>
      <c r="P16" s="13"/>
      <c r="Q16" s="13"/>
      <c r="R16" s="13"/>
      <c r="S16" s="13"/>
      <c r="T16" s="13"/>
      <c r="U16" s="13">
        <f t="shared" si="1"/>
        <v>18740</v>
      </c>
      <c r="V16" s="14">
        <v>6824.6</v>
      </c>
      <c r="W16" s="15">
        <f t="shared" si="0"/>
        <v>127893.004</v>
      </c>
    </row>
    <row r="17" spans="1:23" x14ac:dyDescent="0.25">
      <c r="A17" s="116"/>
      <c r="B17" s="799" t="s">
        <v>187</v>
      </c>
      <c r="C17" s="12">
        <v>1000</v>
      </c>
      <c r="D17" s="33"/>
      <c r="E17" s="13"/>
      <c r="F17" s="13"/>
      <c r="G17" s="1050"/>
      <c r="H17" s="13"/>
      <c r="I17" s="1050">
        <v>53390</v>
      </c>
      <c r="J17" s="13"/>
      <c r="K17" s="13"/>
      <c r="L17" s="1050"/>
      <c r="M17" s="1050"/>
      <c r="N17" s="1050"/>
      <c r="O17" s="13"/>
      <c r="P17" s="13"/>
      <c r="Q17" s="13"/>
      <c r="R17" s="13"/>
      <c r="S17" s="13"/>
      <c r="T17" s="13"/>
      <c r="U17" s="13">
        <f t="shared" si="1"/>
        <v>53390</v>
      </c>
      <c r="V17" s="33">
        <v>6971.4</v>
      </c>
      <c r="W17" s="15">
        <f t="shared" si="0"/>
        <v>372203.04599999997</v>
      </c>
    </row>
    <row r="18" spans="1:23" x14ac:dyDescent="0.25">
      <c r="A18" s="116"/>
      <c r="B18" s="799" t="s">
        <v>381</v>
      </c>
      <c r="C18" s="12">
        <v>1000</v>
      </c>
      <c r="D18" s="33"/>
      <c r="E18" s="13"/>
      <c r="F18" s="13"/>
      <c r="G18" s="1050">
        <v>75040</v>
      </c>
      <c r="H18" s="13"/>
      <c r="I18" s="1050"/>
      <c r="J18" s="13"/>
      <c r="K18" s="13"/>
      <c r="L18" s="1050"/>
      <c r="M18" s="1050"/>
      <c r="N18" s="1050"/>
      <c r="O18" s="13"/>
      <c r="P18" s="13"/>
      <c r="Q18" s="13"/>
      <c r="R18" s="13"/>
      <c r="S18" s="13"/>
      <c r="T18" s="13"/>
      <c r="U18" s="13">
        <f t="shared" si="1"/>
        <v>75040</v>
      </c>
      <c r="V18" s="39">
        <v>6971.4</v>
      </c>
      <c r="W18" s="15">
        <f t="shared" si="0"/>
        <v>523133.85600000003</v>
      </c>
    </row>
    <row r="19" spans="1:23" x14ac:dyDescent="0.25">
      <c r="A19" s="116"/>
      <c r="B19" s="799" t="s">
        <v>145</v>
      </c>
      <c r="C19" s="12">
        <v>1000</v>
      </c>
      <c r="D19" s="33"/>
      <c r="E19" s="1050">
        <v>1237.5</v>
      </c>
      <c r="F19" s="13"/>
      <c r="G19" s="13"/>
      <c r="H19" s="13"/>
      <c r="I19" s="1050"/>
      <c r="J19" s="13"/>
      <c r="K19" s="13"/>
      <c r="L19" s="1050">
        <v>97028.25</v>
      </c>
      <c r="M19" s="1050"/>
      <c r="N19" s="1050"/>
      <c r="O19" s="13"/>
      <c r="P19" s="13"/>
      <c r="Q19" s="13"/>
      <c r="R19" s="13"/>
      <c r="S19" s="13"/>
      <c r="T19" s="13"/>
      <c r="U19" s="13">
        <f t="shared" si="1"/>
        <v>98265.75</v>
      </c>
      <c r="V19" s="14">
        <v>7044.8</v>
      </c>
      <c r="W19" s="15">
        <f t="shared" si="0"/>
        <v>692262.55560000008</v>
      </c>
    </row>
    <row r="20" spans="1:23" x14ac:dyDescent="0.25">
      <c r="A20" s="116"/>
      <c r="B20" s="799" t="s">
        <v>188</v>
      </c>
      <c r="C20" s="12">
        <v>1000</v>
      </c>
      <c r="D20" s="33"/>
      <c r="E20" s="13"/>
      <c r="F20" s="13"/>
      <c r="G20" s="13"/>
      <c r="H20" s="13"/>
      <c r="I20" s="1050">
        <v>187560</v>
      </c>
      <c r="J20" s="13"/>
      <c r="K20" s="13"/>
      <c r="L20" s="13"/>
      <c r="M20" s="1050"/>
      <c r="N20" s="1050"/>
      <c r="O20" s="13"/>
      <c r="P20" s="13"/>
      <c r="Q20" s="13"/>
      <c r="R20" s="13"/>
      <c r="S20" s="13"/>
      <c r="T20" s="13"/>
      <c r="U20" s="13">
        <f t="shared" si="1"/>
        <v>187560</v>
      </c>
      <c r="V20" s="33">
        <v>7191.6</v>
      </c>
      <c r="W20" s="15">
        <f t="shared" si="0"/>
        <v>1348856.496</v>
      </c>
    </row>
    <row r="21" spans="1:23" x14ac:dyDescent="0.25">
      <c r="A21" s="116"/>
      <c r="B21" s="799" t="s">
        <v>16</v>
      </c>
      <c r="C21" s="12">
        <v>1000</v>
      </c>
      <c r="D21" s="1047">
        <v>54772.5</v>
      </c>
      <c r="E21" s="13"/>
      <c r="F21" s="13"/>
      <c r="G21" s="13"/>
      <c r="H21" s="13"/>
      <c r="I21" s="13"/>
      <c r="J21" s="13"/>
      <c r="K21" s="13"/>
      <c r="L21" s="13"/>
      <c r="M21" s="1050"/>
      <c r="N21" s="1050"/>
      <c r="O21" s="13"/>
      <c r="P21" s="13"/>
      <c r="Q21" s="13"/>
      <c r="R21" s="13"/>
      <c r="S21" s="13"/>
      <c r="T21" s="13"/>
      <c r="U21" s="13">
        <f t="shared" si="1"/>
        <v>54772.5</v>
      </c>
      <c r="V21" s="14">
        <v>7338.4</v>
      </c>
      <c r="W21" s="15">
        <f t="shared" si="0"/>
        <v>401942.51400000002</v>
      </c>
    </row>
    <row r="22" spans="1:23" x14ac:dyDescent="0.25">
      <c r="A22" s="116"/>
      <c r="B22" s="799" t="s">
        <v>146</v>
      </c>
      <c r="C22" s="12">
        <v>1000</v>
      </c>
      <c r="D22" s="33"/>
      <c r="E22" s="1050">
        <v>15772.5</v>
      </c>
      <c r="F22" s="1050">
        <v>109947.5</v>
      </c>
      <c r="G22" s="13"/>
      <c r="H22" s="13"/>
      <c r="I22" s="13"/>
      <c r="J22" s="13"/>
      <c r="K22" s="13"/>
      <c r="L22" s="13"/>
      <c r="M22" s="1050"/>
      <c r="N22" s="1050"/>
      <c r="O22" s="13"/>
      <c r="P22" s="13"/>
      <c r="Q22" s="13"/>
      <c r="R22" s="13"/>
      <c r="S22" s="13"/>
      <c r="T22" s="13"/>
      <c r="U22" s="13">
        <f t="shared" si="1"/>
        <v>125720</v>
      </c>
      <c r="V22" s="14">
        <v>7411.8</v>
      </c>
      <c r="W22" s="15">
        <f t="shared" si="0"/>
        <v>931811.49600000004</v>
      </c>
    </row>
    <row r="23" spans="1:23" x14ac:dyDescent="0.25">
      <c r="A23" s="116"/>
      <c r="B23" s="801" t="s">
        <v>156</v>
      </c>
      <c r="C23" s="12">
        <v>1000</v>
      </c>
      <c r="D23" s="33"/>
      <c r="E23" s="1050"/>
      <c r="F23" s="1050">
        <v>70367.5</v>
      </c>
      <c r="G23" s="13"/>
      <c r="H23" s="13"/>
      <c r="I23" s="13"/>
      <c r="J23" s="13"/>
      <c r="K23" s="13"/>
      <c r="L23" s="13"/>
      <c r="M23" s="1050"/>
      <c r="N23" s="1050"/>
      <c r="O23" s="13"/>
      <c r="P23" s="13"/>
      <c r="Q23" s="13"/>
      <c r="R23" s="13"/>
      <c r="S23" s="13"/>
      <c r="T23" s="13"/>
      <c r="U23" s="13">
        <f t="shared" si="1"/>
        <v>70367.5</v>
      </c>
      <c r="V23" s="14">
        <v>7558.6</v>
      </c>
      <c r="W23" s="15">
        <f t="shared" si="0"/>
        <v>531879.7855</v>
      </c>
    </row>
    <row r="24" spans="1:23" x14ac:dyDescent="0.25">
      <c r="A24" s="116"/>
      <c r="B24" s="799" t="s">
        <v>147</v>
      </c>
      <c r="C24" s="12">
        <v>1000</v>
      </c>
      <c r="D24" s="33"/>
      <c r="E24" s="1050">
        <v>4869.33</v>
      </c>
      <c r="F24" s="13"/>
      <c r="G24" s="13"/>
      <c r="H24" s="13"/>
      <c r="I24" s="13"/>
      <c r="J24" s="13"/>
      <c r="K24" s="13"/>
      <c r="L24" s="13"/>
      <c r="M24" s="1050"/>
      <c r="N24" s="1050"/>
      <c r="O24" s="13"/>
      <c r="P24" s="13"/>
      <c r="Q24" s="13"/>
      <c r="R24" s="13"/>
      <c r="S24" s="13"/>
      <c r="T24" s="13"/>
      <c r="U24" s="13">
        <f t="shared" si="1"/>
        <v>4869.33</v>
      </c>
      <c r="V24" s="14">
        <v>7934.1</v>
      </c>
      <c r="W24" s="15">
        <f t="shared" si="0"/>
        <v>38633.751153000005</v>
      </c>
    </row>
    <row r="25" spans="1:23" x14ac:dyDescent="0.25">
      <c r="A25" s="116">
        <v>4</v>
      </c>
      <c r="B25" s="801" t="s">
        <v>157</v>
      </c>
      <c r="C25" s="12">
        <v>1000</v>
      </c>
      <c r="D25" s="33"/>
      <c r="E25" s="13"/>
      <c r="F25" s="13"/>
      <c r="G25" s="13"/>
      <c r="H25" s="13"/>
      <c r="I25" s="13"/>
      <c r="J25" s="13"/>
      <c r="K25" s="13"/>
      <c r="L25" s="13"/>
      <c r="M25" s="1050"/>
      <c r="N25" s="1050"/>
      <c r="O25" s="13"/>
      <c r="P25" s="13"/>
      <c r="Q25" s="13"/>
      <c r="R25" s="13"/>
      <c r="S25" s="13"/>
      <c r="T25" s="13"/>
      <c r="U25" s="13">
        <f t="shared" si="1"/>
        <v>0</v>
      </c>
      <c r="V25" s="13">
        <v>0</v>
      </c>
      <c r="W25" s="13">
        <v>0</v>
      </c>
    </row>
    <row r="26" spans="1:23" x14ac:dyDescent="0.25">
      <c r="A26" s="116"/>
      <c r="B26" s="799" t="s">
        <v>384</v>
      </c>
      <c r="C26" s="12">
        <v>1000</v>
      </c>
      <c r="D26" s="33"/>
      <c r="E26" s="13"/>
      <c r="F26" s="13"/>
      <c r="G26" s="13"/>
      <c r="H26" s="13"/>
      <c r="I26" s="13"/>
      <c r="J26" s="13"/>
      <c r="K26" s="13"/>
      <c r="L26" s="13"/>
      <c r="M26" s="1050"/>
      <c r="N26" s="1050"/>
      <c r="O26" s="13"/>
      <c r="P26" s="13"/>
      <c r="Q26" s="13"/>
      <c r="R26" s="1050">
        <v>140702.28500000003</v>
      </c>
      <c r="S26" s="13"/>
      <c r="T26" s="13"/>
      <c r="U26" s="13">
        <f t="shared" si="1"/>
        <v>140702.28500000003</v>
      </c>
      <c r="V26" s="13">
        <v>10936.05</v>
      </c>
      <c r="W26" s="15">
        <f t="shared" si="0"/>
        <v>1538727.2238742502</v>
      </c>
    </row>
    <row r="27" spans="1:23" x14ac:dyDescent="0.25">
      <c r="A27" s="116"/>
      <c r="B27" s="801" t="s">
        <v>11</v>
      </c>
      <c r="C27" s="12">
        <v>1000</v>
      </c>
      <c r="D27" s="33"/>
      <c r="E27" s="13"/>
      <c r="F27" s="1050">
        <v>60633</v>
      </c>
      <c r="G27" s="13"/>
      <c r="H27" s="13"/>
      <c r="I27" s="13"/>
      <c r="J27" s="13"/>
      <c r="K27" s="13"/>
      <c r="L27" s="13"/>
      <c r="M27" s="1050"/>
      <c r="N27" s="1050"/>
      <c r="O27" s="13"/>
      <c r="P27" s="1050">
        <v>1780642.5</v>
      </c>
      <c r="Q27" s="1050">
        <v>45770</v>
      </c>
      <c r="R27" s="13"/>
      <c r="S27" s="13"/>
      <c r="T27" s="13"/>
      <c r="U27" s="13">
        <f t="shared" si="1"/>
        <v>1887045.5</v>
      </c>
      <c r="V27" s="14">
        <v>11606.8</v>
      </c>
      <c r="W27" s="15">
        <f t="shared" si="0"/>
        <v>21902559.709399998</v>
      </c>
    </row>
    <row r="28" spans="1:23" x14ac:dyDescent="0.25">
      <c r="A28" s="116"/>
      <c r="B28" s="799" t="s">
        <v>209</v>
      </c>
      <c r="C28" s="12">
        <v>1000</v>
      </c>
      <c r="D28" s="33"/>
      <c r="E28" s="13"/>
      <c r="F28" s="13"/>
      <c r="G28" s="13"/>
      <c r="H28" s="13"/>
      <c r="I28" s="13"/>
      <c r="J28" s="13"/>
      <c r="K28" s="13"/>
      <c r="L28" s="13"/>
      <c r="M28" s="1050"/>
      <c r="N28" s="1050">
        <v>97969.465000000011</v>
      </c>
      <c r="O28" s="13"/>
      <c r="P28" s="13"/>
      <c r="Q28" s="13"/>
      <c r="R28" s="13"/>
      <c r="S28" s="13"/>
      <c r="T28" s="13"/>
      <c r="U28" s="13">
        <f t="shared" si="1"/>
        <v>97969.465000000011</v>
      </c>
      <c r="V28" s="13">
        <v>12948.3</v>
      </c>
      <c r="W28" s="15">
        <f t="shared" si="0"/>
        <v>1268538.0236595001</v>
      </c>
    </row>
    <row r="29" spans="1:23" x14ac:dyDescent="0.25">
      <c r="A29" s="116"/>
      <c r="B29" s="799" t="s">
        <v>208</v>
      </c>
      <c r="C29" s="12">
        <v>1000</v>
      </c>
      <c r="D29" s="45"/>
      <c r="E29" s="13"/>
      <c r="F29" s="13"/>
      <c r="G29" s="13"/>
      <c r="H29" s="13"/>
      <c r="I29" s="13"/>
      <c r="J29" s="13"/>
      <c r="K29" s="13"/>
      <c r="L29" s="13"/>
      <c r="M29" s="1050">
        <v>159193.80000000005</v>
      </c>
      <c r="N29" s="13"/>
      <c r="O29" s="13"/>
      <c r="P29" s="13"/>
      <c r="Q29" s="13"/>
      <c r="R29" s="13"/>
      <c r="S29" s="13"/>
      <c r="T29" s="13"/>
      <c r="U29" s="13">
        <f t="shared" si="1"/>
        <v>159193.80000000005</v>
      </c>
      <c r="V29" s="13">
        <v>18092.2</v>
      </c>
      <c r="W29" s="15">
        <f t="shared" si="0"/>
        <v>2880166.0683600013</v>
      </c>
    </row>
    <row r="30" spans="1:23" s="785" customFormat="1" x14ac:dyDescent="0.25">
      <c r="A30" s="786">
        <v>5</v>
      </c>
      <c r="B30" s="802" t="s">
        <v>418</v>
      </c>
      <c r="C30" s="780">
        <v>1000</v>
      </c>
      <c r="D30" s="787"/>
      <c r="E30" s="783"/>
      <c r="F30" s="783"/>
      <c r="G30" s="783"/>
      <c r="H30" s="783"/>
      <c r="I30" s="783"/>
      <c r="J30" s="783"/>
      <c r="K30" s="783"/>
      <c r="L30" s="783"/>
      <c r="M30" s="783"/>
      <c r="N30" s="783"/>
      <c r="O30" s="783"/>
      <c r="P30" s="783"/>
      <c r="Q30" s="783"/>
      <c r="R30" s="783">
        <v>910707.77524999995</v>
      </c>
      <c r="S30" s="783"/>
      <c r="T30" s="783"/>
      <c r="U30" s="783">
        <f t="shared" si="1"/>
        <v>910707.77524999995</v>
      </c>
      <c r="V30" s="783">
        <v>5266.8</v>
      </c>
      <c r="W30" s="784">
        <f t="shared" si="0"/>
        <v>4796515.7106866995</v>
      </c>
    </row>
    <row r="31" spans="1:23" s="789" customFormat="1" x14ac:dyDescent="0.25">
      <c r="A31" s="779">
        <v>21</v>
      </c>
      <c r="B31" s="803" t="s">
        <v>59</v>
      </c>
      <c r="C31" s="780">
        <v>1000</v>
      </c>
      <c r="D31" s="781">
        <v>6480</v>
      </c>
      <c r="E31" s="782"/>
      <c r="F31" s="782"/>
      <c r="G31" s="782"/>
      <c r="H31" s="782">
        <v>5400</v>
      </c>
      <c r="I31" s="782"/>
      <c r="J31" s="782">
        <v>54239.999999999964</v>
      </c>
      <c r="K31" s="782">
        <v>20960</v>
      </c>
      <c r="L31" s="782">
        <v>30879.999999999891</v>
      </c>
      <c r="M31" s="782">
        <v>24812.800000000025</v>
      </c>
      <c r="N31" s="782">
        <v>11520</v>
      </c>
      <c r="O31" s="782">
        <f>40500+5040</f>
        <v>45540</v>
      </c>
      <c r="P31" s="788"/>
      <c r="Q31" s="782"/>
      <c r="R31" s="782"/>
      <c r="S31" s="782"/>
      <c r="T31" s="782"/>
      <c r="U31" s="783">
        <f>SUM(D31:T31)</f>
        <v>199832.79999999987</v>
      </c>
      <c r="V31" s="783">
        <v>5266.8</v>
      </c>
      <c r="W31" s="784">
        <f>V31*U31/C31</f>
        <v>1052479.3910399994</v>
      </c>
    </row>
    <row r="32" spans="1:23" s="789" customFormat="1" x14ac:dyDescent="0.25">
      <c r="A32" s="779">
        <v>10</v>
      </c>
      <c r="B32" s="804" t="s">
        <v>59</v>
      </c>
      <c r="C32" s="780">
        <v>1000</v>
      </c>
      <c r="D32" s="781">
        <v>4000</v>
      </c>
      <c r="E32" s="782"/>
      <c r="F32" s="782"/>
      <c r="G32" s="782">
        <v>2000</v>
      </c>
      <c r="H32" s="782"/>
      <c r="I32" s="782"/>
      <c r="J32" s="782">
        <v>22000</v>
      </c>
      <c r="K32" s="790">
        <v>8000</v>
      </c>
      <c r="L32" s="782">
        <v>22000</v>
      </c>
      <c r="M32" s="782">
        <v>28000</v>
      </c>
      <c r="N32" s="782">
        <v>8000</v>
      </c>
      <c r="O32" s="782"/>
      <c r="P32" s="782"/>
      <c r="Q32" s="782"/>
      <c r="R32" s="782"/>
      <c r="S32" s="782"/>
      <c r="T32" s="782"/>
      <c r="U32" s="783">
        <f>SUM(D32:T32)</f>
        <v>94000</v>
      </c>
      <c r="V32" s="783">
        <v>5266.8</v>
      </c>
      <c r="W32" s="784">
        <f>V32*U32/C32</f>
        <v>495079.2</v>
      </c>
    </row>
    <row r="33" spans="1:26" s="789" customFormat="1" x14ac:dyDescent="0.25">
      <c r="A33" s="779">
        <v>7</v>
      </c>
      <c r="B33" s="803" t="s">
        <v>59</v>
      </c>
      <c r="C33" s="780">
        <v>1000</v>
      </c>
      <c r="D33" s="781"/>
      <c r="E33" s="782"/>
      <c r="F33" s="782"/>
      <c r="G33" s="782"/>
      <c r="H33" s="782"/>
      <c r="I33" s="782"/>
      <c r="J33" s="782">
        <v>4880</v>
      </c>
      <c r="K33" s="782">
        <v>1280</v>
      </c>
      <c r="L33" s="782">
        <v>4720</v>
      </c>
      <c r="M33" s="782">
        <v>4720</v>
      </c>
      <c r="N33" s="782">
        <v>1920</v>
      </c>
      <c r="O33" s="782"/>
      <c r="P33" s="782"/>
      <c r="Q33" s="782"/>
      <c r="R33" s="782"/>
      <c r="S33" s="782"/>
      <c r="T33" s="782"/>
      <c r="U33" s="783">
        <f>SUM(D33:T33)</f>
        <v>17520</v>
      </c>
      <c r="V33" s="783">
        <v>5266.8</v>
      </c>
      <c r="W33" s="784">
        <f>V33*U33/C33</f>
        <v>92274.335999999996</v>
      </c>
    </row>
    <row r="34" spans="1:26" s="794" customFormat="1" ht="15" x14ac:dyDescent="0.25">
      <c r="A34" s="791">
        <v>21</v>
      </c>
      <c r="B34" s="803" t="s">
        <v>293</v>
      </c>
      <c r="C34" s="792">
        <v>1000</v>
      </c>
      <c r="D34" s="793">
        <v>118400</v>
      </c>
      <c r="E34" s="793"/>
      <c r="F34" s="793"/>
      <c r="G34" s="793"/>
      <c r="H34" s="793"/>
      <c r="I34" s="793"/>
      <c r="J34" s="793"/>
      <c r="K34" s="793"/>
      <c r="L34" s="793"/>
      <c r="M34" s="793"/>
      <c r="N34" s="793"/>
      <c r="O34" s="793"/>
      <c r="P34" s="793"/>
      <c r="Q34" s="793"/>
      <c r="R34" s="793"/>
      <c r="S34" s="793"/>
      <c r="T34" s="793"/>
      <c r="U34" s="783">
        <f>SUM(D34:T34)</f>
        <v>118400</v>
      </c>
      <c r="V34" s="783">
        <v>5266.8</v>
      </c>
      <c r="W34" s="784">
        <f>V34*U34/C34</f>
        <v>623589.12</v>
      </c>
    </row>
    <row r="35" spans="1:26" ht="42.75" x14ac:dyDescent="0.25">
      <c r="A35" s="116">
        <v>6</v>
      </c>
      <c r="B35" s="799" t="s">
        <v>189</v>
      </c>
      <c r="C35" s="37">
        <v>1</v>
      </c>
      <c r="D35" s="100"/>
      <c r="E35" s="13"/>
      <c r="F35" s="13"/>
      <c r="G35" s="13"/>
      <c r="H35" s="13"/>
      <c r="I35" s="13"/>
      <c r="J35" s="13">
        <v>390</v>
      </c>
      <c r="K35" s="13">
        <v>130</v>
      </c>
      <c r="L35" s="13">
        <v>104</v>
      </c>
      <c r="M35" s="13">
        <v>130</v>
      </c>
      <c r="N35" s="13">
        <v>30</v>
      </c>
      <c r="O35" s="13">
        <v>260</v>
      </c>
      <c r="P35" s="13">
        <v>170</v>
      </c>
      <c r="Q35" s="13">
        <v>40</v>
      </c>
      <c r="R35" s="13"/>
      <c r="S35" s="13"/>
      <c r="T35" s="13"/>
      <c r="U35" s="13">
        <v>1254</v>
      </c>
      <c r="V35" s="39">
        <v>1326.2</v>
      </c>
      <c r="W35" s="15">
        <f t="shared" si="0"/>
        <v>1663054.8</v>
      </c>
    </row>
    <row r="36" spans="1:26" ht="42.75" x14ac:dyDescent="0.25">
      <c r="A36" s="116">
        <v>7</v>
      </c>
      <c r="B36" s="799" t="s">
        <v>17</v>
      </c>
      <c r="C36" s="18">
        <v>1</v>
      </c>
      <c r="D36" s="33">
        <v>410</v>
      </c>
      <c r="E36" s="13">
        <v>255</v>
      </c>
      <c r="F36" s="13">
        <v>215</v>
      </c>
      <c r="G36" s="13">
        <v>95</v>
      </c>
      <c r="H36" s="13">
        <v>720</v>
      </c>
      <c r="I36" s="13">
        <v>45</v>
      </c>
      <c r="J36" s="13"/>
      <c r="K36" s="13"/>
      <c r="L36" s="13"/>
      <c r="M36" s="13"/>
      <c r="N36" s="13"/>
      <c r="O36" s="13"/>
      <c r="P36" s="13"/>
      <c r="Q36" s="13"/>
      <c r="R36" s="13"/>
      <c r="S36" s="13"/>
      <c r="T36" s="13"/>
      <c r="U36" s="13">
        <f t="shared" si="1"/>
        <v>1740</v>
      </c>
      <c r="V36" s="14">
        <v>1935.4</v>
      </c>
      <c r="W36" s="15">
        <f t="shared" si="0"/>
        <v>3367596</v>
      </c>
    </row>
    <row r="37" spans="1:26" x14ac:dyDescent="0.25">
      <c r="A37" s="116">
        <v>8</v>
      </c>
      <c r="B37" s="805" t="s">
        <v>18</v>
      </c>
      <c r="C37" s="19">
        <v>1000</v>
      </c>
      <c r="D37" s="33">
        <v>315680</v>
      </c>
      <c r="E37" s="13">
        <v>180070</v>
      </c>
      <c r="F37" s="13">
        <v>177000</v>
      </c>
      <c r="G37" s="13">
        <v>460000</v>
      </c>
      <c r="H37" s="13">
        <v>2800000</v>
      </c>
      <c r="I37" s="13">
        <v>1680000</v>
      </c>
      <c r="J37" s="13"/>
      <c r="K37" s="13"/>
      <c r="L37" s="13"/>
      <c r="M37" s="13"/>
      <c r="N37" s="13"/>
      <c r="O37" s="13">
        <v>1272300</v>
      </c>
      <c r="P37" s="13"/>
      <c r="Q37" s="13"/>
      <c r="R37" s="13"/>
      <c r="S37" s="13"/>
      <c r="T37" s="13"/>
      <c r="U37" s="13">
        <f t="shared" si="1"/>
        <v>6885050</v>
      </c>
      <c r="V37" s="14">
        <v>376.2</v>
      </c>
      <c r="W37" s="15">
        <f t="shared" si="0"/>
        <v>2590155.81</v>
      </c>
    </row>
    <row r="38" spans="1:26" ht="28.5" x14ac:dyDescent="0.25">
      <c r="A38" s="116">
        <v>9</v>
      </c>
      <c r="B38" s="799" t="s">
        <v>327</v>
      </c>
      <c r="C38" s="37">
        <v>1</v>
      </c>
      <c r="D38" s="33"/>
      <c r="E38" s="13"/>
      <c r="F38" s="13"/>
      <c r="G38" s="13"/>
      <c r="H38" s="13"/>
      <c r="I38" s="13"/>
      <c r="J38" s="13"/>
      <c r="K38" s="13"/>
      <c r="L38" s="13"/>
      <c r="M38" s="13"/>
      <c r="N38" s="13"/>
      <c r="O38" s="13">
        <v>5</v>
      </c>
      <c r="P38" s="13"/>
      <c r="Q38" s="13"/>
      <c r="R38" s="13"/>
      <c r="S38" s="13"/>
      <c r="T38" s="13"/>
      <c r="U38" s="13">
        <f t="shared" si="1"/>
        <v>5</v>
      </c>
      <c r="V38" s="13">
        <v>14630</v>
      </c>
      <c r="W38" s="15">
        <f t="shared" si="0"/>
        <v>73150</v>
      </c>
    </row>
    <row r="39" spans="1:26" ht="22.5" x14ac:dyDescent="0.25">
      <c r="A39" s="198">
        <v>2</v>
      </c>
      <c r="B39" s="798" t="s">
        <v>393</v>
      </c>
      <c r="C39" s="16"/>
      <c r="D39" s="16"/>
      <c r="E39" s="16"/>
      <c r="F39" s="16"/>
      <c r="G39" s="16"/>
      <c r="H39" s="16"/>
      <c r="I39" s="16"/>
      <c r="J39" s="16"/>
      <c r="K39" s="16"/>
      <c r="L39" s="16"/>
      <c r="M39" s="16"/>
      <c r="N39" s="16"/>
      <c r="O39" s="16"/>
      <c r="P39" s="16"/>
      <c r="Q39" s="16"/>
      <c r="R39" s="16"/>
      <c r="S39" s="16"/>
      <c r="T39" s="16"/>
      <c r="U39" s="16"/>
      <c r="V39" s="16"/>
      <c r="W39" s="16"/>
    </row>
    <row r="40" spans="1:26" ht="57" x14ac:dyDescent="0.25">
      <c r="A40" s="117">
        <v>1</v>
      </c>
      <c r="B40" s="806" t="s">
        <v>19</v>
      </c>
      <c r="C40" s="12">
        <v>1000</v>
      </c>
      <c r="D40" s="21">
        <v>98</v>
      </c>
      <c r="E40" s="21">
        <v>98</v>
      </c>
      <c r="F40" s="21">
        <v>98</v>
      </c>
      <c r="G40" s="21">
        <v>98</v>
      </c>
      <c r="H40" s="21">
        <v>98</v>
      </c>
      <c r="I40" s="21">
        <v>98</v>
      </c>
      <c r="J40" s="21">
        <v>98</v>
      </c>
      <c r="K40" s="21">
        <v>98</v>
      </c>
      <c r="L40" s="21">
        <v>98</v>
      </c>
      <c r="M40" s="21">
        <v>98</v>
      </c>
      <c r="N40" s="21">
        <v>98</v>
      </c>
      <c r="O40" s="21">
        <v>98</v>
      </c>
      <c r="P40" s="21">
        <v>98</v>
      </c>
      <c r="Q40" s="21">
        <v>49</v>
      </c>
      <c r="R40" s="21">
        <v>294</v>
      </c>
      <c r="S40" s="21"/>
      <c r="T40" s="21"/>
      <c r="U40" s="13">
        <f t="shared" ref="U40:U72" si="2">SUM(D40:T40)</f>
        <v>1617</v>
      </c>
      <c r="V40" s="21">
        <v>15824.15</v>
      </c>
      <c r="W40" s="15">
        <f t="shared" si="0"/>
        <v>25587.650550000002</v>
      </c>
    </row>
    <row r="41" spans="1:26" s="821" customFormat="1" ht="42.75" x14ac:dyDescent="0.2">
      <c r="A41" s="779">
        <v>2</v>
      </c>
      <c r="B41" s="803" t="s">
        <v>20</v>
      </c>
      <c r="C41" s="780">
        <v>100</v>
      </c>
      <c r="D41" s="781"/>
      <c r="E41" s="782"/>
      <c r="F41" s="782"/>
      <c r="G41" s="782"/>
      <c r="H41" s="782"/>
      <c r="I41" s="782"/>
      <c r="J41" s="782"/>
      <c r="K41" s="782"/>
      <c r="L41" s="782"/>
      <c r="M41" s="782"/>
      <c r="N41" s="782"/>
      <c r="O41" s="782"/>
      <c r="P41" s="782"/>
      <c r="Q41" s="782"/>
      <c r="R41" s="782"/>
      <c r="S41" s="782"/>
      <c r="T41" s="782"/>
      <c r="U41" s="783">
        <f t="shared" si="2"/>
        <v>0</v>
      </c>
      <c r="V41" s="783">
        <v>0</v>
      </c>
      <c r="W41" s="783">
        <v>0</v>
      </c>
    </row>
    <row r="42" spans="1:26" s="821" customFormat="1" ht="15" x14ac:dyDescent="0.2">
      <c r="A42" s="779"/>
      <c r="B42" s="803" t="s">
        <v>21</v>
      </c>
      <c r="C42" s="780">
        <v>100</v>
      </c>
      <c r="D42" s="822">
        <v>24.5</v>
      </c>
      <c r="E42" s="822">
        <v>24.5</v>
      </c>
      <c r="F42" s="822">
        <v>24.5</v>
      </c>
      <c r="G42" s="822">
        <v>24.5</v>
      </c>
      <c r="H42" s="822">
        <v>24.5</v>
      </c>
      <c r="I42" s="822">
        <v>24.5</v>
      </c>
      <c r="J42" s="822">
        <v>24.5</v>
      </c>
      <c r="K42" s="822">
        <v>24.5</v>
      </c>
      <c r="L42" s="822">
        <v>24.5</v>
      </c>
      <c r="M42" s="822">
        <v>24.5</v>
      </c>
      <c r="N42" s="822">
        <v>24.5</v>
      </c>
      <c r="O42" s="822">
        <v>24.5</v>
      </c>
      <c r="P42" s="822">
        <v>24.5</v>
      </c>
      <c r="Q42" s="822">
        <v>12.25</v>
      </c>
      <c r="R42" s="822">
        <v>73.5</v>
      </c>
      <c r="S42" s="822"/>
      <c r="T42" s="822"/>
      <c r="U42" s="783">
        <f t="shared" si="2"/>
        <v>404.25</v>
      </c>
      <c r="V42" s="822">
        <v>34694.300000000003</v>
      </c>
      <c r="W42" s="784">
        <f t="shared" si="0"/>
        <v>140251.70775</v>
      </c>
    </row>
    <row r="43" spans="1:26" s="785" customFormat="1" x14ac:dyDescent="0.25">
      <c r="A43" s="779"/>
      <c r="B43" s="803" t="s">
        <v>21</v>
      </c>
      <c r="C43" s="780">
        <v>100</v>
      </c>
      <c r="D43" s="781">
        <v>361</v>
      </c>
      <c r="E43" s="782"/>
      <c r="F43" s="782"/>
      <c r="G43" s="782"/>
      <c r="H43" s="782">
        <f>132+73.5</f>
        <v>205.5</v>
      </c>
      <c r="I43" s="782"/>
      <c r="J43" s="782">
        <v>1441.5</v>
      </c>
      <c r="K43" s="782">
        <v>510</v>
      </c>
      <c r="L43" s="782">
        <v>768</v>
      </c>
      <c r="M43" s="782">
        <v>564.5</v>
      </c>
      <c r="N43" s="782">
        <v>252</v>
      </c>
      <c r="O43" s="782">
        <f>531.56+158</f>
        <v>689.56</v>
      </c>
      <c r="P43" s="782">
        <f>358.89+358.89</f>
        <v>717.78</v>
      </c>
      <c r="Q43" s="782">
        <v>435.94000000000005</v>
      </c>
      <c r="R43" s="782"/>
      <c r="S43" s="782"/>
      <c r="T43" s="783"/>
      <c r="U43" s="783">
        <f t="shared" ref="U43:U54" si="3">SUM(D43:T43)</f>
        <v>5945.7799999999988</v>
      </c>
      <c r="V43" s="782">
        <v>34694.300000000003</v>
      </c>
      <c r="W43" s="784">
        <f t="shared" ref="W43:W54" si="4">V43*U43/C43</f>
        <v>2062846.7505399999</v>
      </c>
    </row>
    <row r="44" spans="1:26" s="789" customFormat="1" x14ac:dyDescent="0.25">
      <c r="A44" s="779" t="s">
        <v>42</v>
      </c>
      <c r="B44" s="803" t="s">
        <v>67</v>
      </c>
      <c r="C44" s="780">
        <v>100</v>
      </c>
      <c r="D44" s="781">
        <v>257.19499999999999</v>
      </c>
      <c r="E44" s="782"/>
      <c r="F44" s="782"/>
      <c r="G44" s="782">
        <v>140.10249999999999</v>
      </c>
      <c r="H44" s="782"/>
      <c r="I44" s="782"/>
      <c r="J44" s="782">
        <v>1464.4274999999998</v>
      </c>
      <c r="K44" s="790">
        <v>529.73</v>
      </c>
      <c r="L44" s="782">
        <v>1410.7375000000002</v>
      </c>
      <c r="M44" s="782">
        <v>1785.0250000000003</v>
      </c>
      <c r="N44" s="782">
        <v>458.78250000000003</v>
      </c>
      <c r="O44" s="782"/>
      <c r="P44" s="782"/>
      <c r="Q44" s="782"/>
      <c r="R44" s="782"/>
      <c r="S44" s="782"/>
      <c r="T44" s="782"/>
      <c r="U44" s="783">
        <f t="shared" si="3"/>
        <v>6046.0000000000009</v>
      </c>
      <c r="V44" s="782">
        <v>34694.300000000003</v>
      </c>
      <c r="W44" s="784">
        <f t="shared" si="4"/>
        <v>2097617.3780000005</v>
      </c>
    </row>
    <row r="45" spans="1:26" s="789" customFormat="1" x14ac:dyDescent="0.25">
      <c r="A45" s="779" t="s">
        <v>42</v>
      </c>
      <c r="B45" s="803" t="s">
        <v>67</v>
      </c>
      <c r="C45" s="780">
        <v>100</v>
      </c>
      <c r="D45" s="781">
        <v>422.44977729920004</v>
      </c>
      <c r="E45" s="782">
        <v>211.22488864960002</v>
      </c>
      <c r="F45" s="782"/>
      <c r="G45" s="782">
        <v>739.28711027360009</v>
      </c>
      <c r="H45" s="782">
        <v>528.06222162400002</v>
      </c>
      <c r="I45" s="782"/>
      <c r="J45" s="782">
        <v>1267.3493318976002</v>
      </c>
      <c r="K45" s="782">
        <v>105.61244432480001</v>
      </c>
      <c r="L45" s="782"/>
      <c r="M45" s="782"/>
      <c r="N45" s="782">
        <v>105.61244432480001</v>
      </c>
      <c r="O45" s="782"/>
      <c r="P45" s="782">
        <v>528.06222162400002</v>
      </c>
      <c r="Q45" s="782"/>
      <c r="R45" s="782"/>
      <c r="S45" s="782"/>
      <c r="T45" s="782"/>
      <c r="U45" s="783">
        <f t="shared" si="3"/>
        <v>3907.6604400176002</v>
      </c>
      <c r="V45" s="782">
        <v>34694.300000000003</v>
      </c>
      <c r="W45" s="784">
        <f t="shared" si="4"/>
        <v>1355735.4360410264</v>
      </c>
      <c r="X45" s="823">
        <f>K45*37</f>
        <v>3907.6604400176002</v>
      </c>
      <c r="Y45" s="823">
        <f>U45-X45</f>
        <v>0</v>
      </c>
    </row>
    <row r="46" spans="1:26" s="789" customFormat="1" x14ac:dyDescent="0.25">
      <c r="A46" s="824"/>
      <c r="B46" s="803" t="s">
        <v>21</v>
      </c>
      <c r="C46" s="780">
        <v>100</v>
      </c>
      <c r="D46" s="781"/>
      <c r="E46" s="782"/>
      <c r="F46" s="782"/>
      <c r="G46" s="782"/>
      <c r="H46" s="782">
        <v>2087.743125</v>
      </c>
      <c r="I46" s="782"/>
      <c r="J46" s="782">
        <v>971.790975</v>
      </c>
      <c r="K46" s="782"/>
      <c r="L46" s="782">
        <v>733.66772500000002</v>
      </c>
      <c r="M46" s="782">
        <v>736.12622500000009</v>
      </c>
      <c r="N46" s="782"/>
      <c r="O46" s="782"/>
      <c r="P46" s="782">
        <v>1808.1333250000002</v>
      </c>
      <c r="Q46" s="782"/>
      <c r="R46" s="782"/>
      <c r="S46" s="782"/>
      <c r="T46" s="782"/>
      <c r="U46" s="783">
        <f t="shared" si="3"/>
        <v>6337.4613750000008</v>
      </c>
      <c r="V46" s="782">
        <v>34694.300000000003</v>
      </c>
      <c r="W46" s="784">
        <f t="shared" si="4"/>
        <v>2198737.8618266257</v>
      </c>
      <c r="Z46" s="825">
        <v>23362466.852632541</v>
      </c>
    </row>
    <row r="47" spans="1:26" s="789" customFormat="1" x14ac:dyDescent="0.25">
      <c r="A47" s="779"/>
      <c r="B47" s="826" t="s">
        <v>21</v>
      </c>
      <c r="C47" s="780">
        <v>100</v>
      </c>
      <c r="D47" s="781"/>
      <c r="E47" s="782"/>
      <c r="F47" s="782"/>
      <c r="G47" s="782"/>
      <c r="H47" s="782"/>
      <c r="I47" s="782"/>
      <c r="J47" s="782">
        <v>1744.5219</v>
      </c>
      <c r="K47" s="782">
        <v>463.38600000000008</v>
      </c>
      <c r="L47" s="782">
        <v>1730.8731</v>
      </c>
      <c r="M47" s="782">
        <v>1730.8731</v>
      </c>
      <c r="N47" s="782">
        <v>695.07900000000018</v>
      </c>
      <c r="O47" s="782"/>
      <c r="P47" s="782"/>
      <c r="Q47" s="782"/>
      <c r="R47" s="782"/>
      <c r="S47" s="782"/>
      <c r="T47" s="782"/>
      <c r="U47" s="783">
        <f t="shared" si="3"/>
        <v>6364.7330999999995</v>
      </c>
      <c r="V47" s="782">
        <v>34694.300000000003</v>
      </c>
      <c r="W47" s="784">
        <f t="shared" si="4"/>
        <v>2208199.5959132998</v>
      </c>
    </row>
    <row r="48" spans="1:26" s="785" customFormat="1" x14ac:dyDescent="0.25">
      <c r="A48" s="779"/>
      <c r="B48" s="803" t="s">
        <v>21</v>
      </c>
      <c r="C48" s="780">
        <v>100</v>
      </c>
      <c r="D48" s="781">
        <v>11548.92375</v>
      </c>
      <c r="E48" s="782"/>
      <c r="F48" s="782"/>
      <c r="G48" s="782"/>
      <c r="H48" s="782"/>
      <c r="I48" s="782"/>
      <c r="J48" s="782"/>
      <c r="K48" s="782"/>
      <c r="L48" s="782"/>
      <c r="M48" s="782"/>
      <c r="N48" s="782"/>
      <c r="O48" s="782"/>
      <c r="P48" s="782"/>
      <c r="Q48" s="782"/>
      <c r="R48" s="782"/>
      <c r="S48" s="782"/>
      <c r="T48" s="782"/>
      <c r="U48" s="783">
        <f t="shared" si="3"/>
        <v>11548.92375</v>
      </c>
      <c r="V48" s="782">
        <v>34694.300000000003</v>
      </c>
      <c r="W48" s="784">
        <f t="shared" si="4"/>
        <v>4006818.2525962503</v>
      </c>
    </row>
    <row r="49" spans="1:26" s="833" customFormat="1" x14ac:dyDescent="0.25">
      <c r="A49" s="827">
        <v>69</v>
      </c>
      <c r="B49" s="828" t="s">
        <v>441</v>
      </c>
      <c r="C49" s="829">
        <v>100</v>
      </c>
      <c r="D49" s="830">
        <v>515.74550000000011</v>
      </c>
      <c r="E49" s="831"/>
      <c r="F49" s="831"/>
      <c r="G49" s="831"/>
      <c r="H49" s="831"/>
      <c r="I49" s="831"/>
      <c r="J49" s="831"/>
      <c r="K49" s="831"/>
      <c r="L49" s="831"/>
      <c r="M49" s="831"/>
      <c r="N49" s="831"/>
      <c r="O49" s="831"/>
      <c r="P49" s="832"/>
      <c r="Q49" s="831"/>
      <c r="R49" s="831"/>
      <c r="S49" s="831"/>
      <c r="T49" s="831"/>
      <c r="U49" s="783">
        <f t="shared" si="3"/>
        <v>515.74550000000011</v>
      </c>
      <c r="V49" s="782">
        <v>34694.300000000003</v>
      </c>
      <c r="W49" s="784">
        <f t="shared" si="4"/>
        <v>178934.29100650005</v>
      </c>
    </row>
    <row r="50" spans="1:26" s="785" customFormat="1" x14ac:dyDescent="0.25">
      <c r="A50" s="779"/>
      <c r="B50" s="803" t="s">
        <v>107</v>
      </c>
      <c r="C50" s="780">
        <v>100</v>
      </c>
      <c r="D50" s="781">
        <v>157.9</v>
      </c>
      <c r="E50" s="782">
        <v>136.80000000000001</v>
      </c>
      <c r="F50" s="782"/>
      <c r="G50" s="782">
        <v>966.72</v>
      </c>
      <c r="H50" s="782">
        <v>2414.0700000000002</v>
      </c>
      <c r="I50" s="782">
        <v>976.25</v>
      </c>
      <c r="J50" s="782"/>
      <c r="K50" s="782"/>
      <c r="L50" s="782"/>
      <c r="M50" s="782"/>
      <c r="N50" s="782"/>
      <c r="O50" s="782"/>
      <c r="P50" s="782">
        <f>100.31+100.31</f>
        <v>200.62</v>
      </c>
      <c r="Q50" s="782"/>
      <c r="R50" s="782"/>
      <c r="S50" s="782"/>
      <c r="T50" s="783"/>
      <c r="U50" s="783">
        <f t="shared" si="3"/>
        <v>4852.3599999999997</v>
      </c>
      <c r="V50" s="782">
        <v>47135.9</v>
      </c>
      <c r="W50" s="784">
        <f t="shared" si="4"/>
        <v>2287203.55724</v>
      </c>
    </row>
    <row r="51" spans="1:26" s="789" customFormat="1" x14ac:dyDescent="0.25">
      <c r="A51" s="779"/>
      <c r="B51" s="826" t="s">
        <v>107</v>
      </c>
      <c r="C51" s="780">
        <v>100</v>
      </c>
      <c r="D51" s="781">
        <v>183.44</v>
      </c>
      <c r="E51" s="782">
        <v>91.72</v>
      </c>
      <c r="F51" s="782"/>
      <c r="G51" s="782">
        <v>321.02</v>
      </c>
      <c r="H51" s="782">
        <v>229.3</v>
      </c>
      <c r="I51" s="782"/>
      <c r="J51" s="782">
        <v>550.31999999999994</v>
      </c>
      <c r="K51" s="782">
        <v>45.86</v>
      </c>
      <c r="L51" s="782"/>
      <c r="M51" s="782"/>
      <c r="N51" s="782">
        <v>45.86</v>
      </c>
      <c r="O51" s="782"/>
      <c r="P51" s="782">
        <v>229.3</v>
      </c>
      <c r="Q51" s="782"/>
      <c r="R51" s="782"/>
      <c r="S51" s="782"/>
      <c r="T51" s="782"/>
      <c r="U51" s="783">
        <f t="shared" si="3"/>
        <v>1696.8199999999997</v>
      </c>
      <c r="V51" s="782">
        <v>47135.9</v>
      </c>
      <c r="W51" s="784">
        <f t="shared" si="4"/>
        <v>799811.37837999989</v>
      </c>
      <c r="X51" s="823">
        <f>K51*37</f>
        <v>1696.82</v>
      </c>
      <c r="Y51" s="823">
        <f>U51-X51</f>
        <v>0</v>
      </c>
    </row>
    <row r="52" spans="1:26" s="789" customFormat="1" x14ac:dyDescent="0.25">
      <c r="A52" s="834"/>
      <c r="B52" s="803" t="s">
        <v>107</v>
      </c>
      <c r="C52" s="780">
        <v>100</v>
      </c>
      <c r="D52" s="781"/>
      <c r="E52" s="782"/>
      <c r="F52" s="782"/>
      <c r="G52" s="782"/>
      <c r="H52" s="782">
        <v>1164.376</v>
      </c>
      <c r="I52" s="782"/>
      <c r="J52" s="782">
        <v>501.67600000000004</v>
      </c>
      <c r="K52" s="782"/>
      <c r="L52" s="782">
        <v>432.53600000000006</v>
      </c>
      <c r="M52" s="782">
        <v>432.53600000000006</v>
      </c>
      <c r="N52" s="782"/>
      <c r="O52" s="782"/>
      <c r="P52" s="782">
        <v>577.89599999999996</v>
      </c>
      <c r="Q52" s="782"/>
      <c r="R52" s="782"/>
      <c r="S52" s="782"/>
      <c r="T52" s="782"/>
      <c r="U52" s="783">
        <f t="shared" si="3"/>
        <v>3109.0200000000004</v>
      </c>
      <c r="V52" s="782">
        <v>47135.9</v>
      </c>
      <c r="W52" s="784">
        <f t="shared" si="4"/>
        <v>1465464.5581800002</v>
      </c>
      <c r="Z52" s="835">
        <v>69970747</v>
      </c>
    </row>
    <row r="53" spans="1:26" s="789" customFormat="1" x14ac:dyDescent="0.25">
      <c r="A53" s="779"/>
      <c r="B53" s="826" t="s">
        <v>107</v>
      </c>
      <c r="C53" s="780">
        <v>100</v>
      </c>
      <c r="D53" s="781"/>
      <c r="E53" s="782"/>
      <c r="F53" s="782"/>
      <c r="G53" s="782"/>
      <c r="H53" s="782"/>
      <c r="I53" s="782"/>
      <c r="J53" s="782">
        <v>180.36562499999994</v>
      </c>
      <c r="K53" s="782">
        <v>48.097499999999997</v>
      </c>
      <c r="L53" s="782">
        <v>180.36562499999994</v>
      </c>
      <c r="M53" s="782">
        <v>180.36562499999994</v>
      </c>
      <c r="N53" s="782">
        <v>72.146249999999995</v>
      </c>
      <c r="O53" s="782"/>
      <c r="P53" s="782"/>
      <c r="Q53" s="782"/>
      <c r="R53" s="782"/>
      <c r="S53" s="782"/>
      <c r="T53" s="782"/>
      <c r="U53" s="783">
        <f t="shared" si="3"/>
        <v>661.34062499999982</v>
      </c>
      <c r="V53" s="782">
        <v>47135.9</v>
      </c>
      <c r="W53" s="784">
        <f t="shared" si="4"/>
        <v>311728.85565937491</v>
      </c>
    </row>
    <row r="54" spans="1:26" s="789" customFormat="1" x14ac:dyDescent="0.25">
      <c r="A54" s="779"/>
      <c r="B54" s="826" t="s">
        <v>107</v>
      </c>
      <c r="C54" s="780">
        <v>100</v>
      </c>
      <c r="D54" s="781">
        <v>1780.1875</v>
      </c>
      <c r="E54" s="782"/>
      <c r="F54" s="782"/>
      <c r="G54" s="782"/>
      <c r="H54" s="782"/>
      <c r="I54" s="782"/>
      <c r="J54" s="782"/>
      <c r="K54" s="782"/>
      <c r="L54" s="782"/>
      <c r="M54" s="782"/>
      <c r="N54" s="782"/>
      <c r="O54" s="782"/>
      <c r="P54" s="782"/>
      <c r="Q54" s="782"/>
      <c r="R54" s="782"/>
      <c r="S54" s="782"/>
      <c r="T54" s="782"/>
      <c r="U54" s="783">
        <f t="shared" si="3"/>
        <v>1780.1875</v>
      </c>
      <c r="V54" s="782">
        <v>47135.9</v>
      </c>
      <c r="W54" s="784">
        <f t="shared" si="4"/>
        <v>839107.39981249999</v>
      </c>
    </row>
    <row r="55" spans="1:26" s="842" customFormat="1" ht="28.5" x14ac:dyDescent="0.2">
      <c r="A55" s="836">
        <v>3</v>
      </c>
      <c r="B55" s="837" t="s">
        <v>22</v>
      </c>
      <c r="C55" s="838">
        <v>100</v>
      </c>
      <c r="D55" s="839">
        <v>97.5</v>
      </c>
      <c r="E55" s="839">
        <v>97.5</v>
      </c>
      <c r="F55" s="839">
        <v>97.5</v>
      </c>
      <c r="G55" s="839">
        <v>97.5</v>
      </c>
      <c r="H55" s="839">
        <v>97.5</v>
      </c>
      <c r="I55" s="839">
        <v>97.5</v>
      </c>
      <c r="J55" s="839">
        <v>97.5</v>
      </c>
      <c r="K55" s="839">
        <v>97.5</v>
      </c>
      <c r="L55" s="839">
        <v>97.5</v>
      </c>
      <c r="M55" s="839">
        <v>97.5</v>
      </c>
      <c r="N55" s="839">
        <v>97.5</v>
      </c>
      <c r="O55" s="839">
        <v>97.5</v>
      </c>
      <c r="P55" s="839">
        <v>97.5</v>
      </c>
      <c r="Q55" s="839">
        <v>48.75</v>
      </c>
      <c r="R55" s="839">
        <v>292.5</v>
      </c>
      <c r="S55" s="839"/>
      <c r="T55" s="839"/>
      <c r="U55" s="840">
        <f t="shared" si="2"/>
        <v>1608.75</v>
      </c>
      <c r="V55" s="839">
        <v>32675.95</v>
      </c>
      <c r="W55" s="841">
        <f t="shared" si="0"/>
        <v>525674.34562499996</v>
      </c>
    </row>
    <row r="56" spans="1:26" s="846" customFormat="1" ht="28.5" x14ac:dyDescent="0.25">
      <c r="A56" s="836">
        <v>4</v>
      </c>
      <c r="B56" s="837" t="s">
        <v>22</v>
      </c>
      <c r="C56" s="838">
        <v>100</v>
      </c>
      <c r="D56" s="843">
        <v>1260.1600000000001</v>
      </c>
      <c r="E56" s="844">
        <v>630.08000000000004</v>
      </c>
      <c r="F56" s="844"/>
      <c r="G56" s="844">
        <v>2205.2800000000002</v>
      </c>
      <c r="H56" s="844">
        <v>1575.2</v>
      </c>
      <c r="I56" s="844"/>
      <c r="J56" s="844">
        <v>3780.4800000000005</v>
      </c>
      <c r="K56" s="844">
        <v>315.04000000000002</v>
      </c>
      <c r="L56" s="844"/>
      <c r="M56" s="844"/>
      <c r="N56" s="844">
        <v>315.04000000000002</v>
      </c>
      <c r="O56" s="844"/>
      <c r="P56" s="844">
        <v>1575.2</v>
      </c>
      <c r="Q56" s="844"/>
      <c r="R56" s="844"/>
      <c r="S56" s="844"/>
      <c r="T56" s="844"/>
      <c r="U56" s="840">
        <f>SUM(D56:T56)</f>
        <v>11656.480000000003</v>
      </c>
      <c r="V56" s="844">
        <v>32675.95</v>
      </c>
      <c r="W56" s="841">
        <f>V56*U56/C56</f>
        <v>3808865.5765600014</v>
      </c>
      <c r="X56" s="845">
        <f>K56*37</f>
        <v>11656.480000000001</v>
      </c>
      <c r="Y56" s="845">
        <f>U56-X56</f>
        <v>0</v>
      </c>
    </row>
    <row r="57" spans="1:26" s="847" customFormat="1" ht="28.5" x14ac:dyDescent="0.25">
      <c r="A57" s="836">
        <v>4</v>
      </c>
      <c r="B57" s="837" t="s">
        <v>22</v>
      </c>
      <c r="C57" s="838">
        <v>100</v>
      </c>
      <c r="D57" s="843">
        <v>44360.679999999993</v>
      </c>
      <c r="E57" s="844"/>
      <c r="F57" s="844"/>
      <c r="G57" s="844"/>
      <c r="H57" s="844"/>
      <c r="I57" s="844"/>
      <c r="J57" s="844"/>
      <c r="K57" s="844"/>
      <c r="L57" s="844"/>
      <c r="M57" s="844"/>
      <c r="N57" s="844"/>
      <c r="O57" s="844"/>
      <c r="P57" s="844"/>
      <c r="Q57" s="844"/>
      <c r="R57" s="844"/>
      <c r="S57" s="844"/>
      <c r="T57" s="844"/>
      <c r="U57" s="840">
        <f>SUM(D57:T57)</f>
        <v>44360.679999999993</v>
      </c>
      <c r="V57" s="844">
        <v>32675.95</v>
      </c>
      <c r="W57" s="841">
        <f>V57*U57/C57</f>
        <v>14495273.616459999</v>
      </c>
    </row>
    <row r="58" spans="1:26" s="854" customFormat="1" ht="28.5" x14ac:dyDescent="0.25">
      <c r="A58" s="848">
        <v>70</v>
      </c>
      <c r="B58" s="849" t="s">
        <v>22</v>
      </c>
      <c r="C58" s="850">
        <v>100</v>
      </c>
      <c r="D58" s="851">
        <v>745.64550000000008</v>
      </c>
      <c r="E58" s="852"/>
      <c r="F58" s="852"/>
      <c r="G58" s="852"/>
      <c r="H58" s="852"/>
      <c r="I58" s="852"/>
      <c r="J58" s="852"/>
      <c r="K58" s="852"/>
      <c r="L58" s="852"/>
      <c r="M58" s="852"/>
      <c r="N58" s="852"/>
      <c r="O58" s="852"/>
      <c r="P58" s="853"/>
      <c r="Q58" s="852"/>
      <c r="R58" s="852"/>
      <c r="S58" s="852"/>
      <c r="T58" s="852"/>
      <c r="U58" s="840">
        <f>SUM(D58:T58)</f>
        <v>745.64550000000008</v>
      </c>
      <c r="V58" s="844">
        <v>32675.95</v>
      </c>
      <c r="W58" s="841">
        <f>V58*U58/C58</f>
        <v>243646.75075725003</v>
      </c>
    </row>
    <row r="59" spans="1:26" s="821" customFormat="1" ht="42.75" x14ac:dyDescent="0.2">
      <c r="A59" s="779">
        <v>4</v>
      </c>
      <c r="B59" s="803" t="s">
        <v>23</v>
      </c>
      <c r="C59" s="855">
        <v>100</v>
      </c>
      <c r="D59" s="822">
        <v>39</v>
      </c>
      <c r="E59" s="822">
        <v>39</v>
      </c>
      <c r="F59" s="822">
        <v>39</v>
      </c>
      <c r="G59" s="822">
        <v>39</v>
      </c>
      <c r="H59" s="822">
        <v>39</v>
      </c>
      <c r="I59" s="822">
        <v>39</v>
      </c>
      <c r="J59" s="822">
        <v>39</v>
      </c>
      <c r="K59" s="822">
        <v>39</v>
      </c>
      <c r="L59" s="822">
        <v>39</v>
      </c>
      <c r="M59" s="822">
        <v>39</v>
      </c>
      <c r="N59" s="822">
        <v>39</v>
      </c>
      <c r="O59" s="822">
        <v>39</v>
      </c>
      <c r="P59" s="822">
        <v>39</v>
      </c>
      <c r="Q59" s="822">
        <v>19.5</v>
      </c>
      <c r="R59" s="822">
        <v>117</v>
      </c>
      <c r="S59" s="822"/>
      <c r="T59" s="822"/>
      <c r="U59" s="783">
        <f t="shared" si="2"/>
        <v>643.5</v>
      </c>
      <c r="V59" s="822">
        <v>11851.7</v>
      </c>
      <c r="W59" s="784">
        <f t="shared" si="0"/>
        <v>76265.689500000008</v>
      </c>
    </row>
    <row r="60" spans="1:26" s="789" customFormat="1" ht="57" x14ac:dyDescent="0.25">
      <c r="A60" s="779">
        <v>5</v>
      </c>
      <c r="B60" s="803" t="s">
        <v>92</v>
      </c>
      <c r="C60" s="855">
        <v>100</v>
      </c>
      <c r="D60" s="781">
        <v>258</v>
      </c>
      <c r="E60" s="782">
        <v>129</v>
      </c>
      <c r="F60" s="782"/>
      <c r="G60" s="782">
        <v>451.5</v>
      </c>
      <c r="H60" s="782">
        <v>322.5</v>
      </c>
      <c r="I60" s="782"/>
      <c r="J60" s="782">
        <v>774</v>
      </c>
      <c r="K60" s="782">
        <v>64.5</v>
      </c>
      <c r="L60" s="782"/>
      <c r="M60" s="782"/>
      <c r="N60" s="782">
        <v>64.5</v>
      </c>
      <c r="O60" s="782"/>
      <c r="P60" s="782">
        <v>322.5</v>
      </c>
      <c r="Q60" s="782"/>
      <c r="R60" s="782"/>
      <c r="S60" s="782"/>
      <c r="T60" s="782"/>
      <c r="U60" s="783">
        <f>SUM(D60:T60)</f>
        <v>2386.5</v>
      </c>
      <c r="V60" s="782">
        <v>11460.2</v>
      </c>
      <c r="W60" s="784">
        <f>V60*U60/C60</f>
        <v>273497.67300000001</v>
      </c>
      <c r="X60" s="823">
        <f>K60*37</f>
        <v>2386.5</v>
      </c>
      <c r="Y60" s="823">
        <f>U60-X60</f>
        <v>0</v>
      </c>
    </row>
    <row r="61" spans="1:26" s="785" customFormat="1" ht="57" x14ac:dyDescent="0.25">
      <c r="A61" s="779">
        <v>5</v>
      </c>
      <c r="B61" s="803" t="s">
        <v>92</v>
      </c>
      <c r="C61" s="855">
        <v>100</v>
      </c>
      <c r="D61" s="781">
        <v>8834.109375</v>
      </c>
      <c r="E61" s="782"/>
      <c r="F61" s="782"/>
      <c r="G61" s="782"/>
      <c r="H61" s="782"/>
      <c r="I61" s="782"/>
      <c r="J61" s="782"/>
      <c r="K61" s="782"/>
      <c r="L61" s="782"/>
      <c r="M61" s="782"/>
      <c r="N61" s="782"/>
      <c r="O61" s="782"/>
      <c r="P61" s="782"/>
      <c r="Q61" s="782"/>
      <c r="R61" s="782"/>
      <c r="S61" s="782"/>
      <c r="T61" s="782"/>
      <c r="U61" s="783">
        <f>SUM(D61:T61)</f>
        <v>8834.109375</v>
      </c>
      <c r="V61" s="782">
        <v>11460.2</v>
      </c>
      <c r="W61" s="784">
        <f>V61*U61/C61</f>
        <v>1012406.6025937501</v>
      </c>
    </row>
    <row r="62" spans="1:26" s="833" customFormat="1" ht="42.75" x14ac:dyDescent="0.25">
      <c r="A62" s="827">
        <v>71</v>
      </c>
      <c r="B62" s="828" t="s">
        <v>272</v>
      </c>
      <c r="C62" s="856">
        <v>100</v>
      </c>
      <c r="D62" s="830">
        <v>427.5</v>
      </c>
      <c r="E62" s="856"/>
      <c r="F62" s="856"/>
      <c r="G62" s="856"/>
      <c r="H62" s="856"/>
      <c r="I62" s="856"/>
      <c r="J62" s="856"/>
      <c r="K62" s="856"/>
      <c r="L62" s="856"/>
      <c r="M62" s="856"/>
      <c r="N62" s="856"/>
      <c r="O62" s="856"/>
      <c r="P62" s="832"/>
      <c r="Q62" s="856"/>
      <c r="R62" s="856"/>
      <c r="S62" s="856"/>
      <c r="T62" s="856"/>
      <c r="U62" s="783">
        <f>SUM(D62:T62)</f>
        <v>427.5</v>
      </c>
      <c r="V62" s="782">
        <v>11851.7</v>
      </c>
      <c r="W62" s="784">
        <f>V62*U62/C62</f>
        <v>50666.017500000002</v>
      </c>
    </row>
    <row r="63" spans="1:26" ht="28.5" x14ac:dyDescent="0.25">
      <c r="A63" s="117">
        <v>5</v>
      </c>
      <c r="B63" s="806" t="s">
        <v>24</v>
      </c>
      <c r="C63" s="12">
        <v>100</v>
      </c>
      <c r="D63" s="21">
        <v>81.703125</v>
      </c>
      <c r="E63" s="21">
        <v>81.703125</v>
      </c>
      <c r="F63" s="21">
        <v>81.703125</v>
      </c>
      <c r="G63" s="21">
        <v>81.703125</v>
      </c>
      <c r="H63" s="21">
        <v>81.703125</v>
      </c>
      <c r="I63" s="21">
        <v>81.703125</v>
      </c>
      <c r="J63" s="21">
        <v>81.703125</v>
      </c>
      <c r="K63" s="21">
        <v>81.703125</v>
      </c>
      <c r="L63" s="21">
        <v>81.703125</v>
      </c>
      <c r="M63" s="21">
        <v>81.703125</v>
      </c>
      <c r="N63" s="21">
        <v>81.703125</v>
      </c>
      <c r="O63" s="21">
        <v>81.703125</v>
      </c>
      <c r="P63" s="21">
        <v>81.703125</v>
      </c>
      <c r="Q63" s="21">
        <v>40.8515625</v>
      </c>
      <c r="R63" s="21">
        <v>245.109375</v>
      </c>
      <c r="S63" s="21"/>
      <c r="T63" s="21"/>
      <c r="U63" s="13">
        <f t="shared" si="2"/>
        <v>1348.1015625</v>
      </c>
      <c r="V63" s="21">
        <v>37620.6</v>
      </c>
      <c r="W63" s="15">
        <f t="shared" si="0"/>
        <v>507163.89642187499</v>
      </c>
    </row>
    <row r="64" spans="1:26" x14ac:dyDescent="0.25">
      <c r="A64" s="117">
        <v>6</v>
      </c>
      <c r="B64" s="806" t="s">
        <v>25</v>
      </c>
      <c r="C64" s="19">
        <v>100</v>
      </c>
      <c r="D64" s="21">
        <v>230.64999999999998</v>
      </c>
      <c r="E64" s="21">
        <v>230.64999999999998</v>
      </c>
      <c r="F64" s="21">
        <v>230.64999999999998</v>
      </c>
      <c r="G64" s="21">
        <v>230.64999999999998</v>
      </c>
      <c r="H64" s="21">
        <v>230.64999999999998</v>
      </c>
      <c r="I64" s="21">
        <v>230.64999999999998</v>
      </c>
      <c r="J64" s="21">
        <v>230.64999999999998</v>
      </c>
      <c r="K64" s="21">
        <v>230.64999999999998</v>
      </c>
      <c r="L64" s="21">
        <v>230.64999999999998</v>
      </c>
      <c r="M64" s="21">
        <v>230.64999999999998</v>
      </c>
      <c r="N64" s="21">
        <v>230.64999999999998</v>
      </c>
      <c r="O64" s="21">
        <v>230.64999999999998</v>
      </c>
      <c r="P64" s="21">
        <v>230.64999999999998</v>
      </c>
      <c r="Q64" s="21">
        <v>115.32499999999999</v>
      </c>
      <c r="R64" s="21">
        <v>691.94999999999993</v>
      </c>
      <c r="S64" s="21"/>
      <c r="T64" s="21"/>
      <c r="U64" s="13">
        <f t="shared" si="2"/>
        <v>3805.7250000000004</v>
      </c>
      <c r="V64" s="21">
        <v>4334.75</v>
      </c>
      <c r="W64" s="15">
        <f t="shared" si="0"/>
        <v>164968.6644375</v>
      </c>
    </row>
    <row r="65" spans="1:25" s="785" customFormat="1" ht="42.75" x14ac:dyDescent="0.25">
      <c r="A65" s="857">
        <v>7</v>
      </c>
      <c r="B65" s="803" t="s">
        <v>115</v>
      </c>
      <c r="C65" s="855">
        <v>100</v>
      </c>
      <c r="D65" s="822">
        <v>230.64999999999998</v>
      </c>
      <c r="E65" s="822">
        <v>230.64999999999998</v>
      </c>
      <c r="F65" s="822">
        <v>230.64999999999998</v>
      </c>
      <c r="G65" s="822">
        <v>230.64999999999998</v>
      </c>
      <c r="H65" s="822">
        <v>230.64999999999998</v>
      </c>
      <c r="I65" s="822">
        <v>230.64999999999998</v>
      </c>
      <c r="J65" s="822">
        <v>230.64999999999998</v>
      </c>
      <c r="K65" s="822">
        <v>230.64999999999998</v>
      </c>
      <c r="L65" s="822">
        <v>230.64999999999998</v>
      </c>
      <c r="M65" s="822">
        <v>230.64999999999998</v>
      </c>
      <c r="N65" s="822">
        <v>230.64999999999998</v>
      </c>
      <c r="O65" s="822">
        <v>230.64999999999998</v>
      </c>
      <c r="P65" s="822">
        <v>230.64999999999998</v>
      </c>
      <c r="Q65" s="822">
        <v>115.32499999999999</v>
      </c>
      <c r="R65" s="822">
        <v>691.94999999999993</v>
      </c>
      <c r="S65" s="822"/>
      <c r="T65" s="822"/>
      <c r="U65" s="783">
        <f t="shared" si="2"/>
        <v>3805.7250000000004</v>
      </c>
      <c r="V65" s="822">
        <v>7379.1</v>
      </c>
      <c r="W65" s="784">
        <f t="shared" si="0"/>
        <v>280828.25347500003</v>
      </c>
    </row>
    <row r="66" spans="1:25" s="789" customFormat="1" ht="42.75" x14ac:dyDescent="0.25">
      <c r="A66" s="779">
        <v>26</v>
      </c>
      <c r="B66" s="803" t="s">
        <v>115</v>
      </c>
      <c r="C66" s="855">
        <v>100</v>
      </c>
      <c r="D66" s="781">
        <v>690.22</v>
      </c>
      <c r="E66" s="782">
        <v>345.11</v>
      </c>
      <c r="F66" s="782"/>
      <c r="G66" s="782">
        <v>1207.885</v>
      </c>
      <c r="H66" s="782">
        <v>862.77500000000009</v>
      </c>
      <c r="I66" s="782"/>
      <c r="J66" s="782">
        <v>2070.66</v>
      </c>
      <c r="K66" s="782">
        <v>172.55500000000001</v>
      </c>
      <c r="L66" s="782"/>
      <c r="M66" s="782"/>
      <c r="N66" s="782">
        <v>172.55500000000001</v>
      </c>
      <c r="O66" s="782"/>
      <c r="P66" s="782">
        <v>862.77500000000009</v>
      </c>
      <c r="Q66" s="782"/>
      <c r="R66" s="782"/>
      <c r="S66" s="782"/>
      <c r="T66" s="782"/>
      <c r="U66" s="783">
        <f>SUM(D66:T66)</f>
        <v>6384.5349999999999</v>
      </c>
      <c r="V66" s="781">
        <v>7379.1</v>
      </c>
      <c r="W66" s="784">
        <f>V66*U66/C66</f>
        <v>471121.22218500002</v>
      </c>
      <c r="X66" s="823">
        <f>K66*37</f>
        <v>6384.5349999999999</v>
      </c>
      <c r="Y66" s="823">
        <f>U66-X66</f>
        <v>0</v>
      </c>
    </row>
    <row r="67" spans="1:25" s="789" customFormat="1" ht="42.75" x14ac:dyDescent="0.25">
      <c r="A67" s="779">
        <v>15</v>
      </c>
      <c r="B67" s="803" t="s">
        <v>115</v>
      </c>
      <c r="C67" s="855">
        <v>100</v>
      </c>
      <c r="D67" s="781"/>
      <c r="E67" s="782"/>
      <c r="F67" s="782"/>
      <c r="G67" s="782"/>
      <c r="H67" s="782">
        <v>5354.9950000000008</v>
      </c>
      <c r="I67" s="782"/>
      <c r="J67" s="782">
        <v>3896.5079999999998</v>
      </c>
      <c r="K67" s="782"/>
      <c r="L67" s="782">
        <v>2362.2509999999997</v>
      </c>
      <c r="M67" s="782">
        <v>2362.2509999999997</v>
      </c>
      <c r="N67" s="782"/>
      <c r="O67" s="782"/>
      <c r="P67" s="782">
        <v>6169.194300000001</v>
      </c>
      <c r="Q67" s="782"/>
      <c r="R67" s="782"/>
      <c r="S67" s="782"/>
      <c r="T67" s="782"/>
      <c r="U67" s="783">
        <f>SUM(D67:T67)</f>
        <v>20145.1993</v>
      </c>
      <c r="V67" s="781">
        <v>7379.1</v>
      </c>
      <c r="W67" s="784">
        <f>V67*U67/C67</f>
        <v>1486534.4015463002</v>
      </c>
    </row>
    <row r="68" spans="1:25" s="789" customFormat="1" ht="42.75" x14ac:dyDescent="0.25">
      <c r="A68" s="779">
        <v>25</v>
      </c>
      <c r="B68" s="803" t="s">
        <v>115</v>
      </c>
      <c r="C68" s="855">
        <v>100</v>
      </c>
      <c r="D68" s="781">
        <v>31339.945</v>
      </c>
      <c r="E68" s="782"/>
      <c r="F68" s="782"/>
      <c r="G68" s="782"/>
      <c r="H68" s="782"/>
      <c r="I68" s="782"/>
      <c r="J68" s="782"/>
      <c r="K68" s="782"/>
      <c r="L68" s="782"/>
      <c r="M68" s="782"/>
      <c r="N68" s="782"/>
      <c r="O68" s="782"/>
      <c r="P68" s="782"/>
      <c r="Q68" s="782"/>
      <c r="R68" s="782"/>
      <c r="S68" s="782"/>
      <c r="T68" s="782"/>
      <c r="U68" s="783">
        <f>SUM(D68:T68)</f>
        <v>31339.945</v>
      </c>
      <c r="V68" s="781">
        <v>7379.1</v>
      </c>
      <c r="W68" s="784">
        <f>V68*U68/C68</f>
        <v>2312605.8814950003</v>
      </c>
    </row>
    <row r="69" spans="1:25" x14ac:dyDescent="0.25">
      <c r="A69" s="117"/>
      <c r="B69" s="806"/>
      <c r="C69" s="19"/>
      <c r="D69" s="21"/>
      <c r="E69" s="21"/>
      <c r="F69" s="21"/>
      <c r="G69" s="21"/>
      <c r="H69" s="21"/>
      <c r="I69" s="21"/>
      <c r="J69" s="21"/>
      <c r="K69" s="21"/>
      <c r="L69" s="21"/>
      <c r="M69" s="21"/>
      <c r="N69" s="21"/>
      <c r="O69" s="21"/>
      <c r="P69" s="21"/>
      <c r="Q69" s="21"/>
      <c r="R69" s="21"/>
      <c r="S69" s="21"/>
      <c r="T69" s="21"/>
      <c r="U69" s="13"/>
      <c r="V69" s="21"/>
      <c r="W69" s="15"/>
    </row>
    <row r="70" spans="1:25" x14ac:dyDescent="0.25">
      <c r="A70" s="117">
        <v>8</v>
      </c>
      <c r="B70" s="806" t="s">
        <v>27</v>
      </c>
      <c r="C70" s="24">
        <v>1</v>
      </c>
      <c r="D70" s="21">
        <v>500</v>
      </c>
      <c r="E70" s="21">
        <v>500</v>
      </c>
      <c r="F70" s="21">
        <v>500</v>
      </c>
      <c r="G70" s="21">
        <v>500</v>
      </c>
      <c r="H70" s="21">
        <v>500</v>
      </c>
      <c r="I70" s="21">
        <v>500</v>
      </c>
      <c r="J70" s="21">
        <v>500</v>
      </c>
      <c r="K70" s="21">
        <v>500</v>
      </c>
      <c r="L70" s="21">
        <v>500</v>
      </c>
      <c r="M70" s="21">
        <v>500</v>
      </c>
      <c r="N70" s="21">
        <v>500</v>
      </c>
      <c r="O70" s="21">
        <v>500</v>
      </c>
      <c r="P70" s="21">
        <v>500</v>
      </c>
      <c r="Q70" s="21">
        <v>250</v>
      </c>
      <c r="R70" s="21">
        <v>1500</v>
      </c>
      <c r="S70" s="21"/>
      <c r="T70" s="21"/>
      <c r="U70" s="13">
        <f t="shared" si="2"/>
        <v>8250</v>
      </c>
      <c r="V70" s="21">
        <v>30.5</v>
      </c>
      <c r="W70" s="15">
        <f t="shared" si="0"/>
        <v>251625</v>
      </c>
    </row>
    <row r="71" spans="1:25" ht="71.25" x14ac:dyDescent="0.25">
      <c r="A71" s="117">
        <v>9</v>
      </c>
      <c r="B71" s="806" t="s">
        <v>28</v>
      </c>
      <c r="C71" s="17"/>
      <c r="D71" s="17"/>
      <c r="E71" s="17"/>
      <c r="F71" s="17"/>
      <c r="G71" s="17"/>
      <c r="H71" s="17"/>
      <c r="I71" s="17"/>
      <c r="J71" s="17"/>
      <c r="K71" s="17"/>
      <c r="L71" s="17"/>
      <c r="M71" s="17"/>
      <c r="N71" s="17"/>
      <c r="O71" s="17"/>
      <c r="P71" s="17"/>
      <c r="Q71" s="17"/>
      <c r="R71" s="17"/>
      <c r="S71" s="17"/>
      <c r="T71" s="17"/>
      <c r="U71" s="13">
        <f t="shared" si="2"/>
        <v>0</v>
      </c>
      <c r="V71" s="17"/>
      <c r="W71" s="17"/>
    </row>
    <row r="72" spans="1:25" x14ac:dyDescent="0.25">
      <c r="A72" s="117"/>
      <c r="B72" s="806" t="s">
        <v>29</v>
      </c>
      <c r="C72" s="12">
        <v>100</v>
      </c>
      <c r="D72" s="21">
        <v>4.29</v>
      </c>
      <c r="E72" s="21">
        <v>4.29</v>
      </c>
      <c r="F72" s="21">
        <v>4.29</v>
      </c>
      <c r="G72" s="21">
        <v>4.29</v>
      </c>
      <c r="H72" s="21">
        <v>4.29</v>
      </c>
      <c r="I72" s="21">
        <v>4.29</v>
      </c>
      <c r="J72" s="21">
        <v>4.29</v>
      </c>
      <c r="K72" s="21">
        <v>4.29</v>
      </c>
      <c r="L72" s="21">
        <v>4.29</v>
      </c>
      <c r="M72" s="21">
        <v>4.29</v>
      </c>
      <c r="N72" s="21">
        <v>4.29</v>
      </c>
      <c r="O72" s="21">
        <v>4.29</v>
      </c>
      <c r="P72" s="21">
        <v>4.29</v>
      </c>
      <c r="Q72" s="21">
        <v>2.145</v>
      </c>
      <c r="R72" s="21">
        <v>12.870000000000001</v>
      </c>
      <c r="S72" s="21"/>
      <c r="T72" s="21"/>
      <c r="U72" s="13">
        <f t="shared" si="2"/>
        <v>70.784999999999997</v>
      </c>
      <c r="V72" s="21">
        <v>14042.6</v>
      </c>
      <c r="W72" s="15">
        <f t="shared" si="0"/>
        <v>9940.0544100000006</v>
      </c>
    </row>
    <row r="73" spans="1:25" ht="22.5" x14ac:dyDescent="0.25">
      <c r="A73" s="198">
        <v>3</v>
      </c>
      <c r="B73" s="798" t="s">
        <v>395</v>
      </c>
      <c r="C73" s="16"/>
      <c r="D73" s="16"/>
      <c r="E73" s="16"/>
      <c r="F73" s="16"/>
      <c r="G73" s="16"/>
      <c r="H73" s="16"/>
      <c r="I73" s="16"/>
      <c r="J73" s="16"/>
      <c r="K73" s="16"/>
      <c r="L73" s="16"/>
      <c r="M73" s="16"/>
      <c r="N73" s="16"/>
      <c r="O73" s="16"/>
      <c r="P73" s="16"/>
      <c r="Q73" s="16"/>
      <c r="R73" s="16"/>
      <c r="S73" s="16"/>
      <c r="T73" s="16"/>
      <c r="U73" s="16"/>
      <c r="V73" s="16"/>
      <c r="W73" s="16"/>
    </row>
    <row r="74" spans="1:25" s="152" customFormat="1" ht="15" x14ac:dyDescent="0.2">
      <c r="A74" s="118">
        <v>1</v>
      </c>
      <c r="B74" s="807" t="s">
        <v>30</v>
      </c>
      <c r="C74" s="12">
        <v>1</v>
      </c>
      <c r="D74" s="25">
        <v>55.04</v>
      </c>
      <c r="E74" s="14">
        <v>30.96</v>
      </c>
      <c r="F74" s="14">
        <v>30.96</v>
      </c>
      <c r="G74" s="14">
        <v>39.56</v>
      </c>
      <c r="H74" s="14">
        <v>242.52</v>
      </c>
      <c r="I74" s="14">
        <v>146.19999999999999</v>
      </c>
      <c r="J74" s="14">
        <v>67.08</v>
      </c>
      <c r="K74" s="14">
        <v>22.36</v>
      </c>
      <c r="L74" s="14">
        <v>22.36</v>
      </c>
      <c r="M74" s="14">
        <v>22.36</v>
      </c>
      <c r="N74" s="14">
        <v>5.16</v>
      </c>
      <c r="O74" s="14">
        <v>44.72</v>
      </c>
      <c r="P74" s="14">
        <v>29.24</v>
      </c>
      <c r="Q74" s="14">
        <v>6.88</v>
      </c>
      <c r="R74" s="14">
        <v>20.64</v>
      </c>
      <c r="S74" s="14"/>
      <c r="T74" s="14"/>
      <c r="U74" s="13">
        <f t="shared" ref="U74:U81" si="5">SUM(D74:T74)</f>
        <v>786.04000000000008</v>
      </c>
      <c r="V74" s="25">
        <v>546.95000000000005</v>
      </c>
      <c r="W74" s="15">
        <f t="shared" si="0"/>
        <v>429924.5780000001</v>
      </c>
    </row>
    <row r="75" spans="1:25" s="152" customFormat="1" ht="42.75" x14ac:dyDescent="0.2">
      <c r="A75" s="118">
        <v>2</v>
      </c>
      <c r="B75" s="807" t="s">
        <v>31</v>
      </c>
      <c r="C75" s="26">
        <v>100</v>
      </c>
      <c r="D75" s="25">
        <v>125.76</v>
      </c>
      <c r="E75" s="14">
        <v>70.740000000000009</v>
      </c>
      <c r="F75" s="14">
        <v>70.740000000000009</v>
      </c>
      <c r="G75" s="14">
        <v>90.39</v>
      </c>
      <c r="H75" s="14">
        <v>554.13</v>
      </c>
      <c r="I75" s="14">
        <v>334.05</v>
      </c>
      <c r="J75" s="14">
        <v>153.27000000000001</v>
      </c>
      <c r="K75" s="14">
        <v>51.09</v>
      </c>
      <c r="L75" s="14">
        <v>51.09</v>
      </c>
      <c r="M75" s="14">
        <v>51.09</v>
      </c>
      <c r="N75" s="14">
        <v>11.790000000000001</v>
      </c>
      <c r="O75" s="14">
        <v>102.18</v>
      </c>
      <c r="P75" s="14">
        <v>66.81</v>
      </c>
      <c r="Q75" s="14">
        <v>15.72</v>
      </c>
      <c r="R75" s="14">
        <v>47.160000000000004</v>
      </c>
      <c r="S75" s="14"/>
      <c r="T75" s="14"/>
      <c r="U75" s="13">
        <f t="shared" si="5"/>
        <v>1796.0099999999998</v>
      </c>
      <c r="V75" s="25">
        <v>30006.1</v>
      </c>
      <c r="W75" s="15">
        <f t="shared" si="0"/>
        <v>538912.55660999985</v>
      </c>
    </row>
    <row r="76" spans="1:25" s="152" customFormat="1" ht="15" x14ac:dyDescent="0.2">
      <c r="A76" s="44">
        <v>3</v>
      </c>
      <c r="B76" s="807" t="s">
        <v>32</v>
      </c>
      <c r="C76" s="24">
        <v>1</v>
      </c>
      <c r="D76" s="25">
        <v>32</v>
      </c>
      <c r="E76" s="14">
        <v>18</v>
      </c>
      <c r="F76" s="14">
        <v>18</v>
      </c>
      <c r="G76" s="14">
        <v>23</v>
      </c>
      <c r="H76" s="14">
        <v>141</v>
      </c>
      <c r="I76" s="14">
        <v>85</v>
      </c>
      <c r="J76" s="14">
        <v>39</v>
      </c>
      <c r="K76" s="14">
        <v>13</v>
      </c>
      <c r="L76" s="14">
        <v>13</v>
      </c>
      <c r="M76" s="14">
        <v>13</v>
      </c>
      <c r="N76" s="14">
        <v>3</v>
      </c>
      <c r="O76" s="14">
        <v>26</v>
      </c>
      <c r="P76" s="14">
        <v>17</v>
      </c>
      <c r="Q76" s="14">
        <v>4</v>
      </c>
      <c r="R76" s="14">
        <v>12</v>
      </c>
      <c r="S76" s="14"/>
      <c r="T76" s="14"/>
      <c r="U76" s="13">
        <f t="shared" si="5"/>
        <v>457</v>
      </c>
      <c r="V76" s="25">
        <v>115.4</v>
      </c>
      <c r="W76" s="15">
        <f t="shared" si="0"/>
        <v>52737.8</v>
      </c>
    </row>
    <row r="77" spans="1:25" s="152" customFormat="1" ht="15" x14ac:dyDescent="0.2">
      <c r="A77" s="44">
        <v>4</v>
      </c>
      <c r="B77" s="807" t="s">
        <v>33</v>
      </c>
      <c r="C77" s="27">
        <v>1</v>
      </c>
      <c r="D77" s="25">
        <v>32</v>
      </c>
      <c r="E77" s="14">
        <v>18</v>
      </c>
      <c r="F77" s="14">
        <v>18</v>
      </c>
      <c r="G77" s="14">
        <v>23</v>
      </c>
      <c r="H77" s="14">
        <v>141</v>
      </c>
      <c r="I77" s="14">
        <v>85</v>
      </c>
      <c r="J77" s="14">
        <v>39</v>
      </c>
      <c r="K77" s="14">
        <v>13</v>
      </c>
      <c r="L77" s="14">
        <v>13</v>
      </c>
      <c r="M77" s="14">
        <v>13</v>
      </c>
      <c r="N77" s="14">
        <v>3</v>
      </c>
      <c r="O77" s="14">
        <v>26</v>
      </c>
      <c r="P77" s="14">
        <v>17</v>
      </c>
      <c r="Q77" s="14">
        <v>4</v>
      </c>
      <c r="R77" s="14">
        <v>12</v>
      </c>
      <c r="S77" s="14"/>
      <c r="T77" s="14"/>
      <c r="U77" s="13">
        <f t="shared" si="5"/>
        <v>457</v>
      </c>
      <c r="V77" s="25">
        <v>141.9</v>
      </c>
      <c r="W77" s="15">
        <f t="shared" si="0"/>
        <v>64848.3</v>
      </c>
    </row>
    <row r="78" spans="1:25" s="152" customFormat="1" ht="15" x14ac:dyDescent="0.2">
      <c r="A78" s="44">
        <v>5</v>
      </c>
      <c r="B78" s="807" t="s">
        <v>34</v>
      </c>
      <c r="C78" s="19">
        <v>100</v>
      </c>
      <c r="D78" s="25">
        <v>112</v>
      </c>
      <c r="E78" s="14">
        <v>63</v>
      </c>
      <c r="F78" s="14">
        <v>63</v>
      </c>
      <c r="G78" s="14">
        <v>80.5</v>
      </c>
      <c r="H78" s="14">
        <v>493.5</v>
      </c>
      <c r="I78" s="14">
        <v>297.5</v>
      </c>
      <c r="J78" s="14">
        <v>136.5</v>
      </c>
      <c r="K78" s="14">
        <v>45.5</v>
      </c>
      <c r="L78" s="14">
        <v>45.5</v>
      </c>
      <c r="M78" s="14">
        <v>45.5</v>
      </c>
      <c r="N78" s="14">
        <v>10.5</v>
      </c>
      <c r="O78" s="14">
        <v>91</v>
      </c>
      <c r="P78" s="14">
        <v>59.5</v>
      </c>
      <c r="Q78" s="14">
        <v>14</v>
      </c>
      <c r="R78" s="14">
        <v>42</v>
      </c>
      <c r="S78" s="14"/>
      <c r="T78" s="14"/>
      <c r="U78" s="13">
        <f t="shared" si="5"/>
        <v>1599.5</v>
      </c>
      <c r="V78" s="25">
        <v>4307.55</v>
      </c>
      <c r="W78" s="15">
        <f t="shared" si="0"/>
        <v>68899.26225</v>
      </c>
    </row>
    <row r="79" spans="1:25" s="152" customFormat="1" ht="28.5" x14ac:dyDescent="0.2">
      <c r="A79" s="44">
        <v>6</v>
      </c>
      <c r="B79" s="807" t="s">
        <v>35</v>
      </c>
      <c r="C79" s="24">
        <v>1</v>
      </c>
      <c r="D79" s="25">
        <v>320</v>
      </c>
      <c r="E79" s="14">
        <v>180</v>
      </c>
      <c r="F79" s="14">
        <v>180</v>
      </c>
      <c r="G79" s="14">
        <v>230</v>
      </c>
      <c r="H79" s="14">
        <v>1410</v>
      </c>
      <c r="I79" s="14">
        <v>850</v>
      </c>
      <c r="J79" s="14">
        <v>390</v>
      </c>
      <c r="K79" s="14">
        <v>130</v>
      </c>
      <c r="L79" s="14">
        <v>130</v>
      </c>
      <c r="M79" s="14">
        <v>130</v>
      </c>
      <c r="N79" s="14">
        <v>30</v>
      </c>
      <c r="O79" s="14">
        <v>260</v>
      </c>
      <c r="P79" s="14">
        <v>170</v>
      </c>
      <c r="Q79" s="14">
        <v>40</v>
      </c>
      <c r="R79" s="14">
        <v>120</v>
      </c>
      <c r="S79" s="14"/>
      <c r="T79" s="14"/>
      <c r="U79" s="13">
        <f t="shared" si="5"/>
        <v>4570</v>
      </c>
      <c r="V79" s="25">
        <v>30.5</v>
      </c>
      <c r="W79" s="15">
        <f t="shared" si="0"/>
        <v>139385</v>
      </c>
    </row>
    <row r="80" spans="1:25" s="152" customFormat="1" ht="72" x14ac:dyDescent="0.2">
      <c r="A80" s="44">
        <v>7</v>
      </c>
      <c r="B80" s="807" t="s">
        <v>442</v>
      </c>
      <c r="C80" s="23"/>
      <c r="D80" s="23"/>
      <c r="E80" s="23"/>
      <c r="F80" s="23"/>
      <c r="G80" s="23"/>
      <c r="H80" s="23"/>
      <c r="I80" s="23"/>
      <c r="J80" s="23"/>
      <c r="K80" s="23"/>
      <c r="L80" s="23"/>
      <c r="M80" s="23"/>
      <c r="N80" s="23"/>
      <c r="O80" s="23"/>
      <c r="P80" s="23"/>
      <c r="Q80" s="23"/>
      <c r="R80" s="23"/>
      <c r="S80" s="23"/>
      <c r="T80" s="23"/>
      <c r="U80" s="13">
        <f t="shared" si="5"/>
        <v>0</v>
      </c>
      <c r="V80" s="23"/>
      <c r="W80" s="23"/>
    </row>
    <row r="81" spans="1:23" s="152" customFormat="1" ht="15" x14ac:dyDescent="0.2">
      <c r="A81" s="44" t="s">
        <v>37</v>
      </c>
      <c r="B81" s="806" t="s">
        <v>38</v>
      </c>
      <c r="C81" s="12">
        <v>100</v>
      </c>
      <c r="D81" s="25">
        <v>48.435200000000002</v>
      </c>
      <c r="E81" s="14">
        <v>27.244800000000001</v>
      </c>
      <c r="F81" s="14">
        <v>27.244800000000001</v>
      </c>
      <c r="G81" s="14">
        <v>34.812800000000003</v>
      </c>
      <c r="H81" s="14">
        <v>213.41760000000002</v>
      </c>
      <c r="I81" s="14">
        <v>128.65600000000001</v>
      </c>
      <c r="J81" s="14">
        <v>59.0304</v>
      </c>
      <c r="K81" s="14">
        <v>19.6768</v>
      </c>
      <c r="L81" s="14">
        <v>19.6768</v>
      </c>
      <c r="M81" s="14">
        <v>19.6768</v>
      </c>
      <c r="N81" s="14">
        <v>4.5407999999999999</v>
      </c>
      <c r="O81" s="14">
        <v>39.3536</v>
      </c>
      <c r="P81" s="14">
        <v>25.731200000000001</v>
      </c>
      <c r="Q81" s="14">
        <v>6.0544000000000002</v>
      </c>
      <c r="R81" s="14">
        <v>18.1632</v>
      </c>
      <c r="S81" s="25"/>
      <c r="T81" s="25"/>
      <c r="U81" s="13">
        <f t="shared" si="5"/>
        <v>691.71519999999987</v>
      </c>
      <c r="V81" s="25">
        <v>14042.6</v>
      </c>
      <c r="W81" s="15">
        <f t="shared" si="0"/>
        <v>97134.798675199985</v>
      </c>
    </row>
    <row r="82" spans="1:23" ht="22.5" x14ac:dyDescent="0.25">
      <c r="A82" s="198">
        <v>4</v>
      </c>
      <c r="B82" s="798" t="s">
        <v>378</v>
      </c>
      <c r="C82" s="101"/>
      <c r="D82" s="401"/>
      <c r="E82" s="402"/>
      <c r="F82" s="9"/>
      <c r="G82" s="9"/>
      <c r="H82" s="9"/>
      <c r="I82" s="9"/>
      <c r="J82" s="9"/>
      <c r="K82" s="9"/>
      <c r="L82" s="9"/>
      <c r="M82" s="9"/>
      <c r="N82" s="9"/>
      <c r="O82" s="9"/>
      <c r="P82" s="9"/>
      <c r="Q82" s="9"/>
      <c r="R82" s="9"/>
      <c r="S82" s="9"/>
      <c r="T82" s="9"/>
      <c r="U82" s="16"/>
      <c r="V82" s="16"/>
      <c r="W82" s="16"/>
    </row>
    <row r="83" spans="1:23" s="152" customFormat="1" ht="28.5" x14ac:dyDescent="0.2">
      <c r="A83" s="118">
        <v>1</v>
      </c>
      <c r="B83" s="806" t="s">
        <v>328</v>
      </c>
      <c r="C83" s="179">
        <v>1000</v>
      </c>
      <c r="D83" s="25"/>
      <c r="E83" s="14"/>
      <c r="F83" s="14"/>
      <c r="G83" s="14"/>
      <c r="H83" s="14"/>
      <c r="I83" s="14"/>
      <c r="J83" s="14"/>
      <c r="K83" s="14"/>
      <c r="L83" s="14"/>
      <c r="M83" s="14"/>
      <c r="N83" s="14"/>
      <c r="O83" s="40">
        <v>245</v>
      </c>
      <c r="P83" s="14"/>
      <c r="Q83" s="14"/>
      <c r="R83" s="14"/>
      <c r="S83" s="14"/>
      <c r="T83" s="14"/>
      <c r="U83" s="13">
        <f>SUM(D83:T83)</f>
        <v>245</v>
      </c>
      <c r="V83" s="25">
        <v>546.95000000000005</v>
      </c>
      <c r="W83" s="15">
        <f t="shared" si="0"/>
        <v>134.00274999999999</v>
      </c>
    </row>
    <row r="84" spans="1:23" s="152" customFormat="1" ht="42.75" x14ac:dyDescent="0.2">
      <c r="A84" s="118">
        <v>2</v>
      </c>
      <c r="B84" s="806" t="s">
        <v>329</v>
      </c>
      <c r="C84" s="180">
        <v>100</v>
      </c>
      <c r="D84" s="25"/>
      <c r="E84" s="14"/>
      <c r="F84" s="14"/>
      <c r="G84" s="14"/>
      <c r="H84" s="14"/>
      <c r="I84" s="14"/>
      <c r="J84" s="14"/>
      <c r="K84" s="14"/>
      <c r="L84" s="14"/>
      <c r="M84" s="14"/>
      <c r="N84" s="14"/>
      <c r="O84" s="40">
        <v>367.5</v>
      </c>
      <c r="P84" s="14"/>
      <c r="Q84" s="14"/>
      <c r="R84" s="14"/>
      <c r="S84" s="14"/>
      <c r="T84" s="14"/>
      <c r="U84" s="13">
        <f>SUM(D84:T84)</f>
        <v>367.5</v>
      </c>
      <c r="V84" s="25">
        <v>30006.1</v>
      </c>
      <c r="W84" s="15">
        <f t="shared" si="0"/>
        <v>110272.4175</v>
      </c>
    </row>
    <row r="85" spans="1:23" s="152" customFormat="1" ht="57" x14ac:dyDescent="0.2">
      <c r="A85" s="44">
        <v>3</v>
      </c>
      <c r="B85" s="806" t="s">
        <v>330</v>
      </c>
      <c r="C85" s="181">
        <v>1</v>
      </c>
      <c r="D85" s="25"/>
      <c r="E85" s="14"/>
      <c r="F85" s="14"/>
      <c r="G85" s="14"/>
      <c r="H85" s="14"/>
      <c r="I85" s="14"/>
      <c r="J85" s="14"/>
      <c r="K85" s="14"/>
      <c r="L85" s="14"/>
      <c r="M85" s="14"/>
      <c r="N85" s="14"/>
      <c r="O85" s="40">
        <v>560</v>
      </c>
      <c r="P85" s="14"/>
      <c r="Q85" s="14"/>
      <c r="R85" s="14"/>
      <c r="S85" s="14"/>
      <c r="T85" s="14"/>
      <c r="U85" s="13">
        <f>SUM(D85:T85)</f>
        <v>560</v>
      </c>
      <c r="V85" s="25">
        <v>115.4</v>
      </c>
      <c r="W85" s="15">
        <f t="shared" si="0"/>
        <v>64624</v>
      </c>
    </row>
    <row r="86" spans="1:23" s="152" customFormat="1" ht="42.75" x14ac:dyDescent="0.2">
      <c r="A86" s="44">
        <v>4</v>
      </c>
      <c r="B86" s="806" t="s">
        <v>331</v>
      </c>
      <c r="C86" s="180">
        <v>100</v>
      </c>
      <c r="D86" s="25"/>
      <c r="E86" s="14"/>
      <c r="F86" s="14"/>
      <c r="G86" s="14"/>
      <c r="H86" s="14"/>
      <c r="I86" s="14"/>
      <c r="J86" s="14"/>
      <c r="K86" s="14"/>
      <c r="L86" s="14"/>
      <c r="M86" s="14"/>
      <c r="N86" s="14"/>
      <c r="O86" s="40">
        <v>323.40000000000003</v>
      </c>
      <c r="P86" s="14"/>
      <c r="Q86" s="14"/>
      <c r="R86" s="14"/>
      <c r="S86" s="14"/>
      <c r="T86" s="14"/>
      <c r="U86" s="13">
        <f>SUM(D86:T86)</f>
        <v>323.40000000000003</v>
      </c>
      <c r="V86" s="25">
        <v>141.9</v>
      </c>
      <c r="W86" s="15">
        <f t="shared" si="0"/>
        <v>458.90460000000007</v>
      </c>
    </row>
    <row r="87" spans="1:23" ht="22.5" x14ac:dyDescent="0.25">
      <c r="A87" s="198">
        <v>5</v>
      </c>
      <c r="B87" s="798" t="s">
        <v>396</v>
      </c>
      <c r="C87" s="101"/>
      <c r="D87" s="403"/>
      <c r="E87" s="404"/>
      <c r="F87" s="9"/>
      <c r="G87" s="9"/>
      <c r="H87" s="9"/>
      <c r="I87" s="9"/>
      <c r="J87" s="9"/>
      <c r="K87" s="9"/>
      <c r="L87" s="9"/>
      <c r="M87" s="9"/>
      <c r="N87" s="9"/>
      <c r="O87" s="9"/>
      <c r="P87" s="9"/>
      <c r="Q87" s="9"/>
      <c r="R87" s="9"/>
      <c r="S87" s="9"/>
      <c r="T87" s="9"/>
      <c r="U87" s="16"/>
      <c r="V87" s="16"/>
      <c r="W87" s="16"/>
    </row>
    <row r="88" spans="1:23" x14ac:dyDescent="0.25">
      <c r="A88" s="119">
        <v>1</v>
      </c>
      <c r="B88" s="808" t="s">
        <v>333</v>
      </c>
      <c r="C88" s="62">
        <v>100</v>
      </c>
      <c r="D88" s="101"/>
      <c r="E88" s="9"/>
      <c r="F88" s="9"/>
      <c r="G88" s="9"/>
      <c r="H88" s="9"/>
      <c r="I88" s="9"/>
      <c r="J88" s="9"/>
      <c r="K88" s="9"/>
      <c r="L88" s="9"/>
      <c r="M88" s="9"/>
      <c r="N88" s="9"/>
      <c r="O88" s="25">
        <f>507.9375+511.88</f>
        <v>1019.8175</v>
      </c>
      <c r="P88" s="17"/>
      <c r="Q88" s="25">
        <v>803.25</v>
      </c>
      <c r="R88" s="14"/>
      <c r="S88" s="9"/>
      <c r="T88" s="9"/>
      <c r="U88" s="13">
        <f t="shared" ref="U88:U149" si="6">SUM(D88:T88)</f>
        <v>1823.0675000000001</v>
      </c>
      <c r="V88" s="25">
        <v>2633.4</v>
      </c>
      <c r="W88" s="15">
        <f t="shared" si="0"/>
        <v>48008.659545000002</v>
      </c>
    </row>
    <row r="89" spans="1:23" s="785" customFormat="1" ht="42.75" x14ac:dyDescent="0.25">
      <c r="A89" s="858">
        <v>2</v>
      </c>
      <c r="B89" s="859" t="s">
        <v>57</v>
      </c>
      <c r="C89" s="780">
        <v>100</v>
      </c>
      <c r="D89" s="860"/>
      <c r="E89" s="861"/>
      <c r="F89" s="861"/>
      <c r="G89" s="861"/>
      <c r="H89" s="861"/>
      <c r="I89" s="861"/>
      <c r="J89" s="861"/>
      <c r="K89" s="861"/>
      <c r="L89" s="861"/>
      <c r="M89" s="861"/>
      <c r="N89" s="861"/>
      <c r="O89" s="781">
        <f>1155</f>
        <v>1155</v>
      </c>
      <c r="P89" s="862"/>
      <c r="Q89" s="781"/>
      <c r="R89" s="861"/>
      <c r="S89" s="861"/>
      <c r="T89" s="861"/>
      <c r="U89" s="783">
        <f t="shared" si="6"/>
        <v>1155</v>
      </c>
      <c r="V89" s="781">
        <v>4017.8</v>
      </c>
      <c r="W89" s="784">
        <f t="shared" si="0"/>
        <v>46405.59</v>
      </c>
    </row>
    <row r="90" spans="1:23" s="789" customFormat="1" ht="42.75" x14ac:dyDescent="0.25">
      <c r="A90" s="779">
        <v>19</v>
      </c>
      <c r="B90" s="859" t="s">
        <v>57</v>
      </c>
      <c r="C90" s="780">
        <v>100</v>
      </c>
      <c r="D90" s="781">
        <v>960</v>
      </c>
      <c r="E90" s="781"/>
      <c r="F90" s="781"/>
      <c r="G90" s="781"/>
      <c r="H90" s="781"/>
      <c r="I90" s="781"/>
      <c r="J90" s="781">
        <v>960</v>
      </c>
      <c r="K90" s="781">
        <v>360</v>
      </c>
      <c r="L90" s="781">
        <v>600</v>
      </c>
      <c r="M90" s="781">
        <v>600</v>
      </c>
      <c r="N90" s="781"/>
      <c r="O90" s="781"/>
      <c r="P90" s="788"/>
      <c r="Q90" s="781"/>
      <c r="R90" s="781"/>
      <c r="S90" s="781"/>
      <c r="T90" s="781"/>
      <c r="U90" s="783">
        <f>SUM(D90:T90)</f>
        <v>3480</v>
      </c>
      <c r="V90" s="781">
        <v>4017.8</v>
      </c>
      <c r="W90" s="784">
        <f>V90*U90/C90</f>
        <v>139819.44</v>
      </c>
    </row>
    <row r="91" spans="1:23" ht="42.75" x14ac:dyDescent="0.25">
      <c r="A91" s="119">
        <v>3</v>
      </c>
      <c r="B91" s="808" t="s">
        <v>336</v>
      </c>
      <c r="C91" s="12">
        <v>100</v>
      </c>
      <c r="D91" s="101">
        <v>307</v>
      </c>
      <c r="E91" s="9"/>
      <c r="F91" s="9"/>
      <c r="G91" s="9">
        <v>384</v>
      </c>
      <c r="H91" s="9">
        <v>11823.77</v>
      </c>
      <c r="I91" s="9"/>
      <c r="J91" s="9"/>
      <c r="K91" s="9"/>
      <c r="L91" s="9"/>
      <c r="M91" s="9"/>
      <c r="N91" s="9"/>
      <c r="O91" s="25">
        <f>422.5+403</f>
        <v>825.5</v>
      </c>
      <c r="P91" s="17"/>
      <c r="Q91" s="25"/>
      <c r="R91" s="9"/>
      <c r="S91" s="9"/>
      <c r="T91" s="9"/>
      <c r="U91" s="13">
        <f t="shared" si="6"/>
        <v>13340.27</v>
      </c>
      <c r="V91" s="25">
        <v>27086.400000000001</v>
      </c>
      <c r="W91" s="15">
        <f t="shared" si="0"/>
        <v>3613398.89328</v>
      </c>
    </row>
    <row r="94" spans="1:23" x14ac:dyDescent="0.25">
      <c r="A94" s="119"/>
      <c r="B94" s="806"/>
      <c r="C94" s="12"/>
      <c r="D94" s="101"/>
      <c r="E94" s="9"/>
      <c r="F94" s="9"/>
      <c r="G94" s="9"/>
      <c r="H94" s="9"/>
      <c r="I94" s="9"/>
      <c r="J94" s="9"/>
      <c r="K94" s="9"/>
      <c r="L94" s="9"/>
      <c r="M94" s="9"/>
      <c r="N94" s="9"/>
      <c r="O94" s="14"/>
      <c r="P94" s="17"/>
      <c r="Q94" s="14"/>
      <c r="R94" s="14"/>
      <c r="S94" s="9"/>
      <c r="T94" s="9"/>
      <c r="U94" s="13"/>
      <c r="V94" s="14"/>
      <c r="W94" s="15"/>
    </row>
    <row r="95" spans="1:23" x14ac:dyDescent="0.25">
      <c r="A95" s="119"/>
      <c r="B95" s="806"/>
      <c r="C95" s="12"/>
      <c r="D95" s="101"/>
      <c r="E95" s="9"/>
      <c r="F95" s="9"/>
      <c r="G95" s="9"/>
      <c r="H95" s="9"/>
      <c r="I95" s="9"/>
      <c r="J95" s="9"/>
      <c r="K95" s="9"/>
      <c r="L95" s="9"/>
      <c r="M95" s="9"/>
      <c r="N95" s="9"/>
      <c r="O95" s="14"/>
      <c r="P95" s="17"/>
      <c r="Q95" s="14"/>
      <c r="R95" s="14"/>
      <c r="S95" s="9"/>
      <c r="T95" s="9"/>
      <c r="U95" s="13"/>
      <c r="V95" s="14"/>
      <c r="W95" s="15"/>
    </row>
    <row r="96" spans="1:23" ht="71.25" x14ac:dyDescent="0.25">
      <c r="A96" s="118">
        <v>5</v>
      </c>
      <c r="B96" s="806" t="s">
        <v>39</v>
      </c>
      <c r="C96" s="12">
        <v>1000</v>
      </c>
      <c r="D96" s="25">
        <v>6406.1200000000063</v>
      </c>
      <c r="E96" s="14"/>
      <c r="F96" s="14"/>
      <c r="G96" s="14"/>
      <c r="H96" s="14">
        <f>1489.6+1776</f>
        <v>3265.6</v>
      </c>
      <c r="I96" s="14"/>
      <c r="J96" s="14">
        <v>91276.01999999996</v>
      </c>
      <c r="K96" s="14">
        <v>36435.200000000041</v>
      </c>
      <c r="L96" s="14">
        <v>29517.97999999997</v>
      </c>
      <c r="M96" s="14">
        <v>21204.327294117251</v>
      </c>
      <c r="N96" s="14">
        <v>11161.160000000029</v>
      </c>
      <c r="O96" s="14">
        <f>2658.1+3274.04</f>
        <v>5932.1399999999994</v>
      </c>
      <c r="P96" s="14">
        <f>19789.77+23091.93</f>
        <v>42881.7</v>
      </c>
      <c r="Q96" s="14">
        <v>6543.0099999999993</v>
      </c>
      <c r="R96" s="14"/>
      <c r="S96" s="14"/>
      <c r="T96" s="13"/>
      <c r="U96" s="13">
        <f t="shared" si="6"/>
        <v>254623.2572941173</v>
      </c>
      <c r="V96" s="14">
        <v>12735.6</v>
      </c>
      <c r="W96" s="15">
        <f t="shared" si="0"/>
        <v>3242779.9555949601</v>
      </c>
    </row>
    <row r="97" spans="1:26" ht="42.75" x14ac:dyDescent="0.25">
      <c r="A97" s="44">
        <v>6</v>
      </c>
      <c r="B97" s="806" t="s">
        <v>20</v>
      </c>
      <c r="C97" s="12"/>
      <c r="D97" s="25"/>
      <c r="E97" s="14"/>
      <c r="F97" s="14"/>
      <c r="G97" s="14"/>
      <c r="H97" s="14"/>
      <c r="I97" s="14"/>
      <c r="J97" s="14"/>
      <c r="K97" s="14"/>
      <c r="L97" s="14"/>
      <c r="M97" s="14"/>
      <c r="N97" s="14"/>
      <c r="O97" s="14"/>
      <c r="P97" s="67"/>
      <c r="Q97" s="14"/>
      <c r="R97" s="14"/>
      <c r="S97" s="14"/>
      <c r="T97" s="14"/>
      <c r="U97" s="13">
        <f t="shared" si="6"/>
        <v>0</v>
      </c>
      <c r="V97" s="16"/>
      <c r="W97" s="16"/>
    </row>
    <row r="100" spans="1:26" s="785" customFormat="1" ht="85.5" x14ac:dyDescent="0.25">
      <c r="A100" s="779">
        <v>7</v>
      </c>
      <c r="B100" s="803" t="s">
        <v>40</v>
      </c>
      <c r="C100" s="864">
        <v>100</v>
      </c>
      <c r="D100" s="781">
        <f>12000.72+1992.52</f>
        <v>13993.24</v>
      </c>
      <c r="E100" s="782"/>
      <c r="F100" s="782"/>
      <c r="G100" s="782">
        <v>2080</v>
      </c>
      <c r="H100" s="782">
        <f>4803+61090.96</f>
        <v>65893.959999999992</v>
      </c>
      <c r="I100" s="782"/>
      <c r="J100" s="782">
        <v>71071.979999999967</v>
      </c>
      <c r="K100" s="782">
        <v>26990.400000000012</v>
      </c>
      <c r="L100" s="782">
        <v>29348.939999999984</v>
      </c>
      <c r="M100" s="782">
        <v>22179.123529411605</v>
      </c>
      <c r="N100" s="782">
        <v>10673.280000000015</v>
      </c>
      <c r="O100" s="782">
        <f>27968.8197405425+5932.68</f>
        <v>33901.499740542502</v>
      </c>
      <c r="P100" s="782">
        <f>12287.5941213826+15546.38</f>
        <v>27833.974121382598</v>
      </c>
      <c r="Q100" s="782">
        <v>20607.389095527535</v>
      </c>
      <c r="R100" s="782"/>
      <c r="S100" s="782"/>
      <c r="T100" s="783"/>
      <c r="U100" s="783">
        <f t="shared" si="6"/>
        <v>324573.78648686421</v>
      </c>
      <c r="V100" s="865">
        <v>30376.9</v>
      </c>
      <c r="W100" s="784">
        <f t="shared" si="0"/>
        <v>98595454.547328264</v>
      </c>
    </row>
    <row r="101" spans="1:26" s="789" customFormat="1" ht="85.5" x14ac:dyDescent="0.25">
      <c r="A101" s="779">
        <v>4</v>
      </c>
      <c r="B101" s="803" t="s">
        <v>40</v>
      </c>
      <c r="C101" s="866">
        <v>100</v>
      </c>
      <c r="D101" s="781">
        <v>6108.9827999999998</v>
      </c>
      <c r="E101" s="782"/>
      <c r="F101" s="782"/>
      <c r="G101" s="782">
        <v>4515.8106000000043</v>
      </c>
      <c r="H101" s="782"/>
      <c r="I101" s="782"/>
      <c r="J101" s="782">
        <v>44509.403099999989</v>
      </c>
      <c r="K101" s="790">
        <v>16212.101400000005</v>
      </c>
      <c r="L101" s="782">
        <v>35906.236199999992</v>
      </c>
      <c r="M101" s="782">
        <v>45010.326149999994</v>
      </c>
      <c r="N101" s="782">
        <v>9117.4861500000006</v>
      </c>
      <c r="O101" s="782"/>
      <c r="P101" s="782"/>
      <c r="Q101" s="782"/>
      <c r="R101" s="782"/>
      <c r="S101" s="782"/>
      <c r="T101" s="782"/>
      <c r="U101" s="783">
        <f>SUM(D101:T101)</f>
        <v>161380.34639999998</v>
      </c>
      <c r="V101" s="865">
        <v>30376.9</v>
      </c>
      <c r="W101" s="784">
        <f>V101*U101/C101</f>
        <v>49022346.4455816</v>
      </c>
    </row>
    <row r="102" spans="1:26" s="789" customFormat="1" ht="71.25" x14ac:dyDescent="0.25">
      <c r="A102" s="867">
        <v>10</v>
      </c>
      <c r="B102" s="803" t="s">
        <v>98</v>
      </c>
      <c r="C102" s="864">
        <v>100</v>
      </c>
      <c r="D102" s="781">
        <v>4141.7667000000001</v>
      </c>
      <c r="E102" s="782">
        <v>2070.8833500000001</v>
      </c>
      <c r="F102" s="782"/>
      <c r="G102" s="782">
        <v>7248.0917250000002</v>
      </c>
      <c r="H102" s="782">
        <v>5177.2083750000002</v>
      </c>
      <c r="I102" s="782"/>
      <c r="J102" s="782">
        <v>12425.3001</v>
      </c>
      <c r="K102" s="782">
        <v>1035.441675</v>
      </c>
      <c r="L102" s="782"/>
      <c r="M102" s="782"/>
      <c r="N102" s="782">
        <v>1035.441675</v>
      </c>
      <c r="O102" s="782"/>
      <c r="P102" s="782">
        <v>5177.2083750000002</v>
      </c>
      <c r="Q102" s="782"/>
      <c r="R102" s="782"/>
      <c r="S102" s="782"/>
      <c r="T102" s="782"/>
      <c r="U102" s="783">
        <f>SUM(D102:T102)</f>
        <v>38311.341975000003</v>
      </c>
      <c r="V102" s="782">
        <v>30376.9</v>
      </c>
      <c r="W102" s="784">
        <f>V102*U102/C102</f>
        <v>11637798.040403776</v>
      </c>
      <c r="X102" s="823">
        <f>K102*37</f>
        <v>38311.341975000003</v>
      </c>
      <c r="Y102" s="823">
        <f>U102-X102</f>
        <v>0</v>
      </c>
    </row>
    <row r="103" spans="1:26" s="789" customFormat="1" ht="71.25" x14ac:dyDescent="0.25">
      <c r="A103" s="779">
        <v>4</v>
      </c>
      <c r="B103" s="803" t="s">
        <v>170</v>
      </c>
      <c r="C103" s="864">
        <v>100</v>
      </c>
      <c r="D103" s="781"/>
      <c r="E103" s="782"/>
      <c r="F103" s="782"/>
      <c r="G103" s="782"/>
      <c r="H103" s="782">
        <v>117054.46856250001</v>
      </c>
      <c r="I103" s="782"/>
      <c r="J103" s="782">
        <v>63787.433850000016</v>
      </c>
      <c r="K103" s="782"/>
      <c r="L103" s="782">
        <v>40723.133175000003</v>
      </c>
      <c r="M103" s="782">
        <v>40760.528174999999</v>
      </c>
      <c r="N103" s="782"/>
      <c r="O103" s="782"/>
      <c r="P103" s="782">
        <v>129118.00590000002</v>
      </c>
      <c r="Q103" s="782"/>
      <c r="R103" s="782"/>
      <c r="S103" s="782"/>
      <c r="T103" s="782"/>
      <c r="U103" s="783">
        <f>SUM(D103:T103)</f>
        <v>391443.56966250006</v>
      </c>
      <c r="V103" s="865">
        <v>30376.9</v>
      </c>
      <c r="W103" s="784">
        <f>V103*U103/C103</f>
        <v>118908421.71280798</v>
      </c>
      <c r="Z103" s="868">
        <f>SUM(Z249:Z250)</f>
        <v>100209903.19147611</v>
      </c>
    </row>
    <row r="104" spans="1:26" s="789" customFormat="1" ht="71.25" x14ac:dyDescent="0.25">
      <c r="A104" s="867">
        <v>5</v>
      </c>
      <c r="B104" s="803" t="s">
        <v>205</v>
      </c>
      <c r="C104" s="864">
        <v>100</v>
      </c>
      <c r="D104" s="781"/>
      <c r="E104" s="782"/>
      <c r="F104" s="782"/>
      <c r="G104" s="782"/>
      <c r="H104" s="782"/>
      <c r="I104" s="782"/>
      <c r="J104" s="782">
        <v>9601.875</v>
      </c>
      <c r="K104" s="782">
        <v>2524.5</v>
      </c>
      <c r="L104" s="782">
        <v>9331.875</v>
      </c>
      <c r="M104" s="782">
        <v>9331.875</v>
      </c>
      <c r="N104" s="782">
        <v>3786.75</v>
      </c>
      <c r="O104" s="782"/>
      <c r="P104" s="782"/>
      <c r="Q104" s="782"/>
      <c r="R104" s="782"/>
      <c r="S104" s="782"/>
      <c r="T104" s="782"/>
      <c r="U104" s="783">
        <f>SUM(D104:T104)</f>
        <v>34576.875</v>
      </c>
      <c r="V104" s="865">
        <v>30376.9</v>
      </c>
      <c r="W104" s="784">
        <f>V104*U104/C104</f>
        <v>10503382.741875</v>
      </c>
    </row>
    <row r="105" spans="1:26" s="789" customFormat="1" ht="71.25" x14ac:dyDescent="0.25">
      <c r="A105" s="867">
        <v>10</v>
      </c>
      <c r="B105" s="803" t="s">
        <v>98</v>
      </c>
      <c r="C105" s="864">
        <v>100</v>
      </c>
      <c r="D105" s="781">
        <v>65173.289999999994</v>
      </c>
      <c r="E105" s="782"/>
      <c r="F105" s="782"/>
      <c r="G105" s="782"/>
      <c r="H105" s="782"/>
      <c r="I105" s="782"/>
      <c r="J105" s="782"/>
      <c r="K105" s="782"/>
      <c r="L105" s="782"/>
      <c r="M105" s="782"/>
      <c r="N105" s="782"/>
      <c r="O105" s="782"/>
      <c r="P105" s="782"/>
      <c r="Q105" s="782"/>
      <c r="R105" s="782"/>
      <c r="S105" s="782"/>
      <c r="T105" s="782"/>
      <c r="U105" s="783">
        <f>SUM(D105:T105)</f>
        <v>65173.289999999994</v>
      </c>
      <c r="V105" s="782">
        <v>30376.9</v>
      </c>
      <c r="W105" s="784">
        <f>V105*U105/C105</f>
        <v>19797625.130009998</v>
      </c>
    </row>
    <row r="106" spans="1:26" ht="114.75" x14ac:dyDescent="0.25">
      <c r="A106" s="44">
        <v>8</v>
      </c>
      <c r="B106" s="806" t="s">
        <v>443</v>
      </c>
      <c r="C106" s="12"/>
      <c r="D106" s="25"/>
      <c r="E106" s="14"/>
      <c r="F106" s="14"/>
      <c r="G106" s="14"/>
      <c r="H106" s="14"/>
      <c r="I106" s="14"/>
      <c r="J106" s="14"/>
      <c r="K106" s="14"/>
      <c r="L106" s="14"/>
      <c r="M106" s="14"/>
      <c r="N106" s="14"/>
      <c r="O106" s="14"/>
      <c r="P106" s="14"/>
      <c r="Q106" s="14"/>
      <c r="R106" s="14"/>
      <c r="S106" s="14"/>
      <c r="T106" s="35"/>
      <c r="U106" s="13">
        <f t="shared" si="6"/>
        <v>0</v>
      </c>
      <c r="V106" s="16"/>
      <c r="W106" s="16"/>
    </row>
    <row r="107" spans="1:26" s="972" customFormat="1" ht="71.25" x14ac:dyDescent="0.25">
      <c r="A107" s="965" t="s">
        <v>42</v>
      </c>
      <c r="B107" s="966" t="s">
        <v>43</v>
      </c>
      <c r="C107" s="967">
        <v>1</v>
      </c>
      <c r="D107" s="968">
        <f>2556.24000000001+499.88</f>
        <v>3056.1200000000099</v>
      </c>
      <c r="E107" s="969"/>
      <c r="F107" s="969"/>
      <c r="G107" s="969">
        <v>520</v>
      </c>
      <c r="H107" s="969">
        <f>1073+13743.27</f>
        <v>14816.27</v>
      </c>
      <c r="I107" s="969"/>
      <c r="J107" s="969">
        <v>17924.659999999996</v>
      </c>
      <c r="K107" s="969">
        <v>6956.8000000000038</v>
      </c>
      <c r="L107" s="969">
        <v>6710.9799999999941</v>
      </c>
      <c r="M107" s="969">
        <v>5135.041176470535</v>
      </c>
      <c r="N107" s="969">
        <v>2549.7600000000048</v>
      </c>
      <c r="O107" s="969">
        <f>6010.66+1345.56</f>
        <v>7356.2199999999993</v>
      </c>
      <c r="P107" s="969">
        <f>2130.79+3157.12</f>
        <v>5287.91</v>
      </c>
      <c r="Q107" s="969">
        <v>4517.97</v>
      </c>
      <c r="R107" s="969"/>
      <c r="S107" s="969"/>
      <c r="T107" s="970"/>
      <c r="U107" s="970">
        <f t="shared" si="6"/>
        <v>74831.731176470537</v>
      </c>
      <c r="V107" s="969">
        <v>817.55</v>
      </c>
      <c r="W107" s="971">
        <f t="shared" ref="W107:W170" si="7">V107*U107/C107</f>
        <v>61178681.823323481</v>
      </c>
    </row>
    <row r="108" spans="1:26" s="973" customFormat="1" ht="57" x14ac:dyDescent="0.25">
      <c r="A108" s="965"/>
      <c r="B108" s="966" t="s">
        <v>161</v>
      </c>
      <c r="C108" s="967">
        <v>1</v>
      </c>
      <c r="D108" s="968"/>
      <c r="E108" s="969"/>
      <c r="F108" s="969"/>
      <c r="G108" s="969"/>
      <c r="H108" s="969">
        <v>16160.050625000002</v>
      </c>
      <c r="I108" s="969"/>
      <c r="J108" s="969">
        <v>9101.6800000000039</v>
      </c>
      <c r="K108" s="969"/>
      <c r="L108" s="969">
        <v>5753.3425000000007</v>
      </c>
      <c r="M108" s="969">
        <v>5794.4625000000005</v>
      </c>
      <c r="N108" s="969"/>
      <c r="O108" s="969"/>
      <c r="P108" s="969">
        <v>18946.310000000005</v>
      </c>
      <c r="Q108" s="969"/>
      <c r="R108" s="969"/>
      <c r="S108" s="969"/>
      <c r="T108" s="969"/>
      <c r="U108" s="970">
        <f>SUM(D108:T108)</f>
        <v>55755.845625000009</v>
      </c>
      <c r="V108" s="969">
        <v>817.55</v>
      </c>
      <c r="W108" s="971">
        <f>V108*U108/C108</f>
        <v>45583191.590718754</v>
      </c>
    </row>
    <row r="109" spans="1:26" s="973" customFormat="1" ht="71.25" x14ac:dyDescent="0.25">
      <c r="A109" s="974"/>
      <c r="B109" s="966" t="s">
        <v>86</v>
      </c>
      <c r="C109" s="967">
        <v>1</v>
      </c>
      <c r="D109" s="968"/>
      <c r="E109" s="969"/>
      <c r="F109" s="969"/>
      <c r="G109" s="969"/>
      <c r="H109" s="969"/>
      <c r="I109" s="969"/>
      <c r="J109" s="969">
        <v>2377.125</v>
      </c>
      <c r="K109" s="969">
        <v>625.5</v>
      </c>
      <c r="L109" s="969">
        <v>2314.125</v>
      </c>
      <c r="M109" s="969">
        <v>2314.125</v>
      </c>
      <c r="N109" s="969">
        <v>938.25</v>
      </c>
      <c r="O109" s="969"/>
      <c r="P109" s="969"/>
      <c r="Q109" s="969"/>
      <c r="R109" s="969"/>
      <c r="S109" s="969"/>
      <c r="T109" s="969"/>
      <c r="U109" s="970">
        <f>SUM(D109:T109)</f>
        <v>8569.125</v>
      </c>
      <c r="V109" s="969">
        <v>817.55</v>
      </c>
      <c r="W109" s="971">
        <f>V109*U109/C109</f>
        <v>7005688.1437499998</v>
      </c>
    </row>
    <row r="110" spans="1:26" s="973" customFormat="1" ht="71.25" x14ac:dyDescent="0.25">
      <c r="A110" s="965" t="s">
        <v>42</v>
      </c>
      <c r="B110" s="966" t="s">
        <v>43</v>
      </c>
      <c r="C110" s="967">
        <v>1</v>
      </c>
      <c r="D110" s="968">
        <v>1266.9126000000001</v>
      </c>
      <c r="E110" s="969"/>
      <c r="F110" s="969"/>
      <c r="G110" s="969">
        <v>1063.0377000000012</v>
      </c>
      <c r="H110" s="969"/>
      <c r="I110" s="969"/>
      <c r="J110" s="969">
        <v>10355.410199999998</v>
      </c>
      <c r="K110" s="975">
        <v>3788.5038000000013</v>
      </c>
      <c r="L110" s="969">
        <v>7756.1378999999961</v>
      </c>
      <c r="M110" s="969">
        <v>9694.2370499999979</v>
      </c>
      <c r="N110" s="969">
        <v>1761.1120500000006</v>
      </c>
      <c r="O110" s="969"/>
      <c r="P110" s="969"/>
      <c r="Q110" s="969"/>
      <c r="R110" s="969"/>
      <c r="S110" s="969"/>
      <c r="T110" s="969"/>
      <c r="U110" s="970">
        <f>SUM(D110:T110)</f>
        <v>35685.351299999995</v>
      </c>
      <c r="V110" s="969">
        <v>817.55</v>
      </c>
      <c r="W110" s="971">
        <f>V110*U110/C110</f>
        <v>29174558.955314994</v>
      </c>
    </row>
    <row r="111" spans="1:26" s="972" customFormat="1" x14ac:dyDescent="0.25">
      <c r="A111" s="965"/>
      <c r="B111" s="966"/>
      <c r="C111" s="967"/>
      <c r="D111" s="968"/>
      <c r="E111" s="969"/>
      <c r="F111" s="969"/>
      <c r="G111" s="969"/>
      <c r="H111" s="969"/>
      <c r="I111" s="969"/>
      <c r="J111" s="969"/>
      <c r="K111" s="969"/>
      <c r="L111" s="969"/>
      <c r="M111" s="969"/>
      <c r="N111" s="969"/>
      <c r="O111" s="969"/>
      <c r="P111" s="969"/>
      <c r="Q111" s="969"/>
      <c r="R111" s="969"/>
      <c r="S111" s="969"/>
      <c r="T111" s="970"/>
      <c r="U111" s="970"/>
      <c r="V111" s="969"/>
      <c r="W111" s="971"/>
    </row>
    <row r="112" spans="1:26" s="972" customFormat="1" x14ac:dyDescent="0.25">
      <c r="A112" s="965"/>
      <c r="B112" s="966"/>
      <c r="C112" s="967"/>
      <c r="D112" s="968"/>
      <c r="E112" s="969"/>
      <c r="F112" s="969"/>
      <c r="G112" s="969"/>
      <c r="H112" s="969"/>
      <c r="I112" s="969"/>
      <c r="J112" s="969"/>
      <c r="K112" s="969"/>
      <c r="L112" s="969"/>
      <c r="M112" s="969"/>
      <c r="N112" s="969"/>
      <c r="O112" s="969"/>
      <c r="P112" s="969"/>
      <c r="Q112" s="969"/>
      <c r="R112" s="969"/>
      <c r="S112" s="969"/>
      <c r="T112" s="970"/>
      <c r="U112" s="970"/>
      <c r="V112" s="969"/>
      <c r="W112" s="971"/>
    </row>
    <row r="113" spans="1:23" s="972" customFormat="1" x14ac:dyDescent="0.25">
      <c r="A113" s="965"/>
      <c r="B113" s="966"/>
      <c r="C113" s="967"/>
      <c r="D113" s="968"/>
      <c r="E113" s="969"/>
      <c r="F113" s="969"/>
      <c r="G113" s="969"/>
      <c r="H113" s="969"/>
      <c r="I113" s="969"/>
      <c r="J113" s="969"/>
      <c r="K113" s="969"/>
      <c r="L113" s="969"/>
      <c r="M113" s="969"/>
      <c r="N113" s="969"/>
      <c r="O113" s="969"/>
      <c r="P113" s="969"/>
      <c r="Q113" s="969"/>
      <c r="R113" s="969"/>
      <c r="S113" s="969"/>
      <c r="T113" s="970"/>
      <c r="U113" s="970"/>
      <c r="V113" s="969"/>
      <c r="W113" s="971"/>
    </row>
    <row r="114" spans="1:23" s="972" customFormat="1" ht="71.25" x14ac:dyDescent="0.25">
      <c r="A114" s="965" t="s">
        <v>44</v>
      </c>
      <c r="B114" s="966" t="s">
        <v>45</v>
      </c>
      <c r="C114" s="967">
        <v>1</v>
      </c>
      <c r="D114" s="968">
        <v>1444</v>
      </c>
      <c r="E114" s="969"/>
      <c r="F114" s="969"/>
      <c r="G114" s="969" t="s">
        <v>420</v>
      </c>
      <c r="H114" s="969">
        <f>528+192</f>
        <v>720</v>
      </c>
      <c r="I114" s="969"/>
      <c r="J114" s="969">
        <v>5766</v>
      </c>
      <c r="K114" s="969">
        <v>2040</v>
      </c>
      <c r="L114" s="969">
        <v>3072</v>
      </c>
      <c r="M114" s="969">
        <v>2258</v>
      </c>
      <c r="N114" s="969">
        <v>1008</v>
      </c>
      <c r="O114" s="969">
        <f>2797.92+632</f>
        <v>3429.92</v>
      </c>
      <c r="P114" s="969">
        <f>1739.1+1739.1</f>
        <v>3478.2</v>
      </c>
      <c r="Q114" s="969">
        <v>1972.18</v>
      </c>
      <c r="R114" s="969"/>
      <c r="S114" s="969"/>
      <c r="T114" s="970"/>
      <c r="U114" s="970">
        <f t="shared" si="6"/>
        <v>25188.3</v>
      </c>
      <c r="V114" s="969">
        <v>670.5</v>
      </c>
      <c r="W114" s="971">
        <f t="shared" si="7"/>
        <v>16888755.149999999</v>
      </c>
    </row>
    <row r="115" spans="1:23" s="973" customFormat="1" ht="71.25" x14ac:dyDescent="0.25">
      <c r="A115" s="965" t="s">
        <v>44</v>
      </c>
      <c r="B115" s="966" t="s">
        <v>45</v>
      </c>
      <c r="C115" s="967">
        <v>1</v>
      </c>
      <c r="D115" s="968">
        <v>769.41499999999996</v>
      </c>
      <c r="E115" s="969"/>
      <c r="F115" s="969"/>
      <c r="G115" s="969">
        <v>442.23249999999996</v>
      </c>
      <c r="H115" s="969"/>
      <c r="I115" s="969"/>
      <c r="J115" s="969">
        <v>4481.0575000000008</v>
      </c>
      <c r="K115" s="975">
        <v>1615.53</v>
      </c>
      <c r="L115" s="969">
        <v>4212.607500000001</v>
      </c>
      <c r="M115" s="969">
        <v>5309.2050000000017</v>
      </c>
      <c r="N115" s="969">
        <v>1278.0500000000002</v>
      </c>
      <c r="O115" s="969"/>
      <c r="P115" s="969"/>
      <c r="Q115" s="969"/>
      <c r="R115" s="969"/>
      <c r="S115" s="969"/>
      <c r="T115" s="969"/>
      <c r="U115" s="970">
        <f>SUM(D115:T115)</f>
        <v>18108.097500000003</v>
      </c>
      <c r="V115" s="969">
        <v>670.5</v>
      </c>
      <c r="W115" s="971">
        <f>V115*U115/C115</f>
        <v>12141479.373750003</v>
      </c>
    </row>
    <row r="116" spans="1:23" s="973" customFormat="1" ht="71.25" x14ac:dyDescent="0.25">
      <c r="A116" s="974"/>
      <c r="B116" s="966" t="s">
        <v>160</v>
      </c>
      <c r="C116" s="967">
        <v>1</v>
      </c>
      <c r="D116" s="968"/>
      <c r="E116" s="969"/>
      <c r="F116" s="969"/>
      <c r="G116" s="969"/>
      <c r="H116" s="969"/>
      <c r="I116" s="969"/>
      <c r="J116" s="969">
        <v>823.5</v>
      </c>
      <c r="K116" s="969">
        <v>216</v>
      </c>
      <c r="L116" s="969">
        <v>796.5</v>
      </c>
      <c r="M116" s="969">
        <v>796.5</v>
      </c>
      <c r="N116" s="969">
        <v>324</v>
      </c>
      <c r="O116" s="969"/>
      <c r="P116" s="969"/>
      <c r="Q116" s="969"/>
      <c r="R116" s="969"/>
      <c r="S116" s="969"/>
      <c r="T116" s="969"/>
      <c r="U116" s="970">
        <f>SUM(D116:T116)</f>
        <v>2956.5</v>
      </c>
      <c r="V116" s="969">
        <v>670.5</v>
      </c>
      <c r="W116" s="971">
        <f>V116*U116/C116</f>
        <v>1982333.25</v>
      </c>
    </row>
    <row r="117" spans="1:23" s="973" customFormat="1" ht="57" x14ac:dyDescent="0.25">
      <c r="A117" s="965"/>
      <c r="B117" s="966" t="s">
        <v>402</v>
      </c>
      <c r="C117" s="967">
        <v>1</v>
      </c>
      <c r="D117" s="968"/>
      <c r="E117" s="969"/>
      <c r="F117" s="969"/>
      <c r="G117" s="969"/>
      <c r="H117" s="969">
        <v>9852.0535</v>
      </c>
      <c r="I117" s="969"/>
      <c r="J117" s="969">
        <v>5073.3052999999991</v>
      </c>
      <c r="K117" s="969"/>
      <c r="L117" s="969">
        <v>3296.2426499999997</v>
      </c>
      <c r="M117" s="969">
        <v>3263.4326499999997</v>
      </c>
      <c r="N117" s="969"/>
      <c r="O117" s="969"/>
      <c r="P117" s="969">
        <v>9746.5802000000003</v>
      </c>
      <c r="Q117" s="969"/>
      <c r="R117" s="969"/>
      <c r="S117" s="969"/>
      <c r="T117" s="969"/>
      <c r="U117" s="970">
        <f>SUM(D117:T117)</f>
        <v>31231.614299999997</v>
      </c>
      <c r="V117" s="969">
        <v>670.5</v>
      </c>
      <c r="W117" s="971">
        <f>V117*U117/C117</f>
        <v>20940797.388149999</v>
      </c>
    </row>
    <row r="118" spans="1:23" x14ac:dyDescent="0.25">
      <c r="A118" s="44"/>
      <c r="B118" s="806"/>
      <c r="C118" s="12"/>
      <c r="D118" s="25"/>
      <c r="E118" s="14"/>
      <c r="F118" s="14"/>
      <c r="G118" s="14"/>
      <c r="H118" s="14"/>
      <c r="I118" s="14"/>
      <c r="J118" s="14"/>
      <c r="K118" s="14"/>
      <c r="L118" s="14"/>
      <c r="M118" s="14"/>
      <c r="N118" s="14"/>
      <c r="O118" s="14"/>
      <c r="P118" s="14"/>
      <c r="Q118" s="14"/>
      <c r="R118" s="14"/>
      <c r="S118" s="14"/>
      <c r="T118" s="13"/>
      <c r="U118" s="13"/>
      <c r="V118" s="14"/>
      <c r="W118" s="15"/>
    </row>
    <row r="119" spans="1:23" x14ac:dyDescent="0.25">
      <c r="A119" s="44"/>
      <c r="B119" s="806"/>
      <c r="C119" s="12"/>
      <c r="D119" s="25"/>
      <c r="E119" s="14"/>
      <c r="F119" s="14"/>
      <c r="G119" s="14"/>
      <c r="H119" s="14"/>
      <c r="I119" s="14"/>
      <c r="J119" s="14"/>
      <c r="K119" s="14"/>
      <c r="L119" s="14"/>
      <c r="M119" s="14"/>
      <c r="N119" s="14"/>
      <c r="O119" s="14"/>
      <c r="P119" s="14"/>
      <c r="Q119" s="14"/>
      <c r="R119" s="14"/>
      <c r="S119" s="14"/>
      <c r="T119" s="13"/>
      <c r="U119" s="13"/>
      <c r="V119" s="14"/>
      <c r="W119" s="15"/>
    </row>
    <row r="120" spans="1:23" x14ac:dyDescent="0.25">
      <c r="A120" s="44"/>
      <c r="B120" s="806"/>
      <c r="C120" s="12"/>
      <c r="D120" s="25"/>
      <c r="E120" s="14"/>
      <c r="F120" s="14"/>
      <c r="G120" s="14"/>
      <c r="H120" s="14"/>
      <c r="I120" s="14"/>
      <c r="J120" s="14"/>
      <c r="K120" s="14"/>
      <c r="L120" s="14"/>
      <c r="M120" s="14"/>
      <c r="N120" s="14"/>
      <c r="O120" s="14"/>
      <c r="P120" s="14"/>
      <c r="Q120" s="14"/>
      <c r="R120" s="14"/>
      <c r="S120" s="14"/>
      <c r="T120" s="13"/>
      <c r="U120" s="13"/>
      <c r="V120" s="14"/>
      <c r="W120" s="15"/>
    </row>
    <row r="121" spans="1:23" x14ac:dyDescent="0.25">
      <c r="A121" s="44"/>
      <c r="B121" s="806"/>
      <c r="C121" s="12"/>
      <c r="D121" s="25"/>
      <c r="E121" s="14"/>
      <c r="F121" s="14"/>
      <c r="G121" s="14"/>
      <c r="H121" s="14"/>
      <c r="I121" s="14"/>
      <c r="J121" s="14"/>
      <c r="K121" s="14"/>
      <c r="L121" s="14"/>
      <c r="M121" s="14"/>
      <c r="N121" s="14"/>
      <c r="O121" s="14"/>
      <c r="P121" s="14"/>
      <c r="Q121" s="14"/>
      <c r="R121" s="14"/>
      <c r="S121" s="14"/>
      <c r="T121" s="13"/>
      <c r="U121" s="13"/>
      <c r="V121" s="14"/>
      <c r="W121" s="15"/>
    </row>
    <row r="122" spans="1:23" x14ac:dyDescent="0.25">
      <c r="A122" s="44"/>
      <c r="B122" s="806"/>
      <c r="C122" s="12"/>
      <c r="D122" s="25"/>
      <c r="E122" s="14"/>
      <c r="F122" s="14"/>
      <c r="G122" s="14"/>
      <c r="H122" s="14"/>
      <c r="I122" s="14"/>
      <c r="J122" s="14"/>
      <c r="K122" s="14"/>
      <c r="L122" s="14"/>
      <c r="M122" s="14"/>
      <c r="N122" s="14"/>
      <c r="O122" s="14"/>
      <c r="P122" s="14"/>
      <c r="Q122" s="14"/>
      <c r="R122" s="14"/>
      <c r="S122" s="14"/>
      <c r="T122" s="13"/>
      <c r="U122" s="13"/>
      <c r="V122" s="14"/>
      <c r="W122" s="15"/>
    </row>
    <row r="123" spans="1:23" x14ac:dyDescent="0.25">
      <c r="A123" s="44"/>
      <c r="B123" s="806"/>
      <c r="C123" s="12"/>
      <c r="D123" s="25"/>
      <c r="E123" s="14"/>
      <c r="F123" s="14"/>
      <c r="G123" s="14"/>
      <c r="H123" s="14"/>
      <c r="I123" s="14"/>
      <c r="J123" s="14"/>
      <c r="K123" s="14"/>
      <c r="L123" s="14"/>
      <c r="M123" s="14"/>
      <c r="N123" s="14"/>
      <c r="O123" s="14"/>
      <c r="P123" s="14"/>
      <c r="Q123" s="14"/>
      <c r="R123" s="14"/>
      <c r="S123" s="14"/>
      <c r="T123" s="13"/>
      <c r="U123" s="13"/>
      <c r="V123" s="14"/>
      <c r="W123" s="15"/>
    </row>
    <row r="124" spans="1:23" ht="42.75" x14ac:dyDescent="0.25">
      <c r="A124" s="44">
        <v>9</v>
      </c>
      <c r="B124" s="810" t="s">
        <v>71</v>
      </c>
      <c r="C124" s="31">
        <v>1</v>
      </c>
      <c r="D124" s="25">
        <v>190</v>
      </c>
      <c r="E124" s="14"/>
      <c r="F124" s="14"/>
      <c r="G124" s="14">
        <v>180</v>
      </c>
      <c r="H124" s="14"/>
      <c r="I124" s="14"/>
      <c r="J124" s="14"/>
      <c r="K124" s="14"/>
      <c r="L124" s="14"/>
      <c r="M124" s="14"/>
      <c r="N124" s="14"/>
      <c r="O124" s="14">
        <v>51.34</v>
      </c>
      <c r="P124" s="67"/>
      <c r="Q124" s="14"/>
      <c r="R124" s="14"/>
      <c r="S124" s="14"/>
      <c r="T124" s="14"/>
      <c r="U124" s="13">
        <f t="shared" si="6"/>
        <v>421.34000000000003</v>
      </c>
      <c r="V124" s="14">
        <v>809.4</v>
      </c>
      <c r="W124" s="15">
        <f t="shared" si="7"/>
        <v>341032.59600000002</v>
      </c>
    </row>
    <row r="125" spans="1:23" ht="28.5" x14ac:dyDescent="0.25">
      <c r="A125" s="44">
        <v>10</v>
      </c>
      <c r="B125" s="806" t="s">
        <v>46</v>
      </c>
      <c r="C125" s="19">
        <v>100</v>
      </c>
      <c r="D125" s="25">
        <v>2739.760000000007</v>
      </c>
      <c r="E125" s="14"/>
      <c r="F125" s="14"/>
      <c r="G125" s="14"/>
      <c r="H125" s="14">
        <f>944</f>
        <v>944</v>
      </c>
      <c r="I125" s="14"/>
      <c r="J125" s="14">
        <v>16855.639999999992</v>
      </c>
      <c r="K125" s="14">
        <v>7707.6000000000076</v>
      </c>
      <c r="L125" s="14">
        <v>6537.2799999999952</v>
      </c>
      <c r="M125" s="14">
        <v>4909.2811764705175</v>
      </c>
      <c r="N125" s="14">
        <v>2884.8000000000065</v>
      </c>
      <c r="O125" s="14">
        <f>2047.1232+1117.92</f>
        <v>3165.0432000000001</v>
      </c>
      <c r="P125" s="14">
        <f>978.1224+1471.48</f>
        <v>2449.6023999999998</v>
      </c>
      <c r="Q125" s="14">
        <v>2183.8119999999999</v>
      </c>
      <c r="R125" s="14"/>
      <c r="S125" s="14"/>
      <c r="T125" s="14"/>
      <c r="U125" s="13">
        <f t="shared" si="6"/>
        <v>50376.818776470529</v>
      </c>
      <c r="V125" s="25">
        <v>1645.1</v>
      </c>
      <c r="W125" s="15">
        <f t="shared" si="7"/>
        <v>828749.04569171672</v>
      </c>
    </row>
    <row r="126" spans="1:23" ht="42.75" x14ac:dyDescent="0.25">
      <c r="A126" s="44">
        <v>11</v>
      </c>
      <c r="B126" s="806" t="s">
        <v>111</v>
      </c>
      <c r="C126" s="31">
        <v>1</v>
      </c>
      <c r="D126" s="25"/>
      <c r="E126" s="14"/>
      <c r="F126" s="14"/>
      <c r="G126" s="14"/>
      <c r="H126" s="14"/>
      <c r="I126" s="14"/>
      <c r="J126" s="14"/>
      <c r="K126" s="14"/>
      <c r="L126" s="14"/>
      <c r="M126" s="14"/>
      <c r="N126" s="14"/>
      <c r="O126" s="14">
        <v>6</v>
      </c>
      <c r="P126" s="14">
        <f>6+6</f>
        <v>12</v>
      </c>
      <c r="Q126" s="14">
        <v>6</v>
      </c>
      <c r="R126" s="14"/>
      <c r="S126" s="14"/>
      <c r="T126" s="17"/>
      <c r="U126" s="13">
        <f t="shared" si="6"/>
        <v>24</v>
      </c>
      <c r="V126" s="25">
        <v>514.9</v>
      </c>
      <c r="W126" s="15">
        <f t="shared" si="7"/>
        <v>12357.599999999999</v>
      </c>
    </row>
    <row r="127" spans="1:23" s="154" customFormat="1" x14ac:dyDescent="0.25">
      <c r="A127" s="121">
        <v>12</v>
      </c>
      <c r="B127" s="811" t="s">
        <v>87</v>
      </c>
      <c r="C127" s="36">
        <v>1</v>
      </c>
      <c r="D127" s="33">
        <v>12</v>
      </c>
      <c r="E127" s="33"/>
      <c r="F127" s="33"/>
      <c r="G127" s="33">
        <v>6</v>
      </c>
      <c r="H127" s="33">
        <v>30</v>
      </c>
      <c r="I127" s="33"/>
      <c r="J127" s="33"/>
      <c r="K127" s="33"/>
      <c r="L127" s="33"/>
      <c r="M127" s="33"/>
      <c r="N127" s="33"/>
      <c r="O127" s="33"/>
      <c r="P127" s="33"/>
      <c r="Q127" s="33"/>
      <c r="R127" s="33"/>
      <c r="S127" s="33"/>
      <c r="T127" s="13"/>
      <c r="U127" s="13">
        <f t="shared" si="6"/>
        <v>48</v>
      </c>
      <c r="V127" s="33">
        <v>378.75</v>
      </c>
      <c r="W127" s="15">
        <f>V127*U127/C127</f>
        <v>18180</v>
      </c>
    </row>
    <row r="128" spans="1:23" ht="42.75" x14ac:dyDescent="0.25">
      <c r="A128" s="44">
        <v>13</v>
      </c>
      <c r="B128" s="806" t="s">
        <v>47</v>
      </c>
      <c r="C128" s="31">
        <v>1</v>
      </c>
      <c r="D128" s="25">
        <v>13.5</v>
      </c>
      <c r="E128" s="14"/>
      <c r="F128" s="14"/>
      <c r="G128" s="14"/>
      <c r="H128" s="14">
        <v>6</v>
      </c>
      <c r="I128" s="14"/>
      <c r="J128" s="14">
        <v>60</v>
      </c>
      <c r="K128" s="14">
        <v>22.5</v>
      </c>
      <c r="L128" s="14">
        <v>31.5</v>
      </c>
      <c r="M128" s="14">
        <v>22.5</v>
      </c>
      <c r="N128" s="14">
        <v>13.5</v>
      </c>
      <c r="O128" s="14"/>
      <c r="P128" s="67"/>
      <c r="Q128" s="14"/>
      <c r="R128" s="14"/>
      <c r="S128" s="14"/>
      <c r="T128" s="14"/>
      <c r="U128" s="13">
        <f t="shared" si="6"/>
        <v>169.5</v>
      </c>
      <c r="V128" s="25">
        <v>303.8</v>
      </c>
      <c r="W128" s="15">
        <f t="shared" si="7"/>
        <v>51494.1</v>
      </c>
    </row>
    <row r="129" spans="1:24" ht="85.5" x14ac:dyDescent="0.25">
      <c r="A129" s="44">
        <v>14</v>
      </c>
      <c r="B129" s="806" t="s">
        <v>164</v>
      </c>
      <c r="C129" s="36">
        <v>1</v>
      </c>
      <c r="D129" s="25">
        <v>96</v>
      </c>
      <c r="E129" s="14"/>
      <c r="F129" s="14"/>
      <c r="G129" s="14">
        <v>48</v>
      </c>
      <c r="H129" s="14">
        <f>48+320</f>
        <v>368</v>
      </c>
      <c r="I129" s="14"/>
      <c r="J129" s="14"/>
      <c r="K129" s="67"/>
      <c r="L129" s="67"/>
      <c r="M129" s="14"/>
      <c r="N129" s="14"/>
      <c r="O129" s="14">
        <v>112</v>
      </c>
      <c r="P129" s="67"/>
      <c r="Q129" s="14"/>
      <c r="R129" s="14"/>
      <c r="S129" s="14"/>
      <c r="T129" s="14"/>
      <c r="U129" s="13">
        <f t="shared" si="6"/>
        <v>624</v>
      </c>
      <c r="V129" s="13">
        <v>2150.35</v>
      </c>
      <c r="W129" s="15">
        <f t="shared" si="7"/>
        <v>1341818.3999999999</v>
      </c>
    </row>
    <row r="130" spans="1:24" s="154" customFormat="1" ht="99.75" x14ac:dyDescent="0.25">
      <c r="A130" s="44">
        <v>15</v>
      </c>
      <c r="B130" s="808" t="s">
        <v>422</v>
      </c>
      <c r="C130" s="12">
        <v>100</v>
      </c>
      <c r="D130" s="25">
        <v>480</v>
      </c>
      <c r="E130" s="14"/>
      <c r="F130" s="14"/>
      <c r="G130" s="14"/>
      <c r="H130" s="14"/>
      <c r="I130" s="14"/>
      <c r="J130" s="14">
        <v>480</v>
      </c>
      <c r="K130" s="14">
        <v>180</v>
      </c>
      <c r="L130" s="14">
        <v>300</v>
      </c>
      <c r="M130" s="14">
        <v>350</v>
      </c>
      <c r="N130" s="14"/>
      <c r="O130" s="14">
        <v>825</v>
      </c>
      <c r="P130" s="16"/>
      <c r="Q130" s="14"/>
      <c r="R130" s="14"/>
      <c r="S130" s="14"/>
      <c r="T130" s="14"/>
      <c r="U130" s="13">
        <f t="shared" si="6"/>
        <v>2615</v>
      </c>
      <c r="V130" s="14">
        <v>10003.5</v>
      </c>
      <c r="W130" s="15">
        <f t="shared" si="7"/>
        <v>261591.52499999999</v>
      </c>
    </row>
    <row r="131" spans="1:24" s="154" customFormat="1" ht="99.75" x14ac:dyDescent="0.25">
      <c r="A131" s="44">
        <v>16</v>
      </c>
      <c r="B131" s="808" t="s">
        <v>423</v>
      </c>
      <c r="C131" s="12">
        <v>100</v>
      </c>
      <c r="D131" s="25">
        <v>480</v>
      </c>
      <c r="E131" s="14"/>
      <c r="F131" s="14"/>
      <c r="G131" s="14"/>
      <c r="H131" s="14"/>
      <c r="I131" s="14"/>
      <c r="J131" s="14">
        <v>480</v>
      </c>
      <c r="K131" s="14">
        <v>180</v>
      </c>
      <c r="L131" s="14">
        <v>300</v>
      </c>
      <c r="M131" s="14">
        <v>350</v>
      </c>
      <c r="N131" s="14"/>
      <c r="O131" s="14">
        <v>825</v>
      </c>
      <c r="P131" s="16"/>
      <c r="Q131" s="14"/>
      <c r="R131" s="14"/>
      <c r="S131" s="14"/>
      <c r="T131" s="14"/>
      <c r="U131" s="13">
        <f t="shared" si="6"/>
        <v>2615</v>
      </c>
      <c r="V131" s="14">
        <v>13527.4</v>
      </c>
      <c r="W131" s="15">
        <f t="shared" si="7"/>
        <v>353741.51</v>
      </c>
    </row>
    <row r="132" spans="1:24" s="154" customFormat="1" ht="28.5" x14ac:dyDescent="0.25">
      <c r="A132" s="44">
        <v>17</v>
      </c>
      <c r="B132" s="808" t="s">
        <v>50</v>
      </c>
      <c r="C132" s="31">
        <v>1</v>
      </c>
      <c r="D132" s="25">
        <v>120</v>
      </c>
      <c r="E132" s="14"/>
      <c r="F132" s="14"/>
      <c r="G132" s="14"/>
      <c r="H132" s="14"/>
      <c r="I132" s="14"/>
      <c r="J132" s="14">
        <v>160</v>
      </c>
      <c r="K132" s="14">
        <v>60</v>
      </c>
      <c r="L132" s="14">
        <v>60</v>
      </c>
      <c r="M132" s="14">
        <v>100</v>
      </c>
      <c r="N132" s="14"/>
      <c r="O132" s="14">
        <v>200</v>
      </c>
      <c r="P132" s="16"/>
      <c r="Q132" s="14"/>
      <c r="R132" s="14"/>
      <c r="S132" s="14"/>
      <c r="T132" s="14"/>
      <c r="U132" s="13">
        <f t="shared" si="6"/>
        <v>700</v>
      </c>
      <c r="V132" s="14">
        <v>64.2</v>
      </c>
      <c r="W132" s="15">
        <f t="shared" si="7"/>
        <v>44940</v>
      </c>
    </row>
    <row r="133" spans="1:24" s="154" customFormat="1" ht="85.5" x14ac:dyDescent="0.25">
      <c r="A133" s="44">
        <v>18</v>
      </c>
      <c r="B133" s="808" t="s">
        <v>392</v>
      </c>
      <c r="C133" s="19"/>
      <c r="D133" s="14"/>
      <c r="E133" s="14"/>
      <c r="F133" s="14"/>
      <c r="G133" s="14"/>
      <c r="H133" s="14"/>
      <c r="I133" s="14"/>
      <c r="J133" s="14"/>
      <c r="K133" s="16"/>
      <c r="L133" s="16"/>
      <c r="M133" s="14"/>
      <c r="N133" s="14"/>
      <c r="O133" s="14"/>
      <c r="P133" s="14"/>
      <c r="Q133" s="14"/>
      <c r="R133" s="14"/>
      <c r="S133" s="14"/>
      <c r="T133" s="14"/>
      <c r="U133" s="13">
        <f t="shared" si="6"/>
        <v>0</v>
      </c>
      <c r="V133" s="14"/>
      <c r="W133" s="14"/>
    </row>
    <row r="134" spans="1:24" s="154" customFormat="1" ht="42.75" x14ac:dyDescent="0.25">
      <c r="A134" s="44" t="s">
        <v>51</v>
      </c>
      <c r="B134" s="808" t="s">
        <v>52</v>
      </c>
      <c r="C134" s="19">
        <v>100</v>
      </c>
      <c r="D134" s="25">
        <v>960</v>
      </c>
      <c r="E134" s="25"/>
      <c r="F134" s="25"/>
      <c r="G134" s="25"/>
      <c r="H134" s="25"/>
      <c r="I134" s="25"/>
      <c r="J134" s="25">
        <v>960</v>
      </c>
      <c r="K134" s="25">
        <v>360</v>
      </c>
      <c r="L134" s="25">
        <v>600</v>
      </c>
      <c r="M134" s="25">
        <v>700</v>
      </c>
      <c r="N134" s="25"/>
      <c r="O134" s="25">
        <v>1650</v>
      </c>
      <c r="P134" s="16"/>
      <c r="Q134" s="25"/>
      <c r="R134" s="25"/>
      <c r="S134" s="25"/>
      <c r="T134" s="25"/>
      <c r="U134" s="13">
        <f t="shared" si="6"/>
        <v>5230</v>
      </c>
      <c r="V134" s="25">
        <v>4549.95</v>
      </c>
      <c r="W134" s="15">
        <f t="shared" si="7"/>
        <v>237962.38500000001</v>
      </c>
    </row>
    <row r="135" spans="1:24" s="154" customFormat="1" ht="42.75" x14ac:dyDescent="0.25">
      <c r="A135" s="44" t="s">
        <v>53</v>
      </c>
      <c r="B135" s="808" t="s">
        <v>54</v>
      </c>
      <c r="C135" s="19">
        <v>100</v>
      </c>
      <c r="D135" s="25">
        <v>960</v>
      </c>
      <c r="E135" s="25"/>
      <c r="F135" s="25"/>
      <c r="G135" s="25"/>
      <c r="H135" s="25"/>
      <c r="I135" s="25"/>
      <c r="J135" s="25">
        <v>960</v>
      </c>
      <c r="K135" s="25">
        <v>360</v>
      </c>
      <c r="L135" s="25">
        <v>600</v>
      </c>
      <c r="M135" s="25">
        <v>700</v>
      </c>
      <c r="N135" s="25"/>
      <c r="O135" s="25">
        <v>1650</v>
      </c>
      <c r="P135" s="16"/>
      <c r="Q135" s="25"/>
      <c r="R135" s="25"/>
      <c r="S135" s="25"/>
      <c r="T135" s="25"/>
      <c r="U135" s="13">
        <f t="shared" si="6"/>
        <v>5230</v>
      </c>
      <c r="V135" s="25">
        <v>2639.45</v>
      </c>
      <c r="W135" s="15">
        <f t="shared" si="7"/>
        <v>138043.23499999999</v>
      </c>
    </row>
    <row r="136" spans="1:24" s="154" customFormat="1" ht="42.75" x14ac:dyDescent="0.25">
      <c r="A136" s="44" t="s">
        <v>55</v>
      </c>
      <c r="B136" s="808" t="s">
        <v>56</v>
      </c>
      <c r="C136" s="19">
        <v>100</v>
      </c>
      <c r="D136" s="25">
        <v>960</v>
      </c>
      <c r="E136" s="25"/>
      <c r="F136" s="25"/>
      <c r="G136" s="25"/>
      <c r="H136" s="25"/>
      <c r="I136" s="25"/>
      <c r="J136" s="25">
        <v>960</v>
      </c>
      <c r="K136" s="25">
        <v>360</v>
      </c>
      <c r="L136" s="25">
        <v>600</v>
      </c>
      <c r="M136" s="25">
        <v>700</v>
      </c>
      <c r="N136" s="25"/>
      <c r="O136" s="25">
        <v>1650</v>
      </c>
      <c r="P136" s="16"/>
      <c r="Q136" s="25"/>
      <c r="R136" s="25"/>
      <c r="S136" s="25"/>
      <c r="T136" s="25"/>
      <c r="U136" s="13">
        <f t="shared" si="6"/>
        <v>5230</v>
      </c>
      <c r="V136" s="25">
        <v>1960.75</v>
      </c>
      <c r="W136" s="15">
        <f t="shared" si="7"/>
        <v>102547.22500000001</v>
      </c>
    </row>
    <row r="137" spans="1:24" s="154" customFormat="1" x14ac:dyDescent="0.25">
      <c r="A137" s="120">
        <v>20</v>
      </c>
      <c r="B137" s="812" t="s">
        <v>419</v>
      </c>
      <c r="C137" s="12">
        <v>1000</v>
      </c>
      <c r="D137" s="25">
        <f>6480+3710</f>
        <v>10190</v>
      </c>
      <c r="E137" s="14"/>
      <c r="F137" s="14"/>
      <c r="G137" s="14">
        <v>8490</v>
      </c>
      <c r="H137" s="14">
        <f>5400+30345</f>
        <v>35745</v>
      </c>
      <c r="I137" s="14"/>
      <c r="J137" s="14">
        <v>9600</v>
      </c>
      <c r="K137" s="14">
        <v>3200</v>
      </c>
      <c r="L137" s="14">
        <v>4000</v>
      </c>
      <c r="M137" s="14">
        <v>6400</v>
      </c>
      <c r="N137" s="14"/>
      <c r="O137" s="14">
        <f>40500+5040</f>
        <v>45540</v>
      </c>
      <c r="P137" s="16"/>
      <c r="Q137" s="14"/>
      <c r="R137" s="14"/>
      <c r="S137" s="14"/>
      <c r="T137" s="14"/>
      <c r="U137" s="13">
        <f t="shared" si="6"/>
        <v>123165</v>
      </c>
      <c r="V137" s="25">
        <v>10533.6</v>
      </c>
      <c r="W137" s="15">
        <f t="shared" si="7"/>
        <v>1297370.844</v>
      </c>
    </row>
    <row r="139" spans="1:24" s="154" customFormat="1" ht="72" x14ac:dyDescent="0.25">
      <c r="A139" s="44">
        <v>22</v>
      </c>
      <c r="B139" s="806" t="s">
        <v>442</v>
      </c>
      <c r="C139" s="12"/>
      <c r="D139" s="25"/>
      <c r="E139" s="14"/>
      <c r="F139" s="14"/>
      <c r="G139" s="14"/>
      <c r="H139" s="14"/>
      <c r="I139" s="14"/>
      <c r="J139" s="14"/>
      <c r="K139" s="14"/>
      <c r="L139" s="14"/>
      <c r="M139" s="14"/>
      <c r="N139" s="14"/>
      <c r="O139" s="14"/>
      <c r="P139" s="16"/>
      <c r="Q139" s="14"/>
      <c r="R139" s="14"/>
      <c r="S139" s="14"/>
      <c r="T139" s="14"/>
      <c r="U139" s="13">
        <f t="shared" si="6"/>
        <v>0</v>
      </c>
      <c r="V139" s="14"/>
      <c r="W139" s="14"/>
      <c r="X139" s="150"/>
    </row>
    <row r="140" spans="1:24" s="154" customFormat="1" x14ac:dyDescent="0.25">
      <c r="A140" s="44" t="s">
        <v>60</v>
      </c>
      <c r="B140" s="806" t="s">
        <v>61</v>
      </c>
      <c r="C140" s="12">
        <v>100</v>
      </c>
      <c r="D140" s="25">
        <v>346.56</v>
      </c>
      <c r="E140" s="14"/>
      <c r="F140" s="14"/>
      <c r="G140" s="14"/>
      <c r="H140" s="14">
        <v>126.72</v>
      </c>
      <c r="I140" s="14"/>
      <c r="J140" s="14">
        <v>1383.84</v>
      </c>
      <c r="K140" s="14">
        <v>489.59999999999997</v>
      </c>
      <c r="L140" s="14">
        <v>737.28</v>
      </c>
      <c r="M140" s="14">
        <v>541.91999999999996</v>
      </c>
      <c r="N140" s="14">
        <v>241.92</v>
      </c>
      <c r="O140" s="14">
        <v>151.68</v>
      </c>
      <c r="P140" s="16"/>
      <c r="Q140" s="14"/>
      <c r="R140" s="14"/>
      <c r="S140" s="14"/>
      <c r="T140" s="14"/>
      <c r="U140" s="13">
        <f t="shared" si="6"/>
        <v>4019.52</v>
      </c>
      <c r="V140" s="13">
        <v>14042.6</v>
      </c>
      <c r="W140" s="15">
        <f t="shared" si="7"/>
        <v>564445.11551999999</v>
      </c>
    </row>
    <row r="141" spans="1:24" s="154" customFormat="1" x14ac:dyDescent="0.25">
      <c r="A141" s="44" t="s">
        <v>37</v>
      </c>
      <c r="B141" s="806" t="s">
        <v>62</v>
      </c>
      <c r="C141" s="12">
        <v>100</v>
      </c>
      <c r="D141" s="25">
        <v>3360.2016000000044</v>
      </c>
      <c r="E141" s="14"/>
      <c r="F141" s="14"/>
      <c r="G141" s="14"/>
      <c r="H141" s="14">
        <v>1344.84</v>
      </c>
      <c r="I141" s="14"/>
      <c r="J141" s="14">
        <v>19900.154399999996</v>
      </c>
      <c r="K141" s="14">
        <v>7557.3120000000017</v>
      </c>
      <c r="L141" s="14">
        <v>8217.7031999999945</v>
      </c>
      <c r="M141" s="14">
        <v>6210.1545882352493</v>
      </c>
      <c r="N141" s="14">
        <v>2988.518400000004</v>
      </c>
      <c r="O141" s="14">
        <v>1661.15</v>
      </c>
      <c r="P141" s="16"/>
      <c r="Q141" s="14"/>
      <c r="R141" s="14"/>
      <c r="S141" s="14"/>
      <c r="T141" s="14"/>
      <c r="U141" s="13">
        <f t="shared" si="6"/>
        <v>51240.034188235251</v>
      </c>
      <c r="V141" s="13">
        <v>14042.6</v>
      </c>
      <c r="W141" s="15">
        <f t="shared" si="7"/>
        <v>7195433.0409171237</v>
      </c>
    </row>
    <row r="142" spans="1:24" s="154" customFormat="1" x14ac:dyDescent="0.25">
      <c r="A142" s="44" t="s">
        <v>63</v>
      </c>
      <c r="B142" s="806" t="s">
        <v>64</v>
      </c>
      <c r="C142" s="12">
        <v>100</v>
      </c>
      <c r="D142" s="25">
        <v>585.6</v>
      </c>
      <c r="E142" s="14"/>
      <c r="F142" s="14"/>
      <c r="G142" s="14"/>
      <c r="H142" s="14"/>
      <c r="I142" s="14"/>
      <c r="J142" s="14">
        <v>585.6</v>
      </c>
      <c r="K142" s="14">
        <v>219.6</v>
      </c>
      <c r="L142" s="14">
        <v>366</v>
      </c>
      <c r="M142" s="14">
        <v>427</v>
      </c>
      <c r="N142" s="14"/>
      <c r="O142" s="14"/>
      <c r="P142" s="16"/>
      <c r="Q142" s="14"/>
      <c r="R142" s="14"/>
      <c r="S142" s="14"/>
      <c r="T142" s="14"/>
      <c r="U142" s="13">
        <f t="shared" si="6"/>
        <v>2183.8000000000002</v>
      </c>
      <c r="V142" s="13">
        <v>14042.6</v>
      </c>
      <c r="W142" s="15">
        <f t="shared" si="7"/>
        <v>306662.29880000005</v>
      </c>
    </row>
    <row r="143" spans="1:24" s="154" customFormat="1" x14ac:dyDescent="0.25">
      <c r="A143" s="44" t="s">
        <v>63</v>
      </c>
      <c r="B143" s="806" t="s">
        <v>65</v>
      </c>
      <c r="C143" s="12">
        <v>100</v>
      </c>
      <c r="D143" s="25">
        <v>72</v>
      </c>
      <c r="E143" s="14"/>
      <c r="F143" s="14"/>
      <c r="G143" s="14"/>
      <c r="H143" s="14"/>
      <c r="I143" s="14"/>
      <c r="J143" s="14">
        <v>72</v>
      </c>
      <c r="K143" s="14">
        <v>27</v>
      </c>
      <c r="L143" s="14">
        <v>45</v>
      </c>
      <c r="M143" s="14">
        <v>52.5</v>
      </c>
      <c r="N143" s="14"/>
      <c r="O143" s="14"/>
      <c r="P143" s="16"/>
      <c r="Q143" s="14"/>
      <c r="R143" s="14"/>
      <c r="S143" s="14"/>
      <c r="T143" s="14"/>
      <c r="U143" s="13">
        <f t="shared" si="6"/>
        <v>268.5</v>
      </c>
      <c r="V143" s="13">
        <v>14042.6</v>
      </c>
      <c r="W143" s="15">
        <f t="shared" si="7"/>
        <v>37704.381000000001</v>
      </c>
    </row>
    <row r="144" spans="1:24" s="154" customFormat="1" x14ac:dyDescent="0.25">
      <c r="A144" s="121">
        <v>23</v>
      </c>
      <c r="B144" s="806" t="s">
        <v>88</v>
      </c>
      <c r="C144" s="19">
        <v>100</v>
      </c>
      <c r="D144" s="33">
        <v>694.5</v>
      </c>
      <c r="E144" s="33">
        <v>848</v>
      </c>
      <c r="F144" s="33"/>
      <c r="G144" s="33">
        <v>3936</v>
      </c>
      <c r="H144" s="33">
        <v>5976</v>
      </c>
      <c r="I144" s="33">
        <v>4140</v>
      </c>
      <c r="J144" s="33"/>
      <c r="K144" s="33"/>
      <c r="L144" s="33"/>
      <c r="M144" s="33"/>
      <c r="N144" s="33"/>
      <c r="O144" s="33"/>
      <c r="P144" s="33"/>
      <c r="Q144" s="33"/>
      <c r="R144" s="33"/>
      <c r="S144" s="33"/>
      <c r="T144" s="33"/>
      <c r="U144" s="13">
        <f t="shared" si="6"/>
        <v>15594.5</v>
      </c>
      <c r="V144" s="25">
        <v>4850.3999999999996</v>
      </c>
      <c r="W144" s="15">
        <f>V144*U144/C144</f>
        <v>756395.62800000003</v>
      </c>
    </row>
    <row r="145" spans="1:28" s="154" customFormat="1" x14ac:dyDescent="0.25">
      <c r="A145" s="121">
        <v>24</v>
      </c>
      <c r="B145" s="811" t="s">
        <v>167</v>
      </c>
      <c r="C145" s="12">
        <v>100</v>
      </c>
      <c r="D145" s="33"/>
      <c r="E145" s="33"/>
      <c r="F145" s="33"/>
      <c r="G145" s="33"/>
      <c r="H145" s="33">
        <v>2100</v>
      </c>
      <c r="I145" s="33"/>
      <c r="J145" s="33"/>
      <c r="K145" s="33"/>
      <c r="L145" s="33"/>
      <c r="M145" s="33"/>
      <c r="N145" s="33"/>
      <c r="O145" s="33"/>
      <c r="P145" s="33"/>
      <c r="Q145" s="33"/>
      <c r="R145" s="33"/>
      <c r="S145" s="33"/>
      <c r="T145" s="33"/>
      <c r="U145" s="13">
        <f t="shared" si="6"/>
        <v>2100</v>
      </c>
      <c r="V145" s="13">
        <v>10003.5</v>
      </c>
      <c r="W145" s="15">
        <f>V145*U145/C145</f>
        <v>210073.5</v>
      </c>
    </row>
    <row r="146" spans="1:28" s="154" customFormat="1" x14ac:dyDescent="0.25">
      <c r="A146" s="121">
        <v>25</v>
      </c>
      <c r="B146" s="811" t="s">
        <v>168</v>
      </c>
      <c r="C146" s="12">
        <v>100</v>
      </c>
      <c r="D146" s="33"/>
      <c r="E146" s="33"/>
      <c r="F146" s="33"/>
      <c r="G146" s="33"/>
      <c r="H146" s="33">
        <v>2100</v>
      </c>
      <c r="I146" s="33"/>
      <c r="J146" s="33"/>
      <c r="K146" s="33"/>
      <c r="L146" s="33"/>
      <c r="M146" s="33"/>
      <c r="N146" s="33"/>
      <c r="O146" s="33"/>
      <c r="P146" s="33"/>
      <c r="Q146" s="33"/>
      <c r="R146" s="33"/>
      <c r="S146" s="33"/>
      <c r="T146" s="33"/>
      <c r="U146" s="13">
        <f t="shared" si="6"/>
        <v>2100</v>
      </c>
      <c r="V146" s="13">
        <v>13527.4</v>
      </c>
      <c r="W146" s="15">
        <f>V146*U146/C146</f>
        <v>284075.40000000002</v>
      </c>
    </row>
    <row r="147" spans="1:28" s="154" customFormat="1" ht="85.5" x14ac:dyDescent="0.25">
      <c r="A147" s="121">
        <v>26</v>
      </c>
      <c r="B147" s="811" t="s">
        <v>169</v>
      </c>
      <c r="C147" s="19">
        <v>100</v>
      </c>
      <c r="D147" s="33"/>
      <c r="E147" s="33"/>
      <c r="F147" s="33"/>
      <c r="G147" s="33"/>
      <c r="H147" s="33">
        <v>2800</v>
      </c>
      <c r="I147" s="33"/>
      <c r="J147" s="33"/>
      <c r="K147" s="33"/>
      <c r="L147" s="33"/>
      <c r="M147" s="33"/>
      <c r="N147" s="33"/>
      <c r="O147" s="33"/>
      <c r="P147" s="33"/>
      <c r="Q147" s="33"/>
      <c r="R147" s="33"/>
      <c r="S147" s="33"/>
      <c r="T147" s="33"/>
      <c r="U147" s="13">
        <f t="shared" si="6"/>
        <v>2800</v>
      </c>
      <c r="V147" s="40">
        <v>4549.95</v>
      </c>
      <c r="W147" s="15">
        <f>V147*U147/C147</f>
        <v>127398.6</v>
      </c>
    </row>
    <row r="148" spans="1:28" s="154" customFormat="1" ht="42.75" x14ac:dyDescent="0.25">
      <c r="A148" s="121">
        <v>27</v>
      </c>
      <c r="B148" s="811" t="s">
        <v>165</v>
      </c>
      <c r="C148" s="35" t="s">
        <v>166</v>
      </c>
      <c r="D148" s="33"/>
      <c r="E148" s="33"/>
      <c r="F148" s="33"/>
      <c r="G148" s="33"/>
      <c r="H148" s="33">
        <v>304.64</v>
      </c>
      <c r="I148" s="33"/>
      <c r="J148" s="33"/>
      <c r="K148" s="33"/>
      <c r="L148" s="33"/>
      <c r="M148" s="33"/>
      <c r="N148" s="33"/>
      <c r="O148" s="33"/>
      <c r="P148" s="33"/>
      <c r="Q148" s="33"/>
      <c r="R148" s="33"/>
      <c r="S148" s="33"/>
      <c r="T148" s="33"/>
      <c r="U148" s="13">
        <f t="shared" si="6"/>
        <v>304.64</v>
      </c>
      <c r="V148" s="33">
        <v>72</v>
      </c>
      <c r="W148" s="15">
        <f>V148*U148</f>
        <v>21934.079999999998</v>
      </c>
    </row>
    <row r="149" spans="1:28" s="154" customFormat="1" ht="42.75" x14ac:dyDescent="0.25">
      <c r="A149" s="44">
        <v>28</v>
      </c>
      <c r="B149" s="806" t="s">
        <v>385</v>
      </c>
      <c r="C149" s="12">
        <v>1</v>
      </c>
      <c r="D149" s="25"/>
      <c r="E149" s="14"/>
      <c r="F149" s="14"/>
      <c r="G149" s="14"/>
      <c r="H149" s="14"/>
      <c r="I149" s="14"/>
      <c r="J149" s="14"/>
      <c r="K149" s="14"/>
      <c r="L149" s="14"/>
      <c r="M149" s="14"/>
      <c r="N149" s="14"/>
      <c r="O149" s="14">
        <v>59.4</v>
      </c>
      <c r="P149" s="16"/>
      <c r="Q149" s="14">
        <v>143.55000000000001</v>
      </c>
      <c r="R149" s="14"/>
      <c r="S149" s="14"/>
      <c r="T149" s="14"/>
      <c r="U149" s="13">
        <f t="shared" si="6"/>
        <v>202.95000000000002</v>
      </c>
      <c r="V149" s="25">
        <v>17752.2</v>
      </c>
      <c r="W149" s="15">
        <f t="shared" si="7"/>
        <v>3602808.99</v>
      </c>
    </row>
    <row r="150" spans="1:28" s="154" customFormat="1" x14ac:dyDescent="0.25">
      <c r="A150" s="121">
        <v>29</v>
      </c>
      <c r="B150" s="813" t="s">
        <v>424</v>
      </c>
      <c r="C150" s="29">
        <v>1</v>
      </c>
      <c r="D150" s="25">
        <v>-82</v>
      </c>
      <c r="E150" s="15"/>
      <c r="F150" s="15"/>
      <c r="G150" s="15">
        <v>-768</v>
      </c>
      <c r="H150" s="15">
        <v>-23647.54</v>
      </c>
      <c r="I150" s="15"/>
      <c r="J150" s="15"/>
      <c r="K150" s="15"/>
      <c r="L150" s="15"/>
      <c r="M150" s="15"/>
      <c r="N150" s="15"/>
      <c r="O150" s="15">
        <f>-1267.5-1209</f>
        <v>-2476.5</v>
      </c>
      <c r="P150" s="15"/>
      <c r="Q150" s="15"/>
      <c r="R150" s="15"/>
      <c r="S150" s="15"/>
      <c r="T150" s="15"/>
      <c r="U150" s="13">
        <f>SUM(D150:T150)</f>
        <v>-26974.04</v>
      </c>
      <c r="V150" s="30">
        <v>170</v>
      </c>
      <c r="W150" s="15">
        <f>V150*U150/C150</f>
        <v>-4585586.8</v>
      </c>
      <c r="AB150" s="187">
        <f>Y151-X151</f>
        <v>-315366127.66136265</v>
      </c>
    </row>
    <row r="151" spans="1:28" s="154" customFormat="1" x14ac:dyDescent="0.25">
      <c r="A151" s="121">
        <v>30</v>
      </c>
      <c r="B151" s="813" t="s">
        <v>425</v>
      </c>
      <c r="C151" s="12">
        <v>100</v>
      </c>
      <c r="D151" s="25"/>
      <c r="E151" s="15"/>
      <c r="F151" s="15"/>
      <c r="G151" s="15"/>
      <c r="H151" s="15"/>
      <c r="I151" s="15"/>
      <c r="J151" s="15"/>
      <c r="K151" s="15"/>
      <c r="L151" s="15"/>
      <c r="M151" s="15"/>
      <c r="N151" s="15"/>
      <c r="O151" s="15">
        <f>-507.94-511.88</f>
        <v>-1019.8199999999999</v>
      </c>
      <c r="P151" s="15"/>
      <c r="Q151" s="15">
        <v>-803.25</v>
      </c>
      <c r="R151" s="15"/>
      <c r="S151" s="15"/>
      <c r="T151" s="15"/>
      <c r="U151" s="13">
        <f>SUM(D151:T151)</f>
        <v>-1823.07</v>
      </c>
      <c r="V151" s="30">
        <v>4100</v>
      </c>
      <c r="W151" s="15">
        <f>V151*U151/C151</f>
        <v>-74745.87</v>
      </c>
      <c r="X151" s="191">
        <f>SUM(W88:W151)</f>
        <v>523927353.66136265</v>
      </c>
      <c r="Y151" s="195">
        <v>208561226</v>
      </c>
      <c r="Z151" s="187">
        <f>Y151-X151</f>
        <v>-315366127.66136265</v>
      </c>
      <c r="AB151" s="187">
        <f>AB150+AC172</f>
        <v>-318400148.15366638</v>
      </c>
    </row>
    <row r="152" spans="1:28" s="154" customFormat="1" ht="22.5" x14ac:dyDescent="0.25">
      <c r="A152" s="198">
        <v>6</v>
      </c>
      <c r="B152" s="798" t="s">
        <v>397</v>
      </c>
      <c r="C152" s="101"/>
      <c r="D152" s="101" t="s">
        <v>421</v>
      </c>
      <c r="E152" s="9"/>
      <c r="F152" s="9"/>
      <c r="G152" s="9"/>
      <c r="H152" s="9"/>
      <c r="I152" s="9"/>
      <c r="J152" s="9"/>
      <c r="K152" s="9"/>
      <c r="L152" s="9"/>
      <c r="M152" s="9"/>
      <c r="N152" s="9"/>
      <c r="O152" s="9"/>
      <c r="P152" s="9"/>
      <c r="Q152" s="9"/>
      <c r="R152" s="9"/>
      <c r="S152" s="9"/>
      <c r="T152" s="9"/>
      <c r="U152" s="16"/>
      <c r="V152" s="16"/>
      <c r="W152" s="16"/>
    </row>
    <row r="153" spans="1:28" s="154" customFormat="1" ht="71.25" x14ac:dyDescent="0.25">
      <c r="A153" s="118">
        <v>1</v>
      </c>
      <c r="B153" s="806" t="s">
        <v>39</v>
      </c>
      <c r="C153" s="12">
        <v>1000</v>
      </c>
      <c r="D153" s="25">
        <v>1867.645</v>
      </c>
      <c r="E153" s="14"/>
      <c r="F153" s="14"/>
      <c r="G153" s="14">
        <v>1417.9529000000011</v>
      </c>
      <c r="H153" s="14"/>
      <c r="I153" s="14"/>
      <c r="J153" s="14">
        <v>17227.970499999996</v>
      </c>
      <c r="K153" s="46">
        <v>6436.0504000000037</v>
      </c>
      <c r="L153" s="14">
        <v>12395.410299999992</v>
      </c>
      <c r="M153" s="14">
        <v>15395.300699999989</v>
      </c>
      <c r="N153" s="14">
        <v>1949.3305000000028</v>
      </c>
      <c r="O153" s="14"/>
      <c r="P153" s="14"/>
      <c r="Q153" s="14"/>
      <c r="R153" s="14"/>
      <c r="S153" s="14"/>
      <c r="T153" s="14"/>
      <c r="U153" s="13">
        <f t="shared" ref="U153:U170" si="8">SUM(D153:T153)</f>
        <v>56689.660299999981</v>
      </c>
      <c r="V153" s="14">
        <v>12735.6</v>
      </c>
      <c r="W153" s="15">
        <f t="shared" si="7"/>
        <v>721976.83771667979</v>
      </c>
      <c r="X153" s="191">
        <f>SUM(W153:W170)</f>
        <v>16414641.529047791</v>
      </c>
      <c r="Y153" s="154">
        <v>109345724</v>
      </c>
    </row>
    <row r="154" spans="1:28" s="154" customFormat="1" x14ac:dyDescent="0.25">
      <c r="A154" s="118">
        <v>2</v>
      </c>
      <c r="B154" s="806" t="s">
        <v>66</v>
      </c>
      <c r="C154" s="12">
        <v>1000</v>
      </c>
      <c r="D154" s="25">
        <v>1867.645</v>
      </c>
      <c r="E154" s="14"/>
      <c r="F154" s="14"/>
      <c r="G154" s="14">
        <v>1417.9529000000011</v>
      </c>
      <c r="H154" s="14"/>
      <c r="I154" s="14"/>
      <c r="J154" s="14">
        <v>17227.970499999996</v>
      </c>
      <c r="K154" s="46">
        <v>6436.0504000000037</v>
      </c>
      <c r="L154" s="14">
        <v>12395.410299999992</v>
      </c>
      <c r="M154" s="14">
        <v>15395.300699999989</v>
      </c>
      <c r="N154" s="14">
        <v>1949.3305000000028</v>
      </c>
      <c r="O154" s="14"/>
      <c r="P154" s="14"/>
      <c r="Q154" s="14"/>
      <c r="R154" s="14"/>
      <c r="S154" s="14"/>
      <c r="T154" s="14"/>
      <c r="U154" s="13">
        <f t="shared" si="8"/>
        <v>56689.660299999981</v>
      </c>
      <c r="V154" s="14">
        <v>12038.4</v>
      </c>
      <c r="W154" s="15">
        <f t="shared" si="7"/>
        <v>682452.8065555197</v>
      </c>
    </row>
    <row r="155" spans="1:28" s="154" customFormat="1" ht="42.75" x14ac:dyDescent="0.25">
      <c r="A155" s="44">
        <v>3</v>
      </c>
      <c r="B155" s="806" t="s">
        <v>20</v>
      </c>
      <c r="C155" s="12"/>
      <c r="D155" s="25"/>
      <c r="E155" s="14"/>
      <c r="F155" s="14"/>
      <c r="G155" s="14"/>
      <c r="H155" s="14"/>
      <c r="I155" s="14"/>
      <c r="J155" s="14"/>
      <c r="K155" s="46"/>
      <c r="L155" s="14"/>
      <c r="M155" s="14"/>
      <c r="N155" s="14"/>
      <c r="O155" s="14"/>
      <c r="P155" s="14"/>
      <c r="Q155" s="14"/>
      <c r="R155" s="14"/>
      <c r="S155" s="14"/>
      <c r="T155" s="14"/>
      <c r="U155" s="13">
        <f t="shared" si="8"/>
        <v>0</v>
      </c>
      <c r="V155" s="25"/>
      <c r="W155" s="16"/>
    </row>
    <row r="157" spans="1:28" s="154" customFormat="1" x14ac:dyDescent="0.25">
      <c r="A157" s="44" t="s">
        <v>44</v>
      </c>
      <c r="B157" s="806" t="s">
        <v>68</v>
      </c>
      <c r="C157" s="12">
        <v>100</v>
      </c>
      <c r="D157" s="25">
        <v>34</v>
      </c>
      <c r="E157" s="14"/>
      <c r="F157" s="14"/>
      <c r="G157" s="14">
        <v>17</v>
      </c>
      <c r="H157" s="14"/>
      <c r="I157" s="14"/>
      <c r="J157" s="14">
        <v>187</v>
      </c>
      <c r="K157" s="46">
        <v>68</v>
      </c>
      <c r="L157" s="14">
        <v>187</v>
      </c>
      <c r="M157" s="14">
        <v>238</v>
      </c>
      <c r="N157" s="14">
        <v>68</v>
      </c>
      <c r="O157" s="14"/>
      <c r="P157" s="14"/>
      <c r="Q157" s="14"/>
      <c r="R157" s="14"/>
      <c r="S157" s="14"/>
      <c r="T157" s="14"/>
      <c r="U157" s="13">
        <f t="shared" si="8"/>
        <v>799</v>
      </c>
      <c r="V157" s="14">
        <v>47135.9</v>
      </c>
      <c r="W157" s="15">
        <f t="shared" si="7"/>
        <v>376615.84100000001</v>
      </c>
    </row>
    <row r="159" spans="1:28" s="154" customFormat="1" ht="114.75" x14ac:dyDescent="0.25">
      <c r="A159" s="44">
        <v>5</v>
      </c>
      <c r="B159" s="806" t="s">
        <v>444</v>
      </c>
      <c r="C159" s="12"/>
      <c r="D159" s="25"/>
      <c r="E159" s="14"/>
      <c r="F159" s="14"/>
      <c r="G159" s="14"/>
      <c r="H159" s="14"/>
      <c r="I159" s="14"/>
      <c r="J159" s="14"/>
      <c r="K159" s="46"/>
      <c r="L159" s="14"/>
      <c r="M159" s="14"/>
      <c r="N159" s="14"/>
      <c r="O159" s="14"/>
      <c r="P159" s="14"/>
      <c r="Q159" s="14"/>
      <c r="R159" s="14"/>
      <c r="S159" s="14"/>
      <c r="T159" s="14"/>
      <c r="U159" s="13">
        <f t="shared" si="8"/>
        <v>0</v>
      </c>
      <c r="V159" s="25"/>
      <c r="W159" s="16"/>
    </row>
    <row r="162" spans="1:29" s="154" customFormat="1" ht="28.5" x14ac:dyDescent="0.25">
      <c r="A162" s="44">
        <v>6</v>
      </c>
      <c r="B162" s="806" t="s">
        <v>46</v>
      </c>
      <c r="C162" s="19">
        <v>100</v>
      </c>
      <c r="D162" s="25">
        <v>751.27499999999998</v>
      </c>
      <c r="E162" s="14"/>
      <c r="F162" s="14"/>
      <c r="G162" s="14">
        <v>551.0106000000003</v>
      </c>
      <c r="H162" s="14"/>
      <c r="I162" s="14"/>
      <c r="J162" s="14">
        <v>6197.8769999999977</v>
      </c>
      <c r="K162" s="46">
        <v>2288.865600000001</v>
      </c>
      <c r="L162" s="14">
        <v>4687.729199999997</v>
      </c>
      <c r="M162" s="14">
        <v>5822.749799999995</v>
      </c>
      <c r="N162" s="14">
        <v>986.23980000000086</v>
      </c>
      <c r="O162" s="14"/>
      <c r="P162" s="14"/>
      <c r="Q162" s="14"/>
      <c r="R162" s="14"/>
      <c r="S162" s="14"/>
      <c r="T162" s="14"/>
      <c r="U162" s="13">
        <f t="shared" si="8"/>
        <v>21285.746999999988</v>
      </c>
      <c r="V162" s="25">
        <v>1645.1</v>
      </c>
      <c r="W162" s="15">
        <f t="shared" si="7"/>
        <v>350171.82389699982</v>
      </c>
    </row>
    <row r="163" spans="1:29" s="154" customFormat="1" ht="28.5" x14ac:dyDescent="0.25">
      <c r="A163" s="44">
        <v>7</v>
      </c>
      <c r="B163" s="806" t="s">
        <v>70</v>
      </c>
      <c r="C163" s="12">
        <v>100</v>
      </c>
      <c r="D163" s="25">
        <v>80</v>
      </c>
      <c r="E163" s="14"/>
      <c r="F163" s="14"/>
      <c r="G163" s="14">
        <v>40</v>
      </c>
      <c r="H163" s="14"/>
      <c r="I163" s="14"/>
      <c r="J163" s="14">
        <v>440</v>
      </c>
      <c r="K163" s="46">
        <v>160</v>
      </c>
      <c r="L163" s="14">
        <v>440</v>
      </c>
      <c r="M163" s="14">
        <v>560</v>
      </c>
      <c r="N163" s="14">
        <v>160</v>
      </c>
      <c r="O163" s="14"/>
      <c r="P163" s="14"/>
      <c r="Q163" s="14"/>
      <c r="R163" s="14"/>
      <c r="S163" s="14"/>
      <c r="T163" s="14"/>
      <c r="U163" s="13">
        <f t="shared" si="8"/>
        <v>1880</v>
      </c>
      <c r="V163" s="25">
        <v>35727</v>
      </c>
      <c r="W163" s="15">
        <f t="shared" si="7"/>
        <v>671667.6</v>
      </c>
    </row>
    <row r="164" spans="1:29" s="154" customFormat="1" ht="42.75" x14ac:dyDescent="0.25">
      <c r="A164" s="44">
        <v>8</v>
      </c>
      <c r="B164" s="810" t="s">
        <v>71</v>
      </c>
      <c r="C164" s="34">
        <v>1</v>
      </c>
      <c r="D164" s="25">
        <v>189.5</v>
      </c>
      <c r="E164" s="14"/>
      <c r="F164" s="14"/>
      <c r="G164" s="14">
        <v>180.20000000000016</v>
      </c>
      <c r="H164" s="14"/>
      <c r="I164" s="14"/>
      <c r="J164" s="14">
        <v>1425.3799999999997</v>
      </c>
      <c r="K164" s="46">
        <v>518</v>
      </c>
      <c r="L164" s="14">
        <v>1098.7399999999998</v>
      </c>
      <c r="M164" s="14">
        <v>1373.78</v>
      </c>
      <c r="N164" s="14">
        <v>213.57999999999998</v>
      </c>
      <c r="O164" s="14"/>
      <c r="P164" s="14"/>
      <c r="Q164" s="14"/>
      <c r="R164" s="14"/>
      <c r="S164" s="14"/>
      <c r="T164" s="14"/>
      <c r="U164" s="13">
        <f t="shared" si="8"/>
        <v>4999.1799999999994</v>
      </c>
      <c r="V164" s="14">
        <v>809.4</v>
      </c>
      <c r="W164" s="15">
        <f t="shared" si="7"/>
        <v>4046336.2919999994</v>
      </c>
    </row>
    <row r="165" spans="1:29" s="154" customFormat="1" ht="28.5" x14ac:dyDescent="0.25">
      <c r="A165" s="44">
        <v>9</v>
      </c>
      <c r="B165" s="814" t="s">
        <v>72</v>
      </c>
      <c r="C165" s="34">
        <v>1</v>
      </c>
      <c r="D165" s="25">
        <v>70</v>
      </c>
      <c r="E165" s="14"/>
      <c r="F165" s="14"/>
      <c r="G165" s="14">
        <v>50</v>
      </c>
      <c r="H165" s="14"/>
      <c r="I165" s="14"/>
      <c r="J165" s="14">
        <v>450</v>
      </c>
      <c r="K165" s="46">
        <v>160</v>
      </c>
      <c r="L165" s="14">
        <v>380</v>
      </c>
      <c r="M165" s="14">
        <v>470</v>
      </c>
      <c r="N165" s="14">
        <v>90</v>
      </c>
      <c r="O165" s="14"/>
      <c r="P165" s="14"/>
      <c r="Q165" s="14"/>
      <c r="R165" s="14"/>
      <c r="S165" s="14"/>
      <c r="T165" s="14"/>
      <c r="U165" s="13">
        <f t="shared" si="8"/>
        <v>1670</v>
      </c>
      <c r="V165" s="14">
        <v>1381</v>
      </c>
      <c r="W165" s="15">
        <f t="shared" si="7"/>
        <v>2306270</v>
      </c>
    </row>
    <row r="167" spans="1:29" s="154" customFormat="1" ht="72" x14ac:dyDescent="0.25">
      <c r="A167" s="44">
        <v>11</v>
      </c>
      <c r="B167" s="806" t="s">
        <v>442</v>
      </c>
      <c r="C167" s="12"/>
      <c r="D167" s="25"/>
      <c r="E167" s="14"/>
      <c r="F167" s="14"/>
      <c r="G167" s="14"/>
      <c r="H167" s="14"/>
      <c r="I167" s="14"/>
      <c r="J167" s="14"/>
      <c r="K167" s="46"/>
      <c r="L167" s="14"/>
      <c r="M167" s="14"/>
      <c r="N167" s="14"/>
      <c r="O167" s="14"/>
      <c r="P167" s="14"/>
      <c r="Q167" s="14"/>
      <c r="R167" s="14"/>
      <c r="S167" s="14"/>
      <c r="T167" s="14"/>
      <c r="U167" s="13">
        <f t="shared" si="8"/>
        <v>0</v>
      </c>
      <c r="V167" s="16"/>
      <c r="W167" s="16"/>
    </row>
    <row r="168" spans="1:29" s="154" customFormat="1" x14ac:dyDescent="0.25">
      <c r="A168" s="44" t="s">
        <v>60</v>
      </c>
      <c r="B168" s="806" t="s">
        <v>61</v>
      </c>
      <c r="C168" s="12">
        <v>100</v>
      </c>
      <c r="D168" s="25">
        <v>246.90719999999999</v>
      </c>
      <c r="E168" s="14"/>
      <c r="F168" s="14"/>
      <c r="G168" s="14">
        <v>134.49839999999998</v>
      </c>
      <c r="H168" s="14"/>
      <c r="I168" s="14"/>
      <c r="J168" s="14">
        <v>1405.8503999999998</v>
      </c>
      <c r="K168" s="46">
        <v>508.54079999999999</v>
      </c>
      <c r="L168" s="14">
        <v>1354.3080000000002</v>
      </c>
      <c r="M168" s="14">
        <v>1713.6240000000003</v>
      </c>
      <c r="N168" s="14">
        <v>440.43119999999999</v>
      </c>
      <c r="O168" s="14"/>
      <c r="P168" s="14"/>
      <c r="Q168" s="14"/>
      <c r="R168" s="14"/>
      <c r="S168" s="14"/>
      <c r="T168" s="14"/>
      <c r="U168" s="13">
        <f t="shared" si="8"/>
        <v>5804.1600000000008</v>
      </c>
      <c r="V168" s="13">
        <v>14042.6</v>
      </c>
      <c r="W168" s="15">
        <f t="shared" si="7"/>
        <v>815054.97216</v>
      </c>
    </row>
    <row r="169" spans="1:29" s="154" customFormat="1" x14ac:dyDescent="0.25">
      <c r="A169" s="44" t="s">
        <v>37</v>
      </c>
      <c r="B169" s="806" t="s">
        <v>38</v>
      </c>
      <c r="C169" s="12">
        <v>100</v>
      </c>
      <c r="D169" s="25">
        <v>29.92</v>
      </c>
      <c r="E169" s="14"/>
      <c r="F169" s="14"/>
      <c r="G169" s="14">
        <v>14.96</v>
      </c>
      <c r="H169" s="14"/>
      <c r="I169" s="14"/>
      <c r="J169" s="14">
        <v>164.56</v>
      </c>
      <c r="K169" s="46">
        <v>59.84</v>
      </c>
      <c r="L169" s="14">
        <v>164.56</v>
      </c>
      <c r="M169" s="14">
        <v>209.44</v>
      </c>
      <c r="N169" s="14">
        <v>59.84</v>
      </c>
      <c r="O169" s="14"/>
      <c r="P169" s="14"/>
      <c r="Q169" s="14"/>
      <c r="R169" s="14"/>
      <c r="S169" s="14"/>
      <c r="T169" s="14"/>
      <c r="U169" s="13">
        <f t="shared" si="8"/>
        <v>703.12</v>
      </c>
      <c r="V169" s="13">
        <v>14042.6</v>
      </c>
      <c r="W169" s="15">
        <f t="shared" si="7"/>
        <v>98736.329120000009</v>
      </c>
    </row>
    <row r="170" spans="1:29" s="154" customFormat="1" x14ac:dyDescent="0.25">
      <c r="A170" s="44" t="s">
        <v>63</v>
      </c>
      <c r="B170" s="806" t="s">
        <v>73</v>
      </c>
      <c r="C170" s="12">
        <v>100</v>
      </c>
      <c r="D170" s="25">
        <v>1710.5151840000001</v>
      </c>
      <c r="E170" s="14"/>
      <c r="F170" s="14"/>
      <c r="G170" s="14">
        <v>1264.4269680000011</v>
      </c>
      <c r="H170" s="14"/>
      <c r="I170" s="14"/>
      <c r="J170" s="14">
        <v>12462.632867999999</v>
      </c>
      <c r="K170" s="46">
        <v>4539.3883920000007</v>
      </c>
      <c r="L170" s="14">
        <v>10053.746136</v>
      </c>
      <c r="M170" s="14">
        <v>12602.891321999999</v>
      </c>
      <c r="N170" s="14">
        <v>2552.8961220000006</v>
      </c>
      <c r="O170" s="14"/>
      <c r="P170" s="14"/>
      <c r="Q170" s="14"/>
      <c r="R170" s="14"/>
      <c r="S170" s="14"/>
      <c r="T170" s="14"/>
      <c r="U170" s="13">
        <f t="shared" si="8"/>
        <v>45186.496991999993</v>
      </c>
      <c r="V170" s="13">
        <v>14042.6</v>
      </c>
      <c r="W170" s="15">
        <f t="shared" si="7"/>
        <v>6345359.0265985904</v>
      </c>
    </row>
    <row r="171" spans="1:29" s="154" customFormat="1" ht="22.5" x14ac:dyDescent="0.25">
      <c r="A171" s="198">
        <v>7</v>
      </c>
      <c r="B171" s="798" t="s">
        <v>398</v>
      </c>
      <c r="C171" s="16"/>
      <c r="D171" s="16"/>
      <c r="E171" s="16"/>
      <c r="F171" s="16"/>
      <c r="G171" s="16"/>
      <c r="H171" s="16"/>
      <c r="I171" s="16"/>
      <c r="J171" s="16"/>
      <c r="K171" s="16"/>
      <c r="L171" s="16"/>
      <c r="M171" s="16"/>
      <c r="N171" s="16"/>
      <c r="O171" s="16"/>
      <c r="P171" s="16"/>
      <c r="Q171" s="16"/>
      <c r="R171" s="16"/>
      <c r="S171" s="16"/>
      <c r="T171" s="16"/>
      <c r="U171" s="16"/>
      <c r="V171" s="16"/>
      <c r="W171" s="16"/>
      <c r="Y171" s="195">
        <v>95173850</v>
      </c>
    </row>
    <row r="172" spans="1:29" s="154" customFormat="1" x14ac:dyDescent="0.25">
      <c r="A172" s="119">
        <v>1</v>
      </c>
      <c r="B172" s="806" t="s">
        <v>158</v>
      </c>
      <c r="C172" s="12">
        <v>100</v>
      </c>
      <c r="D172" s="101"/>
      <c r="E172" s="9"/>
      <c r="F172" s="9"/>
      <c r="G172" s="14">
        <v>93240</v>
      </c>
      <c r="H172" s="9"/>
      <c r="I172" s="9"/>
      <c r="J172" s="9"/>
      <c r="K172" s="9"/>
      <c r="L172" s="9"/>
      <c r="M172" s="9"/>
      <c r="N172" s="9"/>
      <c r="O172" s="9"/>
      <c r="P172" s="9"/>
      <c r="Q172" s="9"/>
      <c r="R172" s="9"/>
      <c r="S172" s="9"/>
      <c r="T172" s="9"/>
      <c r="U172" s="13">
        <f t="shared" ref="U172:U187" si="9">SUM(D172:T172)</f>
        <v>93240</v>
      </c>
      <c r="V172" s="25">
        <v>3762</v>
      </c>
      <c r="W172" s="15">
        <v>3507688.8</v>
      </c>
      <c r="X172" s="195">
        <v>89611262</v>
      </c>
      <c r="Y172" s="191">
        <f>SUM(W172:W187)</f>
        <v>92645282.492303729</v>
      </c>
      <c r="Z172" s="187">
        <f>Y172-X172</f>
        <v>3034020.4923037291</v>
      </c>
      <c r="AC172" s="187">
        <f>X172-Y172</f>
        <v>-3034020.4923037291</v>
      </c>
    </row>
    <row r="174" spans="1:29" s="154" customFormat="1" ht="28.5" x14ac:dyDescent="0.25">
      <c r="A174" s="118">
        <v>3</v>
      </c>
      <c r="B174" s="806" t="s">
        <v>159</v>
      </c>
      <c r="C174" s="12">
        <v>100</v>
      </c>
      <c r="D174" s="25"/>
      <c r="E174" s="14"/>
      <c r="F174" s="14"/>
      <c r="G174" s="14">
        <v>126000</v>
      </c>
      <c r="H174" s="14"/>
      <c r="I174" s="14"/>
      <c r="J174" s="14"/>
      <c r="K174" s="14"/>
      <c r="L174" s="14"/>
      <c r="M174" s="14"/>
      <c r="N174" s="14"/>
      <c r="O174" s="14"/>
      <c r="P174" s="14"/>
      <c r="Q174" s="14"/>
      <c r="R174" s="14"/>
      <c r="S174" s="14"/>
      <c r="T174" s="408"/>
      <c r="U174" s="13">
        <f>SUM(D174:T174)</f>
        <v>126000</v>
      </c>
      <c r="V174" s="25">
        <v>4743.75</v>
      </c>
      <c r="W174" s="15">
        <f>V174*U174/C174</f>
        <v>5977125</v>
      </c>
      <c r="AA174" s="187">
        <f>Z172+Z151</f>
        <v>-312332107.16905892</v>
      </c>
    </row>
    <row r="175" spans="1:29" s="154" customFormat="1" ht="28.5" x14ac:dyDescent="0.25">
      <c r="A175" s="118">
        <v>4</v>
      </c>
      <c r="B175" s="806" t="s">
        <v>75</v>
      </c>
      <c r="C175" s="12">
        <v>100</v>
      </c>
      <c r="D175" s="25">
        <v>476.44</v>
      </c>
      <c r="E175" s="14">
        <v>355.5</v>
      </c>
      <c r="F175" s="14">
        <v>312.56</v>
      </c>
      <c r="G175" s="14">
        <v>3745.5</v>
      </c>
      <c r="H175" s="14">
        <v>10945.44</v>
      </c>
      <c r="I175" s="14"/>
      <c r="J175" s="14">
        <v>10137.189999999999</v>
      </c>
      <c r="K175" s="14">
        <v>269.25</v>
      </c>
      <c r="L175" s="14">
        <v>6208.72</v>
      </c>
      <c r="M175" s="14">
        <v>6208.72</v>
      </c>
      <c r="N175" s="14">
        <v>148.5</v>
      </c>
      <c r="O175" s="14">
        <v>967.12999999999988</v>
      </c>
      <c r="P175" s="14">
        <v>5141.1400000000003</v>
      </c>
      <c r="Q175" s="14">
        <v>2700.32</v>
      </c>
      <c r="R175" s="14">
        <v>967.13</v>
      </c>
      <c r="S175" s="14">
        <v>967.12999999999988</v>
      </c>
      <c r="T175" s="408">
        <v>967.12999999999988</v>
      </c>
      <c r="U175" s="13">
        <f t="shared" si="9"/>
        <v>50517.799999999988</v>
      </c>
      <c r="V175" s="25">
        <v>6849</v>
      </c>
      <c r="W175" s="15">
        <f>V175*U175/C175</f>
        <v>3459964.1219999995</v>
      </c>
    </row>
    <row r="176" spans="1:29" s="154" customFormat="1" x14ac:dyDescent="0.25">
      <c r="A176" s="44">
        <v>5</v>
      </c>
      <c r="B176" s="805" t="s">
        <v>76</v>
      </c>
      <c r="C176" s="19">
        <v>100</v>
      </c>
      <c r="D176" s="25">
        <v>735.36749999999995</v>
      </c>
      <c r="E176" s="14">
        <v>681.66000000000008</v>
      </c>
      <c r="F176" s="14">
        <v>525.12249999999995</v>
      </c>
      <c r="G176" s="14">
        <v>72754.37000000001</v>
      </c>
      <c r="H176" s="14">
        <v>6058.7160000000003</v>
      </c>
      <c r="I176" s="14"/>
      <c r="J176" s="14">
        <v>3737.0541800000001</v>
      </c>
      <c r="K176" s="14">
        <v>480.69</v>
      </c>
      <c r="L176" s="14">
        <v>2589.8832000000002</v>
      </c>
      <c r="M176" s="14">
        <v>3457.1106</v>
      </c>
      <c r="N176" s="14">
        <v>422.73</v>
      </c>
      <c r="O176" s="14">
        <v>614.72448000000009</v>
      </c>
      <c r="P176" s="14"/>
      <c r="Q176" s="14">
        <v>785.33279999999991</v>
      </c>
      <c r="R176" s="14">
        <v>614.72</v>
      </c>
      <c r="S176" s="14">
        <v>594.53279999999995</v>
      </c>
      <c r="T176" s="408">
        <v>594.53279999999995</v>
      </c>
      <c r="U176" s="13">
        <f t="shared" si="9"/>
        <v>94646.546860000017</v>
      </c>
      <c r="V176" s="25">
        <v>2265.1</v>
      </c>
      <c r="W176" s="15">
        <f t="shared" ref="W176:W187" si="10">V176*U176/C176</f>
        <v>2143838.9329258604</v>
      </c>
    </row>
    <row r="177" spans="1:26" s="154" customFormat="1" x14ac:dyDescent="0.25">
      <c r="A177" s="44">
        <v>6</v>
      </c>
      <c r="B177" s="805" t="s">
        <v>77</v>
      </c>
      <c r="C177" s="19">
        <v>100</v>
      </c>
      <c r="D177" s="25">
        <v>130.5</v>
      </c>
      <c r="E177" s="14">
        <v>126</v>
      </c>
      <c r="F177" s="14">
        <v>129.5</v>
      </c>
      <c r="G177" s="14">
        <v>12167</v>
      </c>
      <c r="H177" s="14">
        <v>594.66</v>
      </c>
      <c r="I177" s="14"/>
      <c r="J177" s="14">
        <v>631.16</v>
      </c>
      <c r="K177" s="14">
        <v>126</v>
      </c>
      <c r="L177" s="14">
        <v>524.66</v>
      </c>
      <c r="M177" s="14">
        <v>524.66</v>
      </c>
      <c r="N177" s="14">
        <v>126</v>
      </c>
      <c r="O177" s="14">
        <v>96</v>
      </c>
      <c r="P177" s="14"/>
      <c r="Q177" s="14">
        <v>136</v>
      </c>
      <c r="R177" s="14">
        <v>96</v>
      </c>
      <c r="S177" s="14">
        <v>96</v>
      </c>
      <c r="T177" s="408">
        <v>96</v>
      </c>
      <c r="U177" s="13">
        <f t="shared" si="9"/>
        <v>15600.14</v>
      </c>
      <c r="V177" s="25">
        <v>1660.5</v>
      </c>
      <c r="W177" s="15">
        <f t="shared" si="10"/>
        <v>259040.3247</v>
      </c>
    </row>
    <row r="178" spans="1:26" s="154" customFormat="1" x14ac:dyDescent="0.25">
      <c r="A178" s="118">
        <v>7</v>
      </c>
      <c r="B178" s="806" t="s">
        <v>78</v>
      </c>
      <c r="C178" s="12">
        <v>100</v>
      </c>
      <c r="D178" s="25">
        <v>242.67</v>
      </c>
      <c r="E178" s="14">
        <v>224.94</v>
      </c>
      <c r="F178" s="14">
        <v>173.29</v>
      </c>
      <c r="G178" s="14">
        <v>24008.94</v>
      </c>
      <c r="H178" s="14">
        <v>2001.64428</v>
      </c>
      <c r="I178" s="14"/>
      <c r="J178" s="14">
        <v>1233.5999999999999</v>
      </c>
      <c r="K178" s="14">
        <v>158.63</v>
      </c>
      <c r="L178" s="14">
        <v>854.70999999999992</v>
      </c>
      <c r="M178" s="14">
        <v>1140.8899999999999</v>
      </c>
      <c r="N178" s="14">
        <v>139.5</v>
      </c>
      <c r="O178" s="14">
        <v>202.85907840000004</v>
      </c>
      <c r="P178" s="14">
        <v>812.42</v>
      </c>
      <c r="Q178" s="14">
        <v>259.15982400000001</v>
      </c>
      <c r="R178" s="14">
        <v>202.86</v>
      </c>
      <c r="S178" s="14">
        <v>196.19582400000002</v>
      </c>
      <c r="T178" s="408">
        <v>196.19582400000002</v>
      </c>
      <c r="U178" s="13">
        <f t="shared" si="9"/>
        <v>32048.504830399994</v>
      </c>
      <c r="V178" s="25">
        <v>18564.099999999999</v>
      </c>
      <c r="W178" s="15">
        <f t="shared" si="10"/>
        <v>5949516.4852202842</v>
      </c>
    </row>
    <row r="179" spans="1:26" s="154" customFormat="1" x14ac:dyDescent="0.25">
      <c r="A179" s="118">
        <v>8</v>
      </c>
      <c r="B179" s="806" t="s">
        <v>79</v>
      </c>
      <c r="C179" s="12">
        <v>100</v>
      </c>
      <c r="D179" s="25">
        <v>242.67</v>
      </c>
      <c r="E179" s="14">
        <v>224.94</v>
      </c>
      <c r="F179" s="14">
        <v>173.29</v>
      </c>
      <c r="G179" s="14">
        <v>24008.94</v>
      </c>
      <c r="H179" s="14">
        <v>2001.64428</v>
      </c>
      <c r="I179" s="14"/>
      <c r="J179" s="14">
        <v>1233.5999999999999</v>
      </c>
      <c r="K179" s="14">
        <v>158.63</v>
      </c>
      <c r="L179" s="14">
        <v>854.70999999999992</v>
      </c>
      <c r="M179" s="14">
        <v>1140.8899999999999</v>
      </c>
      <c r="N179" s="14">
        <v>139.5</v>
      </c>
      <c r="O179" s="14">
        <v>202.85907840000004</v>
      </c>
      <c r="P179" s="14">
        <v>812.42</v>
      </c>
      <c r="Q179" s="14">
        <v>259.15982400000001</v>
      </c>
      <c r="R179" s="14">
        <v>202.86</v>
      </c>
      <c r="S179" s="14">
        <v>196.19582400000002</v>
      </c>
      <c r="T179" s="408">
        <v>196.19582400000002</v>
      </c>
      <c r="U179" s="13">
        <f t="shared" si="9"/>
        <v>32048.504830399994</v>
      </c>
      <c r="V179" s="25">
        <v>18564.099999999999</v>
      </c>
      <c r="W179" s="15">
        <f t="shared" si="10"/>
        <v>5949516.4852202842</v>
      </c>
    </row>
    <row r="180" spans="1:26" s="154" customFormat="1" x14ac:dyDescent="0.25">
      <c r="A180" s="118">
        <v>9</v>
      </c>
      <c r="B180" s="806" t="s">
        <v>80</v>
      </c>
      <c r="C180" s="12">
        <v>100</v>
      </c>
      <c r="D180" s="25">
        <v>43.07</v>
      </c>
      <c r="E180" s="14">
        <v>41.58</v>
      </c>
      <c r="F180" s="14">
        <v>42.739999999999995</v>
      </c>
      <c r="G180" s="14">
        <v>4015.11</v>
      </c>
      <c r="H180" s="14">
        <v>196.4178</v>
      </c>
      <c r="I180" s="14"/>
      <c r="J180" s="14">
        <v>208.28</v>
      </c>
      <c r="K180" s="14">
        <v>41.58</v>
      </c>
      <c r="L180" s="14">
        <v>173.14</v>
      </c>
      <c r="M180" s="14">
        <v>173.14</v>
      </c>
      <c r="N180" s="14">
        <v>41.58</v>
      </c>
      <c r="O180" s="14">
        <v>31.68</v>
      </c>
      <c r="P180" s="14">
        <v>147.4</v>
      </c>
      <c r="Q180" s="14">
        <v>54.33120000000001</v>
      </c>
      <c r="R180" s="14">
        <v>31.68</v>
      </c>
      <c r="S180" s="14">
        <v>31.68</v>
      </c>
      <c r="T180" s="408">
        <v>31.68</v>
      </c>
      <c r="U180" s="13">
        <f t="shared" si="9"/>
        <v>5305.0890000000009</v>
      </c>
      <c r="V180" s="25">
        <v>18017.599999999999</v>
      </c>
      <c r="W180" s="15">
        <f t="shared" si="10"/>
        <v>955849.71566400002</v>
      </c>
    </row>
    <row r="181" spans="1:26" s="154" customFormat="1" x14ac:dyDescent="0.25">
      <c r="A181" s="118">
        <v>10</v>
      </c>
      <c r="B181" s="806" t="s">
        <v>81</v>
      </c>
      <c r="C181" s="12">
        <v>100</v>
      </c>
      <c r="D181" s="25">
        <v>43.07</v>
      </c>
      <c r="E181" s="14">
        <v>41.58</v>
      </c>
      <c r="F181" s="14">
        <v>42.739999999999995</v>
      </c>
      <c r="G181" s="14">
        <v>4015.11</v>
      </c>
      <c r="H181" s="14">
        <v>196.4178</v>
      </c>
      <c r="I181" s="14"/>
      <c r="J181" s="14">
        <v>208.28</v>
      </c>
      <c r="K181" s="14">
        <v>41.58</v>
      </c>
      <c r="L181" s="14">
        <v>173.14</v>
      </c>
      <c r="M181" s="14">
        <v>173.14</v>
      </c>
      <c r="N181" s="14">
        <v>41.58</v>
      </c>
      <c r="O181" s="14">
        <v>31.68</v>
      </c>
      <c r="P181" s="14">
        <v>147.4</v>
      </c>
      <c r="Q181" s="14">
        <v>54.33120000000001</v>
      </c>
      <c r="R181" s="25">
        <v>31.68</v>
      </c>
      <c r="S181" s="14">
        <v>31.68</v>
      </c>
      <c r="T181" s="408">
        <v>31.68</v>
      </c>
      <c r="U181" s="13">
        <f t="shared" si="9"/>
        <v>5305.0890000000009</v>
      </c>
      <c r="V181" s="25">
        <v>18017.599999999999</v>
      </c>
      <c r="W181" s="15">
        <f t="shared" si="10"/>
        <v>955849.71566400002</v>
      </c>
    </row>
    <row r="182" spans="1:26" s="154" customFormat="1" x14ac:dyDescent="0.25">
      <c r="A182" s="118">
        <v>11</v>
      </c>
      <c r="B182" s="806" t="s">
        <v>82</v>
      </c>
      <c r="C182" s="12">
        <v>100</v>
      </c>
      <c r="D182" s="25">
        <v>735.37</v>
      </c>
      <c r="E182" s="14">
        <v>681.66000000000008</v>
      </c>
      <c r="F182" s="14">
        <v>525.12</v>
      </c>
      <c r="G182" s="14">
        <v>72754.37000000001</v>
      </c>
      <c r="H182" s="14">
        <v>6058.72</v>
      </c>
      <c r="I182" s="14"/>
      <c r="J182" s="14">
        <v>3738.19</v>
      </c>
      <c r="K182" s="14">
        <v>480.69</v>
      </c>
      <c r="L182" s="14">
        <v>2590.02</v>
      </c>
      <c r="M182" s="14">
        <v>3457.25</v>
      </c>
      <c r="N182" s="14">
        <v>422.73</v>
      </c>
      <c r="O182" s="14">
        <v>614.72448000000009</v>
      </c>
      <c r="P182" s="14">
        <v>2461.88</v>
      </c>
      <c r="Q182" s="14">
        <v>785.33279999999991</v>
      </c>
      <c r="R182" s="25">
        <v>614.72</v>
      </c>
      <c r="S182" s="14">
        <v>594.53279999999995</v>
      </c>
      <c r="T182" s="408">
        <v>594.53279999999995</v>
      </c>
      <c r="U182" s="13">
        <f t="shared" si="9"/>
        <v>97109.842880000026</v>
      </c>
      <c r="V182" s="25">
        <v>11511</v>
      </c>
      <c r="W182" s="15">
        <f t="shared" si="10"/>
        <v>11178314.013916802</v>
      </c>
    </row>
    <row r="183" spans="1:26" s="154" customFormat="1" x14ac:dyDescent="0.25">
      <c r="A183" s="118">
        <v>12</v>
      </c>
      <c r="B183" s="806" t="s">
        <v>83</v>
      </c>
      <c r="C183" s="12">
        <v>100</v>
      </c>
      <c r="D183" s="25">
        <v>130.5</v>
      </c>
      <c r="E183" s="14">
        <v>126</v>
      </c>
      <c r="F183" s="14">
        <v>129.5</v>
      </c>
      <c r="G183" s="14">
        <v>12167</v>
      </c>
      <c r="H183" s="14">
        <v>594.66</v>
      </c>
      <c r="I183" s="14"/>
      <c r="J183" s="14">
        <v>631.16</v>
      </c>
      <c r="K183" s="14">
        <v>126</v>
      </c>
      <c r="L183" s="14">
        <v>173.14</v>
      </c>
      <c r="M183" s="14">
        <v>173.14</v>
      </c>
      <c r="N183" s="14">
        <v>126</v>
      </c>
      <c r="O183" s="14">
        <v>96</v>
      </c>
      <c r="P183" s="14">
        <v>446.68</v>
      </c>
      <c r="Q183" s="14">
        <v>164.64</v>
      </c>
      <c r="R183" s="14">
        <v>96</v>
      </c>
      <c r="S183" s="14">
        <v>96</v>
      </c>
      <c r="T183" s="408">
        <v>96</v>
      </c>
      <c r="U183" s="13">
        <f t="shared" si="9"/>
        <v>15372.419999999998</v>
      </c>
      <c r="V183" s="25">
        <v>10570.5</v>
      </c>
      <c r="W183" s="15">
        <f t="shared" si="10"/>
        <v>1624941.6560999998</v>
      </c>
    </row>
    <row r="184" spans="1:26" s="154" customFormat="1" ht="42.75" x14ac:dyDescent="0.25">
      <c r="A184" s="118">
        <v>13</v>
      </c>
      <c r="B184" s="815" t="s">
        <v>84</v>
      </c>
      <c r="C184" s="12">
        <v>100</v>
      </c>
      <c r="D184" s="25">
        <v>1682.2379999999998</v>
      </c>
      <c r="E184" s="14">
        <v>1449.117</v>
      </c>
      <c r="F184" s="14">
        <v>1207.5</v>
      </c>
      <c r="G184" s="14">
        <v>152322.06900000002</v>
      </c>
      <c r="H184" s="14">
        <v>47639.451745000006</v>
      </c>
      <c r="I184" s="14"/>
      <c r="J184" s="14">
        <v>33005.504368000002</v>
      </c>
      <c r="K184" s="14">
        <v>1091.5155</v>
      </c>
      <c r="L184" s="14">
        <v>20947.183422000002</v>
      </c>
      <c r="M184" s="14">
        <v>21997.199982000006</v>
      </c>
      <c r="N184" s="14">
        <v>858.95100000000002</v>
      </c>
      <c r="O184" s="14">
        <v>11198.249675999999</v>
      </c>
      <c r="P184" s="14">
        <v>36777.199999999997</v>
      </c>
      <c r="Q184" s="14">
        <v>10655.627760000001</v>
      </c>
      <c r="R184" s="14">
        <v>11198.25</v>
      </c>
      <c r="S184" s="14">
        <v>5817.7796600000001</v>
      </c>
      <c r="T184" s="408">
        <v>6679.8968599999989</v>
      </c>
      <c r="U184" s="13">
        <f t="shared" si="9"/>
        <v>364527.73397300002</v>
      </c>
      <c r="V184" s="25">
        <v>14042.6</v>
      </c>
      <c r="W184" s="15">
        <f t="shared" si="10"/>
        <v>51189171.570892505</v>
      </c>
    </row>
    <row r="185" spans="1:26" s="154" customFormat="1" x14ac:dyDescent="0.25">
      <c r="A185" s="118">
        <v>14</v>
      </c>
      <c r="B185" s="805" t="s">
        <v>334</v>
      </c>
      <c r="C185" s="12"/>
      <c r="D185" s="12"/>
      <c r="E185" s="12"/>
      <c r="F185" s="12"/>
      <c r="G185" s="12"/>
      <c r="H185" s="12"/>
      <c r="I185" s="12"/>
      <c r="J185" s="12"/>
      <c r="K185" s="12"/>
      <c r="L185" s="12"/>
      <c r="M185" s="12"/>
      <c r="N185" s="12"/>
      <c r="O185" s="12"/>
      <c r="P185" s="12"/>
      <c r="Q185" s="12"/>
      <c r="R185" s="12"/>
      <c r="S185" s="12"/>
      <c r="T185" s="409"/>
      <c r="U185" s="13">
        <f t="shared" si="9"/>
        <v>0</v>
      </c>
      <c r="V185" s="12"/>
      <c r="W185" s="15" t="s">
        <v>440</v>
      </c>
    </row>
    <row r="186" spans="1:26" s="154" customFormat="1" x14ac:dyDescent="0.25">
      <c r="A186" s="118"/>
      <c r="B186" s="805" t="s">
        <v>337</v>
      </c>
      <c r="C186" s="29">
        <v>1</v>
      </c>
      <c r="D186" s="25"/>
      <c r="E186" s="14"/>
      <c r="F186" s="14"/>
      <c r="G186" s="14"/>
      <c r="H186" s="14"/>
      <c r="I186" s="14"/>
      <c r="J186" s="14"/>
      <c r="K186" s="14"/>
      <c r="L186" s="14"/>
      <c r="M186" s="14"/>
      <c r="N186" s="14"/>
      <c r="O186" s="14">
        <v>1267.5</v>
      </c>
      <c r="P186" s="14"/>
      <c r="Q186" s="14"/>
      <c r="R186" s="14">
        <v>1267.5</v>
      </c>
      <c r="S186" s="14"/>
      <c r="T186" s="408"/>
      <c r="U186" s="13">
        <f t="shared" si="9"/>
        <v>2535</v>
      </c>
      <c r="V186" s="25">
        <v>-170</v>
      </c>
      <c r="W186" s="15">
        <f t="shared" si="10"/>
        <v>-430950</v>
      </c>
    </row>
    <row r="187" spans="1:26" s="154" customFormat="1" x14ac:dyDescent="0.25">
      <c r="A187" s="118"/>
      <c r="B187" s="805" t="s">
        <v>335</v>
      </c>
      <c r="C187" s="12">
        <v>100</v>
      </c>
      <c r="D187" s="25"/>
      <c r="E187" s="14"/>
      <c r="F187" s="14"/>
      <c r="G187" s="14"/>
      <c r="H187" s="14"/>
      <c r="I187" s="14"/>
      <c r="J187" s="14"/>
      <c r="K187" s="14"/>
      <c r="L187" s="14"/>
      <c r="M187" s="14"/>
      <c r="N187" s="14"/>
      <c r="O187" s="14">
        <v>507.94</v>
      </c>
      <c r="P187" s="14"/>
      <c r="Q187" s="14">
        <v>803.25</v>
      </c>
      <c r="R187" s="14">
        <v>507.94</v>
      </c>
      <c r="S187" s="14"/>
      <c r="T187" s="408"/>
      <c r="U187" s="13">
        <f t="shared" si="9"/>
        <v>1819.13</v>
      </c>
      <c r="V187" s="25">
        <v>-4100</v>
      </c>
      <c r="W187" s="15">
        <f t="shared" si="10"/>
        <v>-74584.33</v>
      </c>
    </row>
    <row r="188" spans="1:26" s="154" customFormat="1" ht="22.5" x14ac:dyDescent="0.25">
      <c r="A188" s="198">
        <v>8</v>
      </c>
      <c r="B188" s="798" t="s">
        <v>399</v>
      </c>
      <c r="C188" s="101"/>
      <c r="D188" s="101"/>
      <c r="E188" s="9"/>
      <c r="F188" s="9"/>
      <c r="G188" s="9"/>
      <c r="H188" s="9"/>
      <c r="I188" s="9"/>
      <c r="J188" s="9"/>
      <c r="K188" s="9"/>
      <c r="L188" s="9"/>
      <c r="M188" s="9"/>
      <c r="N188" s="9"/>
      <c r="O188" s="9"/>
      <c r="P188" s="9"/>
      <c r="Q188" s="9"/>
      <c r="R188" s="9"/>
      <c r="S188" s="9"/>
      <c r="T188" s="9"/>
      <c r="U188" s="16"/>
      <c r="V188" s="16"/>
      <c r="W188" s="16"/>
      <c r="X188" s="191">
        <f>SUM(W189:W247)</f>
        <v>32257447.459108837</v>
      </c>
      <c r="Y188" s="195">
        <f>1364663*37</f>
        <v>50492531</v>
      </c>
    </row>
    <row r="189" spans="1:26" s="154" customFormat="1" ht="57" x14ac:dyDescent="0.25">
      <c r="A189" s="118">
        <v>1</v>
      </c>
      <c r="B189" s="806" t="s">
        <v>90</v>
      </c>
      <c r="C189" s="12">
        <v>1000</v>
      </c>
      <c r="D189" s="25">
        <v>2179.5676332792</v>
      </c>
      <c r="E189" s="14">
        <v>1089.7838166396</v>
      </c>
      <c r="F189" s="14"/>
      <c r="G189" s="14">
        <v>3814.2433582386002</v>
      </c>
      <c r="H189" s="14">
        <v>2724.4595415989997</v>
      </c>
      <c r="I189" s="14"/>
      <c r="J189" s="14">
        <v>6538.7028998375999</v>
      </c>
      <c r="K189" s="14">
        <v>544.8919083198</v>
      </c>
      <c r="L189" s="14"/>
      <c r="M189" s="14"/>
      <c r="N189" s="14">
        <v>544.8919083198</v>
      </c>
      <c r="O189" s="14"/>
      <c r="P189" s="14">
        <v>2724.4595415989997</v>
      </c>
      <c r="Q189" s="14"/>
      <c r="R189" s="14"/>
      <c r="S189" s="14"/>
      <c r="T189" s="14"/>
      <c r="U189" s="13">
        <f t="shared" ref="U189:U247" si="11">SUM(D189:T189)</f>
        <v>20161.000607832604</v>
      </c>
      <c r="V189" s="14">
        <v>15824.15</v>
      </c>
      <c r="W189" s="15">
        <f t="shared" ref="W189:W250" si="12">V189*U189/C189</f>
        <v>319030.6977684343</v>
      </c>
      <c r="X189" s="187">
        <f>K189*37</f>
        <v>20161.000607832601</v>
      </c>
      <c r="Y189" s="187">
        <f>U189-X189</f>
        <v>0</v>
      </c>
      <c r="Z189" s="191">
        <f>SUM(W189:W247)</f>
        <v>32257447.459108837</v>
      </c>
    </row>
    <row r="190" spans="1:26" s="154" customFormat="1" ht="85.5" x14ac:dyDescent="0.25">
      <c r="A190" s="118">
        <v>2</v>
      </c>
      <c r="B190" s="815" t="s">
        <v>91</v>
      </c>
      <c r="C190" s="19">
        <v>1</v>
      </c>
      <c r="D190" s="25">
        <v>2034</v>
      </c>
      <c r="E190" s="14">
        <v>1017</v>
      </c>
      <c r="F190" s="14"/>
      <c r="G190" s="14">
        <v>3559.5</v>
      </c>
      <c r="H190" s="14">
        <v>2542.5</v>
      </c>
      <c r="I190" s="14"/>
      <c r="J190" s="14">
        <v>6102</v>
      </c>
      <c r="K190" s="14">
        <v>508.5</v>
      </c>
      <c r="L190" s="14"/>
      <c r="M190" s="14"/>
      <c r="N190" s="14">
        <v>508.5</v>
      </c>
      <c r="O190" s="14"/>
      <c r="P190" s="14">
        <v>2542.5</v>
      </c>
      <c r="Q190" s="14"/>
      <c r="R190" s="14"/>
      <c r="S190" s="14"/>
      <c r="T190" s="14"/>
      <c r="U190" s="13">
        <f t="shared" si="11"/>
        <v>18814.5</v>
      </c>
      <c r="V190" s="25">
        <v>12.55</v>
      </c>
      <c r="W190" s="15">
        <f t="shared" si="12"/>
        <v>236121.97500000001</v>
      </c>
      <c r="X190" s="187">
        <f t="shared" ref="X190:X247" si="13">K190*37</f>
        <v>18814.5</v>
      </c>
      <c r="Y190" s="187">
        <f t="shared" ref="Y190:Y247" si="14">U190-X190</f>
        <v>0</v>
      </c>
    </row>
    <row r="191" spans="1:26" s="154" customFormat="1" ht="42.75" x14ac:dyDescent="0.25">
      <c r="A191" s="44">
        <v>3</v>
      </c>
      <c r="B191" s="806" t="s">
        <v>20</v>
      </c>
      <c r="C191" s="16"/>
      <c r="D191" s="16"/>
      <c r="E191" s="16"/>
      <c r="F191" s="16"/>
      <c r="G191" s="16"/>
      <c r="H191" s="16"/>
      <c r="I191" s="16"/>
      <c r="J191" s="16"/>
      <c r="K191" s="16"/>
      <c r="L191" s="16"/>
      <c r="M191" s="16"/>
      <c r="N191" s="16"/>
      <c r="O191" s="16"/>
      <c r="P191" s="16"/>
      <c r="Q191" s="16"/>
      <c r="R191" s="16"/>
      <c r="S191" s="16"/>
      <c r="T191" s="16"/>
      <c r="U191" s="13">
        <f t="shared" si="11"/>
        <v>0</v>
      </c>
      <c r="V191" s="16"/>
      <c r="W191" s="16"/>
      <c r="X191" s="187">
        <f t="shared" si="13"/>
        <v>0</v>
      </c>
      <c r="Y191" s="187">
        <f t="shared" si="14"/>
        <v>0</v>
      </c>
    </row>
    <row r="195" spans="1:25" s="154" customFormat="1" ht="57" x14ac:dyDescent="0.25">
      <c r="A195" s="44">
        <v>6</v>
      </c>
      <c r="B195" s="806" t="s">
        <v>93</v>
      </c>
      <c r="C195" s="19">
        <v>100</v>
      </c>
      <c r="D195" s="25">
        <v>480</v>
      </c>
      <c r="E195" s="14">
        <v>240</v>
      </c>
      <c r="F195" s="14"/>
      <c r="G195" s="14">
        <v>840</v>
      </c>
      <c r="H195" s="14">
        <v>600</v>
      </c>
      <c r="I195" s="14"/>
      <c r="J195" s="14">
        <v>1440</v>
      </c>
      <c r="K195" s="14">
        <v>120</v>
      </c>
      <c r="L195" s="14"/>
      <c r="M195" s="14"/>
      <c r="N195" s="14">
        <v>120</v>
      </c>
      <c r="O195" s="14"/>
      <c r="P195" s="14">
        <v>600</v>
      </c>
      <c r="Q195" s="14"/>
      <c r="R195" s="14"/>
      <c r="S195" s="14"/>
      <c r="T195" s="14"/>
      <c r="U195" s="13">
        <f t="shared" si="11"/>
        <v>4440</v>
      </c>
      <c r="V195" s="14">
        <v>7607.35</v>
      </c>
      <c r="W195" s="15">
        <f t="shared" si="12"/>
        <v>337766.34</v>
      </c>
      <c r="X195" s="187">
        <f t="shared" si="13"/>
        <v>4440</v>
      </c>
      <c r="Y195" s="187">
        <f t="shared" si="14"/>
        <v>0</v>
      </c>
    </row>
    <row r="196" spans="1:25" s="154" customFormat="1" ht="28.5" x14ac:dyDescent="0.25">
      <c r="A196" s="44">
        <v>7</v>
      </c>
      <c r="B196" s="806" t="s">
        <v>94</v>
      </c>
      <c r="C196" s="12">
        <v>1000</v>
      </c>
      <c r="D196" s="25">
        <v>600</v>
      </c>
      <c r="E196" s="14">
        <v>300</v>
      </c>
      <c r="F196" s="14"/>
      <c r="G196" s="14">
        <v>1050</v>
      </c>
      <c r="H196" s="14">
        <v>750</v>
      </c>
      <c r="I196" s="14"/>
      <c r="J196" s="14">
        <v>1800</v>
      </c>
      <c r="K196" s="14">
        <v>150</v>
      </c>
      <c r="L196" s="14"/>
      <c r="M196" s="14"/>
      <c r="N196" s="14">
        <v>150</v>
      </c>
      <c r="O196" s="14"/>
      <c r="P196" s="14">
        <v>750</v>
      </c>
      <c r="Q196" s="14"/>
      <c r="R196" s="14"/>
      <c r="S196" s="14"/>
      <c r="T196" s="14"/>
      <c r="U196" s="13">
        <f t="shared" si="11"/>
        <v>5550</v>
      </c>
      <c r="V196" s="14">
        <v>7547.75</v>
      </c>
      <c r="W196" s="15">
        <f t="shared" si="12"/>
        <v>41890.012499999997</v>
      </c>
      <c r="X196" s="187">
        <f t="shared" si="13"/>
        <v>5550</v>
      </c>
      <c r="Y196" s="187">
        <f t="shared" si="14"/>
        <v>0</v>
      </c>
    </row>
    <row r="197" spans="1:25" s="154" customFormat="1" ht="28.5" x14ac:dyDescent="0.25">
      <c r="A197" s="44">
        <v>8</v>
      </c>
      <c r="B197" s="806" t="s">
        <v>95</v>
      </c>
      <c r="C197" s="12">
        <v>100</v>
      </c>
      <c r="D197" s="25">
        <v>1163.5999999999999</v>
      </c>
      <c r="E197" s="14">
        <v>581.79999999999995</v>
      </c>
      <c r="F197" s="14"/>
      <c r="G197" s="14">
        <v>2036.2999999999997</v>
      </c>
      <c r="H197" s="14">
        <v>1454.5</v>
      </c>
      <c r="I197" s="14"/>
      <c r="J197" s="14">
        <v>3490.7999999999997</v>
      </c>
      <c r="K197" s="14">
        <v>290.89999999999998</v>
      </c>
      <c r="L197" s="14"/>
      <c r="M197" s="14"/>
      <c r="N197" s="14">
        <v>290.89999999999998</v>
      </c>
      <c r="O197" s="14"/>
      <c r="P197" s="14">
        <v>1454.5</v>
      </c>
      <c r="Q197" s="14"/>
      <c r="R197" s="14"/>
      <c r="S197" s="14"/>
      <c r="T197" s="14"/>
      <c r="U197" s="13">
        <f t="shared" si="11"/>
        <v>10763.3</v>
      </c>
      <c r="V197" s="14">
        <v>35830.6</v>
      </c>
      <c r="W197" s="15">
        <f t="shared" si="12"/>
        <v>3856554.9697999996</v>
      </c>
      <c r="X197" s="187">
        <f t="shared" si="13"/>
        <v>10763.3</v>
      </c>
      <c r="Y197" s="187">
        <f t="shared" si="14"/>
        <v>0</v>
      </c>
    </row>
    <row r="198" spans="1:25" s="154" customFormat="1" ht="114.75" x14ac:dyDescent="0.25">
      <c r="A198" s="44">
        <v>9</v>
      </c>
      <c r="B198" s="806" t="s">
        <v>443</v>
      </c>
      <c r="C198" s="20"/>
      <c r="D198" s="25"/>
      <c r="E198" s="14"/>
      <c r="F198" s="14"/>
      <c r="G198" s="14"/>
      <c r="H198" s="14"/>
      <c r="I198" s="14"/>
      <c r="J198" s="14">
        <v>0</v>
      </c>
      <c r="K198" s="14"/>
      <c r="L198" s="14"/>
      <c r="M198" s="14"/>
      <c r="N198" s="14"/>
      <c r="O198" s="14"/>
      <c r="P198" s="14">
        <v>0</v>
      </c>
      <c r="Q198" s="14"/>
      <c r="R198" s="14"/>
      <c r="S198" s="14"/>
      <c r="T198" s="14"/>
      <c r="U198" s="13">
        <f t="shared" si="11"/>
        <v>0</v>
      </c>
      <c r="V198" s="13">
        <f>SUM(E198:U198)</f>
        <v>0</v>
      </c>
      <c r="W198" s="13">
        <f>SUM(F198:V198)</f>
        <v>0</v>
      </c>
      <c r="X198" s="187">
        <f t="shared" si="13"/>
        <v>0</v>
      </c>
      <c r="Y198" s="187">
        <f t="shared" si="14"/>
        <v>0</v>
      </c>
    </row>
    <row r="199" spans="1:25" s="154" customFormat="1" ht="71.25" x14ac:dyDescent="0.25">
      <c r="A199" s="44" t="s">
        <v>42</v>
      </c>
      <c r="B199" s="806" t="s">
        <v>96</v>
      </c>
      <c r="C199" s="12">
        <v>1</v>
      </c>
      <c r="D199" s="25">
        <v>616.66319999999996</v>
      </c>
      <c r="E199" s="14">
        <v>308.33159999999998</v>
      </c>
      <c r="F199" s="14"/>
      <c r="G199" s="14">
        <v>1079.1605999999999</v>
      </c>
      <c r="H199" s="14">
        <v>770.82899999999995</v>
      </c>
      <c r="I199" s="14"/>
      <c r="J199" s="14">
        <v>1849.9895999999999</v>
      </c>
      <c r="K199" s="14">
        <v>154.16579999999999</v>
      </c>
      <c r="L199" s="14"/>
      <c r="M199" s="14"/>
      <c r="N199" s="14">
        <v>154.16579999999999</v>
      </c>
      <c r="O199" s="14"/>
      <c r="P199" s="14">
        <v>770.82899999999995</v>
      </c>
      <c r="Q199" s="14"/>
      <c r="R199" s="14"/>
      <c r="S199" s="14"/>
      <c r="T199" s="14"/>
      <c r="U199" s="13">
        <f t="shared" si="11"/>
        <v>5704.1345999999994</v>
      </c>
      <c r="V199" s="14">
        <v>741.85</v>
      </c>
      <c r="W199" s="15">
        <f t="shared" si="12"/>
        <v>4231612.2530100001</v>
      </c>
      <c r="X199" s="187">
        <f t="shared" si="13"/>
        <v>5704.1345999999994</v>
      </c>
      <c r="Y199" s="187">
        <f t="shared" si="14"/>
        <v>0</v>
      </c>
    </row>
    <row r="200" spans="1:25" s="154" customFormat="1" ht="71.25" x14ac:dyDescent="0.25">
      <c r="A200" s="44" t="s">
        <v>44</v>
      </c>
      <c r="B200" s="806" t="s">
        <v>97</v>
      </c>
      <c r="C200" s="12">
        <v>1</v>
      </c>
      <c r="D200" s="25">
        <v>73.631249999999994</v>
      </c>
      <c r="E200" s="14">
        <v>36.815624999999997</v>
      </c>
      <c r="F200" s="14"/>
      <c r="G200" s="14">
        <v>128.85468749999998</v>
      </c>
      <c r="H200" s="14">
        <v>92.0390625</v>
      </c>
      <c r="I200" s="14"/>
      <c r="J200" s="14">
        <v>220.89374999999998</v>
      </c>
      <c r="K200" s="14">
        <v>18.407812499999999</v>
      </c>
      <c r="L200" s="14"/>
      <c r="M200" s="14"/>
      <c r="N200" s="14">
        <v>18.407812499999999</v>
      </c>
      <c r="O200" s="14"/>
      <c r="P200" s="14">
        <v>92.0390625</v>
      </c>
      <c r="Q200" s="14"/>
      <c r="R200" s="14"/>
      <c r="S200" s="14"/>
      <c r="T200" s="14"/>
      <c r="U200" s="13">
        <f t="shared" si="11"/>
        <v>681.08906249999995</v>
      </c>
      <c r="V200" s="14">
        <v>595</v>
      </c>
      <c r="W200" s="15">
        <f t="shared" si="12"/>
        <v>405247.9921875</v>
      </c>
      <c r="X200" s="187">
        <f t="shared" si="13"/>
        <v>681.08906249999995</v>
      </c>
      <c r="Y200" s="187">
        <f t="shared" si="14"/>
        <v>0</v>
      </c>
    </row>
    <row r="202" spans="1:25" s="154" customFormat="1" ht="156.75" x14ac:dyDescent="0.25">
      <c r="A202" s="44">
        <v>11</v>
      </c>
      <c r="B202" s="806" t="s">
        <v>99</v>
      </c>
      <c r="C202" s="19">
        <v>1</v>
      </c>
      <c r="D202" s="25">
        <v>128</v>
      </c>
      <c r="E202" s="14">
        <v>64</v>
      </c>
      <c r="F202" s="14"/>
      <c r="G202" s="14">
        <v>224</v>
      </c>
      <c r="H202" s="14">
        <v>160</v>
      </c>
      <c r="I202" s="14"/>
      <c r="J202" s="14">
        <v>384</v>
      </c>
      <c r="K202" s="14">
        <v>32</v>
      </c>
      <c r="L202" s="14"/>
      <c r="M202" s="14"/>
      <c r="N202" s="14">
        <v>32</v>
      </c>
      <c r="O202" s="14"/>
      <c r="P202" s="14">
        <v>160</v>
      </c>
      <c r="Q202" s="14"/>
      <c r="R202" s="14"/>
      <c r="S202" s="14"/>
      <c r="T202" s="14"/>
      <c r="U202" s="13">
        <f t="shared" si="11"/>
        <v>1184</v>
      </c>
      <c r="V202" s="14">
        <v>2180.6999999999998</v>
      </c>
      <c r="W202" s="15">
        <f t="shared" si="12"/>
        <v>2581948.7999999998</v>
      </c>
      <c r="X202" s="187">
        <f t="shared" si="13"/>
        <v>1184</v>
      </c>
      <c r="Y202" s="187">
        <f t="shared" si="14"/>
        <v>0</v>
      </c>
    </row>
    <row r="203" spans="1:25" s="154" customFormat="1" ht="57" x14ac:dyDescent="0.25">
      <c r="A203" s="44">
        <v>12</v>
      </c>
      <c r="B203" s="806" t="s">
        <v>100</v>
      </c>
      <c r="C203" s="19">
        <v>1</v>
      </c>
      <c r="D203" s="25">
        <v>160</v>
      </c>
      <c r="E203" s="14">
        <v>80</v>
      </c>
      <c r="F203" s="14"/>
      <c r="G203" s="14">
        <v>280</v>
      </c>
      <c r="H203" s="14">
        <v>200</v>
      </c>
      <c r="I203" s="14"/>
      <c r="J203" s="14">
        <v>480</v>
      </c>
      <c r="K203" s="14">
        <v>40</v>
      </c>
      <c r="L203" s="14"/>
      <c r="M203" s="14"/>
      <c r="N203" s="14">
        <v>40</v>
      </c>
      <c r="O203" s="14"/>
      <c r="P203" s="14">
        <v>200</v>
      </c>
      <c r="Q203" s="14"/>
      <c r="R203" s="14"/>
      <c r="S203" s="14"/>
      <c r="T203" s="14"/>
      <c r="U203" s="13">
        <f t="shared" si="11"/>
        <v>1480</v>
      </c>
      <c r="V203" s="14">
        <v>457.1</v>
      </c>
      <c r="W203" s="15">
        <f t="shared" si="12"/>
        <v>676508</v>
      </c>
      <c r="X203" s="187">
        <f t="shared" si="13"/>
        <v>1480</v>
      </c>
      <c r="Y203" s="187">
        <f t="shared" si="14"/>
        <v>0</v>
      </c>
    </row>
    <row r="204" spans="1:25" s="154" customFormat="1" ht="42.75" x14ac:dyDescent="0.25">
      <c r="A204" s="44">
        <v>13</v>
      </c>
      <c r="B204" s="806" t="s">
        <v>101</v>
      </c>
      <c r="C204" s="19">
        <v>1</v>
      </c>
      <c r="D204" s="25">
        <v>196</v>
      </c>
      <c r="E204" s="14">
        <v>98</v>
      </c>
      <c r="F204" s="14"/>
      <c r="G204" s="14">
        <v>343</v>
      </c>
      <c r="H204" s="14">
        <v>245</v>
      </c>
      <c r="I204" s="14"/>
      <c r="J204" s="14">
        <v>588</v>
      </c>
      <c r="K204" s="14">
        <v>49</v>
      </c>
      <c r="L204" s="14"/>
      <c r="M204" s="14"/>
      <c r="N204" s="14">
        <v>49</v>
      </c>
      <c r="O204" s="14"/>
      <c r="P204" s="14">
        <v>245</v>
      </c>
      <c r="Q204" s="14"/>
      <c r="R204" s="14"/>
      <c r="S204" s="14"/>
      <c r="T204" s="14"/>
      <c r="U204" s="13">
        <f t="shared" si="11"/>
        <v>1813</v>
      </c>
      <c r="V204" s="14">
        <v>2767</v>
      </c>
      <c r="W204" s="15">
        <f t="shared" si="12"/>
        <v>5016571</v>
      </c>
      <c r="X204" s="187">
        <f t="shared" si="13"/>
        <v>1813</v>
      </c>
      <c r="Y204" s="187">
        <f t="shared" si="14"/>
        <v>0</v>
      </c>
    </row>
    <row r="205" spans="1:25" s="154" customFormat="1" ht="57" x14ac:dyDescent="0.25">
      <c r="A205" s="44">
        <v>14</v>
      </c>
      <c r="B205" s="806" t="s">
        <v>102</v>
      </c>
      <c r="C205" s="19">
        <v>100</v>
      </c>
      <c r="D205" s="25">
        <v>382.25</v>
      </c>
      <c r="E205" s="14">
        <v>191.125</v>
      </c>
      <c r="F205" s="14"/>
      <c r="G205" s="14">
        <v>668.9375</v>
      </c>
      <c r="H205" s="14">
        <v>477.8125</v>
      </c>
      <c r="I205" s="14"/>
      <c r="J205" s="14">
        <v>1146.75</v>
      </c>
      <c r="K205" s="14">
        <v>95.5625</v>
      </c>
      <c r="L205" s="14"/>
      <c r="M205" s="14"/>
      <c r="N205" s="14">
        <v>95.5625</v>
      </c>
      <c r="O205" s="14"/>
      <c r="P205" s="14">
        <v>477.8125</v>
      </c>
      <c r="Q205" s="14"/>
      <c r="R205" s="14"/>
      <c r="S205" s="14"/>
      <c r="T205" s="14"/>
      <c r="U205" s="13">
        <f t="shared" si="11"/>
        <v>3535.8125</v>
      </c>
      <c r="V205" s="14">
        <v>13179.6</v>
      </c>
      <c r="W205" s="15">
        <f t="shared" si="12"/>
        <v>466005.94425000006</v>
      </c>
      <c r="X205" s="187">
        <f t="shared" si="13"/>
        <v>3535.8125</v>
      </c>
      <c r="Y205" s="187">
        <f t="shared" si="14"/>
        <v>0</v>
      </c>
    </row>
    <row r="206" spans="1:25" s="154" customFormat="1" ht="28.5" x14ac:dyDescent="0.25">
      <c r="A206" s="44">
        <v>15</v>
      </c>
      <c r="B206" s="806" t="s">
        <v>103</v>
      </c>
      <c r="C206" s="19">
        <v>1</v>
      </c>
      <c r="D206" s="25">
        <v>398.25</v>
      </c>
      <c r="E206" s="14">
        <v>199.125</v>
      </c>
      <c r="F206" s="14"/>
      <c r="G206" s="14">
        <v>696.9375</v>
      </c>
      <c r="H206" s="14">
        <v>497.8125</v>
      </c>
      <c r="I206" s="14"/>
      <c r="J206" s="14">
        <v>1194.75</v>
      </c>
      <c r="K206" s="14">
        <v>99.5625</v>
      </c>
      <c r="L206" s="14"/>
      <c r="M206" s="14"/>
      <c r="N206" s="14">
        <v>99.5625</v>
      </c>
      <c r="O206" s="14"/>
      <c r="P206" s="14">
        <v>497.8125</v>
      </c>
      <c r="Q206" s="14"/>
      <c r="R206" s="14"/>
      <c r="S206" s="14"/>
      <c r="T206" s="14"/>
      <c r="U206" s="13">
        <f t="shared" si="11"/>
        <v>3683.8125</v>
      </c>
      <c r="V206" s="14">
        <v>11</v>
      </c>
      <c r="W206" s="15">
        <f t="shared" si="12"/>
        <v>40521.9375</v>
      </c>
      <c r="X206" s="187">
        <f t="shared" si="13"/>
        <v>3683.8125</v>
      </c>
      <c r="Y206" s="187">
        <f t="shared" si="14"/>
        <v>0</v>
      </c>
    </row>
    <row r="207" spans="1:25" s="154" customFormat="1" x14ac:dyDescent="0.25">
      <c r="A207" s="44">
        <v>16</v>
      </c>
      <c r="B207" s="806" t="s">
        <v>104</v>
      </c>
      <c r="C207" s="12">
        <v>100</v>
      </c>
      <c r="D207" s="25">
        <v>163.75</v>
      </c>
      <c r="E207" s="14">
        <v>81.875</v>
      </c>
      <c r="F207" s="14"/>
      <c r="G207" s="14">
        <v>286.5625</v>
      </c>
      <c r="H207" s="14">
        <v>204.6875</v>
      </c>
      <c r="I207" s="14"/>
      <c r="J207" s="14">
        <v>491.25</v>
      </c>
      <c r="K207" s="14">
        <v>40.9375</v>
      </c>
      <c r="L207" s="14"/>
      <c r="M207" s="14"/>
      <c r="N207" s="14">
        <v>40.9375</v>
      </c>
      <c r="O207" s="14"/>
      <c r="P207" s="14">
        <v>204.6875</v>
      </c>
      <c r="Q207" s="14"/>
      <c r="R207" s="14"/>
      <c r="S207" s="14"/>
      <c r="T207" s="14"/>
      <c r="U207" s="13">
        <f t="shared" si="11"/>
        <v>1514.6875</v>
      </c>
      <c r="V207" s="25">
        <v>3987</v>
      </c>
      <c r="W207" s="15">
        <f t="shared" si="12"/>
        <v>60390.590624999997</v>
      </c>
      <c r="X207" s="187">
        <f t="shared" si="13"/>
        <v>1514.6875</v>
      </c>
      <c r="Y207" s="187">
        <f t="shared" si="14"/>
        <v>0</v>
      </c>
    </row>
    <row r="208" spans="1:25" s="154" customFormat="1" ht="42.75" x14ac:dyDescent="0.25">
      <c r="A208" s="44">
        <v>17</v>
      </c>
      <c r="B208" s="806" t="s">
        <v>105</v>
      </c>
      <c r="C208" s="12">
        <v>100</v>
      </c>
      <c r="D208" s="25">
        <v>195.75</v>
      </c>
      <c r="E208" s="14">
        <v>97.875</v>
      </c>
      <c r="F208" s="14"/>
      <c r="G208" s="14">
        <v>342.5625</v>
      </c>
      <c r="H208" s="14">
        <v>244.6875</v>
      </c>
      <c r="I208" s="14"/>
      <c r="J208" s="14">
        <v>587.25</v>
      </c>
      <c r="K208" s="14">
        <v>48.9375</v>
      </c>
      <c r="L208" s="14"/>
      <c r="M208" s="14"/>
      <c r="N208" s="14">
        <v>48.9375</v>
      </c>
      <c r="O208" s="14"/>
      <c r="P208" s="14">
        <v>244.6875</v>
      </c>
      <c r="Q208" s="14"/>
      <c r="R208" s="14"/>
      <c r="S208" s="14"/>
      <c r="T208" s="14"/>
      <c r="U208" s="13">
        <f t="shared" si="11"/>
        <v>1810.6875</v>
      </c>
      <c r="V208" s="25">
        <v>12801.2</v>
      </c>
      <c r="W208" s="15">
        <f t="shared" si="12"/>
        <v>231789.72825000004</v>
      </c>
      <c r="X208" s="187">
        <f t="shared" si="13"/>
        <v>1810.6875</v>
      </c>
      <c r="Y208" s="187">
        <f t="shared" si="14"/>
        <v>0</v>
      </c>
    </row>
    <row r="209" spans="1:25" s="154" customFormat="1" ht="42.75" x14ac:dyDescent="0.25">
      <c r="A209" s="44">
        <v>18</v>
      </c>
      <c r="B209" s="799" t="s">
        <v>106</v>
      </c>
      <c r="C209" s="20"/>
      <c r="D209" s="20"/>
      <c r="E209" s="20"/>
      <c r="F209" s="20"/>
      <c r="G209" s="20"/>
      <c r="H209" s="20"/>
      <c r="I209" s="20"/>
      <c r="J209" s="20"/>
      <c r="K209" s="20"/>
      <c r="L209" s="20"/>
      <c r="M209" s="20"/>
      <c r="N209" s="20"/>
      <c r="O209" s="20"/>
      <c r="P209" s="20"/>
      <c r="Q209" s="20"/>
      <c r="R209" s="20"/>
      <c r="S209" s="20"/>
      <c r="T209" s="20"/>
      <c r="U209" s="13">
        <f t="shared" si="11"/>
        <v>0</v>
      </c>
      <c r="V209" s="20"/>
      <c r="W209" s="20"/>
      <c r="X209" s="187">
        <f t="shared" si="13"/>
        <v>0</v>
      </c>
      <c r="Y209" s="187">
        <f t="shared" si="14"/>
        <v>0</v>
      </c>
    </row>
    <row r="211" spans="1:25" s="154" customFormat="1" x14ac:dyDescent="0.25">
      <c r="A211" s="44">
        <v>19</v>
      </c>
      <c r="B211" s="806" t="s">
        <v>108</v>
      </c>
      <c r="C211" s="19">
        <v>100</v>
      </c>
      <c r="D211" s="25">
        <v>2273.2200000000003</v>
      </c>
      <c r="E211" s="14">
        <v>1136.6100000000001</v>
      </c>
      <c r="F211" s="14"/>
      <c r="G211" s="14">
        <v>3978.1350000000002</v>
      </c>
      <c r="H211" s="14">
        <v>2841.5250000000005</v>
      </c>
      <c r="I211" s="14"/>
      <c r="J211" s="14">
        <v>6819.6600000000008</v>
      </c>
      <c r="K211" s="14">
        <v>568.30500000000006</v>
      </c>
      <c r="L211" s="14"/>
      <c r="M211" s="14"/>
      <c r="N211" s="14">
        <v>568.30500000000006</v>
      </c>
      <c r="O211" s="14"/>
      <c r="P211" s="14">
        <v>2841.5250000000005</v>
      </c>
      <c r="Q211" s="14"/>
      <c r="R211" s="14"/>
      <c r="S211" s="14"/>
      <c r="T211" s="14"/>
      <c r="U211" s="13">
        <f t="shared" si="11"/>
        <v>21027.285000000003</v>
      </c>
      <c r="V211" s="25">
        <v>4614.1000000000004</v>
      </c>
      <c r="W211" s="15">
        <f t="shared" si="12"/>
        <v>970219.95718500018</v>
      </c>
      <c r="X211" s="187">
        <f t="shared" si="13"/>
        <v>21027.285000000003</v>
      </c>
      <c r="Y211" s="187">
        <f t="shared" si="14"/>
        <v>0</v>
      </c>
    </row>
    <row r="212" spans="1:25" s="154" customFormat="1" ht="42.75" x14ac:dyDescent="0.25">
      <c r="A212" s="44">
        <v>20</v>
      </c>
      <c r="B212" s="806" t="s">
        <v>109</v>
      </c>
      <c r="C212" s="19">
        <v>100</v>
      </c>
      <c r="D212" s="25">
        <v>458.08</v>
      </c>
      <c r="E212" s="14">
        <v>229.04</v>
      </c>
      <c r="F212" s="14"/>
      <c r="G212" s="14">
        <v>801.64</v>
      </c>
      <c r="H212" s="14">
        <v>572.6</v>
      </c>
      <c r="I212" s="14"/>
      <c r="J212" s="14">
        <v>1374.24</v>
      </c>
      <c r="K212" s="14">
        <v>114.52</v>
      </c>
      <c r="L212" s="14"/>
      <c r="M212" s="14"/>
      <c r="N212" s="14">
        <v>114.52</v>
      </c>
      <c r="O212" s="14"/>
      <c r="P212" s="14">
        <v>572.6</v>
      </c>
      <c r="Q212" s="14"/>
      <c r="R212" s="14"/>
      <c r="S212" s="14"/>
      <c r="T212" s="14"/>
      <c r="U212" s="13">
        <f t="shared" si="11"/>
        <v>4237.2400000000007</v>
      </c>
      <c r="V212" s="25">
        <v>5264.65</v>
      </c>
      <c r="W212" s="15">
        <f t="shared" si="12"/>
        <v>223075.85566000003</v>
      </c>
      <c r="X212" s="187">
        <f t="shared" si="13"/>
        <v>4237.24</v>
      </c>
      <c r="Y212" s="187">
        <f t="shared" si="14"/>
        <v>0</v>
      </c>
    </row>
    <row r="213" spans="1:25" s="154" customFormat="1" ht="57" x14ac:dyDescent="0.25">
      <c r="A213" s="44">
        <v>21</v>
      </c>
      <c r="B213" s="806" t="s">
        <v>110</v>
      </c>
      <c r="C213" s="19">
        <v>100</v>
      </c>
      <c r="D213" s="25">
        <v>1959.5</v>
      </c>
      <c r="E213" s="14">
        <v>979.75</v>
      </c>
      <c r="F213" s="14"/>
      <c r="G213" s="14">
        <v>3429.125</v>
      </c>
      <c r="H213" s="14">
        <v>2449.375</v>
      </c>
      <c r="I213" s="14"/>
      <c r="J213" s="14">
        <v>5878.5</v>
      </c>
      <c r="K213" s="14">
        <v>489.875</v>
      </c>
      <c r="L213" s="14"/>
      <c r="M213" s="14"/>
      <c r="N213" s="14">
        <v>489.875</v>
      </c>
      <c r="O213" s="14"/>
      <c r="P213" s="14">
        <v>2449.375</v>
      </c>
      <c r="Q213" s="14"/>
      <c r="R213" s="14"/>
      <c r="S213" s="14"/>
      <c r="T213" s="14"/>
      <c r="U213" s="13">
        <f t="shared" si="11"/>
        <v>18125.375</v>
      </c>
      <c r="V213" s="25">
        <v>5012.6499999999996</v>
      </c>
      <c r="W213" s="15">
        <f t="shared" si="12"/>
        <v>908561.60993749986</v>
      </c>
      <c r="X213" s="187">
        <f t="shared" si="13"/>
        <v>18125.375</v>
      </c>
      <c r="Y213" s="187">
        <f t="shared" si="14"/>
        <v>0</v>
      </c>
    </row>
    <row r="214" spans="1:25" s="154" customFormat="1" ht="42.75" x14ac:dyDescent="0.25">
      <c r="A214" s="44">
        <v>22</v>
      </c>
      <c r="B214" s="806" t="s">
        <v>111</v>
      </c>
      <c r="C214" s="36">
        <v>1</v>
      </c>
      <c r="D214" s="25">
        <v>52</v>
      </c>
      <c r="E214" s="14">
        <v>26</v>
      </c>
      <c r="F214" s="14"/>
      <c r="G214" s="14">
        <v>91</v>
      </c>
      <c r="H214" s="14">
        <v>65</v>
      </c>
      <c r="I214" s="14"/>
      <c r="J214" s="14">
        <v>156</v>
      </c>
      <c r="K214" s="14">
        <v>13</v>
      </c>
      <c r="L214" s="14"/>
      <c r="M214" s="14"/>
      <c r="N214" s="14">
        <v>13</v>
      </c>
      <c r="O214" s="14"/>
      <c r="P214" s="14">
        <v>65</v>
      </c>
      <c r="Q214" s="14"/>
      <c r="R214" s="14"/>
      <c r="S214" s="14"/>
      <c r="T214" s="14"/>
      <c r="U214" s="13">
        <f t="shared" si="11"/>
        <v>481</v>
      </c>
      <c r="V214" s="25">
        <v>514.9</v>
      </c>
      <c r="W214" s="15">
        <f t="shared" si="12"/>
        <v>247666.9</v>
      </c>
      <c r="X214" s="187">
        <f t="shared" si="13"/>
        <v>481</v>
      </c>
      <c r="Y214" s="187">
        <f t="shared" si="14"/>
        <v>0</v>
      </c>
    </row>
    <row r="215" spans="1:25" s="154" customFormat="1" x14ac:dyDescent="0.25">
      <c r="A215" s="44">
        <v>23</v>
      </c>
      <c r="B215" s="806" t="s">
        <v>112</v>
      </c>
      <c r="C215" s="37">
        <v>1</v>
      </c>
      <c r="D215" s="25">
        <v>8</v>
      </c>
      <c r="E215" s="14">
        <v>4</v>
      </c>
      <c r="F215" s="14"/>
      <c r="G215" s="14">
        <v>14</v>
      </c>
      <c r="H215" s="14">
        <v>10</v>
      </c>
      <c r="I215" s="14"/>
      <c r="J215" s="14">
        <v>24</v>
      </c>
      <c r="K215" s="14">
        <v>2</v>
      </c>
      <c r="L215" s="14"/>
      <c r="M215" s="14"/>
      <c r="N215" s="14">
        <v>2</v>
      </c>
      <c r="O215" s="14"/>
      <c r="P215" s="14">
        <v>10</v>
      </c>
      <c r="Q215" s="14"/>
      <c r="R215" s="14"/>
      <c r="S215" s="14"/>
      <c r="T215" s="14"/>
      <c r="U215" s="13">
        <f t="shared" si="11"/>
        <v>74</v>
      </c>
      <c r="V215" s="25">
        <v>849.7</v>
      </c>
      <c r="W215" s="15">
        <f t="shared" si="12"/>
        <v>62877.8</v>
      </c>
      <c r="X215" s="187">
        <f t="shared" si="13"/>
        <v>74</v>
      </c>
      <c r="Y215" s="187">
        <f t="shared" si="14"/>
        <v>0</v>
      </c>
    </row>
    <row r="216" spans="1:25" s="154" customFormat="1" x14ac:dyDescent="0.25">
      <c r="A216" s="44">
        <v>24</v>
      </c>
      <c r="B216" s="806" t="s">
        <v>113</v>
      </c>
      <c r="C216" s="37">
        <v>1</v>
      </c>
      <c r="D216" s="25">
        <v>4</v>
      </c>
      <c r="E216" s="14">
        <v>2</v>
      </c>
      <c r="F216" s="14"/>
      <c r="G216" s="14">
        <v>7</v>
      </c>
      <c r="H216" s="14">
        <v>5</v>
      </c>
      <c r="I216" s="14"/>
      <c r="J216" s="14">
        <v>12</v>
      </c>
      <c r="K216" s="14">
        <v>1</v>
      </c>
      <c r="L216" s="14"/>
      <c r="M216" s="14"/>
      <c r="N216" s="14">
        <v>1</v>
      </c>
      <c r="O216" s="14"/>
      <c r="P216" s="14">
        <v>5</v>
      </c>
      <c r="Q216" s="14"/>
      <c r="R216" s="14"/>
      <c r="S216" s="14"/>
      <c r="T216" s="14"/>
      <c r="U216" s="13">
        <f t="shared" si="11"/>
        <v>37</v>
      </c>
      <c r="V216" s="25">
        <v>1159.6500000000001</v>
      </c>
      <c r="W216" s="15">
        <f t="shared" si="12"/>
        <v>42907.05</v>
      </c>
      <c r="X216" s="187">
        <f t="shared" si="13"/>
        <v>37</v>
      </c>
      <c r="Y216" s="187">
        <f t="shared" si="14"/>
        <v>0</v>
      </c>
    </row>
    <row r="217" spans="1:25" s="154" customFormat="1" x14ac:dyDescent="0.25">
      <c r="A217" s="44">
        <v>25</v>
      </c>
      <c r="B217" s="806" t="s">
        <v>114</v>
      </c>
      <c r="C217" s="19">
        <v>100</v>
      </c>
      <c r="D217" s="25">
        <v>2041.08</v>
      </c>
      <c r="E217" s="14">
        <v>1020.54</v>
      </c>
      <c r="F217" s="14"/>
      <c r="G217" s="14">
        <v>3571.89</v>
      </c>
      <c r="H217" s="14">
        <v>2551.35</v>
      </c>
      <c r="I217" s="14"/>
      <c r="J217" s="14">
        <v>6123.24</v>
      </c>
      <c r="K217" s="14">
        <v>510.27</v>
      </c>
      <c r="L217" s="14"/>
      <c r="M217" s="14"/>
      <c r="N217" s="14">
        <v>510.27</v>
      </c>
      <c r="O217" s="14"/>
      <c r="P217" s="14">
        <v>2551.35</v>
      </c>
      <c r="Q217" s="14"/>
      <c r="R217" s="14"/>
      <c r="S217" s="14"/>
      <c r="T217" s="14"/>
      <c r="U217" s="13">
        <f t="shared" si="11"/>
        <v>18879.990000000002</v>
      </c>
      <c r="V217" s="25">
        <v>1548.2</v>
      </c>
      <c r="W217" s="15">
        <f t="shared" si="12"/>
        <v>292300.00518000004</v>
      </c>
      <c r="X217" s="187">
        <f t="shared" si="13"/>
        <v>18879.989999999998</v>
      </c>
      <c r="Y217" s="187">
        <f t="shared" si="14"/>
        <v>0</v>
      </c>
    </row>
    <row r="219" spans="1:25" s="154" customFormat="1" ht="28.5" x14ac:dyDescent="0.25">
      <c r="A219" s="44">
        <v>27</v>
      </c>
      <c r="B219" s="806" t="s">
        <v>116</v>
      </c>
      <c r="C219" s="19">
        <v>100</v>
      </c>
      <c r="D219" s="25">
        <v>356</v>
      </c>
      <c r="E219" s="14">
        <v>178</v>
      </c>
      <c r="F219" s="14"/>
      <c r="G219" s="14">
        <v>623</v>
      </c>
      <c r="H219" s="14">
        <v>445</v>
      </c>
      <c r="I219" s="14"/>
      <c r="J219" s="14">
        <v>1068</v>
      </c>
      <c r="K219" s="14">
        <v>89</v>
      </c>
      <c r="L219" s="14"/>
      <c r="M219" s="14"/>
      <c r="N219" s="14">
        <v>89</v>
      </c>
      <c r="O219" s="14"/>
      <c r="P219" s="14">
        <v>445</v>
      </c>
      <c r="Q219" s="14"/>
      <c r="R219" s="14"/>
      <c r="S219" s="14"/>
      <c r="T219" s="14"/>
      <c r="U219" s="13">
        <f t="shared" si="11"/>
        <v>3293</v>
      </c>
      <c r="V219" s="25">
        <v>3052.4</v>
      </c>
      <c r="W219" s="15">
        <f t="shared" si="12"/>
        <v>100515.53200000001</v>
      </c>
      <c r="X219" s="187">
        <f t="shared" si="13"/>
        <v>3293</v>
      </c>
      <c r="Y219" s="187">
        <f t="shared" si="14"/>
        <v>0</v>
      </c>
    </row>
    <row r="220" spans="1:25" s="154" customFormat="1" ht="57" x14ac:dyDescent="0.25">
      <c r="A220" s="44">
        <v>28</v>
      </c>
      <c r="B220" s="799" t="s">
        <v>117</v>
      </c>
      <c r="C220" s="29">
        <v>100</v>
      </c>
      <c r="D220" s="25">
        <v>1339.834890683117</v>
      </c>
      <c r="E220" s="14">
        <v>669.9174453415585</v>
      </c>
      <c r="F220" s="14"/>
      <c r="G220" s="14">
        <v>2344.711058695455</v>
      </c>
      <c r="H220" s="14">
        <v>1674.7936133538963</v>
      </c>
      <c r="I220" s="14"/>
      <c r="J220" s="14">
        <v>4019.504672049351</v>
      </c>
      <c r="K220" s="14">
        <v>334.95872267077925</v>
      </c>
      <c r="L220" s="14"/>
      <c r="M220" s="14"/>
      <c r="N220" s="14">
        <v>334.95872267077925</v>
      </c>
      <c r="O220" s="14"/>
      <c r="P220" s="14">
        <v>1674.7936133538963</v>
      </c>
      <c r="Q220" s="14"/>
      <c r="R220" s="14"/>
      <c r="S220" s="14"/>
      <c r="T220" s="14"/>
      <c r="U220" s="13">
        <f t="shared" si="11"/>
        <v>12393.472738818833</v>
      </c>
      <c r="V220" s="14">
        <v>37098.85</v>
      </c>
      <c r="W220" s="15">
        <f t="shared" si="12"/>
        <v>4597835.8611652907</v>
      </c>
      <c r="X220" s="187">
        <f t="shared" si="13"/>
        <v>12393.472738818833</v>
      </c>
      <c r="Y220" s="187">
        <f t="shared" si="14"/>
        <v>0</v>
      </c>
    </row>
    <row r="221" spans="1:25" s="154" customFormat="1" ht="42.75" x14ac:dyDescent="0.25">
      <c r="A221" s="44">
        <v>29</v>
      </c>
      <c r="B221" s="806" t="s">
        <v>118</v>
      </c>
      <c r="C221" s="20"/>
      <c r="D221" s="20"/>
      <c r="E221" s="20"/>
      <c r="F221" s="20"/>
      <c r="G221" s="20"/>
      <c r="H221" s="20"/>
      <c r="I221" s="20"/>
      <c r="J221" s="20"/>
      <c r="K221" s="20"/>
      <c r="L221" s="20"/>
      <c r="M221" s="20"/>
      <c r="N221" s="20"/>
      <c r="O221" s="20"/>
      <c r="P221" s="20"/>
      <c r="Q221" s="20"/>
      <c r="R221" s="20"/>
      <c r="S221" s="20"/>
      <c r="T221" s="20"/>
      <c r="U221" s="13">
        <f t="shared" si="11"/>
        <v>0</v>
      </c>
      <c r="V221" s="20"/>
      <c r="W221" s="20"/>
      <c r="X221" s="187">
        <f t="shared" si="13"/>
        <v>0</v>
      </c>
      <c r="Y221" s="187">
        <f t="shared" si="14"/>
        <v>0</v>
      </c>
    </row>
    <row r="222" spans="1:25" s="154" customFormat="1" x14ac:dyDescent="0.25">
      <c r="A222" s="44" t="s">
        <v>42</v>
      </c>
      <c r="B222" s="806" t="s">
        <v>119</v>
      </c>
      <c r="C222" s="36">
        <v>1</v>
      </c>
      <c r="D222" s="25">
        <v>240</v>
      </c>
      <c r="E222" s="14">
        <v>120</v>
      </c>
      <c r="F222" s="25"/>
      <c r="G222" s="14">
        <v>420</v>
      </c>
      <c r="H222" s="14">
        <v>300</v>
      </c>
      <c r="I222" s="25"/>
      <c r="J222" s="14">
        <v>720</v>
      </c>
      <c r="K222" s="14">
        <v>60</v>
      </c>
      <c r="L222" s="25"/>
      <c r="M222" s="25"/>
      <c r="N222" s="14">
        <v>60</v>
      </c>
      <c r="O222" s="25"/>
      <c r="P222" s="14">
        <v>300</v>
      </c>
      <c r="Q222" s="25"/>
      <c r="R222" s="25"/>
      <c r="S222" s="25"/>
      <c r="T222" s="25"/>
      <c r="U222" s="13">
        <f t="shared" si="11"/>
        <v>2220</v>
      </c>
      <c r="V222" s="25">
        <v>112.25</v>
      </c>
      <c r="W222" s="15">
        <f t="shared" si="12"/>
        <v>249195</v>
      </c>
      <c r="X222" s="187">
        <f t="shared" si="13"/>
        <v>2220</v>
      </c>
      <c r="Y222" s="187">
        <f t="shared" si="14"/>
        <v>0</v>
      </c>
    </row>
    <row r="223" spans="1:25" s="154" customFormat="1" x14ac:dyDescent="0.25">
      <c r="A223" s="44" t="s">
        <v>44</v>
      </c>
      <c r="B223" s="806" t="s">
        <v>120</v>
      </c>
      <c r="C223" s="36">
        <v>1</v>
      </c>
      <c r="D223" s="25">
        <v>120</v>
      </c>
      <c r="E223" s="14">
        <v>60</v>
      </c>
      <c r="F223" s="25"/>
      <c r="G223" s="14">
        <v>210</v>
      </c>
      <c r="H223" s="14">
        <v>150</v>
      </c>
      <c r="I223" s="25"/>
      <c r="J223" s="14">
        <v>360</v>
      </c>
      <c r="K223" s="14">
        <v>30</v>
      </c>
      <c r="L223" s="25"/>
      <c r="M223" s="25"/>
      <c r="N223" s="14">
        <v>30</v>
      </c>
      <c r="O223" s="25"/>
      <c r="P223" s="14">
        <v>150</v>
      </c>
      <c r="Q223" s="25"/>
      <c r="R223" s="25"/>
      <c r="S223" s="25"/>
      <c r="T223" s="25"/>
      <c r="U223" s="13">
        <f t="shared" si="11"/>
        <v>1110</v>
      </c>
      <c r="V223" s="25">
        <v>133.6</v>
      </c>
      <c r="W223" s="15">
        <f t="shared" si="12"/>
        <v>148296</v>
      </c>
      <c r="X223" s="187">
        <f t="shared" si="13"/>
        <v>1110</v>
      </c>
      <c r="Y223" s="187">
        <f t="shared" si="14"/>
        <v>0</v>
      </c>
    </row>
    <row r="224" spans="1:25" s="154" customFormat="1" x14ac:dyDescent="0.25">
      <c r="A224" s="44" t="s">
        <v>121</v>
      </c>
      <c r="B224" s="806" t="s">
        <v>122</v>
      </c>
      <c r="C224" s="36">
        <v>1</v>
      </c>
      <c r="D224" s="25">
        <v>60</v>
      </c>
      <c r="E224" s="14">
        <v>30</v>
      </c>
      <c r="F224" s="25"/>
      <c r="G224" s="14">
        <v>105</v>
      </c>
      <c r="H224" s="14">
        <v>75</v>
      </c>
      <c r="I224" s="25"/>
      <c r="J224" s="14">
        <v>180</v>
      </c>
      <c r="K224" s="14">
        <v>15</v>
      </c>
      <c r="L224" s="25"/>
      <c r="M224" s="25"/>
      <c r="N224" s="14">
        <v>15</v>
      </c>
      <c r="O224" s="25"/>
      <c r="P224" s="14">
        <v>75</v>
      </c>
      <c r="Q224" s="25"/>
      <c r="R224" s="25"/>
      <c r="S224" s="25"/>
      <c r="T224" s="25"/>
      <c r="U224" s="13">
        <f t="shared" si="11"/>
        <v>555</v>
      </c>
      <c r="V224" s="25">
        <v>231.55</v>
      </c>
      <c r="W224" s="15">
        <f t="shared" si="12"/>
        <v>128510.25</v>
      </c>
      <c r="X224" s="187">
        <f t="shared" si="13"/>
        <v>555</v>
      </c>
      <c r="Y224" s="187">
        <f t="shared" si="14"/>
        <v>0</v>
      </c>
    </row>
    <row r="225" spans="1:25" s="154" customFormat="1" ht="71.25" x14ac:dyDescent="0.25">
      <c r="A225" s="44">
        <v>30</v>
      </c>
      <c r="B225" s="806" t="s">
        <v>123</v>
      </c>
      <c r="C225" s="20"/>
      <c r="D225" s="20"/>
      <c r="E225" s="20"/>
      <c r="F225" s="20"/>
      <c r="G225" s="20"/>
      <c r="H225" s="20"/>
      <c r="I225" s="20"/>
      <c r="J225" s="20"/>
      <c r="K225" s="20"/>
      <c r="L225" s="20"/>
      <c r="M225" s="20"/>
      <c r="N225" s="20"/>
      <c r="O225" s="20"/>
      <c r="P225" s="20"/>
      <c r="Q225" s="20"/>
      <c r="R225" s="20"/>
      <c r="S225" s="20"/>
      <c r="T225" s="20"/>
      <c r="U225" s="13">
        <f t="shared" si="11"/>
        <v>0</v>
      </c>
      <c r="V225" s="20"/>
      <c r="W225" s="20"/>
      <c r="X225" s="187">
        <f t="shared" si="13"/>
        <v>0</v>
      </c>
      <c r="Y225" s="187">
        <f t="shared" si="14"/>
        <v>0</v>
      </c>
    </row>
    <row r="226" spans="1:25" s="154" customFormat="1" x14ac:dyDescent="0.25">
      <c r="A226" s="44" t="s">
        <v>42</v>
      </c>
      <c r="B226" s="806" t="s">
        <v>124</v>
      </c>
      <c r="C226" s="36">
        <v>1</v>
      </c>
      <c r="D226" s="25">
        <v>720</v>
      </c>
      <c r="E226" s="14">
        <v>360</v>
      </c>
      <c r="F226" s="25"/>
      <c r="G226" s="14">
        <v>1260</v>
      </c>
      <c r="H226" s="14">
        <v>900</v>
      </c>
      <c r="I226" s="25"/>
      <c r="J226" s="14">
        <v>2160</v>
      </c>
      <c r="K226" s="14">
        <v>180</v>
      </c>
      <c r="L226" s="25"/>
      <c r="M226" s="25"/>
      <c r="N226" s="14">
        <v>180</v>
      </c>
      <c r="O226" s="25"/>
      <c r="P226" s="14">
        <v>900</v>
      </c>
      <c r="Q226" s="25"/>
      <c r="R226" s="25"/>
      <c r="S226" s="25"/>
      <c r="T226" s="25"/>
      <c r="U226" s="13">
        <f t="shared" si="11"/>
        <v>6660</v>
      </c>
      <c r="V226" s="25">
        <v>35.700000000000003</v>
      </c>
      <c r="W226" s="15">
        <f t="shared" si="12"/>
        <v>237762.00000000003</v>
      </c>
      <c r="X226" s="187">
        <f t="shared" si="13"/>
        <v>6660</v>
      </c>
      <c r="Y226" s="187">
        <f t="shared" si="14"/>
        <v>0</v>
      </c>
    </row>
    <row r="227" spans="1:25" s="154" customFormat="1" x14ac:dyDescent="0.25">
      <c r="A227" s="44" t="s">
        <v>44</v>
      </c>
      <c r="B227" s="806" t="s">
        <v>125</v>
      </c>
      <c r="C227" s="36">
        <v>1</v>
      </c>
      <c r="D227" s="25">
        <v>240</v>
      </c>
      <c r="E227" s="14">
        <v>120</v>
      </c>
      <c r="F227" s="25"/>
      <c r="G227" s="14">
        <v>420</v>
      </c>
      <c r="H227" s="14">
        <v>300</v>
      </c>
      <c r="I227" s="25"/>
      <c r="J227" s="14">
        <v>720</v>
      </c>
      <c r="K227" s="14">
        <v>60</v>
      </c>
      <c r="L227" s="25"/>
      <c r="M227" s="25"/>
      <c r="N227" s="14">
        <v>60</v>
      </c>
      <c r="O227" s="25"/>
      <c r="P227" s="14">
        <v>300</v>
      </c>
      <c r="Q227" s="25"/>
      <c r="R227" s="25"/>
      <c r="S227" s="25"/>
      <c r="T227" s="25"/>
      <c r="U227" s="13">
        <f t="shared" si="11"/>
        <v>2220</v>
      </c>
      <c r="V227" s="25">
        <v>56.3</v>
      </c>
      <c r="W227" s="15">
        <f t="shared" si="12"/>
        <v>124986</v>
      </c>
      <c r="X227" s="187">
        <f t="shared" si="13"/>
        <v>2220</v>
      </c>
      <c r="Y227" s="187">
        <f t="shared" si="14"/>
        <v>0</v>
      </c>
    </row>
    <row r="228" spans="1:25" s="154" customFormat="1" ht="71.25" x14ac:dyDescent="0.25">
      <c r="A228" s="44">
        <v>31</v>
      </c>
      <c r="B228" s="806" t="s">
        <v>126</v>
      </c>
      <c r="C228" s="36">
        <v>1</v>
      </c>
      <c r="D228" s="25">
        <v>160</v>
      </c>
      <c r="E228" s="14">
        <v>80</v>
      </c>
      <c r="F228" s="25"/>
      <c r="G228" s="14">
        <v>280</v>
      </c>
      <c r="H228" s="14">
        <v>200</v>
      </c>
      <c r="I228" s="25"/>
      <c r="J228" s="14">
        <v>480</v>
      </c>
      <c r="K228" s="14">
        <v>40</v>
      </c>
      <c r="L228" s="25"/>
      <c r="M228" s="25"/>
      <c r="N228" s="14">
        <v>40</v>
      </c>
      <c r="O228" s="25"/>
      <c r="P228" s="14">
        <v>200</v>
      </c>
      <c r="Q228" s="25"/>
      <c r="R228" s="25"/>
      <c r="S228" s="25"/>
      <c r="T228" s="25"/>
      <c r="U228" s="13">
        <f t="shared" si="11"/>
        <v>1480</v>
      </c>
      <c r="V228" s="25">
        <v>237.65</v>
      </c>
      <c r="W228" s="15">
        <f t="shared" si="12"/>
        <v>351722</v>
      </c>
      <c r="X228" s="187">
        <f t="shared" si="13"/>
        <v>1480</v>
      </c>
      <c r="Y228" s="187">
        <f t="shared" si="14"/>
        <v>0</v>
      </c>
    </row>
    <row r="229" spans="1:25" s="154" customFormat="1" ht="42.75" x14ac:dyDescent="0.25">
      <c r="A229" s="44">
        <v>32</v>
      </c>
      <c r="B229" s="806" t="s">
        <v>127</v>
      </c>
      <c r="C229" s="20"/>
      <c r="D229" s="20"/>
      <c r="E229" s="20"/>
      <c r="F229" s="20"/>
      <c r="G229" s="20"/>
      <c r="H229" s="20"/>
      <c r="I229" s="20"/>
      <c r="J229" s="20"/>
      <c r="K229" s="20"/>
      <c r="L229" s="20"/>
      <c r="M229" s="20"/>
      <c r="N229" s="20"/>
      <c r="O229" s="20"/>
      <c r="P229" s="20"/>
      <c r="Q229" s="20"/>
      <c r="R229" s="20"/>
      <c r="S229" s="20"/>
      <c r="T229" s="20"/>
      <c r="U229" s="13">
        <f t="shared" si="11"/>
        <v>0</v>
      </c>
      <c r="V229" s="20"/>
      <c r="W229" s="20"/>
      <c r="X229" s="187">
        <f t="shared" si="13"/>
        <v>0</v>
      </c>
      <c r="Y229" s="187">
        <f t="shared" si="14"/>
        <v>0</v>
      </c>
    </row>
    <row r="230" spans="1:25" s="154" customFormat="1" x14ac:dyDescent="0.25">
      <c r="A230" s="44" t="s">
        <v>42</v>
      </c>
      <c r="B230" s="806" t="s">
        <v>128</v>
      </c>
      <c r="C230" s="38">
        <v>1</v>
      </c>
      <c r="D230" s="25">
        <v>4</v>
      </c>
      <c r="E230" s="14">
        <v>2</v>
      </c>
      <c r="F230" s="25"/>
      <c r="G230" s="14">
        <v>7</v>
      </c>
      <c r="H230" s="14">
        <v>5</v>
      </c>
      <c r="I230" s="25"/>
      <c r="J230" s="14">
        <v>12</v>
      </c>
      <c r="K230" s="14">
        <v>1</v>
      </c>
      <c r="L230" s="25"/>
      <c r="M230" s="25"/>
      <c r="N230" s="14">
        <v>1</v>
      </c>
      <c r="O230" s="25"/>
      <c r="P230" s="14">
        <v>5</v>
      </c>
      <c r="Q230" s="25"/>
      <c r="R230" s="25"/>
      <c r="S230" s="25"/>
      <c r="T230" s="25"/>
      <c r="U230" s="13">
        <f t="shared" si="11"/>
        <v>37</v>
      </c>
      <c r="V230" s="25">
        <v>382.3</v>
      </c>
      <c r="W230" s="15">
        <f t="shared" si="12"/>
        <v>14145.1</v>
      </c>
      <c r="X230" s="187">
        <f t="shared" si="13"/>
        <v>37</v>
      </c>
      <c r="Y230" s="187">
        <f t="shared" si="14"/>
        <v>0</v>
      </c>
    </row>
    <row r="231" spans="1:25" s="154" customFormat="1" x14ac:dyDescent="0.25">
      <c r="A231" s="44" t="s">
        <v>44</v>
      </c>
      <c r="B231" s="806" t="s">
        <v>129</v>
      </c>
      <c r="C231" s="38">
        <v>1</v>
      </c>
      <c r="D231" s="25">
        <v>4</v>
      </c>
      <c r="E231" s="14">
        <v>2</v>
      </c>
      <c r="F231" s="25"/>
      <c r="G231" s="14">
        <v>7</v>
      </c>
      <c r="H231" s="14">
        <v>5</v>
      </c>
      <c r="I231" s="25"/>
      <c r="J231" s="14">
        <v>12</v>
      </c>
      <c r="K231" s="14">
        <v>1</v>
      </c>
      <c r="L231" s="25"/>
      <c r="M231" s="25"/>
      <c r="N231" s="14">
        <v>1</v>
      </c>
      <c r="O231" s="25"/>
      <c r="P231" s="14">
        <v>5</v>
      </c>
      <c r="Q231" s="25"/>
      <c r="R231" s="25"/>
      <c r="S231" s="25"/>
      <c r="T231" s="25"/>
      <c r="U231" s="13">
        <f t="shared" si="11"/>
        <v>37</v>
      </c>
      <c r="V231" s="25">
        <v>522.75</v>
      </c>
      <c r="W231" s="15">
        <f t="shared" si="12"/>
        <v>19341.75</v>
      </c>
      <c r="X231" s="187">
        <f t="shared" si="13"/>
        <v>37</v>
      </c>
      <c r="Y231" s="187">
        <f t="shared" si="14"/>
        <v>0</v>
      </c>
    </row>
    <row r="232" spans="1:25" s="154" customFormat="1" x14ac:dyDescent="0.25">
      <c r="A232" s="44" t="s">
        <v>121</v>
      </c>
      <c r="B232" s="806" t="s">
        <v>130</v>
      </c>
      <c r="C232" s="38">
        <v>1</v>
      </c>
      <c r="D232" s="25">
        <v>4</v>
      </c>
      <c r="E232" s="14">
        <v>2</v>
      </c>
      <c r="F232" s="25"/>
      <c r="G232" s="14">
        <v>7</v>
      </c>
      <c r="H232" s="14">
        <v>5</v>
      </c>
      <c r="I232" s="25"/>
      <c r="J232" s="14">
        <v>12</v>
      </c>
      <c r="K232" s="14">
        <v>1</v>
      </c>
      <c r="L232" s="25"/>
      <c r="M232" s="25"/>
      <c r="N232" s="14">
        <v>1</v>
      </c>
      <c r="O232" s="25"/>
      <c r="P232" s="14">
        <v>5</v>
      </c>
      <c r="Q232" s="25"/>
      <c r="R232" s="25"/>
      <c r="S232" s="25"/>
      <c r="T232" s="25"/>
      <c r="U232" s="13">
        <f t="shared" si="11"/>
        <v>37</v>
      </c>
      <c r="V232" s="25">
        <v>668.8</v>
      </c>
      <c r="W232" s="15">
        <f t="shared" si="12"/>
        <v>24745.599999999999</v>
      </c>
      <c r="X232" s="187">
        <f t="shared" si="13"/>
        <v>37</v>
      </c>
      <c r="Y232" s="187">
        <f t="shared" si="14"/>
        <v>0</v>
      </c>
    </row>
    <row r="233" spans="1:25" s="154" customFormat="1" ht="28.5" x14ac:dyDescent="0.25">
      <c r="A233" s="44">
        <v>33</v>
      </c>
      <c r="B233" s="806" t="s">
        <v>131</v>
      </c>
      <c r="C233" s="38">
        <v>1</v>
      </c>
      <c r="D233" s="25">
        <v>80</v>
      </c>
      <c r="E233" s="14">
        <v>40</v>
      </c>
      <c r="F233" s="25"/>
      <c r="G233" s="14">
        <v>140</v>
      </c>
      <c r="H233" s="14">
        <v>100</v>
      </c>
      <c r="I233" s="25"/>
      <c r="J233" s="14">
        <v>240</v>
      </c>
      <c r="K233" s="14">
        <v>20</v>
      </c>
      <c r="L233" s="25"/>
      <c r="M233" s="25"/>
      <c r="N233" s="14">
        <v>20</v>
      </c>
      <c r="O233" s="25"/>
      <c r="P233" s="14">
        <v>100</v>
      </c>
      <c r="Q233" s="25"/>
      <c r="R233" s="25"/>
      <c r="S233" s="25"/>
      <c r="T233" s="25"/>
      <c r="U233" s="13">
        <f t="shared" si="11"/>
        <v>740</v>
      </c>
      <c r="V233" s="25">
        <v>102.7</v>
      </c>
      <c r="W233" s="15">
        <f t="shared" si="12"/>
        <v>75998</v>
      </c>
      <c r="X233" s="187">
        <f t="shared" si="13"/>
        <v>740</v>
      </c>
      <c r="Y233" s="187">
        <f t="shared" si="14"/>
        <v>0</v>
      </c>
    </row>
    <row r="234" spans="1:25" s="154" customFormat="1" x14ac:dyDescent="0.25">
      <c r="A234" s="44">
        <v>34</v>
      </c>
      <c r="B234" s="806" t="s">
        <v>132</v>
      </c>
      <c r="C234" s="38">
        <v>1</v>
      </c>
      <c r="D234" s="25">
        <v>16</v>
      </c>
      <c r="E234" s="14">
        <v>8</v>
      </c>
      <c r="F234" s="25"/>
      <c r="G234" s="14">
        <v>28</v>
      </c>
      <c r="H234" s="14">
        <v>20</v>
      </c>
      <c r="I234" s="25"/>
      <c r="J234" s="14">
        <v>48</v>
      </c>
      <c r="K234" s="14">
        <v>4</v>
      </c>
      <c r="L234" s="25"/>
      <c r="M234" s="25"/>
      <c r="N234" s="14">
        <v>4</v>
      </c>
      <c r="O234" s="25"/>
      <c r="P234" s="14">
        <v>20</v>
      </c>
      <c r="Q234" s="25"/>
      <c r="R234" s="25"/>
      <c r="S234" s="25"/>
      <c r="T234" s="25"/>
      <c r="U234" s="13">
        <f t="shared" si="11"/>
        <v>148</v>
      </c>
      <c r="V234" s="25">
        <v>96.3</v>
      </c>
      <c r="W234" s="15">
        <f t="shared" si="12"/>
        <v>14252.4</v>
      </c>
      <c r="X234" s="187">
        <f t="shared" si="13"/>
        <v>148</v>
      </c>
      <c r="Y234" s="187">
        <f t="shared" si="14"/>
        <v>0</v>
      </c>
    </row>
    <row r="235" spans="1:25" s="154" customFormat="1" x14ac:dyDescent="0.25">
      <c r="A235" s="44">
        <v>35</v>
      </c>
      <c r="B235" s="806" t="s">
        <v>133</v>
      </c>
      <c r="C235" s="38">
        <v>1</v>
      </c>
      <c r="D235" s="25">
        <v>8</v>
      </c>
      <c r="E235" s="14">
        <v>4</v>
      </c>
      <c r="F235" s="25"/>
      <c r="G235" s="14">
        <v>14</v>
      </c>
      <c r="H235" s="14">
        <v>10</v>
      </c>
      <c r="I235" s="25"/>
      <c r="J235" s="14">
        <v>24</v>
      </c>
      <c r="K235" s="14">
        <v>2</v>
      </c>
      <c r="L235" s="25"/>
      <c r="M235" s="25"/>
      <c r="N235" s="14">
        <v>2</v>
      </c>
      <c r="O235" s="25"/>
      <c r="P235" s="14">
        <v>10</v>
      </c>
      <c r="Q235" s="25"/>
      <c r="R235" s="25"/>
      <c r="S235" s="25"/>
      <c r="T235" s="25"/>
      <c r="U235" s="13">
        <f t="shared" si="11"/>
        <v>74</v>
      </c>
      <c r="V235" s="25">
        <v>204.7</v>
      </c>
      <c r="W235" s="15">
        <f t="shared" si="12"/>
        <v>15147.8</v>
      </c>
      <c r="X235" s="187">
        <f t="shared" si="13"/>
        <v>74</v>
      </c>
      <c r="Y235" s="187">
        <f t="shared" si="14"/>
        <v>0</v>
      </c>
    </row>
    <row r="236" spans="1:25" s="154" customFormat="1" ht="42.75" x14ac:dyDescent="0.25">
      <c r="A236" s="44">
        <v>36</v>
      </c>
      <c r="B236" s="806" t="s">
        <v>134</v>
      </c>
      <c r="C236" s="38">
        <v>1</v>
      </c>
      <c r="D236" s="25">
        <v>4</v>
      </c>
      <c r="E236" s="14">
        <v>2</v>
      </c>
      <c r="F236" s="25"/>
      <c r="G236" s="14">
        <v>7</v>
      </c>
      <c r="H236" s="14">
        <v>5</v>
      </c>
      <c r="I236" s="25"/>
      <c r="J236" s="14">
        <v>12</v>
      </c>
      <c r="K236" s="14">
        <v>1</v>
      </c>
      <c r="L236" s="25"/>
      <c r="M236" s="25"/>
      <c r="N236" s="14">
        <v>1</v>
      </c>
      <c r="O236" s="25"/>
      <c r="P236" s="14">
        <v>5</v>
      </c>
      <c r="Q236" s="25"/>
      <c r="R236" s="25"/>
      <c r="S236" s="25"/>
      <c r="T236" s="25"/>
      <c r="U236" s="13">
        <f t="shared" si="11"/>
        <v>37</v>
      </c>
      <c r="V236" s="25">
        <v>213.1</v>
      </c>
      <c r="W236" s="15">
        <f t="shared" si="12"/>
        <v>7884.7</v>
      </c>
      <c r="X236" s="187">
        <f t="shared" si="13"/>
        <v>37</v>
      </c>
      <c r="Y236" s="187">
        <f t="shared" si="14"/>
        <v>0</v>
      </c>
    </row>
    <row r="237" spans="1:25" s="154" customFormat="1" ht="128.25" x14ac:dyDescent="0.25">
      <c r="A237" s="44">
        <v>37</v>
      </c>
      <c r="B237" s="806" t="s">
        <v>135</v>
      </c>
      <c r="C237" s="37">
        <v>1</v>
      </c>
      <c r="D237" s="25">
        <v>4</v>
      </c>
      <c r="E237" s="14">
        <v>2</v>
      </c>
      <c r="F237" s="25"/>
      <c r="G237" s="14">
        <v>7</v>
      </c>
      <c r="H237" s="14">
        <v>5</v>
      </c>
      <c r="I237" s="25"/>
      <c r="J237" s="14">
        <v>12</v>
      </c>
      <c r="K237" s="14">
        <v>1</v>
      </c>
      <c r="L237" s="25"/>
      <c r="M237" s="25"/>
      <c r="N237" s="14">
        <v>1</v>
      </c>
      <c r="O237" s="25"/>
      <c r="P237" s="14">
        <v>5</v>
      </c>
      <c r="Q237" s="25"/>
      <c r="R237" s="25"/>
      <c r="S237" s="25"/>
      <c r="T237" s="25"/>
      <c r="U237" s="13">
        <f t="shared" si="11"/>
        <v>37</v>
      </c>
      <c r="V237" s="25">
        <v>24422.65</v>
      </c>
      <c r="W237" s="15">
        <f t="shared" si="12"/>
        <v>903638.05</v>
      </c>
      <c r="X237" s="187">
        <f t="shared" si="13"/>
        <v>37</v>
      </c>
      <c r="Y237" s="187">
        <f t="shared" si="14"/>
        <v>0</v>
      </c>
    </row>
    <row r="238" spans="1:25" s="154" customFormat="1" ht="85.5" x14ac:dyDescent="0.25">
      <c r="A238" s="44">
        <v>38</v>
      </c>
      <c r="B238" s="806" t="s">
        <v>136</v>
      </c>
      <c r="C238" s="37">
        <v>1</v>
      </c>
      <c r="D238" s="25">
        <v>24</v>
      </c>
      <c r="E238" s="14">
        <v>12</v>
      </c>
      <c r="F238" s="25"/>
      <c r="G238" s="14">
        <v>42</v>
      </c>
      <c r="H238" s="14">
        <v>30</v>
      </c>
      <c r="I238" s="25"/>
      <c r="J238" s="14">
        <v>72</v>
      </c>
      <c r="K238" s="14">
        <v>6</v>
      </c>
      <c r="L238" s="25"/>
      <c r="M238" s="25"/>
      <c r="N238" s="14">
        <v>6</v>
      </c>
      <c r="O238" s="25"/>
      <c r="P238" s="14">
        <v>30</v>
      </c>
      <c r="Q238" s="25"/>
      <c r="R238" s="25"/>
      <c r="S238" s="25"/>
      <c r="T238" s="25"/>
      <c r="U238" s="13">
        <f t="shared" si="11"/>
        <v>222</v>
      </c>
      <c r="V238" s="25">
        <v>1453.75</v>
      </c>
      <c r="W238" s="15">
        <f t="shared" si="12"/>
        <v>322732.5</v>
      </c>
      <c r="X238" s="187">
        <f t="shared" si="13"/>
        <v>222</v>
      </c>
      <c r="Y238" s="187">
        <f t="shared" si="14"/>
        <v>0</v>
      </c>
    </row>
    <row r="239" spans="1:25" ht="128.25" x14ac:dyDescent="0.25">
      <c r="A239" s="44">
        <v>39</v>
      </c>
      <c r="B239" s="806" t="s">
        <v>137</v>
      </c>
      <c r="C239" s="37">
        <v>1</v>
      </c>
      <c r="D239" s="25">
        <v>8</v>
      </c>
      <c r="E239" s="14">
        <v>4</v>
      </c>
      <c r="F239" s="25"/>
      <c r="G239" s="14">
        <v>14</v>
      </c>
      <c r="H239" s="14">
        <v>10</v>
      </c>
      <c r="I239" s="25"/>
      <c r="J239" s="14">
        <v>24</v>
      </c>
      <c r="K239" s="14">
        <v>2</v>
      </c>
      <c r="L239" s="25"/>
      <c r="M239" s="25"/>
      <c r="N239" s="14">
        <v>2</v>
      </c>
      <c r="O239" s="25"/>
      <c r="P239" s="14">
        <v>10</v>
      </c>
      <c r="Q239" s="25"/>
      <c r="R239" s="25"/>
      <c r="S239" s="25"/>
      <c r="T239" s="25"/>
      <c r="U239" s="13">
        <f t="shared" si="11"/>
        <v>74</v>
      </c>
      <c r="V239" s="25">
        <v>13796.3</v>
      </c>
      <c r="W239" s="15">
        <f t="shared" si="12"/>
        <v>1020926.2</v>
      </c>
      <c r="X239" s="187">
        <f t="shared" si="13"/>
        <v>74</v>
      </c>
      <c r="Y239" s="187">
        <f t="shared" si="14"/>
        <v>0</v>
      </c>
    </row>
    <row r="240" spans="1:25" ht="128.25" x14ac:dyDescent="0.25">
      <c r="A240" s="44">
        <v>40</v>
      </c>
      <c r="B240" s="806" t="s">
        <v>138</v>
      </c>
      <c r="C240" s="37">
        <v>1</v>
      </c>
      <c r="D240" s="25">
        <v>4</v>
      </c>
      <c r="E240" s="14">
        <v>2</v>
      </c>
      <c r="F240" s="25"/>
      <c r="G240" s="14">
        <v>7</v>
      </c>
      <c r="H240" s="14">
        <v>5</v>
      </c>
      <c r="I240" s="25"/>
      <c r="J240" s="14">
        <v>12</v>
      </c>
      <c r="K240" s="14">
        <v>1</v>
      </c>
      <c r="L240" s="25"/>
      <c r="M240" s="25"/>
      <c r="N240" s="14">
        <v>1</v>
      </c>
      <c r="O240" s="25"/>
      <c r="P240" s="14">
        <v>5</v>
      </c>
      <c r="Q240" s="25"/>
      <c r="R240" s="25"/>
      <c r="S240" s="25"/>
      <c r="T240" s="25"/>
      <c r="U240" s="13">
        <f t="shared" si="11"/>
        <v>37</v>
      </c>
      <c r="V240" s="25">
        <v>19859.400000000001</v>
      </c>
      <c r="W240" s="15">
        <f t="shared" si="12"/>
        <v>734797.8</v>
      </c>
      <c r="X240" s="187">
        <f t="shared" si="13"/>
        <v>37</v>
      </c>
      <c r="Y240" s="187">
        <f t="shared" si="14"/>
        <v>0</v>
      </c>
    </row>
    <row r="241" spans="1:26" ht="60" customHeight="1" x14ac:dyDescent="0.25">
      <c r="A241" s="44">
        <v>41</v>
      </c>
      <c r="B241" s="806" t="s">
        <v>139</v>
      </c>
      <c r="C241" s="37">
        <v>1</v>
      </c>
      <c r="D241" s="25">
        <v>12</v>
      </c>
      <c r="E241" s="14">
        <v>6</v>
      </c>
      <c r="F241" s="25"/>
      <c r="G241" s="14">
        <v>21</v>
      </c>
      <c r="H241" s="14">
        <v>15</v>
      </c>
      <c r="I241" s="25"/>
      <c r="J241" s="14">
        <f>15+10+36</f>
        <v>61</v>
      </c>
      <c r="K241" s="14">
        <v>3</v>
      </c>
      <c r="L241" s="25">
        <v>5</v>
      </c>
      <c r="M241" s="25">
        <v>5</v>
      </c>
      <c r="N241" s="14">
        <v>3</v>
      </c>
      <c r="O241" s="25">
        <v>15</v>
      </c>
      <c r="P241" s="14">
        <v>15</v>
      </c>
      <c r="Q241" s="25"/>
      <c r="R241" s="25"/>
      <c r="S241" s="25"/>
      <c r="T241" s="25">
        <v>6</v>
      </c>
      <c r="U241" s="153">
        <v>707</v>
      </c>
      <c r="V241" s="25">
        <v>1995.3</v>
      </c>
      <c r="W241" s="15">
        <f>V241*X241/C241</f>
        <v>333215.09999999998</v>
      </c>
      <c r="X241" s="977">
        <f>SUM(D241:T241)</f>
        <v>167</v>
      </c>
      <c r="Y241" s="187" t="e">
        <f>X241-#REF!</f>
        <v>#REF!</v>
      </c>
    </row>
    <row r="242" spans="1:26" ht="30.75" customHeight="1" x14ac:dyDescent="0.25">
      <c r="A242" s="44">
        <v>42</v>
      </c>
      <c r="B242" s="976" t="s">
        <v>140</v>
      </c>
      <c r="C242" s="37">
        <v>1</v>
      </c>
      <c r="D242" s="25">
        <v>12</v>
      </c>
      <c r="E242" s="14">
        <v>6</v>
      </c>
      <c r="F242" s="25"/>
      <c r="G242" s="14">
        <v>21</v>
      </c>
      <c r="H242" s="14">
        <v>15</v>
      </c>
      <c r="I242" s="25"/>
      <c r="J242" s="14">
        <v>36</v>
      </c>
      <c r="K242" s="14">
        <v>3</v>
      </c>
      <c r="L242" s="25"/>
      <c r="M242" s="25"/>
      <c r="N242" s="14">
        <v>3</v>
      </c>
      <c r="O242" s="25"/>
      <c r="P242" s="14">
        <v>15</v>
      </c>
      <c r="Q242" s="25"/>
      <c r="R242" s="25"/>
      <c r="S242" s="25"/>
      <c r="T242" s="25"/>
      <c r="U242" s="13">
        <f>SUM(D242:T242)</f>
        <v>111</v>
      </c>
      <c r="V242" s="25">
        <v>178.75</v>
      </c>
      <c r="W242" s="15">
        <f t="shared" si="12"/>
        <v>19841.25</v>
      </c>
      <c r="X242" s="187">
        <f>K242*37</f>
        <v>111</v>
      </c>
      <c r="Y242" s="187">
        <f t="shared" si="14"/>
        <v>0</v>
      </c>
    </row>
    <row r="243" spans="1:26" ht="72" x14ac:dyDescent="0.25">
      <c r="A243" s="44">
        <v>43</v>
      </c>
      <c r="B243" s="806" t="s">
        <v>442</v>
      </c>
      <c r="C243" s="22"/>
      <c r="D243" s="22"/>
      <c r="E243" s="22"/>
      <c r="F243" s="22"/>
      <c r="G243" s="22"/>
      <c r="H243" s="22"/>
      <c r="I243" s="22"/>
      <c r="J243" s="22"/>
      <c r="K243" s="22"/>
      <c r="L243" s="22"/>
      <c r="M243" s="22"/>
      <c r="N243" s="22"/>
      <c r="O243" s="22"/>
      <c r="P243" s="22"/>
      <c r="Q243" s="22"/>
      <c r="R243" s="22"/>
      <c r="S243" s="22"/>
      <c r="T243" s="22"/>
      <c r="U243" s="13">
        <f t="shared" si="11"/>
        <v>0</v>
      </c>
      <c r="V243" s="22"/>
      <c r="W243" s="22"/>
      <c r="X243" s="187">
        <f t="shared" si="13"/>
        <v>0</v>
      </c>
      <c r="Y243" s="187">
        <f t="shared" si="14"/>
        <v>0</v>
      </c>
    </row>
    <row r="244" spans="1:26" x14ac:dyDescent="0.25">
      <c r="A244" s="44" t="s">
        <v>60</v>
      </c>
      <c r="B244" s="806" t="s">
        <v>61</v>
      </c>
      <c r="C244" s="12">
        <v>100</v>
      </c>
      <c r="D244" s="25">
        <v>405.551786207232</v>
      </c>
      <c r="E244" s="14">
        <v>202.775893103616</v>
      </c>
      <c r="F244" s="14"/>
      <c r="G244" s="14">
        <v>709.715625862656</v>
      </c>
      <c r="H244" s="14">
        <v>506.93973275904</v>
      </c>
      <c r="I244" s="14"/>
      <c r="J244" s="14">
        <v>1216.655358621696</v>
      </c>
      <c r="K244" s="14">
        <v>101.387946551808</v>
      </c>
      <c r="L244" s="14"/>
      <c r="M244" s="14"/>
      <c r="N244" s="14">
        <v>101.387946551808</v>
      </c>
      <c r="O244" s="14"/>
      <c r="P244" s="14">
        <v>506.93973275904</v>
      </c>
      <c r="Q244" s="14"/>
      <c r="R244" s="14"/>
      <c r="S244" s="14"/>
      <c r="T244" s="14"/>
      <c r="U244" s="13">
        <f t="shared" si="11"/>
        <v>3751.354022416896</v>
      </c>
      <c r="V244" s="13">
        <v>14042.6</v>
      </c>
      <c r="W244" s="15">
        <f t="shared" si="12"/>
        <v>526787.63995191501</v>
      </c>
      <c r="X244" s="187">
        <f t="shared" si="13"/>
        <v>3751.354022416896</v>
      </c>
      <c r="Y244" s="187">
        <f t="shared" si="14"/>
        <v>0</v>
      </c>
    </row>
    <row r="245" spans="1:26" x14ac:dyDescent="0.25">
      <c r="A245" s="44" t="s">
        <v>37</v>
      </c>
      <c r="B245" s="806" t="s">
        <v>38</v>
      </c>
      <c r="C245" s="12">
        <v>100</v>
      </c>
      <c r="D245" s="25">
        <v>161.4272</v>
      </c>
      <c r="E245" s="14">
        <v>80.7136</v>
      </c>
      <c r="F245" s="14"/>
      <c r="G245" s="14">
        <v>282.49759999999998</v>
      </c>
      <c r="H245" s="14">
        <v>201.78399999999999</v>
      </c>
      <c r="I245" s="14"/>
      <c r="J245" s="14">
        <v>484.28160000000003</v>
      </c>
      <c r="K245" s="14">
        <v>40.3568</v>
      </c>
      <c r="L245" s="14"/>
      <c r="M245" s="14"/>
      <c r="N245" s="14">
        <v>40.3568</v>
      </c>
      <c r="O245" s="14"/>
      <c r="P245" s="14">
        <v>201.78399999999999</v>
      </c>
      <c r="Q245" s="14"/>
      <c r="R245" s="14"/>
      <c r="S245" s="14"/>
      <c r="T245" s="14"/>
      <c r="U245" s="13">
        <f t="shared" si="11"/>
        <v>1493.2016000000003</v>
      </c>
      <c r="V245" s="13">
        <v>14042.6</v>
      </c>
      <c r="W245" s="15">
        <f t="shared" si="12"/>
        <v>209684.32788160004</v>
      </c>
      <c r="X245" s="187">
        <f t="shared" si="13"/>
        <v>1493.2016000000001</v>
      </c>
      <c r="Y245" s="187">
        <f t="shared" si="14"/>
        <v>0</v>
      </c>
    </row>
    <row r="246" spans="1:26" x14ac:dyDescent="0.25">
      <c r="A246" s="44" t="s">
        <v>63</v>
      </c>
      <c r="B246" s="806" t="s">
        <v>141</v>
      </c>
      <c r="C246" s="12">
        <v>100</v>
      </c>
      <c r="D246" s="25">
        <v>607.45911599999999</v>
      </c>
      <c r="E246" s="14">
        <v>303.729558</v>
      </c>
      <c r="F246" s="14"/>
      <c r="G246" s="14">
        <v>1063.053453</v>
      </c>
      <c r="H246" s="14">
        <v>759.32389499999999</v>
      </c>
      <c r="I246" s="14"/>
      <c r="J246" s="14">
        <v>1822.377348</v>
      </c>
      <c r="K246" s="14">
        <v>151.864779</v>
      </c>
      <c r="L246" s="14"/>
      <c r="M246" s="14"/>
      <c r="N246" s="14">
        <v>151.864779</v>
      </c>
      <c r="O246" s="14"/>
      <c r="P246" s="14">
        <v>759.32389499999999</v>
      </c>
      <c r="Q246" s="14"/>
      <c r="R246" s="14"/>
      <c r="S246" s="14"/>
      <c r="T246" s="14"/>
      <c r="U246" s="13">
        <f t="shared" si="11"/>
        <v>5618.9968229999995</v>
      </c>
      <c r="V246" s="13">
        <v>14042.6</v>
      </c>
      <c r="W246" s="15">
        <f t="shared" si="12"/>
        <v>789053.24786659796</v>
      </c>
      <c r="X246" s="187">
        <f t="shared" si="13"/>
        <v>5618.9968229999995</v>
      </c>
      <c r="Y246" s="187">
        <f t="shared" si="14"/>
        <v>0</v>
      </c>
    </row>
    <row r="247" spans="1:26" x14ac:dyDescent="0.25">
      <c r="A247" s="44" t="s">
        <v>142</v>
      </c>
      <c r="B247" s="806" t="s">
        <v>143</v>
      </c>
      <c r="C247" s="12">
        <v>100</v>
      </c>
      <c r="D247" s="25">
        <v>28.38</v>
      </c>
      <c r="E247" s="14">
        <v>14.19</v>
      </c>
      <c r="F247" s="14"/>
      <c r="G247" s="14">
        <v>49.664999999999999</v>
      </c>
      <c r="H247" s="14">
        <v>35.475000000000001</v>
      </c>
      <c r="I247" s="14"/>
      <c r="J247" s="14">
        <v>85.14</v>
      </c>
      <c r="K247" s="14">
        <v>7.0949999999999998</v>
      </c>
      <c r="L247" s="14"/>
      <c r="M247" s="14"/>
      <c r="N247" s="14">
        <v>7.0949999999999998</v>
      </c>
      <c r="O247" s="14"/>
      <c r="P247" s="14">
        <v>35.475000000000001</v>
      </c>
      <c r="Q247" s="14"/>
      <c r="R247" s="14"/>
      <c r="S247" s="14"/>
      <c r="T247" s="14"/>
      <c r="U247" s="13">
        <f t="shared" si="11"/>
        <v>262.51500000000004</v>
      </c>
      <c r="V247" s="13">
        <v>14042.6</v>
      </c>
      <c r="W247" s="15">
        <f t="shared" si="12"/>
        <v>36863.931390000012</v>
      </c>
      <c r="X247" s="187">
        <f t="shared" si="13"/>
        <v>262.51499999999999</v>
      </c>
      <c r="Y247" s="187">
        <f t="shared" si="14"/>
        <v>0</v>
      </c>
    </row>
    <row r="248" spans="1:26" s="154" customFormat="1" ht="22.5" x14ac:dyDescent="0.25">
      <c r="A248" s="198">
        <v>9</v>
      </c>
      <c r="B248" s="798" t="s">
        <v>401</v>
      </c>
      <c r="C248" s="101"/>
      <c r="D248" s="101"/>
      <c r="E248" s="101"/>
      <c r="F248" s="101"/>
      <c r="G248" s="101"/>
      <c r="H248" s="101"/>
      <c r="I248" s="101"/>
      <c r="J248" s="101"/>
      <c r="K248" s="101"/>
      <c r="L248" s="101"/>
      <c r="M248" s="101"/>
      <c r="N248" s="101"/>
      <c r="O248" s="101"/>
      <c r="P248" s="101"/>
      <c r="Q248" s="101"/>
      <c r="R248" s="101"/>
      <c r="S248" s="101"/>
      <c r="T248" s="101"/>
      <c r="U248" s="101"/>
      <c r="V248" s="101"/>
      <c r="W248" s="101"/>
    </row>
    <row r="249" spans="1:26" s="154" customFormat="1" ht="71.25" x14ac:dyDescent="0.25">
      <c r="A249" s="118">
        <v>1</v>
      </c>
      <c r="B249" s="806" t="s">
        <v>39</v>
      </c>
      <c r="C249" s="12">
        <v>1000</v>
      </c>
      <c r="D249" s="25"/>
      <c r="E249" s="14"/>
      <c r="F249" s="14"/>
      <c r="G249" s="14"/>
      <c r="H249" s="14">
        <v>60639.351906000011</v>
      </c>
      <c r="I249" s="14"/>
      <c r="J249" s="14">
        <v>44596.765778000001</v>
      </c>
      <c r="K249" s="14"/>
      <c r="L249" s="14">
        <v>25000.750577999999</v>
      </c>
      <c r="M249" s="14">
        <v>21403.790700999998</v>
      </c>
      <c r="N249" s="14"/>
      <c r="O249" s="14"/>
      <c r="P249" s="14">
        <v>125135.84964100001</v>
      </c>
      <c r="Q249" s="14"/>
      <c r="R249" s="14"/>
      <c r="S249" s="14"/>
      <c r="T249" s="14"/>
      <c r="U249" s="13">
        <f t="shared" ref="U249:U305" si="15">SUM(D249:T249)</f>
        <v>276776.50860399997</v>
      </c>
      <c r="V249" s="14">
        <v>12735.6</v>
      </c>
      <c r="W249" s="15">
        <f t="shared" si="12"/>
        <v>3524914.9029771024</v>
      </c>
      <c r="X249" s="191">
        <f>SUM(W249:W305)</f>
        <v>26344735.307799395</v>
      </c>
      <c r="Z249" s="195">
        <v>63826446.624435835</v>
      </c>
    </row>
    <row r="250" spans="1:26" s="154" customFormat="1" x14ac:dyDescent="0.25">
      <c r="A250" s="118">
        <v>2</v>
      </c>
      <c r="B250" s="806" t="s">
        <v>66</v>
      </c>
      <c r="C250" s="12">
        <v>1000</v>
      </c>
      <c r="D250" s="25"/>
      <c r="E250" s="14"/>
      <c r="F250" s="14"/>
      <c r="G250" s="14"/>
      <c r="H250" s="14">
        <v>60639.351906000011</v>
      </c>
      <c r="I250" s="14"/>
      <c r="J250" s="14">
        <v>44596.765778000001</v>
      </c>
      <c r="K250" s="14"/>
      <c r="L250" s="14">
        <v>25000.750577999999</v>
      </c>
      <c r="M250" s="14">
        <v>21403.790700999998</v>
      </c>
      <c r="N250" s="14"/>
      <c r="O250" s="14"/>
      <c r="P250" s="14">
        <v>125135.84964100001</v>
      </c>
      <c r="Q250" s="14"/>
      <c r="R250" s="14"/>
      <c r="S250" s="14"/>
      <c r="T250" s="14"/>
      <c r="U250" s="13">
        <f t="shared" si="15"/>
        <v>276776.50860399997</v>
      </c>
      <c r="V250" s="14">
        <v>12038.4</v>
      </c>
      <c r="W250" s="15">
        <f t="shared" si="12"/>
        <v>3331946.3211783934</v>
      </c>
      <c r="Z250" s="195">
        <v>36383456.567040272</v>
      </c>
    </row>
    <row r="252" spans="1:26" s="154" customFormat="1" x14ac:dyDescent="0.25">
      <c r="A252" s="44"/>
      <c r="B252" s="806"/>
      <c r="C252" s="29"/>
      <c r="D252" s="25"/>
      <c r="E252" s="14"/>
      <c r="F252" s="14"/>
      <c r="G252" s="14"/>
      <c r="H252" s="14"/>
      <c r="I252" s="14"/>
      <c r="J252" s="14"/>
      <c r="K252" s="14"/>
      <c r="L252" s="14"/>
      <c r="M252" s="14"/>
      <c r="N252" s="14"/>
      <c r="O252" s="14"/>
      <c r="P252" s="14"/>
      <c r="Q252" s="14"/>
      <c r="R252" s="14"/>
      <c r="S252" s="14"/>
      <c r="T252" s="14"/>
      <c r="U252" s="13"/>
      <c r="V252" s="30"/>
      <c r="W252" s="15"/>
      <c r="Z252" s="191"/>
    </row>
    <row r="253" spans="1:26" s="154" customFormat="1" x14ac:dyDescent="0.25">
      <c r="A253" s="44"/>
      <c r="B253" s="806"/>
      <c r="C253" s="29"/>
      <c r="D253" s="25"/>
      <c r="E253" s="14"/>
      <c r="F253" s="14"/>
      <c r="G253" s="14"/>
      <c r="H253" s="14"/>
      <c r="I253" s="14"/>
      <c r="J253" s="14"/>
      <c r="K253" s="14"/>
      <c r="L253" s="14"/>
      <c r="M253" s="14"/>
      <c r="N253" s="14"/>
      <c r="O253" s="14"/>
      <c r="P253" s="14"/>
      <c r="Q253" s="14"/>
      <c r="R253" s="14"/>
      <c r="S253" s="14"/>
      <c r="T253" s="14"/>
      <c r="U253" s="13"/>
      <c r="V253" s="30"/>
      <c r="W253" s="15"/>
      <c r="Z253" s="191"/>
    </row>
    <row r="254" spans="1:26" s="154" customFormat="1" x14ac:dyDescent="0.25">
      <c r="A254" s="44"/>
      <c r="B254" s="806"/>
      <c r="C254" s="29"/>
      <c r="D254" s="25"/>
      <c r="E254" s="14"/>
      <c r="F254" s="14"/>
      <c r="G254" s="14"/>
      <c r="H254" s="14"/>
      <c r="I254" s="14"/>
      <c r="J254" s="14"/>
      <c r="K254" s="14"/>
      <c r="L254" s="14"/>
      <c r="M254" s="14"/>
      <c r="N254" s="14"/>
      <c r="O254" s="14"/>
      <c r="P254" s="14"/>
      <c r="Q254" s="14"/>
      <c r="R254" s="14"/>
      <c r="S254" s="14"/>
      <c r="T254" s="14"/>
      <c r="U254" s="13"/>
      <c r="V254" s="30"/>
      <c r="W254" s="15"/>
      <c r="Z254" s="191"/>
    </row>
    <row r="255" spans="1:26" s="154" customFormat="1" x14ac:dyDescent="0.25">
      <c r="A255" s="44"/>
      <c r="B255" s="806"/>
      <c r="C255" s="29"/>
      <c r="D255" s="25"/>
      <c r="E255" s="14"/>
      <c r="F255" s="14"/>
      <c r="G255" s="14"/>
      <c r="H255" s="14"/>
      <c r="I255" s="14"/>
      <c r="J255" s="14"/>
      <c r="K255" s="14"/>
      <c r="L255" s="14"/>
      <c r="M255" s="14"/>
      <c r="N255" s="14"/>
      <c r="O255" s="14"/>
      <c r="P255" s="14"/>
      <c r="Q255" s="14"/>
      <c r="R255" s="14"/>
      <c r="S255" s="14"/>
      <c r="T255" s="14"/>
      <c r="U255" s="13"/>
      <c r="V255" s="30"/>
      <c r="W255" s="15"/>
      <c r="Z255" s="191"/>
    </row>
    <row r="256" spans="1:26" s="154" customFormat="1" ht="114.75" x14ac:dyDescent="0.25">
      <c r="A256" s="44">
        <v>5</v>
      </c>
      <c r="B256" s="806" t="s">
        <v>443</v>
      </c>
      <c r="C256" s="20"/>
      <c r="D256" s="20"/>
      <c r="E256" s="20"/>
      <c r="F256" s="20"/>
      <c r="G256" s="20"/>
      <c r="H256" s="20"/>
      <c r="I256" s="20"/>
      <c r="J256" s="20"/>
      <c r="K256" s="20"/>
      <c r="L256" s="20"/>
      <c r="M256" s="20"/>
      <c r="N256" s="20"/>
      <c r="O256" s="20"/>
      <c r="P256" s="20"/>
      <c r="Q256" s="20"/>
      <c r="R256" s="20"/>
      <c r="S256" s="20"/>
      <c r="T256" s="20"/>
      <c r="U256" s="13">
        <f t="shared" si="15"/>
        <v>0</v>
      </c>
      <c r="V256" s="20"/>
      <c r="W256" s="20"/>
    </row>
    <row r="259" spans="1:23" s="154" customFormat="1" ht="28.5" x14ac:dyDescent="0.25">
      <c r="A259" s="44">
        <v>6</v>
      </c>
      <c r="B259" s="806" t="s">
        <v>46</v>
      </c>
      <c r="C259" s="19">
        <v>100</v>
      </c>
      <c r="D259" s="25"/>
      <c r="E259" s="14"/>
      <c r="F259" s="14"/>
      <c r="G259" s="14"/>
      <c r="H259" s="14">
        <v>6041.9129999999996</v>
      </c>
      <c r="I259" s="14"/>
      <c r="J259" s="14">
        <v>5294.2214000000004</v>
      </c>
      <c r="K259" s="14"/>
      <c r="L259" s="14">
        <v>3466.0362</v>
      </c>
      <c r="M259" s="14">
        <v>3489.5021999999999</v>
      </c>
      <c r="N259" s="14"/>
      <c r="O259" s="14"/>
      <c r="P259" s="14">
        <v>9774.5750000000007</v>
      </c>
      <c r="Q259" s="14"/>
      <c r="R259" s="14"/>
      <c r="S259" s="14"/>
      <c r="T259" s="14"/>
      <c r="U259" s="13">
        <f t="shared" si="15"/>
        <v>28066.247800000001</v>
      </c>
      <c r="V259" s="25">
        <v>1645.1</v>
      </c>
      <c r="W259" s="15">
        <f t="shared" ref="W259:W322" si="16">V259*U259/C259</f>
        <v>461717.84255779994</v>
      </c>
    </row>
    <row r="260" spans="1:23" s="154" customFormat="1" ht="71.25" x14ac:dyDescent="0.25">
      <c r="A260" s="44">
        <v>7</v>
      </c>
      <c r="B260" s="806" t="s">
        <v>171</v>
      </c>
      <c r="C260" s="19">
        <v>100</v>
      </c>
      <c r="D260" s="25"/>
      <c r="E260" s="14"/>
      <c r="F260" s="14"/>
      <c r="G260" s="14"/>
      <c r="H260" s="14">
        <v>1758.1539000000002</v>
      </c>
      <c r="I260" s="14"/>
      <c r="J260" s="14">
        <v>997.5381000000001</v>
      </c>
      <c r="K260" s="14"/>
      <c r="L260" s="14">
        <v>648.78250000000003</v>
      </c>
      <c r="M260" s="14">
        <v>648.78250000000003</v>
      </c>
      <c r="N260" s="14"/>
      <c r="O260" s="14"/>
      <c r="P260" s="14">
        <v>1394.2756000000002</v>
      </c>
      <c r="Q260" s="14"/>
      <c r="R260" s="14"/>
      <c r="S260" s="14"/>
      <c r="T260" s="14"/>
      <c r="U260" s="13">
        <f t="shared" si="15"/>
        <v>5447.5326000000005</v>
      </c>
      <c r="V260" s="14">
        <v>13179.6</v>
      </c>
      <c r="W260" s="15">
        <f t="shared" si="16"/>
        <v>717963.00654960005</v>
      </c>
    </row>
    <row r="261" spans="1:23" s="154" customFormat="1" ht="28.5" x14ac:dyDescent="0.25">
      <c r="A261" s="44">
        <v>8</v>
      </c>
      <c r="B261" s="806" t="s">
        <v>103</v>
      </c>
      <c r="C261" s="19">
        <v>1</v>
      </c>
      <c r="D261" s="25"/>
      <c r="E261" s="14"/>
      <c r="F261" s="14"/>
      <c r="G261" s="14"/>
      <c r="H261" s="14">
        <v>1758.1539000000002</v>
      </c>
      <c r="I261" s="14"/>
      <c r="J261" s="14">
        <v>997.5381000000001</v>
      </c>
      <c r="K261" s="14"/>
      <c r="L261" s="14">
        <v>648.78250000000003</v>
      </c>
      <c r="M261" s="14">
        <v>648.78250000000003</v>
      </c>
      <c r="N261" s="14"/>
      <c r="O261" s="14"/>
      <c r="P261" s="14">
        <v>1394.2756000000002</v>
      </c>
      <c r="Q261" s="14"/>
      <c r="R261" s="14"/>
      <c r="S261" s="14"/>
      <c r="T261" s="14"/>
      <c r="U261" s="13">
        <f t="shared" si="15"/>
        <v>5447.5326000000005</v>
      </c>
      <c r="V261" s="14">
        <v>11</v>
      </c>
      <c r="W261" s="15">
        <f t="shared" si="16"/>
        <v>59922.858600000007</v>
      </c>
    </row>
    <row r="262" spans="1:23" s="154" customFormat="1" ht="42.75" x14ac:dyDescent="0.25">
      <c r="A262" s="44">
        <v>9</v>
      </c>
      <c r="B262" s="806" t="s">
        <v>111</v>
      </c>
      <c r="C262" s="36">
        <v>1</v>
      </c>
      <c r="D262" s="25"/>
      <c r="E262" s="14"/>
      <c r="F262" s="14"/>
      <c r="G262" s="14"/>
      <c r="H262" s="14">
        <v>144</v>
      </c>
      <c r="I262" s="14"/>
      <c r="J262" s="14">
        <v>111</v>
      </c>
      <c r="K262" s="14"/>
      <c r="L262" s="14">
        <v>46</v>
      </c>
      <c r="M262" s="14">
        <v>46</v>
      </c>
      <c r="N262" s="14"/>
      <c r="O262" s="14"/>
      <c r="P262" s="14">
        <v>282</v>
      </c>
      <c r="Q262" s="14"/>
      <c r="R262" s="14"/>
      <c r="S262" s="14"/>
      <c r="T262" s="14"/>
      <c r="U262" s="13">
        <f t="shared" si="15"/>
        <v>629</v>
      </c>
      <c r="V262" s="25">
        <v>514.9</v>
      </c>
      <c r="W262" s="15">
        <f t="shared" si="16"/>
        <v>323872.09999999998</v>
      </c>
    </row>
    <row r="263" spans="1:23" s="154" customFormat="1" x14ac:dyDescent="0.25">
      <c r="A263" s="44">
        <v>10</v>
      </c>
      <c r="B263" s="806" t="s">
        <v>112</v>
      </c>
      <c r="C263" s="37">
        <v>1</v>
      </c>
      <c r="D263" s="25"/>
      <c r="E263" s="14"/>
      <c r="F263" s="14"/>
      <c r="G263" s="14"/>
      <c r="H263" s="14">
        <v>12</v>
      </c>
      <c r="I263" s="14"/>
      <c r="J263" s="14">
        <v>6</v>
      </c>
      <c r="K263" s="14"/>
      <c r="L263" s="14">
        <v>4</v>
      </c>
      <c r="M263" s="14">
        <v>4</v>
      </c>
      <c r="N263" s="14"/>
      <c r="O263" s="14"/>
      <c r="P263" s="14">
        <v>12</v>
      </c>
      <c r="Q263" s="14"/>
      <c r="R263" s="14"/>
      <c r="S263" s="14"/>
      <c r="T263" s="14"/>
      <c r="U263" s="13">
        <f t="shared" si="15"/>
        <v>38</v>
      </c>
      <c r="V263" s="25">
        <v>849.7</v>
      </c>
      <c r="W263" s="15">
        <f t="shared" si="16"/>
        <v>32288.600000000002</v>
      </c>
    </row>
    <row r="264" spans="1:23" s="154" customFormat="1" x14ac:dyDescent="0.25">
      <c r="A264" s="44">
        <v>11</v>
      </c>
      <c r="B264" s="806" t="s">
        <v>113</v>
      </c>
      <c r="C264" s="37">
        <v>1</v>
      </c>
      <c r="D264" s="25"/>
      <c r="E264" s="14"/>
      <c r="F264" s="14"/>
      <c r="G264" s="14"/>
      <c r="H264" s="14">
        <v>6</v>
      </c>
      <c r="I264" s="14"/>
      <c r="J264" s="14">
        <v>6</v>
      </c>
      <c r="K264" s="14"/>
      <c r="L264" s="14">
        <v>4</v>
      </c>
      <c r="M264" s="14">
        <v>4</v>
      </c>
      <c r="N264" s="14"/>
      <c r="O264" s="14"/>
      <c r="P264" s="14">
        <v>6</v>
      </c>
      <c r="Q264" s="14"/>
      <c r="R264" s="14"/>
      <c r="S264" s="14"/>
      <c r="T264" s="14"/>
      <c r="U264" s="13">
        <f t="shared" si="15"/>
        <v>26</v>
      </c>
      <c r="V264" s="25">
        <v>1159.6500000000001</v>
      </c>
      <c r="W264" s="15">
        <f t="shared" si="16"/>
        <v>30150.9</v>
      </c>
    </row>
    <row r="265" spans="1:23" s="154" customFormat="1" ht="156.75" x14ac:dyDescent="0.25">
      <c r="A265" s="44">
        <v>12</v>
      </c>
      <c r="B265" s="806" t="s">
        <v>172</v>
      </c>
      <c r="C265" s="22">
        <v>1</v>
      </c>
      <c r="D265" s="25"/>
      <c r="E265" s="14"/>
      <c r="F265" s="14"/>
      <c r="G265" s="14"/>
      <c r="H265" s="14">
        <v>607.91999999999996</v>
      </c>
      <c r="I265" s="14"/>
      <c r="J265" s="14">
        <v>367.92</v>
      </c>
      <c r="K265" s="14"/>
      <c r="L265" s="14">
        <v>271.92</v>
      </c>
      <c r="M265" s="14">
        <v>271.92</v>
      </c>
      <c r="N265" s="14"/>
      <c r="O265" s="14"/>
      <c r="P265" s="14">
        <v>463.92</v>
      </c>
      <c r="Q265" s="14"/>
      <c r="R265" s="14"/>
      <c r="S265" s="14"/>
      <c r="T265" s="14"/>
      <c r="U265" s="13">
        <f t="shared" si="15"/>
        <v>1983.6000000000001</v>
      </c>
      <c r="V265" s="14">
        <v>2180.6999999999998</v>
      </c>
      <c r="W265" s="15">
        <f t="shared" si="16"/>
        <v>4325636.5199999996</v>
      </c>
    </row>
    <row r="266" spans="1:23" s="154" customFormat="1" ht="42.75" x14ac:dyDescent="0.25">
      <c r="A266" s="44">
        <v>13</v>
      </c>
      <c r="B266" s="806" t="s">
        <v>173</v>
      </c>
      <c r="C266" s="19">
        <v>1</v>
      </c>
      <c r="D266" s="25"/>
      <c r="E266" s="14"/>
      <c r="F266" s="14"/>
      <c r="G266" s="14"/>
      <c r="H266" s="14">
        <v>196</v>
      </c>
      <c r="I266" s="14"/>
      <c r="J266" s="14">
        <v>176</v>
      </c>
      <c r="K266" s="14"/>
      <c r="L266" s="14">
        <v>176</v>
      </c>
      <c r="M266" s="14">
        <v>176</v>
      </c>
      <c r="N266" s="14"/>
      <c r="O266" s="14"/>
      <c r="P266" s="14">
        <v>184</v>
      </c>
      <c r="Q266" s="14"/>
      <c r="R266" s="14"/>
      <c r="S266" s="14"/>
      <c r="T266" s="14"/>
      <c r="U266" s="13">
        <f t="shared" si="15"/>
        <v>908</v>
      </c>
      <c r="V266" s="14">
        <v>2767</v>
      </c>
      <c r="W266" s="15">
        <f t="shared" si="16"/>
        <v>2512436</v>
      </c>
    </row>
    <row r="267" spans="1:23" s="154" customFormat="1" ht="21.75" customHeight="1" x14ac:dyDescent="0.25">
      <c r="A267" s="44">
        <v>14</v>
      </c>
      <c r="B267" s="806" t="s">
        <v>174</v>
      </c>
      <c r="C267" s="19">
        <v>100</v>
      </c>
      <c r="D267" s="25"/>
      <c r="E267" s="14"/>
      <c r="F267" s="14"/>
      <c r="G267" s="14"/>
      <c r="H267" s="14">
        <v>5921.9459999999999</v>
      </c>
      <c r="I267" s="14"/>
      <c r="J267" s="14">
        <v>3581.6040000000003</v>
      </c>
      <c r="K267" s="14"/>
      <c r="L267" s="14">
        <v>2528.6009999999997</v>
      </c>
      <c r="M267" s="14">
        <v>2528.6009999999997</v>
      </c>
      <c r="N267" s="14"/>
      <c r="O267" s="14"/>
      <c r="P267" s="14">
        <v>4838.8949999999995</v>
      </c>
      <c r="Q267" s="14"/>
      <c r="R267" s="14"/>
      <c r="S267" s="14"/>
      <c r="T267" s="14"/>
      <c r="U267" s="13">
        <f t="shared" si="15"/>
        <v>19399.646999999997</v>
      </c>
      <c r="V267" s="25">
        <v>1212.3499999999999</v>
      </c>
      <c r="W267" s="15">
        <f t="shared" si="16"/>
        <v>235191.62040449996</v>
      </c>
    </row>
    <row r="269" spans="1:23" s="154" customFormat="1" ht="28.5" x14ac:dyDescent="0.25">
      <c r="A269" s="44">
        <v>16</v>
      </c>
      <c r="B269" s="806" t="s">
        <v>116</v>
      </c>
      <c r="C269" s="19">
        <v>100</v>
      </c>
      <c r="D269" s="25"/>
      <c r="E269" s="14"/>
      <c r="F269" s="14"/>
      <c r="G269" s="14"/>
      <c r="H269" s="14">
        <v>356</v>
      </c>
      <c r="I269" s="14"/>
      <c r="J269" s="14">
        <v>336</v>
      </c>
      <c r="K269" s="14"/>
      <c r="L269" s="14">
        <v>168</v>
      </c>
      <c r="M269" s="14">
        <v>168</v>
      </c>
      <c r="N269" s="14"/>
      <c r="O269" s="14"/>
      <c r="P269" s="14">
        <v>344</v>
      </c>
      <c r="Q269" s="14"/>
      <c r="R269" s="14"/>
      <c r="S269" s="14"/>
      <c r="T269" s="14"/>
      <c r="U269" s="13">
        <f t="shared" si="15"/>
        <v>1372</v>
      </c>
      <c r="V269" s="25">
        <v>3052.4</v>
      </c>
      <c r="W269" s="15">
        <f t="shared" si="16"/>
        <v>41878.928</v>
      </c>
    </row>
    <row r="270" spans="1:23" s="154" customFormat="1" ht="42.75" x14ac:dyDescent="0.25">
      <c r="A270" s="44">
        <v>17</v>
      </c>
      <c r="B270" s="806" t="s">
        <v>175</v>
      </c>
      <c r="C270" s="37">
        <v>1</v>
      </c>
      <c r="D270" s="25"/>
      <c r="E270" s="14"/>
      <c r="F270" s="14"/>
      <c r="G270" s="14"/>
      <c r="H270" s="14">
        <v>99</v>
      </c>
      <c r="I270" s="14"/>
      <c r="J270" s="14">
        <v>64</v>
      </c>
      <c r="K270" s="14"/>
      <c r="L270" s="14">
        <v>28</v>
      </c>
      <c r="M270" s="14">
        <v>28</v>
      </c>
      <c r="N270" s="14"/>
      <c r="O270" s="14"/>
      <c r="P270" s="14">
        <v>150</v>
      </c>
      <c r="Q270" s="14"/>
      <c r="R270" s="14"/>
      <c r="S270" s="14"/>
      <c r="T270" s="14"/>
      <c r="U270" s="13">
        <f t="shared" si="15"/>
        <v>369</v>
      </c>
      <c r="V270" s="25">
        <v>680.75</v>
      </c>
      <c r="W270" s="15">
        <f t="shared" si="16"/>
        <v>251196.75</v>
      </c>
    </row>
    <row r="271" spans="1:23" s="154" customFormat="1" ht="71.25" x14ac:dyDescent="0.25">
      <c r="A271" s="44">
        <v>18</v>
      </c>
      <c r="B271" s="806" t="s">
        <v>190</v>
      </c>
      <c r="C271" s="36">
        <v>1</v>
      </c>
      <c r="D271" s="25"/>
      <c r="E271" s="14"/>
      <c r="F271" s="14"/>
      <c r="G271" s="14"/>
      <c r="H271" s="14"/>
      <c r="I271" s="14"/>
      <c r="J271" s="14">
        <v>71.86</v>
      </c>
      <c r="K271" s="14"/>
      <c r="L271" s="14"/>
      <c r="M271" s="16"/>
      <c r="N271" s="14"/>
      <c r="O271" s="14"/>
      <c r="P271" s="14">
        <v>40</v>
      </c>
      <c r="Q271" s="14"/>
      <c r="R271" s="14"/>
      <c r="S271" s="14"/>
      <c r="T271" s="14"/>
      <c r="U271" s="13">
        <f t="shared" si="15"/>
        <v>111.86</v>
      </c>
      <c r="V271" s="25">
        <v>1125.2</v>
      </c>
      <c r="W271" s="15">
        <f t="shared" si="16"/>
        <v>125864.872</v>
      </c>
    </row>
    <row r="272" spans="1:23" s="154" customFormat="1" ht="27.75" customHeight="1" x14ac:dyDescent="0.25">
      <c r="A272" s="44">
        <v>19</v>
      </c>
      <c r="B272" s="806" t="s">
        <v>176</v>
      </c>
      <c r="C272" s="19">
        <v>1</v>
      </c>
      <c r="D272" s="25"/>
      <c r="E272" s="14"/>
      <c r="F272" s="14"/>
      <c r="G272" s="14"/>
      <c r="H272" s="14">
        <v>1368</v>
      </c>
      <c r="I272" s="14"/>
      <c r="J272" s="14">
        <v>368</v>
      </c>
      <c r="K272" s="14"/>
      <c r="L272" s="14">
        <v>184</v>
      </c>
      <c r="M272" s="14">
        <v>184</v>
      </c>
      <c r="N272" s="14"/>
      <c r="O272" s="14"/>
      <c r="P272" s="14">
        <v>696</v>
      </c>
      <c r="Q272" s="14"/>
      <c r="R272" s="14"/>
      <c r="S272" s="14"/>
      <c r="T272" s="14"/>
      <c r="U272" s="13">
        <f t="shared" si="15"/>
        <v>2800</v>
      </c>
      <c r="V272" s="25">
        <v>603</v>
      </c>
      <c r="W272" s="15">
        <f t="shared" si="16"/>
        <v>1688400</v>
      </c>
    </row>
    <row r="273" spans="1:23" s="154" customFormat="1" ht="57" x14ac:dyDescent="0.25">
      <c r="A273" s="44">
        <v>20</v>
      </c>
      <c r="B273" s="806" t="s">
        <v>177</v>
      </c>
      <c r="C273" s="19">
        <v>1</v>
      </c>
      <c r="D273" s="25"/>
      <c r="E273" s="14"/>
      <c r="F273" s="14"/>
      <c r="G273" s="14"/>
      <c r="H273" s="14">
        <v>2738.75</v>
      </c>
      <c r="I273" s="14"/>
      <c r="J273" s="14">
        <v>1682.7508000000003</v>
      </c>
      <c r="K273" s="14"/>
      <c r="L273" s="14">
        <v>1417.6664000000001</v>
      </c>
      <c r="M273" s="14">
        <v>1417.6664000000001</v>
      </c>
      <c r="N273" s="14"/>
      <c r="O273" s="14"/>
      <c r="P273" s="14">
        <v>2220.2250000000004</v>
      </c>
      <c r="Q273" s="14"/>
      <c r="R273" s="14"/>
      <c r="S273" s="14"/>
      <c r="T273" s="14"/>
      <c r="U273" s="13">
        <f t="shared" si="15"/>
        <v>9477.0586000000003</v>
      </c>
      <c r="V273" s="25">
        <v>205.4</v>
      </c>
      <c r="W273" s="15">
        <f t="shared" si="16"/>
        <v>1946587.8364400002</v>
      </c>
    </row>
    <row r="274" spans="1:23" s="154" customFormat="1" ht="28.5" x14ac:dyDescent="0.25">
      <c r="A274" s="44">
        <v>21</v>
      </c>
      <c r="B274" s="806" t="s">
        <v>178</v>
      </c>
      <c r="C274" s="12">
        <v>100</v>
      </c>
      <c r="D274" s="25"/>
      <c r="E274" s="14"/>
      <c r="F274" s="14"/>
      <c r="G274" s="14"/>
      <c r="H274" s="14">
        <v>738.42</v>
      </c>
      <c r="I274" s="14"/>
      <c r="J274" s="14">
        <v>418.97</v>
      </c>
      <c r="K274" s="14"/>
      <c r="L274" s="14">
        <v>272.49</v>
      </c>
      <c r="M274" s="14">
        <v>272.49</v>
      </c>
      <c r="N274" s="14"/>
      <c r="O274" s="14"/>
      <c r="P274" s="14">
        <v>585.6</v>
      </c>
      <c r="Q274" s="14"/>
      <c r="R274" s="14"/>
      <c r="S274" s="14"/>
      <c r="T274" s="14"/>
      <c r="U274" s="13">
        <f t="shared" si="15"/>
        <v>2287.9699999999998</v>
      </c>
      <c r="V274" s="25">
        <v>18017.599999999999</v>
      </c>
      <c r="W274" s="15">
        <f t="shared" si="16"/>
        <v>412237.2827199999</v>
      </c>
    </row>
    <row r="275" spans="1:23" s="154" customFormat="1" ht="71.25" x14ac:dyDescent="0.25">
      <c r="A275" s="44">
        <v>22</v>
      </c>
      <c r="B275" s="806" t="s">
        <v>179</v>
      </c>
      <c r="C275" s="19">
        <v>100</v>
      </c>
      <c r="D275" s="25"/>
      <c r="E275" s="25"/>
      <c r="F275" s="25"/>
      <c r="G275" s="25"/>
      <c r="H275" s="25">
        <v>1758.1539000000002</v>
      </c>
      <c r="I275" s="25"/>
      <c r="J275" s="25">
        <v>997.5381000000001</v>
      </c>
      <c r="K275" s="25"/>
      <c r="L275" s="25">
        <v>648.78250000000003</v>
      </c>
      <c r="M275" s="25">
        <v>648.78250000000003</v>
      </c>
      <c r="N275" s="25"/>
      <c r="O275" s="25"/>
      <c r="P275" s="25">
        <v>1394.2756000000002</v>
      </c>
      <c r="Q275" s="25"/>
      <c r="R275" s="25"/>
      <c r="S275" s="25"/>
      <c r="T275" s="25"/>
      <c r="U275" s="13">
        <f t="shared" si="15"/>
        <v>5447.5326000000005</v>
      </c>
      <c r="V275" s="25">
        <v>29658.5</v>
      </c>
      <c r="W275" s="15">
        <f t="shared" si="16"/>
        <v>1615656.4561709999</v>
      </c>
    </row>
    <row r="276" spans="1:23" s="154" customFormat="1" ht="71.25" x14ac:dyDescent="0.25">
      <c r="A276" s="44">
        <v>23</v>
      </c>
      <c r="B276" s="806" t="s">
        <v>180</v>
      </c>
      <c r="C276" s="19">
        <v>100</v>
      </c>
      <c r="D276" s="25"/>
      <c r="E276" s="25"/>
      <c r="F276" s="25"/>
      <c r="G276" s="25"/>
      <c r="H276" s="25">
        <v>112.84</v>
      </c>
      <c r="I276" s="25"/>
      <c r="J276" s="25">
        <v>72.099999999999994</v>
      </c>
      <c r="K276" s="25"/>
      <c r="L276" s="25">
        <v>53.42</v>
      </c>
      <c r="M276" s="25">
        <v>53.42</v>
      </c>
      <c r="N276" s="25"/>
      <c r="O276" s="25"/>
      <c r="P276" s="25">
        <v>93.350000000000009</v>
      </c>
      <c r="Q276" s="25"/>
      <c r="R276" s="25"/>
      <c r="S276" s="25"/>
      <c r="T276" s="25"/>
      <c r="U276" s="13">
        <f t="shared" si="15"/>
        <v>385.13000000000005</v>
      </c>
      <c r="V276" s="25">
        <v>19146.849999999999</v>
      </c>
      <c r="W276" s="15">
        <f t="shared" si="16"/>
        <v>73740.263405000005</v>
      </c>
    </row>
    <row r="277" spans="1:23" s="154" customFormat="1" ht="32.25" customHeight="1" x14ac:dyDescent="0.25">
      <c r="A277" s="44">
        <v>24</v>
      </c>
      <c r="B277" s="806" t="s">
        <v>181</v>
      </c>
      <c r="C277" s="36">
        <v>1</v>
      </c>
      <c r="D277" s="25"/>
      <c r="E277" s="25"/>
      <c r="F277" s="25"/>
      <c r="G277" s="25"/>
      <c r="H277" s="25">
        <v>900.26</v>
      </c>
      <c r="I277" s="25"/>
      <c r="J277" s="25">
        <v>519.15</v>
      </c>
      <c r="K277" s="25"/>
      <c r="L277" s="25">
        <v>389.75</v>
      </c>
      <c r="M277" s="25">
        <v>389.75</v>
      </c>
      <c r="N277" s="25"/>
      <c r="O277" s="25"/>
      <c r="P277" s="25">
        <v>723.40000000000009</v>
      </c>
      <c r="Q277" s="25"/>
      <c r="R277" s="25"/>
      <c r="S277" s="25"/>
      <c r="T277" s="25"/>
      <c r="U277" s="13">
        <f t="shared" si="15"/>
        <v>2922.31</v>
      </c>
      <c r="V277" s="25">
        <v>39.6</v>
      </c>
      <c r="W277" s="15">
        <f t="shared" si="16"/>
        <v>115723.476</v>
      </c>
    </row>
    <row r="278" spans="1:23" s="154" customFormat="1" ht="42.75" x14ac:dyDescent="0.25">
      <c r="A278" s="44">
        <v>25</v>
      </c>
      <c r="B278" s="810" t="s">
        <v>71</v>
      </c>
      <c r="C278" s="36">
        <v>1</v>
      </c>
      <c r="D278" s="25"/>
      <c r="E278" s="14"/>
      <c r="F278" s="14"/>
      <c r="G278" s="14"/>
      <c r="H278" s="14">
        <v>473.5</v>
      </c>
      <c r="I278" s="14"/>
      <c r="J278" s="14">
        <v>236.66</v>
      </c>
      <c r="K278" s="14"/>
      <c r="L278" s="14">
        <v>173.29</v>
      </c>
      <c r="M278" s="14">
        <v>176.57</v>
      </c>
      <c r="N278" s="14"/>
      <c r="O278" s="14"/>
      <c r="P278" s="14">
        <v>312.94</v>
      </c>
      <c r="Q278" s="14"/>
      <c r="R278" s="14"/>
      <c r="S278" s="14"/>
      <c r="T278" s="14"/>
      <c r="U278" s="13">
        <f t="shared" si="15"/>
        <v>1372.96</v>
      </c>
      <c r="V278" s="14">
        <v>809.4</v>
      </c>
      <c r="W278" s="15">
        <f t="shared" si="16"/>
        <v>1111273.824</v>
      </c>
    </row>
    <row r="279" spans="1:23" s="154" customFormat="1" ht="42.75" x14ac:dyDescent="0.25">
      <c r="A279" s="44">
        <v>26</v>
      </c>
      <c r="B279" s="806" t="s">
        <v>118</v>
      </c>
      <c r="C279" s="20"/>
      <c r="D279" s="20"/>
      <c r="E279" s="20"/>
      <c r="F279" s="20"/>
      <c r="G279" s="20"/>
      <c r="H279" s="20"/>
      <c r="I279" s="20"/>
      <c r="J279" s="20"/>
      <c r="K279" s="20"/>
      <c r="L279" s="20"/>
      <c r="M279" s="20"/>
      <c r="N279" s="20"/>
      <c r="O279" s="20"/>
      <c r="P279" s="20"/>
      <c r="Q279" s="20"/>
      <c r="R279" s="20"/>
      <c r="S279" s="20"/>
      <c r="T279" s="20"/>
      <c r="U279" s="13">
        <f t="shared" si="15"/>
        <v>0</v>
      </c>
      <c r="V279" s="20"/>
      <c r="W279" s="20"/>
    </row>
    <row r="280" spans="1:23" s="154" customFormat="1" x14ac:dyDescent="0.25">
      <c r="A280" s="44"/>
      <c r="B280" s="806" t="s">
        <v>148</v>
      </c>
      <c r="C280" s="36">
        <v>1</v>
      </c>
      <c r="D280" s="25"/>
      <c r="E280" s="14"/>
      <c r="F280" s="14"/>
      <c r="G280" s="14"/>
      <c r="H280" s="14">
        <v>500</v>
      </c>
      <c r="I280" s="14"/>
      <c r="J280" s="14">
        <v>150</v>
      </c>
      <c r="K280" s="14"/>
      <c r="L280" s="14">
        <v>100</v>
      </c>
      <c r="M280" s="14">
        <v>100</v>
      </c>
      <c r="N280" s="14"/>
      <c r="O280" s="14"/>
      <c r="P280" s="14">
        <v>350</v>
      </c>
      <c r="Q280" s="14"/>
      <c r="R280" s="14"/>
      <c r="S280" s="14"/>
      <c r="T280" s="14"/>
      <c r="U280" s="13">
        <f t="shared" si="15"/>
        <v>1200</v>
      </c>
      <c r="V280" s="25">
        <v>112.25</v>
      </c>
      <c r="W280" s="15">
        <f t="shared" si="16"/>
        <v>134700</v>
      </c>
    </row>
    <row r="281" spans="1:23" s="154" customFormat="1" x14ac:dyDescent="0.25">
      <c r="A281" s="44"/>
      <c r="B281" s="806" t="s">
        <v>149</v>
      </c>
      <c r="C281" s="36">
        <v>1</v>
      </c>
      <c r="D281" s="25"/>
      <c r="E281" s="14"/>
      <c r="F281" s="14"/>
      <c r="G281" s="14"/>
      <c r="H281" s="14">
        <v>300</v>
      </c>
      <c r="I281" s="14"/>
      <c r="J281" s="14">
        <v>150</v>
      </c>
      <c r="K281" s="14"/>
      <c r="L281" s="14">
        <v>100</v>
      </c>
      <c r="M281" s="14">
        <v>100</v>
      </c>
      <c r="N281" s="14"/>
      <c r="O281" s="14"/>
      <c r="P281" s="14">
        <v>250</v>
      </c>
      <c r="Q281" s="14"/>
      <c r="R281" s="14"/>
      <c r="S281" s="14"/>
      <c r="T281" s="14"/>
      <c r="U281" s="13">
        <f t="shared" si="15"/>
        <v>900</v>
      </c>
      <c r="V281" s="25">
        <v>133.6</v>
      </c>
      <c r="W281" s="15">
        <f t="shared" si="16"/>
        <v>120240</v>
      </c>
    </row>
    <row r="282" spans="1:23" s="154" customFormat="1" ht="71.25" x14ac:dyDescent="0.25">
      <c r="A282" s="44">
        <v>27</v>
      </c>
      <c r="B282" s="806" t="s">
        <v>123</v>
      </c>
      <c r="C282" s="20"/>
      <c r="D282" s="20"/>
      <c r="E282" s="20"/>
      <c r="F282" s="20"/>
      <c r="G282" s="20"/>
      <c r="H282" s="20"/>
      <c r="I282" s="20"/>
      <c r="J282" s="20"/>
      <c r="K282" s="20"/>
      <c r="L282" s="20"/>
      <c r="M282" s="20"/>
      <c r="N282" s="20"/>
      <c r="O282" s="20"/>
      <c r="P282" s="20"/>
      <c r="Q282" s="20"/>
      <c r="R282" s="20"/>
      <c r="S282" s="20"/>
      <c r="T282" s="20"/>
      <c r="U282" s="13">
        <f t="shared" si="15"/>
        <v>0</v>
      </c>
      <c r="V282" s="20"/>
      <c r="W282" s="20"/>
    </row>
    <row r="283" spans="1:23" s="154" customFormat="1" x14ac:dyDescent="0.25">
      <c r="A283" s="44"/>
      <c r="B283" s="806" t="s">
        <v>150</v>
      </c>
      <c r="C283" s="36">
        <v>1</v>
      </c>
      <c r="D283" s="25"/>
      <c r="E283" s="14"/>
      <c r="F283" s="14"/>
      <c r="G283" s="14"/>
      <c r="H283" s="14">
        <v>1000</v>
      </c>
      <c r="I283" s="14"/>
      <c r="J283" s="14">
        <v>500</v>
      </c>
      <c r="K283" s="14"/>
      <c r="L283" s="14">
        <v>250</v>
      </c>
      <c r="M283" s="14">
        <v>250</v>
      </c>
      <c r="N283" s="14"/>
      <c r="O283" s="14"/>
      <c r="P283" s="14">
        <v>1000</v>
      </c>
      <c r="Q283" s="14"/>
      <c r="R283" s="14"/>
      <c r="S283" s="14"/>
      <c r="T283" s="14"/>
      <c r="U283" s="13">
        <f t="shared" si="15"/>
        <v>3000</v>
      </c>
      <c r="V283" s="25">
        <v>35.700000000000003</v>
      </c>
      <c r="W283" s="15">
        <f t="shared" si="16"/>
        <v>107100.00000000001</v>
      </c>
    </row>
    <row r="284" spans="1:23" s="154" customFormat="1" x14ac:dyDescent="0.25">
      <c r="A284" s="44"/>
      <c r="B284" s="806" t="s">
        <v>151</v>
      </c>
      <c r="C284" s="36">
        <v>1</v>
      </c>
      <c r="D284" s="25"/>
      <c r="E284" s="14"/>
      <c r="F284" s="14"/>
      <c r="G284" s="14"/>
      <c r="H284" s="14">
        <v>500</v>
      </c>
      <c r="I284" s="14"/>
      <c r="J284" s="14">
        <v>300</v>
      </c>
      <c r="K284" s="14"/>
      <c r="L284" s="14">
        <v>200</v>
      </c>
      <c r="M284" s="14">
        <v>200</v>
      </c>
      <c r="N284" s="14"/>
      <c r="O284" s="14"/>
      <c r="P284" s="14">
        <v>500</v>
      </c>
      <c r="Q284" s="14"/>
      <c r="R284" s="14"/>
      <c r="S284" s="14"/>
      <c r="T284" s="14"/>
      <c r="U284" s="13">
        <f t="shared" si="15"/>
        <v>1700</v>
      </c>
      <c r="V284" s="25">
        <v>56.3</v>
      </c>
      <c r="W284" s="15">
        <f t="shared" si="16"/>
        <v>95710</v>
      </c>
    </row>
    <row r="285" spans="1:23" s="154" customFormat="1" ht="42.75" x14ac:dyDescent="0.25">
      <c r="A285" s="44">
        <v>28</v>
      </c>
      <c r="B285" s="806" t="s">
        <v>127</v>
      </c>
      <c r="C285" s="20"/>
      <c r="D285" s="20"/>
      <c r="E285" s="20"/>
      <c r="F285" s="20"/>
      <c r="G285" s="20"/>
      <c r="H285" s="20"/>
      <c r="I285" s="20"/>
      <c r="J285" s="20"/>
      <c r="K285" s="20"/>
      <c r="L285" s="20"/>
      <c r="M285" s="20"/>
      <c r="N285" s="20"/>
      <c r="O285" s="20"/>
      <c r="P285" s="20"/>
      <c r="Q285" s="20"/>
      <c r="R285" s="20"/>
      <c r="S285" s="20"/>
      <c r="T285" s="20"/>
      <c r="U285" s="13">
        <f t="shared" si="15"/>
        <v>0</v>
      </c>
      <c r="V285" s="20"/>
      <c r="W285" s="20"/>
    </row>
    <row r="286" spans="1:23" s="154" customFormat="1" x14ac:dyDescent="0.25">
      <c r="A286" s="44"/>
      <c r="B286" s="806" t="s">
        <v>153</v>
      </c>
      <c r="C286" s="38">
        <v>1</v>
      </c>
      <c r="D286" s="25"/>
      <c r="E286" s="14"/>
      <c r="F286" s="14"/>
      <c r="G286" s="14"/>
      <c r="H286" s="14">
        <v>10</v>
      </c>
      <c r="I286" s="14"/>
      <c r="J286" s="14">
        <v>5</v>
      </c>
      <c r="K286" s="14"/>
      <c r="L286" s="14">
        <v>3</v>
      </c>
      <c r="M286" s="14">
        <v>3</v>
      </c>
      <c r="N286" s="14"/>
      <c r="O286" s="14"/>
      <c r="P286" s="14">
        <v>10</v>
      </c>
      <c r="Q286" s="14"/>
      <c r="R286" s="14"/>
      <c r="S286" s="14"/>
      <c r="T286" s="14"/>
      <c r="U286" s="13">
        <f t="shared" si="15"/>
        <v>31</v>
      </c>
      <c r="V286" s="25">
        <v>522.75</v>
      </c>
      <c r="W286" s="15">
        <f t="shared" si="16"/>
        <v>16205.25</v>
      </c>
    </row>
    <row r="287" spans="1:23" s="154" customFormat="1" x14ac:dyDescent="0.25">
      <c r="A287" s="44">
        <v>29</v>
      </c>
      <c r="B287" s="806" t="s">
        <v>182</v>
      </c>
      <c r="C287" s="38">
        <v>1</v>
      </c>
      <c r="D287" s="25"/>
      <c r="E287" s="14"/>
      <c r="F287" s="14"/>
      <c r="G287" s="14"/>
      <c r="H287" s="14">
        <v>50</v>
      </c>
      <c r="I287" s="14"/>
      <c r="J287" s="14">
        <v>35</v>
      </c>
      <c r="K287" s="14"/>
      <c r="L287" s="14">
        <v>20</v>
      </c>
      <c r="M287" s="14">
        <v>20</v>
      </c>
      <c r="N287" s="14"/>
      <c r="O287" s="14"/>
      <c r="P287" s="14">
        <v>50</v>
      </c>
      <c r="Q287" s="14"/>
      <c r="R287" s="14"/>
      <c r="S287" s="14"/>
      <c r="T287" s="14"/>
      <c r="U287" s="13">
        <f t="shared" si="15"/>
        <v>175</v>
      </c>
      <c r="V287" s="25">
        <v>102.7</v>
      </c>
      <c r="W287" s="15">
        <f t="shared" si="16"/>
        <v>17972.5</v>
      </c>
    </row>
    <row r="288" spans="1:23" s="980" customFormat="1" ht="27" customHeight="1" x14ac:dyDescent="0.25">
      <c r="A288" s="981">
        <v>30</v>
      </c>
      <c r="B288" s="976" t="s">
        <v>183</v>
      </c>
      <c r="C288" s="38">
        <v>1</v>
      </c>
      <c r="D288" s="25"/>
      <c r="E288" s="14"/>
      <c r="F288" s="14"/>
      <c r="G288" s="14"/>
      <c r="H288" s="14">
        <v>15</v>
      </c>
      <c r="I288" s="14"/>
      <c r="J288" s="14">
        <v>10</v>
      </c>
      <c r="K288" s="14"/>
      <c r="L288" s="14">
        <v>5</v>
      </c>
      <c r="M288" s="14">
        <v>5</v>
      </c>
      <c r="N288" s="14"/>
      <c r="O288" s="14"/>
      <c r="P288" s="14">
        <v>15</v>
      </c>
      <c r="Q288" s="14"/>
      <c r="R288" s="14"/>
      <c r="S288" s="14"/>
      <c r="T288" s="14"/>
      <c r="U288" s="13">
        <f t="shared" si="15"/>
        <v>50</v>
      </c>
      <c r="V288" s="25">
        <v>178.75</v>
      </c>
      <c r="W288" s="15">
        <f t="shared" si="16"/>
        <v>8937.5</v>
      </c>
    </row>
    <row r="289" spans="1:23" s="980" customFormat="1" ht="27" customHeight="1" x14ac:dyDescent="0.25">
      <c r="A289" s="981">
        <v>31</v>
      </c>
      <c r="B289" s="976" t="s">
        <v>132</v>
      </c>
      <c r="C289" s="38">
        <v>1</v>
      </c>
      <c r="D289" s="25"/>
      <c r="E289" s="14"/>
      <c r="F289" s="14"/>
      <c r="G289" s="14"/>
      <c r="H289" s="14">
        <v>15</v>
      </c>
      <c r="I289" s="14"/>
      <c r="J289" s="14">
        <v>10</v>
      </c>
      <c r="K289" s="14"/>
      <c r="L289" s="14">
        <v>5</v>
      </c>
      <c r="M289" s="14">
        <v>5</v>
      </c>
      <c r="N289" s="14"/>
      <c r="O289" s="14"/>
      <c r="P289" s="14">
        <v>15</v>
      </c>
      <c r="Q289" s="14"/>
      <c r="R289" s="14"/>
      <c r="S289" s="14"/>
      <c r="T289" s="14"/>
      <c r="U289" s="13">
        <f t="shared" si="15"/>
        <v>50</v>
      </c>
      <c r="V289" s="25">
        <v>96.3</v>
      </c>
      <c r="W289" s="15">
        <f t="shared" si="16"/>
        <v>4815</v>
      </c>
    </row>
    <row r="290" spans="1:23" s="154" customFormat="1" ht="87" x14ac:dyDescent="0.25">
      <c r="A290" s="44">
        <v>32</v>
      </c>
      <c r="B290" s="806" t="s">
        <v>445</v>
      </c>
      <c r="C290" s="37">
        <v>1</v>
      </c>
      <c r="D290" s="25"/>
      <c r="E290" s="14"/>
      <c r="F290" s="14"/>
      <c r="G290" s="14"/>
      <c r="H290" s="14">
        <v>1</v>
      </c>
      <c r="I290" s="14"/>
      <c r="J290" s="14">
        <v>1</v>
      </c>
      <c r="K290" s="14"/>
      <c r="L290" s="14">
        <v>1</v>
      </c>
      <c r="M290" s="14">
        <v>1</v>
      </c>
      <c r="N290" s="14"/>
      <c r="O290" s="14"/>
      <c r="P290" s="14">
        <v>1</v>
      </c>
      <c r="Q290" s="14"/>
      <c r="R290" s="14"/>
      <c r="S290" s="14"/>
      <c r="T290" s="14"/>
      <c r="U290" s="13">
        <f t="shared" si="15"/>
        <v>5</v>
      </c>
      <c r="V290" s="25">
        <v>5616.25</v>
      </c>
      <c r="W290" s="15">
        <f t="shared" si="16"/>
        <v>28081.25</v>
      </c>
    </row>
    <row r="291" spans="1:23" s="154" customFormat="1" ht="87" x14ac:dyDescent="0.25">
      <c r="A291" s="44">
        <v>33</v>
      </c>
      <c r="B291" s="806" t="s">
        <v>446</v>
      </c>
      <c r="C291" s="37">
        <v>1</v>
      </c>
      <c r="D291" s="25"/>
      <c r="E291" s="14"/>
      <c r="F291" s="14"/>
      <c r="G291" s="14"/>
      <c r="H291" s="14">
        <v>10</v>
      </c>
      <c r="I291" s="14"/>
      <c r="J291" s="14">
        <v>5</v>
      </c>
      <c r="K291" s="14"/>
      <c r="L291" s="14">
        <v>2</v>
      </c>
      <c r="M291" s="14">
        <v>2</v>
      </c>
      <c r="N291" s="14"/>
      <c r="O291" s="14"/>
      <c r="P291" s="14">
        <v>10</v>
      </c>
      <c r="Q291" s="14"/>
      <c r="R291" s="14"/>
      <c r="S291" s="14"/>
      <c r="T291" s="14"/>
      <c r="U291" s="13">
        <f t="shared" si="15"/>
        <v>29</v>
      </c>
      <c r="V291" s="25">
        <v>1453.75</v>
      </c>
      <c r="W291" s="15">
        <f t="shared" si="16"/>
        <v>42158.75</v>
      </c>
    </row>
    <row r="292" spans="1:23" s="154" customFormat="1" ht="57" x14ac:dyDescent="0.25">
      <c r="A292" s="44">
        <v>34</v>
      </c>
      <c r="B292" s="806" t="s">
        <v>186</v>
      </c>
      <c r="C292" s="38">
        <v>1</v>
      </c>
      <c r="D292" s="25"/>
      <c r="E292" s="14"/>
      <c r="F292" s="14"/>
      <c r="G292" s="14"/>
      <c r="H292" s="14">
        <v>10</v>
      </c>
      <c r="I292" s="14"/>
      <c r="J292" s="14">
        <v>6</v>
      </c>
      <c r="K292" s="14"/>
      <c r="L292" s="14">
        <v>4</v>
      </c>
      <c r="M292" s="14">
        <v>4</v>
      </c>
      <c r="N292" s="14"/>
      <c r="O292" s="14"/>
      <c r="P292" s="14">
        <v>10</v>
      </c>
      <c r="Q292" s="14"/>
      <c r="R292" s="14"/>
      <c r="S292" s="14"/>
      <c r="T292" s="14"/>
      <c r="U292" s="13">
        <f t="shared" si="15"/>
        <v>34</v>
      </c>
      <c r="V292" s="25">
        <v>11398.45</v>
      </c>
      <c r="W292" s="15">
        <f t="shared" si="16"/>
        <v>387547.30000000005</v>
      </c>
    </row>
    <row r="293" spans="1:23" s="154" customFormat="1" ht="58.5" customHeight="1" x14ac:dyDescent="0.25">
      <c r="A293" s="44">
        <v>35</v>
      </c>
      <c r="B293" s="806" t="s">
        <v>139</v>
      </c>
      <c r="C293" s="37">
        <v>1</v>
      </c>
      <c r="D293" s="25"/>
      <c r="E293" s="14"/>
      <c r="F293" s="14"/>
      <c r="G293" s="14"/>
      <c r="H293" s="14">
        <v>15</v>
      </c>
      <c r="I293" s="14"/>
      <c r="J293" s="14">
        <v>10</v>
      </c>
      <c r="K293" s="14"/>
      <c r="L293" s="14">
        <v>5</v>
      </c>
      <c r="M293" s="14">
        <v>5</v>
      </c>
      <c r="N293" s="14"/>
      <c r="O293" s="14"/>
      <c r="P293" s="14">
        <v>15</v>
      </c>
      <c r="Q293" s="14"/>
      <c r="R293" s="14"/>
      <c r="S293" s="14"/>
      <c r="T293" s="14"/>
      <c r="U293" s="13">
        <f t="shared" si="15"/>
        <v>50</v>
      </c>
      <c r="V293" s="25">
        <v>1995.3</v>
      </c>
      <c r="W293" s="15">
        <f t="shared" si="16"/>
        <v>99765</v>
      </c>
    </row>
    <row r="294" spans="1:23" s="154" customFormat="1" x14ac:dyDescent="0.25">
      <c r="A294" s="44"/>
      <c r="B294" s="816" t="s">
        <v>193</v>
      </c>
      <c r="C294" s="42"/>
      <c r="D294" s="42"/>
      <c r="E294" s="42"/>
      <c r="F294" s="42"/>
      <c r="G294" s="42"/>
      <c r="H294" s="42"/>
      <c r="I294" s="42"/>
      <c r="J294" s="42"/>
      <c r="K294" s="42"/>
      <c r="L294" s="42"/>
      <c r="M294" s="42"/>
      <c r="N294" s="42"/>
      <c r="O294" s="42"/>
      <c r="P294" s="42"/>
      <c r="Q294" s="42"/>
      <c r="R294" s="42"/>
      <c r="S294" s="42"/>
      <c r="T294" s="42"/>
      <c r="U294" s="13">
        <f t="shared" si="15"/>
        <v>0</v>
      </c>
      <c r="V294" s="42"/>
      <c r="W294" s="42"/>
    </row>
    <row r="295" spans="1:23" s="154" customFormat="1" ht="27" customHeight="1" x14ac:dyDescent="0.25">
      <c r="A295" s="120">
        <v>36</v>
      </c>
      <c r="B295" s="812" t="s">
        <v>58</v>
      </c>
      <c r="C295" s="12">
        <v>1000</v>
      </c>
      <c r="D295" s="102"/>
      <c r="E295" s="14"/>
      <c r="F295" s="14"/>
      <c r="G295" s="14"/>
      <c r="H295" s="14"/>
      <c r="I295" s="14"/>
      <c r="J295" s="14">
        <v>34138.375</v>
      </c>
      <c r="K295" s="14"/>
      <c r="L295" s="14">
        <v>10698.490000000002</v>
      </c>
      <c r="M295" s="14">
        <v>14034.924999999999</v>
      </c>
      <c r="N295" s="14"/>
      <c r="O295" s="14"/>
      <c r="P295" s="14"/>
      <c r="Q295" s="14"/>
      <c r="R295" s="14"/>
      <c r="S295" s="14"/>
      <c r="T295" s="14"/>
      <c r="U295" s="13">
        <f t="shared" si="15"/>
        <v>58871.790000000008</v>
      </c>
      <c r="V295" s="25">
        <v>10533.6</v>
      </c>
      <c r="W295" s="15">
        <f t="shared" si="16"/>
        <v>620131.88714400004</v>
      </c>
    </row>
    <row r="296" spans="1:23" s="154" customFormat="1" ht="42.75" x14ac:dyDescent="0.25">
      <c r="A296" s="120">
        <v>37</v>
      </c>
      <c r="B296" s="812" t="s">
        <v>194</v>
      </c>
      <c r="C296" s="12">
        <v>1000</v>
      </c>
      <c r="D296" s="102"/>
      <c r="E296" s="14"/>
      <c r="F296" s="14"/>
      <c r="G296" s="14"/>
      <c r="H296" s="14"/>
      <c r="I296" s="14"/>
      <c r="J296" s="14">
        <v>34138.375</v>
      </c>
      <c r="K296" s="14"/>
      <c r="L296" s="14">
        <v>10698.490000000002</v>
      </c>
      <c r="M296" s="14">
        <v>14034.924999999999</v>
      </c>
      <c r="N296" s="14"/>
      <c r="O296" s="14"/>
      <c r="P296" s="14"/>
      <c r="Q296" s="14"/>
      <c r="R296" s="14"/>
      <c r="S296" s="14"/>
      <c r="T296" s="14"/>
      <c r="U296" s="13">
        <f t="shared" si="15"/>
        <v>58871.790000000008</v>
      </c>
      <c r="V296" s="25">
        <v>1437.5</v>
      </c>
      <c r="W296" s="15">
        <f t="shared" si="16"/>
        <v>84628.19812500001</v>
      </c>
    </row>
    <row r="297" spans="1:23" s="154" customFormat="1" ht="42.75" x14ac:dyDescent="0.25">
      <c r="A297" s="120">
        <v>38</v>
      </c>
      <c r="B297" s="812" t="s">
        <v>195</v>
      </c>
      <c r="C297" s="12">
        <v>1000</v>
      </c>
      <c r="D297" s="102"/>
      <c r="E297" s="14"/>
      <c r="F297" s="14"/>
      <c r="G297" s="14"/>
      <c r="H297" s="14"/>
      <c r="I297" s="14"/>
      <c r="J297" s="14">
        <v>5910.3</v>
      </c>
      <c r="K297" s="14"/>
      <c r="L297" s="14">
        <v>4319.8550000000005</v>
      </c>
      <c r="M297" s="14">
        <v>4319.8550000000005</v>
      </c>
      <c r="N297" s="14"/>
      <c r="O297" s="14"/>
      <c r="P297" s="14"/>
      <c r="Q297" s="14"/>
      <c r="R297" s="14"/>
      <c r="S297" s="14"/>
      <c r="T297" s="14"/>
      <c r="U297" s="13">
        <f t="shared" si="15"/>
        <v>14550.010000000002</v>
      </c>
      <c r="V297" s="25">
        <v>5033.7</v>
      </c>
      <c r="W297" s="15">
        <f t="shared" si="16"/>
        <v>73240.385337000014</v>
      </c>
    </row>
    <row r="298" spans="1:23" s="980" customFormat="1" ht="23.25" customHeight="1" x14ac:dyDescent="0.25">
      <c r="A298" s="978"/>
      <c r="B298" s="979" t="s">
        <v>196</v>
      </c>
      <c r="C298" s="43"/>
      <c r="D298" s="43"/>
      <c r="E298" s="43"/>
      <c r="F298" s="43"/>
      <c r="G298" s="43"/>
      <c r="H298" s="43"/>
      <c r="I298" s="43"/>
      <c r="J298" s="43"/>
      <c r="K298" s="43"/>
      <c r="L298" s="43"/>
      <c r="M298" s="43"/>
      <c r="N298" s="43"/>
      <c r="O298" s="43"/>
      <c r="P298" s="43"/>
      <c r="Q298" s="43"/>
      <c r="R298" s="43"/>
      <c r="S298" s="43"/>
      <c r="T298" s="43"/>
      <c r="U298" s="13">
        <f t="shared" si="15"/>
        <v>0</v>
      </c>
      <c r="V298" s="43"/>
      <c r="W298" s="43"/>
    </row>
    <row r="299" spans="1:23" s="154" customFormat="1" x14ac:dyDescent="0.25">
      <c r="A299" s="120"/>
      <c r="B299" s="812" t="s">
        <v>197</v>
      </c>
      <c r="C299" s="19">
        <v>100</v>
      </c>
      <c r="D299" s="102"/>
      <c r="E299" s="13"/>
      <c r="F299" s="13"/>
      <c r="G299" s="13"/>
      <c r="H299" s="13"/>
      <c r="I299" s="13"/>
      <c r="J299" s="13">
        <v>1100</v>
      </c>
      <c r="K299" s="13"/>
      <c r="L299" s="13">
        <v>700</v>
      </c>
      <c r="M299" s="13">
        <v>700</v>
      </c>
      <c r="N299" s="13"/>
      <c r="O299" s="13"/>
      <c r="P299" s="13"/>
      <c r="Q299" s="13"/>
      <c r="R299" s="13"/>
      <c r="S299" s="13"/>
      <c r="T299" s="13"/>
      <c r="U299" s="13">
        <f t="shared" si="15"/>
        <v>2500</v>
      </c>
      <c r="V299" s="14">
        <v>6512.05</v>
      </c>
      <c r="W299" s="15">
        <f t="shared" si="16"/>
        <v>162801.25</v>
      </c>
    </row>
    <row r="300" spans="1:23" s="154" customFormat="1" x14ac:dyDescent="0.25">
      <c r="A300" s="120"/>
      <c r="B300" s="812" t="s">
        <v>198</v>
      </c>
      <c r="C300" s="19">
        <v>100</v>
      </c>
      <c r="D300" s="102"/>
      <c r="E300" s="13"/>
      <c r="F300" s="13"/>
      <c r="G300" s="13"/>
      <c r="H300" s="13"/>
      <c r="I300" s="13"/>
      <c r="J300" s="13">
        <v>1540</v>
      </c>
      <c r="K300" s="13"/>
      <c r="L300" s="13">
        <v>1168</v>
      </c>
      <c r="M300" s="13">
        <v>1168</v>
      </c>
      <c r="N300" s="13"/>
      <c r="O300" s="13"/>
      <c r="P300" s="13"/>
      <c r="Q300" s="13"/>
      <c r="R300" s="13"/>
      <c r="S300" s="13"/>
      <c r="T300" s="13"/>
      <c r="U300" s="13">
        <f t="shared" si="15"/>
        <v>3876</v>
      </c>
      <c r="V300" s="14">
        <v>7363.45</v>
      </c>
      <c r="W300" s="15">
        <f t="shared" si="16"/>
        <v>285407.32199999999</v>
      </c>
    </row>
    <row r="301" spans="1:23" s="154" customFormat="1" ht="28.5" x14ac:dyDescent="0.25">
      <c r="A301" s="120">
        <v>39</v>
      </c>
      <c r="B301" s="812" t="s">
        <v>199</v>
      </c>
      <c r="C301" s="43"/>
      <c r="D301" s="43"/>
      <c r="E301" s="43"/>
      <c r="F301" s="43"/>
      <c r="G301" s="43"/>
      <c r="H301" s="43"/>
      <c r="I301" s="43"/>
      <c r="J301" s="43"/>
      <c r="K301" s="43"/>
      <c r="L301" s="43"/>
      <c r="M301" s="43"/>
      <c r="N301" s="43"/>
      <c r="O301" s="43"/>
      <c r="P301" s="43"/>
      <c r="Q301" s="43"/>
      <c r="R301" s="43"/>
      <c r="S301" s="43"/>
      <c r="T301" s="43"/>
      <c r="U301" s="13">
        <f t="shared" si="15"/>
        <v>0</v>
      </c>
      <c r="V301" s="43"/>
      <c r="W301" s="43"/>
    </row>
    <row r="302" spans="1:23" s="154" customFormat="1" x14ac:dyDescent="0.25">
      <c r="A302" s="120"/>
      <c r="B302" s="812" t="s">
        <v>200</v>
      </c>
      <c r="C302" s="12">
        <v>100</v>
      </c>
      <c r="D302" s="102"/>
      <c r="E302" s="14"/>
      <c r="F302" s="14"/>
      <c r="G302" s="14"/>
      <c r="H302" s="14"/>
      <c r="I302" s="14"/>
      <c r="J302" s="14">
        <v>376.75</v>
      </c>
      <c r="K302" s="14"/>
      <c r="L302" s="14">
        <v>239.75</v>
      </c>
      <c r="M302" s="14">
        <v>239.75</v>
      </c>
      <c r="N302" s="14"/>
      <c r="O302" s="14"/>
      <c r="P302" s="14"/>
      <c r="Q302" s="14"/>
      <c r="R302" s="14"/>
      <c r="S302" s="14"/>
      <c r="T302" s="14"/>
      <c r="U302" s="13">
        <f t="shared" si="15"/>
        <v>856.25</v>
      </c>
      <c r="V302" s="13">
        <v>49016.9</v>
      </c>
      <c r="W302" s="15">
        <f t="shared" si="16"/>
        <v>419707.20624999999</v>
      </c>
    </row>
    <row r="303" spans="1:23" s="154" customFormat="1" x14ac:dyDescent="0.25">
      <c r="A303" s="120"/>
      <c r="B303" s="812" t="s">
        <v>201</v>
      </c>
      <c r="C303" s="12">
        <v>100</v>
      </c>
      <c r="D303" s="102"/>
      <c r="E303" s="14"/>
      <c r="F303" s="14"/>
      <c r="G303" s="14"/>
      <c r="H303" s="14"/>
      <c r="I303" s="14"/>
      <c r="J303" s="14">
        <v>527.45000000000005</v>
      </c>
      <c r="K303" s="14"/>
      <c r="L303" s="14">
        <v>400.04</v>
      </c>
      <c r="M303" s="14">
        <v>400.04</v>
      </c>
      <c r="N303" s="14"/>
      <c r="O303" s="14"/>
      <c r="P303" s="14"/>
      <c r="Q303" s="14"/>
      <c r="R303" s="14"/>
      <c r="S303" s="14"/>
      <c r="T303" s="14"/>
      <c r="U303" s="13">
        <f t="shared" si="15"/>
        <v>1327.53</v>
      </c>
      <c r="V303" s="13">
        <v>51301.8</v>
      </c>
      <c r="W303" s="15">
        <f t="shared" si="16"/>
        <v>681046.78554000007</v>
      </c>
    </row>
    <row r="304" spans="1:23" s="154" customFormat="1" ht="28.5" x14ac:dyDescent="0.25">
      <c r="A304" s="120">
        <v>40</v>
      </c>
      <c r="B304" s="812" t="s">
        <v>202</v>
      </c>
      <c r="C304" s="36">
        <v>1</v>
      </c>
      <c r="D304" s="102"/>
      <c r="E304" s="14"/>
      <c r="F304" s="14"/>
      <c r="G304" s="14"/>
      <c r="H304" s="14"/>
      <c r="I304" s="14"/>
      <c r="J304" s="14">
        <v>264</v>
      </c>
      <c r="K304" s="14"/>
      <c r="L304" s="14">
        <v>186.8</v>
      </c>
      <c r="M304" s="14">
        <v>186.8</v>
      </c>
      <c r="N304" s="14"/>
      <c r="O304" s="14"/>
      <c r="P304" s="14"/>
      <c r="Q304" s="14"/>
      <c r="R304" s="14"/>
      <c r="S304" s="14"/>
      <c r="T304" s="14"/>
      <c r="U304" s="13">
        <f t="shared" si="15"/>
        <v>637.6</v>
      </c>
      <c r="V304" s="14">
        <v>17.3</v>
      </c>
      <c r="W304" s="15">
        <f t="shared" si="16"/>
        <v>11030.480000000001</v>
      </c>
    </row>
    <row r="305" spans="1:25" s="154" customFormat="1" ht="28.5" x14ac:dyDescent="0.25">
      <c r="A305" s="120">
        <v>41</v>
      </c>
      <c r="B305" s="812" t="s">
        <v>203</v>
      </c>
      <c r="C305" s="19">
        <v>100</v>
      </c>
      <c r="D305" s="102"/>
      <c r="E305" s="14"/>
      <c r="F305" s="14"/>
      <c r="G305" s="14"/>
      <c r="H305" s="14"/>
      <c r="I305" s="14"/>
      <c r="J305" s="14">
        <v>132</v>
      </c>
      <c r="K305" s="14"/>
      <c r="L305" s="14">
        <v>93.4</v>
      </c>
      <c r="M305" s="14">
        <v>93.4</v>
      </c>
      <c r="N305" s="14"/>
      <c r="O305" s="14"/>
      <c r="P305" s="14"/>
      <c r="Q305" s="14"/>
      <c r="R305" s="14"/>
      <c r="S305" s="14"/>
      <c r="T305" s="14"/>
      <c r="U305" s="13">
        <f t="shared" si="15"/>
        <v>318.8</v>
      </c>
      <c r="V305" s="25">
        <v>1539.8</v>
      </c>
      <c r="W305" s="15">
        <f t="shared" si="16"/>
        <v>4908.8823999999995</v>
      </c>
    </row>
    <row r="306" spans="1:25" s="154" customFormat="1" ht="22.5" x14ac:dyDescent="0.25">
      <c r="A306" s="198">
        <v>10</v>
      </c>
      <c r="B306" s="798" t="s">
        <v>403</v>
      </c>
      <c r="C306" s="101"/>
      <c r="D306" s="101"/>
      <c r="E306" s="101"/>
      <c r="F306" s="101"/>
      <c r="G306" s="101"/>
      <c r="H306" s="101"/>
      <c r="I306" s="101"/>
      <c r="J306" s="101"/>
      <c r="K306" s="101"/>
      <c r="L306" s="101"/>
      <c r="M306" s="101"/>
      <c r="N306" s="101"/>
      <c r="O306" s="101"/>
      <c r="P306" s="101"/>
      <c r="Q306" s="101"/>
      <c r="R306" s="101"/>
      <c r="S306" s="101"/>
      <c r="T306" s="101"/>
      <c r="U306" s="101"/>
      <c r="V306" s="101"/>
      <c r="W306" s="101"/>
    </row>
    <row r="307" spans="1:25" s="154" customFormat="1" ht="72.75" customHeight="1" x14ac:dyDescent="0.25">
      <c r="A307" s="118">
        <v>1</v>
      </c>
      <c r="B307" s="806" t="s">
        <v>447</v>
      </c>
      <c r="C307" s="12">
        <v>1000</v>
      </c>
      <c r="D307" s="25"/>
      <c r="E307" s="14"/>
      <c r="F307" s="14"/>
      <c r="G307" s="14"/>
      <c r="H307" s="14"/>
      <c r="I307" s="14"/>
      <c r="J307" s="14">
        <v>14140.759900000003</v>
      </c>
      <c r="K307" s="14">
        <v>3514.6564000000008</v>
      </c>
      <c r="L307" s="14">
        <v>12209.000500000002</v>
      </c>
      <c r="M307" s="14">
        <v>11890.325300000002</v>
      </c>
      <c r="N307" s="14">
        <v>4728.6509999999998</v>
      </c>
      <c r="O307" s="14"/>
      <c r="P307" s="14"/>
      <c r="Q307" s="14"/>
      <c r="R307" s="14"/>
      <c r="S307" s="14"/>
      <c r="T307" s="14"/>
      <c r="U307" s="13">
        <f t="shared" ref="U307:U327" si="17">SUM(D307:T307)</f>
        <v>46483.393100000008</v>
      </c>
      <c r="V307" s="14">
        <v>15824.15</v>
      </c>
      <c r="W307" s="15">
        <f t="shared" si="16"/>
        <v>735560.18492336513</v>
      </c>
      <c r="X307" s="191">
        <f>SUM(W307:W328)</f>
        <v>9611716.4833027218</v>
      </c>
      <c r="Y307" s="154">
        <v>31715324</v>
      </c>
    </row>
    <row r="308" spans="1:25" s="154" customFormat="1" ht="42.75" x14ac:dyDescent="0.25">
      <c r="A308" s="44">
        <v>2</v>
      </c>
      <c r="B308" s="799" t="s">
        <v>106</v>
      </c>
      <c r="C308" s="11"/>
      <c r="D308" s="11"/>
      <c r="E308" s="11"/>
      <c r="F308" s="11"/>
      <c r="G308" s="11"/>
      <c r="H308" s="11"/>
      <c r="I308" s="11"/>
      <c r="J308" s="11"/>
      <c r="K308" s="11"/>
      <c r="L308" s="11"/>
      <c r="M308" s="11"/>
      <c r="N308" s="11"/>
      <c r="O308" s="11"/>
      <c r="P308" s="11"/>
      <c r="Q308" s="11"/>
      <c r="R308" s="11"/>
      <c r="S308" s="11"/>
      <c r="T308" s="11"/>
      <c r="U308" s="13">
        <f t="shared" si="17"/>
        <v>0</v>
      </c>
      <c r="V308" s="11"/>
      <c r="W308" s="11"/>
      <c r="X308" s="187">
        <f>Y307-X307</f>
        <v>22103607.51669728</v>
      </c>
    </row>
    <row r="311" spans="1:25" s="154" customFormat="1" ht="28.5" x14ac:dyDescent="0.25">
      <c r="A311" s="44">
        <v>3</v>
      </c>
      <c r="B311" s="806" t="s">
        <v>70</v>
      </c>
      <c r="C311" s="12">
        <v>100</v>
      </c>
      <c r="D311" s="25"/>
      <c r="E311" s="14"/>
      <c r="F311" s="14"/>
      <c r="G311" s="14"/>
      <c r="H311" s="14"/>
      <c r="I311" s="14"/>
      <c r="J311" s="14">
        <v>2798.8875000000007</v>
      </c>
      <c r="K311" s="14">
        <v>746.37</v>
      </c>
      <c r="L311" s="14">
        <v>2798.8875000000007</v>
      </c>
      <c r="M311" s="14">
        <v>2798.8875000000007</v>
      </c>
      <c r="N311" s="14">
        <v>1119.5550000000001</v>
      </c>
      <c r="O311" s="14"/>
      <c r="P311" s="14"/>
      <c r="Q311" s="14"/>
      <c r="R311" s="14"/>
      <c r="S311" s="14"/>
      <c r="T311" s="14"/>
      <c r="U311" s="13">
        <f t="shared" si="17"/>
        <v>10262.587500000001</v>
      </c>
      <c r="V311" s="14">
        <v>35727</v>
      </c>
      <c r="W311" s="15">
        <f t="shared" si="16"/>
        <v>3666514.6361250007</v>
      </c>
    </row>
    <row r="312" spans="1:25" s="154" customFormat="1" ht="114" x14ac:dyDescent="0.25">
      <c r="A312" s="44">
        <v>4</v>
      </c>
      <c r="B312" s="806" t="s">
        <v>85</v>
      </c>
      <c r="C312" s="20"/>
      <c r="D312" s="20"/>
      <c r="E312" s="20"/>
      <c r="F312" s="20"/>
      <c r="G312" s="20"/>
      <c r="H312" s="20"/>
      <c r="I312" s="20"/>
      <c r="J312" s="20"/>
      <c r="K312" s="20"/>
      <c r="L312" s="20"/>
      <c r="M312" s="20"/>
      <c r="N312" s="20"/>
      <c r="O312" s="20"/>
      <c r="P312" s="20"/>
      <c r="Q312" s="20"/>
      <c r="R312" s="20"/>
      <c r="S312" s="20"/>
      <c r="T312" s="20"/>
      <c r="U312" s="13">
        <f t="shared" si="17"/>
        <v>0</v>
      </c>
      <c r="V312" s="20"/>
      <c r="W312" s="20"/>
    </row>
    <row r="316" spans="1:25" s="154" customFormat="1" x14ac:dyDescent="0.25">
      <c r="A316" s="122"/>
      <c r="B316" s="806"/>
      <c r="C316" s="29"/>
      <c r="D316" s="25"/>
      <c r="E316" s="14"/>
      <c r="F316" s="14"/>
      <c r="G316" s="14"/>
      <c r="H316" s="14"/>
      <c r="I316" s="14"/>
      <c r="J316" s="14"/>
      <c r="K316" s="14"/>
      <c r="L316" s="14"/>
      <c r="M316" s="14"/>
      <c r="N316" s="14"/>
      <c r="O316" s="14"/>
      <c r="P316" s="14"/>
      <c r="Q316" s="14"/>
      <c r="R316" s="14"/>
      <c r="S316" s="14"/>
      <c r="T316" s="14"/>
      <c r="U316" s="13"/>
      <c r="V316" s="30"/>
      <c r="W316" s="15"/>
    </row>
    <row r="317" spans="1:25" s="154" customFormat="1" x14ac:dyDescent="0.25">
      <c r="A317" s="122"/>
      <c r="B317" s="806"/>
      <c r="C317" s="29"/>
      <c r="D317" s="25"/>
      <c r="E317" s="14"/>
      <c r="F317" s="14"/>
      <c r="G317" s="14"/>
      <c r="H317" s="14"/>
      <c r="I317" s="14"/>
      <c r="J317" s="14"/>
      <c r="K317" s="14"/>
      <c r="L317" s="14"/>
      <c r="M317" s="14"/>
      <c r="N317" s="14"/>
      <c r="O317" s="14"/>
      <c r="P317" s="14"/>
      <c r="Q317" s="14"/>
      <c r="R317" s="14"/>
      <c r="S317" s="14"/>
      <c r="T317" s="14"/>
      <c r="U317" s="13"/>
      <c r="V317" s="30"/>
      <c r="W317" s="15"/>
    </row>
    <row r="318" spans="1:25" s="154" customFormat="1" x14ac:dyDescent="0.25">
      <c r="A318" s="122"/>
      <c r="B318" s="806"/>
      <c r="C318" s="29"/>
      <c r="D318" s="25"/>
      <c r="E318" s="14"/>
      <c r="F318" s="14"/>
      <c r="G318" s="14"/>
      <c r="H318" s="14"/>
      <c r="I318" s="14"/>
      <c r="J318" s="14"/>
      <c r="K318" s="14"/>
      <c r="L318" s="14"/>
      <c r="M318" s="14"/>
      <c r="N318" s="14"/>
      <c r="O318" s="14"/>
      <c r="P318" s="14"/>
      <c r="Q318" s="14"/>
      <c r="R318" s="14"/>
      <c r="S318" s="14"/>
      <c r="T318" s="14"/>
      <c r="U318" s="13"/>
      <c r="V318" s="30"/>
      <c r="W318" s="15"/>
    </row>
    <row r="319" spans="1:25" s="154" customFormat="1" x14ac:dyDescent="0.25">
      <c r="A319" s="122"/>
      <c r="B319" s="806"/>
      <c r="C319" s="29"/>
      <c r="D319" s="25"/>
      <c r="E319" s="14"/>
      <c r="F319" s="14"/>
      <c r="G319" s="14"/>
      <c r="H319" s="14"/>
      <c r="I319" s="14"/>
      <c r="J319" s="14"/>
      <c r="K319" s="14"/>
      <c r="L319" s="14"/>
      <c r="M319" s="14"/>
      <c r="N319" s="14"/>
      <c r="O319" s="14"/>
      <c r="P319" s="14"/>
      <c r="Q319" s="14"/>
      <c r="R319" s="14"/>
      <c r="S319" s="14"/>
      <c r="T319" s="14"/>
      <c r="U319" s="13"/>
      <c r="V319" s="30"/>
      <c r="W319" s="15"/>
    </row>
    <row r="320" spans="1:25" s="154" customFormat="1" x14ac:dyDescent="0.25">
      <c r="A320" s="122"/>
      <c r="B320" s="806"/>
      <c r="C320" s="29"/>
      <c r="D320" s="25"/>
      <c r="E320" s="14"/>
      <c r="F320" s="14"/>
      <c r="G320" s="14"/>
      <c r="H320" s="14"/>
      <c r="I320" s="14"/>
      <c r="J320" s="14"/>
      <c r="K320" s="14"/>
      <c r="L320" s="14"/>
      <c r="M320" s="14"/>
      <c r="N320" s="14"/>
      <c r="O320" s="14"/>
      <c r="P320" s="14"/>
      <c r="Q320" s="14"/>
      <c r="R320" s="14"/>
      <c r="S320" s="14"/>
      <c r="T320" s="14"/>
      <c r="U320" s="13"/>
      <c r="V320" s="30"/>
      <c r="W320" s="15"/>
    </row>
    <row r="321" spans="1:24" s="154" customFormat="1" x14ac:dyDescent="0.25">
      <c r="A321" s="122"/>
      <c r="B321" s="806"/>
      <c r="C321" s="29"/>
      <c r="D321" s="25"/>
      <c r="E321" s="14"/>
      <c r="F321" s="14"/>
      <c r="G321" s="14"/>
      <c r="H321" s="14"/>
      <c r="I321" s="14"/>
      <c r="J321" s="14"/>
      <c r="K321" s="14"/>
      <c r="L321" s="14"/>
      <c r="M321" s="14"/>
      <c r="N321" s="14"/>
      <c r="O321" s="14"/>
      <c r="P321" s="14"/>
      <c r="Q321" s="14"/>
      <c r="R321" s="14"/>
      <c r="S321" s="14"/>
      <c r="T321" s="14"/>
      <c r="U321" s="13"/>
      <c r="V321" s="30"/>
      <c r="W321" s="15"/>
    </row>
    <row r="322" spans="1:24" s="154" customFormat="1" ht="28.5" x14ac:dyDescent="0.25">
      <c r="A322" s="44">
        <v>6</v>
      </c>
      <c r="B322" s="805" t="s">
        <v>206</v>
      </c>
      <c r="C322" s="12">
        <v>100</v>
      </c>
      <c r="D322" s="25"/>
      <c r="E322" s="14"/>
      <c r="F322" s="14"/>
      <c r="G322" s="14"/>
      <c r="H322" s="14"/>
      <c r="I322" s="14"/>
      <c r="J322" s="14">
        <v>4464.8392000000003</v>
      </c>
      <c r="K322" s="14">
        <v>949.98720000000037</v>
      </c>
      <c r="L322" s="14">
        <v>2649.9022000000004</v>
      </c>
      <c r="M322" s="14">
        <v>2331.2270000000012</v>
      </c>
      <c r="N322" s="14">
        <v>881.64719999999977</v>
      </c>
      <c r="O322" s="14"/>
      <c r="P322" s="14"/>
      <c r="Q322" s="14"/>
      <c r="R322" s="14"/>
      <c r="S322" s="14"/>
      <c r="T322" s="14"/>
      <c r="U322" s="13">
        <f t="shared" si="17"/>
        <v>11277.602800000002</v>
      </c>
      <c r="V322" s="25">
        <v>6849</v>
      </c>
      <c r="W322" s="15">
        <f t="shared" si="16"/>
        <v>772403.01577200007</v>
      </c>
    </row>
    <row r="324" spans="1:24" s="154" customFormat="1" ht="72" x14ac:dyDescent="0.25">
      <c r="A324" s="44">
        <v>8</v>
      </c>
      <c r="B324" s="806" t="s">
        <v>442</v>
      </c>
      <c r="C324" s="22"/>
      <c r="D324" s="22"/>
      <c r="E324" s="22"/>
      <c r="F324" s="22"/>
      <c r="G324" s="22"/>
      <c r="H324" s="22"/>
      <c r="I324" s="22"/>
      <c r="J324" s="22"/>
      <c r="K324" s="22"/>
      <c r="L324" s="22"/>
      <c r="M324" s="22"/>
      <c r="N324" s="22"/>
      <c r="O324" s="22"/>
      <c r="P324" s="22"/>
      <c r="Q324" s="22"/>
      <c r="R324" s="22"/>
      <c r="S324" s="22"/>
      <c r="T324" s="22"/>
      <c r="U324" s="13">
        <f t="shared" si="17"/>
        <v>0</v>
      </c>
      <c r="V324" s="22"/>
      <c r="W324" s="22"/>
    </row>
    <row r="325" spans="1:24" s="154" customFormat="1" x14ac:dyDescent="0.25">
      <c r="A325" s="44" t="s">
        <v>60</v>
      </c>
      <c r="B325" s="806" t="s">
        <v>61</v>
      </c>
      <c r="C325" s="12">
        <v>100</v>
      </c>
      <c r="D325" s="25"/>
      <c r="E325" s="14"/>
      <c r="F325" s="14"/>
      <c r="G325" s="14"/>
      <c r="H325" s="14"/>
      <c r="I325" s="14"/>
      <c r="J325" s="14">
        <v>1674.7410239999999</v>
      </c>
      <c r="K325" s="14">
        <v>444.85056000000009</v>
      </c>
      <c r="L325" s="14">
        <v>1661.6381759999999</v>
      </c>
      <c r="M325" s="14">
        <v>1661.6381759999999</v>
      </c>
      <c r="N325" s="14">
        <v>667.27584000000013</v>
      </c>
      <c r="O325" s="14"/>
      <c r="P325" s="14"/>
      <c r="Q325" s="14"/>
      <c r="R325" s="14"/>
      <c r="S325" s="14"/>
      <c r="T325" s="14"/>
      <c r="U325" s="13">
        <f t="shared" si="17"/>
        <v>6110.1437759999999</v>
      </c>
      <c r="V325" s="13">
        <v>14042.6</v>
      </c>
      <c r="W325" s="15">
        <f t="shared" ref="W325:W392" si="18">V325*U325/C325</f>
        <v>858023.04988857592</v>
      </c>
    </row>
    <row r="326" spans="1:24" s="154" customFormat="1" x14ac:dyDescent="0.25">
      <c r="A326" s="44" t="s">
        <v>60</v>
      </c>
      <c r="B326" s="806" t="s">
        <v>38</v>
      </c>
      <c r="C326" s="12">
        <v>100</v>
      </c>
      <c r="D326" s="25"/>
      <c r="E326" s="14"/>
      <c r="F326" s="14"/>
      <c r="G326" s="14"/>
      <c r="H326" s="14"/>
      <c r="I326" s="14"/>
      <c r="J326" s="14">
        <v>158.72174999999996</v>
      </c>
      <c r="K326" s="14">
        <v>42.325799999999994</v>
      </c>
      <c r="L326" s="14">
        <v>158.72174999999996</v>
      </c>
      <c r="M326" s="14">
        <v>158.72174999999996</v>
      </c>
      <c r="N326" s="14">
        <v>63.488699999999994</v>
      </c>
      <c r="O326" s="14"/>
      <c r="P326" s="14"/>
      <c r="Q326" s="14"/>
      <c r="R326" s="14"/>
      <c r="S326" s="14"/>
      <c r="T326" s="14"/>
      <c r="U326" s="13">
        <f t="shared" si="17"/>
        <v>581.97974999999985</v>
      </c>
      <c r="V326" s="13">
        <v>14042.6</v>
      </c>
      <c r="W326" s="15">
        <f t="shared" si="18"/>
        <v>81725.088373499981</v>
      </c>
    </row>
    <row r="327" spans="1:24" s="154" customFormat="1" x14ac:dyDescent="0.25">
      <c r="A327" s="44" t="s">
        <v>37</v>
      </c>
      <c r="B327" s="806" t="s">
        <v>62</v>
      </c>
      <c r="C327" s="12">
        <v>100</v>
      </c>
      <c r="D327" s="25"/>
      <c r="E327" s="14"/>
      <c r="F327" s="14"/>
      <c r="G327" s="14"/>
      <c r="H327" s="14"/>
      <c r="I327" s="14"/>
      <c r="J327" s="14">
        <v>2688.5250000000001</v>
      </c>
      <c r="K327" s="14">
        <v>706.86</v>
      </c>
      <c r="L327" s="14">
        <v>2612.9249999999997</v>
      </c>
      <c r="M327" s="14">
        <v>2612.9249999999997</v>
      </c>
      <c r="N327" s="14">
        <v>1060.29</v>
      </c>
      <c r="O327" s="14"/>
      <c r="P327" s="14"/>
      <c r="Q327" s="14"/>
      <c r="R327" s="14"/>
      <c r="S327" s="14"/>
      <c r="T327" s="14"/>
      <c r="U327" s="13">
        <f t="shared" si="17"/>
        <v>9681.5249999999978</v>
      </c>
      <c r="V327" s="13">
        <v>14042.6</v>
      </c>
      <c r="W327" s="15">
        <f t="shared" si="18"/>
        <v>1359537.8296499997</v>
      </c>
    </row>
    <row r="328" spans="1:24" s="154" customFormat="1" x14ac:dyDescent="0.25">
      <c r="A328" s="44" t="s">
        <v>63</v>
      </c>
      <c r="B328" s="806" t="s">
        <v>207</v>
      </c>
      <c r="C328" s="12">
        <v>100</v>
      </c>
      <c r="D328" s="25"/>
      <c r="E328" s="14"/>
      <c r="F328" s="14"/>
      <c r="G328" s="14"/>
      <c r="H328" s="14"/>
      <c r="I328" s="14"/>
      <c r="J328" s="14">
        <v>6027.5329200000006</v>
      </c>
      <c r="K328" s="14">
        <v>1282.4827200000007</v>
      </c>
      <c r="L328" s="14">
        <v>3577.3679700000007</v>
      </c>
      <c r="M328" s="14">
        <v>3147.1564500000018</v>
      </c>
      <c r="N328" s="14">
        <v>1190.2237199999997</v>
      </c>
      <c r="O328" s="14"/>
      <c r="P328" s="14"/>
      <c r="Q328" s="14"/>
      <c r="R328" s="14"/>
      <c r="S328" s="14"/>
      <c r="T328" s="14"/>
      <c r="U328" s="13">
        <f>SUM(D328:T328)</f>
        <v>15224.763780000005</v>
      </c>
      <c r="V328" s="13">
        <v>14042.6</v>
      </c>
      <c r="W328" s="15">
        <f t="shared" si="18"/>
        <v>2137952.6785702808</v>
      </c>
    </row>
    <row r="329" spans="1:24" ht="22.5" x14ac:dyDescent="0.25">
      <c r="A329" s="198">
        <v>11</v>
      </c>
      <c r="B329" s="798" t="s">
        <v>404</v>
      </c>
      <c r="C329" s="101"/>
      <c r="D329" s="101"/>
      <c r="E329" s="101"/>
      <c r="F329" s="101"/>
      <c r="G329" s="101"/>
      <c r="H329" s="101"/>
      <c r="I329" s="101"/>
      <c r="J329" s="101"/>
      <c r="K329" s="101"/>
      <c r="L329" s="101"/>
      <c r="M329" s="101"/>
      <c r="N329" s="101"/>
      <c r="O329" s="101"/>
      <c r="P329" s="101"/>
      <c r="Q329" s="101"/>
      <c r="R329" s="101"/>
      <c r="S329" s="101"/>
      <c r="T329" s="101"/>
      <c r="U329" s="101"/>
      <c r="V329" s="101"/>
      <c r="W329" s="101"/>
    </row>
    <row r="330" spans="1:24" ht="57.75" x14ac:dyDescent="0.25">
      <c r="A330" s="118">
        <v>1</v>
      </c>
      <c r="B330" s="806" t="s">
        <v>448</v>
      </c>
      <c r="C330" s="12">
        <v>1000</v>
      </c>
      <c r="D330" s="25">
        <v>72531.663749999992</v>
      </c>
      <c r="E330" s="25"/>
      <c r="F330" s="25"/>
      <c r="G330" s="25"/>
      <c r="H330" s="25"/>
      <c r="I330" s="25"/>
      <c r="J330" s="25"/>
      <c r="K330" s="25"/>
      <c r="L330" s="25"/>
      <c r="M330" s="25"/>
      <c r="N330" s="25"/>
      <c r="O330" s="25"/>
      <c r="P330" s="25"/>
      <c r="Q330" s="25"/>
      <c r="R330" s="25"/>
      <c r="S330" s="25"/>
      <c r="T330" s="25"/>
      <c r="U330" s="13">
        <f t="shared" ref="U330:U393" si="19">SUM(D330:T330)</f>
        <v>72531.663749999992</v>
      </c>
      <c r="V330" s="14">
        <v>15824.15</v>
      </c>
      <c r="W330" s="15">
        <f t="shared" si="18"/>
        <v>1147751.9269295624</v>
      </c>
      <c r="X330" s="186">
        <f>SUM(W330:W406)</f>
        <v>115067561.49870889</v>
      </c>
    </row>
    <row r="331" spans="1:24" ht="21.75" customHeight="1" x14ac:dyDescent="0.25">
      <c r="A331" s="118">
        <v>2</v>
      </c>
      <c r="B331" s="806" t="s">
        <v>302</v>
      </c>
      <c r="C331" s="19">
        <v>1</v>
      </c>
      <c r="D331" s="25">
        <v>88776.1875</v>
      </c>
      <c r="E331" s="25"/>
      <c r="F331" s="25"/>
      <c r="G331" s="25"/>
      <c r="H331" s="25"/>
      <c r="I331" s="25"/>
      <c r="J331" s="25"/>
      <c r="K331" s="25"/>
      <c r="L331" s="25"/>
      <c r="M331" s="25"/>
      <c r="N331" s="25"/>
      <c r="O331" s="25"/>
      <c r="P331" s="25"/>
      <c r="Q331" s="25"/>
      <c r="R331" s="25"/>
      <c r="S331" s="25"/>
      <c r="T331" s="25"/>
      <c r="U331" s="13">
        <f t="shared" si="19"/>
        <v>88776.1875</v>
      </c>
      <c r="V331" s="25">
        <v>12.55</v>
      </c>
      <c r="W331" s="15">
        <f t="shared" si="18"/>
        <v>1114141.153125</v>
      </c>
    </row>
    <row r="332" spans="1:24" ht="42.75" x14ac:dyDescent="0.25">
      <c r="A332" s="44">
        <v>3</v>
      </c>
      <c r="B332" s="806" t="s">
        <v>20</v>
      </c>
      <c r="C332" s="22"/>
      <c r="D332" s="22"/>
      <c r="E332" s="22"/>
      <c r="F332" s="22"/>
      <c r="G332" s="22"/>
      <c r="H332" s="22"/>
      <c r="I332" s="22"/>
      <c r="J332" s="22"/>
      <c r="K332" s="22"/>
      <c r="L332" s="22"/>
      <c r="M332" s="22"/>
      <c r="N332" s="22"/>
      <c r="O332" s="22"/>
      <c r="P332" s="22"/>
      <c r="Q332" s="22"/>
      <c r="R332" s="22"/>
      <c r="S332" s="22"/>
      <c r="T332" s="22"/>
      <c r="U332" s="13">
        <f t="shared" si="19"/>
        <v>0</v>
      </c>
      <c r="V332" s="22"/>
      <c r="W332" s="22"/>
    </row>
    <row r="335" spans="1:24" ht="57" x14ac:dyDescent="0.25">
      <c r="A335" s="44">
        <v>6</v>
      </c>
      <c r="B335" s="806" t="s">
        <v>93</v>
      </c>
      <c r="C335" s="19">
        <v>100</v>
      </c>
      <c r="D335" s="25">
        <v>8771.49</v>
      </c>
      <c r="E335" s="14"/>
      <c r="F335" s="14"/>
      <c r="G335" s="14"/>
      <c r="H335" s="14"/>
      <c r="I335" s="14"/>
      <c r="J335" s="14"/>
      <c r="K335" s="14"/>
      <c r="L335" s="14"/>
      <c r="M335" s="14"/>
      <c r="N335" s="14"/>
      <c r="O335" s="14"/>
      <c r="P335" s="14"/>
      <c r="Q335" s="14"/>
      <c r="R335" s="14"/>
      <c r="S335" s="14"/>
      <c r="T335" s="14"/>
      <c r="U335" s="13">
        <f t="shared" si="19"/>
        <v>8771.49</v>
      </c>
      <c r="V335" s="14">
        <v>7607.35</v>
      </c>
      <c r="W335" s="15">
        <f t="shared" si="18"/>
        <v>667277.94451499998</v>
      </c>
    </row>
    <row r="336" spans="1:24" ht="28.5" x14ac:dyDescent="0.25">
      <c r="A336" s="44">
        <v>7</v>
      </c>
      <c r="B336" s="806" t="s">
        <v>94</v>
      </c>
      <c r="C336" s="12">
        <v>1000</v>
      </c>
      <c r="D336" s="25">
        <v>31674.37</v>
      </c>
      <c r="E336" s="14"/>
      <c r="F336" s="14"/>
      <c r="G336" s="14"/>
      <c r="H336" s="14"/>
      <c r="I336" s="14"/>
      <c r="J336" s="14"/>
      <c r="K336" s="14"/>
      <c r="L336" s="14"/>
      <c r="M336" s="14"/>
      <c r="N336" s="14"/>
      <c r="O336" s="14"/>
      <c r="P336" s="14"/>
      <c r="Q336" s="14"/>
      <c r="R336" s="14"/>
      <c r="S336" s="14"/>
      <c r="T336" s="14"/>
      <c r="U336" s="13">
        <f t="shared" si="19"/>
        <v>31674.37</v>
      </c>
      <c r="V336" s="14">
        <v>7547.75</v>
      </c>
      <c r="W336" s="15">
        <f t="shared" si="18"/>
        <v>239070.22616749999</v>
      </c>
    </row>
    <row r="337" spans="1:23" ht="28.5" x14ac:dyDescent="0.25">
      <c r="A337" s="44">
        <v>8</v>
      </c>
      <c r="B337" s="806" t="s">
        <v>303</v>
      </c>
      <c r="C337" s="12">
        <v>100</v>
      </c>
      <c r="D337" s="25">
        <v>47794.11</v>
      </c>
      <c r="E337" s="14"/>
      <c r="F337" s="14"/>
      <c r="G337" s="14"/>
      <c r="H337" s="14"/>
      <c r="I337" s="14"/>
      <c r="J337" s="14"/>
      <c r="K337" s="14"/>
      <c r="L337" s="14"/>
      <c r="M337" s="14"/>
      <c r="N337" s="14"/>
      <c r="O337" s="14"/>
      <c r="P337" s="14"/>
      <c r="Q337" s="14"/>
      <c r="R337" s="14"/>
      <c r="S337" s="14"/>
      <c r="T337" s="14"/>
      <c r="U337" s="13">
        <f t="shared" si="19"/>
        <v>47794.11</v>
      </c>
      <c r="V337" s="14">
        <v>35830.6</v>
      </c>
      <c r="W337" s="15">
        <f t="shared" si="18"/>
        <v>17124916.377659999</v>
      </c>
    </row>
    <row r="338" spans="1:23" s="154" customFormat="1" ht="171.75" x14ac:dyDescent="0.25">
      <c r="A338" s="122">
        <v>9</v>
      </c>
      <c r="B338" s="806" t="s">
        <v>449</v>
      </c>
      <c r="C338" s="12">
        <v>1</v>
      </c>
      <c r="D338" s="25">
        <v>21724.43</v>
      </c>
      <c r="E338" s="14"/>
      <c r="F338" s="14"/>
      <c r="G338" s="14"/>
      <c r="H338" s="14"/>
      <c r="I338" s="14"/>
      <c r="J338" s="14"/>
      <c r="K338" s="14"/>
      <c r="L338" s="14"/>
      <c r="M338" s="14"/>
      <c r="N338" s="14"/>
      <c r="O338" s="14"/>
      <c r="P338" s="14"/>
      <c r="Q338" s="14"/>
      <c r="R338" s="14"/>
      <c r="S338" s="14"/>
      <c r="T338" s="14"/>
      <c r="U338" s="13">
        <f t="shared" si="19"/>
        <v>21724.43</v>
      </c>
      <c r="V338" s="14">
        <v>741.85</v>
      </c>
      <c r="W338" s="15">
        <f t="shared" si="18"/>
        <v>16116268.395500001</v>
      </c>
    </row>
    <row r="340" spans="1:23" s="154" customFormat="1" ht="156.75" x14ac:dyDescent="0.25">
      <c r="A340" s="44">
        <v>11</v>
      </c>
      <c r="B340" s="806" t="s">
        <v>99</v>
      </c>
      <c r="C340" s="19">
        <v>1</v>
      </c>
      <c r="D340" s="25">
        <v>3276</v>
      </c>
      <c r="E340" s="14"/>
      <c r="F340" s="14"/>
      <c r="G340" s="14"/>
      <c r="H340" s="14"/>
      <c r="I340" s="14"/>
      <c r="J340" s="14"/>
      <c r="K340" s="14"/>
      <c r="L340" s="14"/>
      <c r="M340" s="14"/>
      <c r="N340" s="14"/>
      <c r="O340" s="14"/>
      <c r="P340" s="14"/>
      <c r="Q340" s="14"/>
      <c r="R340" s="14"/>
      <c r="S340" s="14"/>
      <c r="T340" s="14"/>
      <c r="U340" s="13">
        <f t="shared" si="19"/>
        <v>3276</v>
      </c>
      <c r="V340" s="14">
        <v>2180.6999999999998</v>
      </c>
      <c r="W340" s="15">
        <f t="shared" si="18"/>
        <v>7143973.1999999993</v>
      </c>
    </row>
    <row r="341" spans="1:23" s="154" customFormat="1" ht="57" x14ac:dyDescent="0.25">
      <c r="A341" s="44">
        <v>12</v>
      </c>
      <c r="B341" s="806" t="s">
        <v>100</v>
      </c>
      <c r="C341" s="19">
        <v>1</v>
      </c>
      <c r="D341" s="25">
        <v>3822</v>
      </c>
      <c r="E341" s="14"/>
      <c r="F341" s="14"/>
      <c r="G341" s="14"/>
      <c r="H341" s="14"/>
      <c r="I341" s="14"/>
      <c r="J341" s="14"/>
      <c r="K341" s="14"/>
      <c r="L341" s="14"/>
      <c r="M341" s="14"/>
      <c r="N341" s="14"/>
      <c r="O341" s="14"/>
      <c r="P341" s="14"/>
      <c r="Q341" s="14"/>
      <c r="R341" s="14"/>
      <c r="S341" s="14"/>
      <c r="T341" s="14"/>
      <c r="U341" s="13">
        <f t="shared" si="19"/>
        <v>3822</v>
      </c>
      <c r="V341" s="14">
        <v>457.1</v>
      </c>
      <c r="W341" s="15">
        <f t="shared" si="18"/>
        <v>1747036.2000000002</v>
      </c>
    </row>
    <row r="342" spans="1:23" s="154" customFormat="1" ht="85.5" x14ac:dyDescent="0.25">
      <c r="A342" s="44">
        <v>13</v>
      </c>
      <c r="B342" s="806" t="s">
        <v>305</v>
      </c>
      <c r="C342" s="19">
        <v>1</v>
      </c>
      <c r="D342" s="25">
        <v>3822</v>
      </c>
      <c r="E342" s="14"/>
      <c r="F342" s="14"/>
      <c r="G342" s="14"/>
      <c r="H342" s="14"/>
      <c r="I342" s="14"/>
      <c r="J342" s="14"/>
      <c r="K342" s="14"/>
      <c r="L342" s="14"/>
      <c r="M342" s="14"/>
      <c r="N342" s="14"/>
      <c r="O342" s="14"/>
      <c r="P342" s="14"/>
      <c r="Q342" s="14"/>
      <c r="R342" s="14"/>
      <c r="S342" s="14"/>
      <c r="T342" s="14"/>
      <c r="U342" s="13">
        <f t="shared" si="19"/>
        <v>3822</v>
      </c>
      <c r="V342" s="14">
        <v>638.85</v>
      </c>
      <c r="W342" s="15">
        <f t="shared" si="18"/>
        <v>2441684.7000000002</v>
      </c>
    </row>
    <row r="343" spans="1:23" s="154" customFormat="1" ht="57" x14ac:dyDescent="0.25">
      <c r="A343" s="118">
        <v>14</v>
      </c>
      <c r="B343" s="806" t="s">
        <v>102</v>
      </c>
      <c r="C343" s="19">
        <v>100</v>
      </c>
      <c r="D343" s="25">
        <v>33854.84375</v>
      </c>
      <c r="E343" s="14"/>
      <c r="F343" s="14"/>
      <c r="G343" s="14"/>
      <c r="H343" s="14"/>
      <c r="I343" s="14"/>
      <c r="J343" s="14"/>
      <c r="K343" s="14"/>
      <c r="L343" s="14"/>
      <c r="M343" s="14"/>
      <c r="N343" s="14"/>
      <c r="O343" s="14"/>
      <c r="P343" s="14"/>
      <c r="Q343" s="14"/>
      <c r="R343" s="14"/>
      <c r="S343" s="14"/>
      <c r="T343" s="14"/>
      <c r="U343" s="13">
        <f t="shared" si="19"/>
        <v>33854.84375</v>
      </c>
      <c r="V343" s="14">
        <v>13179.6</v>
      </c>
      <c r="W343" s="15">
        <f t="shared" si="18"/>
        <v>4461932.9868750004</v>
      </c>
    </row>
    <row r="344" spans="1:23" s="154" customFormat="1" ht="28.5" x14ac:dyDescent="0.25">
      <c r="A344" s="118">
        <v>15</v>
      </c>
      <c r="B344" s="806" t="s">
        <v>103</v>
      </c>
      <c r="C344" s="19">
        <v>1</v>
      </c>
      <c r="D344" s="25">
        <v>34218.84375</v>
      </c>
      <c r="E344" s="14"/>
      <c r="F344" s="14"/>
      <c r="G344" s="14"/>
      <c r="H344" s="14"/>
      <c r="I344" s="14"/>
      <c r="J344" s="14"/>
      <c r="K344" s="14"/>
      <c r="L344" s="14"/>
      <c r="M344" s="14"/>
      <c r="N344" s="14"/>
      <c r="O344" s="14"/>
      <c r="P344" s="14"/>
      <c r="Q344" s="14"/>
      <c r="R344" s="14"/>
      <c r="S344" s="14"/>
      <c r="T344" s="14"/>
      <c r="U344" s="13">
        <f t="shared" si="19"/>
        <v>34218.84375</v>
      </c>
      <c r="V344" s="14">
        <v>11</v>
      </c>
      <c r="W344" s="15">
        <f t="shared" si="18"/>
        <v>376407.28125</v>
      </c>
    </row>
    <row r="345" spans="1:23" s="154" customFormat="1" x14ac:dyDescent="0.25">
      <c r="A345" s="44">
        <v>16</v>
      </c>
      <c r="B345" s="806" t="s">
        <v>104</v>
      </c>
      <c r="C345" s="12">
        <v>100</v>
      </c>
      <c r="D345" s="25">
        <v>7420.14</v>
      </c>
      <c r="E345" s="14"/>
      <c r="F345" s="14"/>
      <c r="G345" s="14"/>
      <c r="H345" s="14"/>
      <c r="I345" s="14"/>
      <c r="J345" s="14"/>
      <c r="K345" s="14"/>
      <c r="L345" s="14"/>
      <c r="M345" s="14"/>
      <c r="N345" s="14"/>
      <c r="O345" s="14"/>
      <c r="P345" s="14"/>
      <c r="Q345" s="14"/>
      <c r="R345" s="14"/>
      <c r="S345" s="14"/>
      <c r="T345" s="14"/>
      <c r="U345" s="13">
        <f t="shared" si="19"/>
        <v>7420.14</v>
      </c>
      <c r="V345" s="25">
        <v>3987</v>
      </c>
      <c r="W345" s="15">
        <f t="shared" si="18"/>
        <v>295840.98180000001</v>
      </c>
    </row>
    <row r="346" spans="1:23" s="154" customFormat="1" ht="42.75" x14ac:dyDescent="0.25">
      <c r="A346" s="118">
        <v>17</v>
      </c>
      <c r="B346" s="806" t="s">
        <v>105</v>
      </c>
      <c r="C346" s="12">
        <v>100</v>
      </c>
      <c r="D346" s="25">
        <v>9109.1</v>
      </c>
      <c r="E346" s="25"/>
      <c r="F346" s="25"/>
      <c r="G346" s="25"/>
      <c r="H346" s="25"/>
      <c r="I346" s="25"/>
      <c r="J346" s="25"/>
      <c r="K346" s="25"/>
      <c r="L346" s="25"/>
      <c r="M346" s="25"/>
      <c r="N346" s="25"/>
      <c r="O346" s="25"/>
      <c r="P346" s="25"/>
      <c r="Q346" s="25"/>
      <c r="R346" s="25"/>
      <c r="S346" s="25"/>
      <c r="T346" s="25"/>
      <c r="U346" s="13">
        <f t="shared" si="19"/>
        <v>9109.1</v>
      </c>
      <c r="V346" s="25">
        <v>12801.2</v>
      </c>
      <c r="W346" s="15">
        <f t="shared" si="18"/>
        <v>1166074.1092000001</v>
      </c>
    </row>
    <row r="347" spans="1:23" s="154" customFormat="1" ht="85.5" x14ac:dyDescent="0.25">
      <c r="A347" s="118">
        <v>18</v>
      </c>
      <c r="B347" s="806" t="s">
        <v>191</v>
      </c>
      <c r="C347" s="19">
        <v>100</v>
      </c>
      <c r="D347" s="25">
        <v>22325.37125</v>
      </c>
      <c r="E347" s="25"/>
      <c r="F347" s="25"/>
      <c r="G347" s="25"/>
      <c r="H347" s="25"/>
      <c r="I347" s="25"/>
      <c r="J347" s="25"/>
      <c r="K347" s="25"/>
      <c r="L347" s="25"/>
      <c r="M347" s="25"/>
      <c r="N347" s="25"/>
      <c r="O347" s="25"/>
      <c r="P347" s="25"/>
      <c r="Q347" s="25"/>
      <c r="R347" s="25"/>
      <c r="S347" s="25"/>
      <c r="T347" s="25"/>
      <c r="U347" s="13">
        <f t="shared" si="19"/>
        <v>22325.37125</v>
      </c>
      <c r="V347" s="25">
        <v>29658.5</v>
      </c>
      <c r="W347" s="15">
        <f t="shared" si="18"/>
        <v>6621370.2321812501</v>
      </c>
    </row>
    <row r="348" spans="1:23" s="154" customFormat="1" ht="71.25" x14ac:dyDescent="0.25">
      <c r="A348" s="118">
        <v>19</v>
      </c>
      <c r="B348" s="806" t="s">
        <v>180</v>
      </c>
      <c r="C348" s="19">
        <v>100</v>
      </c>
      <c r="D348" s="25">
        <v>14054.039999999999</v>
      </c>
      <c r="E348" s="25"/>
      <c r="F348" s="25"/>
      <c r="G348" s="25"/>
      <c r="H348" s="25"/>
      <c r="I348" s="25"/>
      <c r="J348" s="25"/>
      <c r="K348" s="25"/>
      <c r="L348" s="25"/>
      <c r="M348" s="25"/>
      <c r="N348" s="25"/>
      <c r="O348" s="25"/>
      <c r="P348" s="25"/>
      <c r="Q348" s="25"/>
      <c r="R348" s="25"/>
      <c r="S348" s="25"/>
      <c r="T348" s="25"/>
      <c r="U348" s="13">
        <f t="shared" si="19"/>
        <v>14054.039999999999</v>
      </c>
      <c r="V348" s="25">
        <v>19146.849999999999</v>
      </c>
      <c r="W348" s="15">
        <f t="shared" si="18"/>
        <v>2690905.95774</v>
      </c>
    </row>
    <row r="349" spans="1:23" s="154" customFormat="1" ht="42.75" x14ac:dyDescent="0.25">
      <c r="A349" s="118">
        <v>20</v>
      </c>
      <c r="B349" s="806" t="s">
        <v>192</v>
      </c>
      <c r="C349" s="36">
        <v>1</v>
      </c>
      <c r="D349" s="25">
        <v>22750</v>
      </c>
      <c r="E349" s="25"/>
      <c r="F349" s="25"/>
      <c r="G349" s="25"/>
      <c r="H349" s="25"/>
      <c r="I349" s="25"/>
      <c r="J349" s="25"/>
      <c r="K349" s="25"/>
      <c r="L349" s="25"/>
      <c r="M349" s="25"/>
      <c r="N349" s="25"/>
      <c r="O349" s="25"/>
      <c r="P349" s="25"/>
      <c r="Q349" s="25"/>
      <c r="R349" s="25"/>
      <c r="S349" s="25"/>
      <c r="T349" s="25"/>
      <c r="U349" s="13">
        <f t="shared" si="19"/>
        <v>22750</v>
      </c>
      <c r="V349" s="25">
        <v>39.6</v>
      </c>
      <c r="W349" s="15">
        <f t="shared" si="18"/>
        <v>900900</v>
      </c>
    </row>
    <row r="350" spans="1:23" s="154" customFormat="1" ht="42.75" x14ac:dyDescent="0.25">
      <c r="A350" s="44">
        <v>21</v>
      </c>
      <c r="B350" s="799" t="s">
        <v>106</v>
      </c>
      <c r="C350" s="20"/>
      <c r="D350" s="20"/>
      <c r="E350" s="20"/>
      <c r="F350" s="20"/>
      <c r="G350" s="20"/>
      <c r="H350" s="20"/>
      <c r="I350" s="20"/>
      <c r="J350" s="20"/>
      <c r="K350" s="20"/>
      <c r="L350" s="20"/>
      <c r="M350" s="20"/>
      <c r="N350" s="20"/>
      <c r="O350" s="20"/>
      <c r="P350" s="20"/>
      <c r="Q350" s="20"/>
      <c r="R350" s="20"/>
      <c r="S350" s="20"/>
      <c r="T350" s="20"/>
      <c r="U350" s="13">
        <f t="shared" si="19"/>
        <v>0</v>
      </c>
      <c r="V350" s="20"/>
      <c r="W350" s="20"/>
    </row>
    <row r="352" spans="1:23" s="154" customFormat="1" x14ac:dyDescent="0.25">
      <c r="A352" s="44">
        <v>22</v>
      </c>
      <c r="B352" s="806" t="s">
        <v>108</v>
      </c>
      <c r="C352" s="19">
        <v>100</v>
      </c>
      <c r="D352" s="33">
        <v>113184.66250000001</v>
      </c>
      <c r="E352" s="33"/>
      <c r="F352" s="33"/>
      <c r="G352" s="33"/>
      <c r="H352" s="33"/>
      <c r="I352" s="33"/>
      <c r="J352" s="33"/>
      <c r="K352" s="33"/>
      <c r="L352" s="33"/>
      <c r="M352" s="33"/>
      <c r="N352" s="33"/>
      <c r="O352" s="33"/>
      <c r="P352" s="33"/>
      <c r="Q352" s="33"/>
      <c r="R352" s="33"/>
      <c r="S352" s="33"/>
      <c r="T352" s="33"/>
      <c r="U352" s="13">
        <f t="shared" si="19"/>
        <v>113184.66250000001</v>
      </c>
      <c r="V352" s="25">
        <v>4614.1000000000004</v>
      </c>
      <c r="W352" s="15">
        <f t="shared" si="18"/>
        <v>5222453.5124125006</v>
      </c>
    </row>
    <row r="353" spans="1:23" s="154" customFormat="1" ht="28.5" x14ac:dyDescent="0.25">
      <c r="A353" s="44">
        <v>23</v>
      </c>
      <c r="B353" s="806" t="s">
        <v>162</v>
      </c>
      <c r="C353" s="19">
        <v>100</v>
      </c>
      <c r="D353" s="25">
        <v>21116.55</v>
      </c>
      <c r="E353" s="14"/>
      <c r="F353" s="14"/>
      <c r="G353" s="14"/>
      <c r="H353" s="14"/>
      <c r="I353" s="14"/>
      <c r="J353" s="14"/>
      <c r="K353" s="14"/>
      <c r="L353" s="14"/>
      <c r="M353" s="14"/>
      <c r="N353" s="14"/>
      <c r="O353" s="14"/>
      <c r="P353" s="14"/>
      <c r="Q353" s="14"/>
      <c r="R353" s="14"/>
      <c r="S353" s="14"/>
      <c r="T353" s="14"/>
      <c r="U353" s="13">
        <f t="shared" si="19"/>
        <v>21116.55</v>
      </c>
      <c r="V353" s="25">
        <v>5264.65</v>
      </c>
      <c r="W353" s="15">
        <f t="shared" si="18"/>
        <v>1111712.449575</v>
      </c>
    </row>
    <row r="354" spans="1:23" s="154" customFormat="1" x14ac:dyDescent="0.25">
      <c r="A354" s="44">
        <v>24</v>
      </c>
      <c r="B354" s="806" t="s">
        <v>114</v>
      </c>
      <c r="C354" s="19">
        <v>100</v>
      </c>
      <c r="D354" s="25">
        <v>99928.237500000003</v>
      </c>
      <c r="E354" s="14"/>
      <c r="F354" s="14"/>
      <c r="G354" s="14"/>
      <c r="H354" s="14"/>
      <c r="I354" s="14"/>
      <c r="J354" s="14"/>
      <c r="K354" s="14"/>
      <c r="L354" s="14"/>
      <c r="M354" s="14"/>
      <c r="N354" s="14"/>
      <c r="O354" s="14"/>
      <c r="P354" s="14"/>
      <c r="Q354" s="14"/>
      <c r="R354" s="14"/>
      <c r="S354" s="14"/>
      <c r="T354" s="14"/>
      <c r="U354" s="13">
        <f t="shared" si="19"/>
        <v>99928.237500000003</v>
      </c>
      <c r="V354" s="25">
        <v>1548.2</v>
      </c>
      <c r="W354" s="15">
        <f t="shared" si="18"/>
        <v>1547088.972975</v>
      </c>
    </row>
    <row r="355" spans="1:23" s="154" customFormat="1" ht="57" x14ac:dyDescent="0.25">
      <c r="A355" s="44">
        <v>26</v>
      </c>
      <c r="B355" s="806" t="s">
        <v>110</v>
      </c>
      <c r="C355" s="19">
        <v>100</v>
      </c>
      <c r="D355" s="25">
        <v>65280.215000000004</v>
      </c>
      <c r="E355" s="14"/>
      <c r="F355" s="14"/>
      <c r="G355" s="14"/>
      <c r="H355" s="14"/>
      <c r="I355" s="14"/>
      <c r="J355" s="14"/>
      <c r="K355" s="14"/>
      <c r="L355" s="14"/>
      <c r="M355" s="14"/>
      <c r="N355" s="14"/>
      <c r="O355" s="14"/>
      <c r="P355" s="14"/>
      <c r="Q355" s="14"/>
      <c r="R355" s="14"/>
      <c r="S355" s="14"/>
      <c r="T355" s="14"/>
      <c r="U355" s="13">
        <f t="shared" si="19"/>
        <v>65280.215000000004</v>
      </c>
      <c r="V355" s="25">
        <v>5012.6499999999996</v>
      </c>
      <c r="W355" s="15">
        <f t="shared" si="18"/>
        <v>3272268.6971974997</v>
      </c>
    </row>
    <row r="356" spans="1:23" s="154" customFormat="1" ht="42.75" x14ac:dyDescent="0.25">
      <c r="A356" s="44">
        <v>27</v>
      </c>
      <c r="B356" s="806" t="s">
        <v>111</v>
      </c>
      <c r="C356" s="36">
        <v>1</v>
      </c>
      <c r="D356" s="25">
        <v>1183</v>
      </c>
      <c r="E356" s="14"/>
      <c r="F356" s="14"/>
      <c r="G356" s="14"/>
      <c r="H356" s="14"/>
      <c r="I356" s="14"/>
      <c r="J356" s="14"/>
      <c r="K356" s="14"/>
      <c r="L356" s="14"/>
      <c r="M356" s="14"/>
      <c r="N356" s="14"/>
      <c r="O356" s="14"/>
      <c r="P356" s="14"/>
      <c r="Q356" s="14"/>
      <c r="R356" s="14"/>
      <c r="S356" s="14"/>
      <c r="T356" s="14"/>
      <c r="U356" s="13">
        <f t="shared" si="19"/>
        <v>1183</v>
      </c>
      <c r="V356" s="25">
        <v>514.9</v>
      </c>
      <c r="W356" s="15">
        <f t="shared" si="18"/>
        <v>609126.69999999995</v>
      </c>
    </row>
    <row r="357" spans="1:23" s="154" customFormat="1" x14ac:dyDescent="0.25">
      <c r="A357" s="44">
        <v>28</v>
      </c>
      <c r="B357" s="806" t="s">
        <v>112</v>
      </c>
      <c r="C357" s="37">
        <v>1</v>
      </c>
      <c r="D357" s="25">
        <v>182</v>
      </c>
      <c r="E357" s="14"/>
      <c r="F357" s="14"/>
      <c r="G357" s="14"/>
      <c r="H357" s="14"/>
      <c r="I357" s="14"/>
      <c r="J357" s="14"/>
      <c r="K357" s="14"/>
      <c r="L357" s="14"/>
      <c r="M357" s="14"/>
      <c r="N357" s="14"/>
      <c r="O357" s="14"/>
      <c r="P357" s="14"/>
      <c r="Q357" s="14"/>
      <c r="R357" s="14"/>
      <c r="S357" s="14"/>
      <c r="T357" s="14"/>
      <c r="U357" s="13">
        <f t="shared" si="19"/>
        <v>182</v>
      </c>
      <c r="V357" s="25">
        <v>849.7</v>
      </c>
      <c r="W357" s="15">
        <f t="shared" si="18"/>
        <v>154645.4</v>
      </c>
    </row>
    <row r="358" spans="1:23" s="154" customFormat="1" x14ac:dyDescent="0.25">
      <c r="A358" s="44">
        <v>29</v>
      </c>
      <c r="B358" s="806" t="s">
        <v>113</v>
      </c>
      <c r="C358" s="37">
        <v>1</v>
      </c>
      <c r="D358" s="25">
        <v>91</v>
      </c>
      <c r="E358" s="14"/>
      <c r="F358" s="14"/>
      <c r="G358" s="14"/>
      <c r="H358" s="14"/>
      <c r="I358" s="14"/>
      <c r="J358" s="14"/>
      <c r="K358" s="14"/>
      <c r="L358" s="14"/>
      <c r="M358" s="14"/>
      <c r="N358" s="14"/>
      <c r="O358" s="14"/>
      <c r="P358" s="14"/>
      <c r="Q358" s="14"/>
      <c r="R358" s="14"/>
      <c r="S358" s="14"/>
      <c r="T358" s="14"/>
      <c r="U358" s="13">
        <f t="shared" si="19"/>
        <v>91</v>
      </c>
      <c r="V358" s="25">
        <v>1159.6500000000001</v>
      </c>
      <c r="W358" s="15">
        <f t="shared" si="18"/>
        <v>105528.15000000001</v>
      </c>
    </row>
    <row r="359" spans="1:23" s="154" customFormat="1" ht="28.5" x14ac:dyDescent="0.25">
      <c r="A359" s="44">
        <v>30</v>
      </c>
      <c r="B359" s="806" t="s">
        <v>306</v>
      </c>
      <c r="C359" s="37">
        <v>1</v>
      </c>
      <c r="D359" s="25">
        <v>182</v>
      </c>
      <c r="E359" s="14"/>
      <c r="F359" s="14"/>
      <c r="G359" s="14"/>
      <c r="H359" s="14"/>
      <c r="I359" s="14"/>
      <c r="J359" s="14"/>
      <c r="K359" s="14"/>
      <c r="L359" s="14"/>
      <c r="M359" s="14"/>
      <c r="N359" s="14"/>
      <c r="O359" s="14"/>
      <c r="P359" s="14"/>
      <c r="Q359" s="14"/>
      <c r="R359" s="14"/>
      <c r="S359" s="14"/>
      <c r="T359" s="14"/>
      <c r="U359" s="13">
        <f t="shared" si="19"/>
        <v>182</v>
      </c>
      <c r="V359" s="25">
        <v>656.85</v>
      </c>
      <c r="W359" s="15">
        <f t="shared" si="18"/>
        <v>119546.7</v>
      </c>
    </row>
    <row r="360" spans="1:23" s="154" customFormat="1" ht="42.75" x14ac:dyDescent="0.25">
      <c r="A360" s="44">
        <v>31</v>
      </c>
      <c r="B360" s="806" t="s">
        <v>307</v>
      </c>
      <c r="C360" s="19">
        <v>100</v>
      </c>
      <c r="D360" s="25">
        <v>7644</v>
      </c>
      <c r="E360" s="14"/>
      <c r="F360" s="14"/>
      <c r="G360" s="14"/>
      <c r="H360" s="14"/>
      <c r="I360" s="14"/>
      <c r="J360" s="14"/>
      <c r="K360" s="14"/>
      <c r="L360" s="14"/>
      <c r="M360" s="14"/>
      <c r="N360" s="14"/>
      <c r="O360" s="14"/>
      <c r="P360" s="14"/>
      <c r="Q360" s="14"/>
      <c r="R360" s="14"/>
      <c r="S360" s="14"/>
      <c r="T360" s="14"/>
      <c r="U360" s="13">
        <f t="shared" si="19"/>
        <v>7644</v>
      </c>
      <c r="V360" s="25">
        <v>3052.4</v>
      </c>
      <c r="W360" s="15">
        <f t="shared" si="18"/>
        <v>233325.45600000001</v>
      </c>
    </row>
    <row r="361" spans="1:23" s="154" customFormat="1" ht="28.5" x14ac:dyDescent="0.25">
      <c r="A361" s="44">
        <v>32</v>
      </c>
      <c r="B361" s="806" t="s">
        <v>308</v>
      </c>
      <c r="C361" s="38">
        <v>1</v>
      </c>
      <c r="D361" s="25">
        <v>91</v>
      </c>
      <c r="E361" s="14"/>
      <c r="F361" s="14"/>
      <c r="G361" s="14"/>
      <c r="H361" s="14"/>
      <c r="I361" s="14"/>
      <c r="J361" s="14"/>
      <c r="K361" s="14"/>
      <c r="L361" s="14"/>
      <c r="M361" s="14"/>
      <c r="N361" s="14"/>
      <c r="O361" s="14"/>
      <c r="P361" s="14"/>
      <c r="Q361" s="14"/>
      <c r="R361" s="14"/>
      <c r="S361" s="14"/>
      <c r="T361" s="14"/>
      <c r="U361" s="13">
        <f t="shared" si="19"/>
        <v>91</v>
      </c>
      <c r="V361" s="25">
        <v>4105.05</v>
      </c>
      <c r="W361" s="15">
        <f t="shared" si="18"/>
        <v>373559.55</v>
      </c>
    </row>
    <row r="362" spans="1:23" s="154" customFormat="1" ht="28.5" x14ac:dyDescent="0.25">
      <c r="A362" s="44">
        <v>33</v>
      </c>
      <c r="B362" s="806" t="s">
        <v>309</v>
      </c>
      <c r="C362" s="38">
        <v>1</v>
      </c>
      <c r="D362" s="25">
        <v>273</v>
      </c>
      <c r="E362" s="14"/>
      <c r="F362" s="14"/>
      <c r="G362" s="14"/>
      <c r="H362" s="14"/>
      <c r="I362" s="14"/>
      <c r="J362" s="14"/>
      <c r="K362" s="14"/>
      <c r="L362" s="14"/>
      <c r="M362" s="14"/>
      <c r="N362" s="14"/>
      <c r="O362" s="14"/>
      <c r="P362" s="14"/>
      <c r="Q362" s="14"/>
      <c r="R362" s="14"/>
      <c r="S362" s="14"/>
      <c r="T362" s="14"/>
      <c r="U362" s="13">
        <f t="shared" si="19"/>
        <v>273</v>
      </c>
      <c r="V362" s="25">
        <v>463.15</v>
      </c>
      <c r="W362" s="15">
        <f t="shared" si="18"/>
        <v>126439.95</v>
      </c>
    </row>
    <row r="363" spans="1:23" s="154" customFormat="1" x14ac:dyDescent="0.25">
      <c r="A363" s="44">
        <v>34</v>
      </c>
      <c r="B363" s="806" t="s">
        <v>310</v>
      </c>
      <c r="C363" s="38">
        <v>1</v>
      </c>
      <c r="D363" s="25">
        <v>364</v>
      </c>
      <c r="E363" s="14"/>
      <c r="F363" s="14"/>
      <c r="G363" s="14"/>
      <c r="H363" s="14"/>
      <c r="I363" s="14"/>
      <c r="J363" s="14"/>
      <c r="K363" s="14"/>
      <c r="L363" s="14"/>
      <c r="M363" s="14"/>
      <c r="N363" s="14"/>
      <c r="O363" s="14"/>
      <c r="P363" s="14"/>
      <c r="Q363" s="14"/>
      <c r="R363" s="14"/>
      <c r="S363" s="14"/>
      <c r="T363" s="14"/>
      <c r="U363" s="13">
        <f t="shared" si="19"/>
        <v>364</v>
      </c>
      <c r="V363" s="25">
        <v>1639.2</v>
      </c>
      <c r="W363" s="15">
        <f t="shared" si="18"/>
        <v>596668.80000000005</v>
      </c>
    </row>
    <row r="364" spans="1:23" s="154" customFormat="1" ht="42.75" x14ac:dyDescent="0.25">
      <c r="A364" s="44">
        <v>35</v>
      </c>
      <c r="B364" s="806" t="s">
        <v>311</v>
      </c>
      <c r="C364" s="38">
        <v>1</v>
      </c>
      <c r="D364" s="25">
        <v>91</v>
      </c>
      <c r="E364" s="14"/>
      <c r="F364" s="14"/>
      <c r="G364" s="14"/>
      <c r="H364" s="14"/>
      <c r="I364" s="14"/>
      <c r="J364" s="14"/>
      <c r="K364" s="14"/>
      <c r="L364" s="14"/>
      <c r="M364" s="14"/>
      <c r="N364" s="14"/>
      <c r="O364" s="14"/>
      <c r="P364" s="14"/>
      <c r="Q364" s="14"/>
      <c r="R364" s="14"/>
      <c r="S364" s="14"/>
      <c r="T364" s="14"/>
      <c r="U364" s="13">
        <f t="shared" si="19"/>
        <v>91</v>
      </c>
      <c r="V364" s="25">
        <v>8069.2</v>
      </c>
      <c r="W364" s="15">
        <f t="shared" si="18"/>
        <v>734297.2</v>
      </c>
    </row>
    <row r="365" spans="1:23" s="154" customFormat="1" ht="42.75" x14ac:dyDescent="0.25">
      <c r="A365" s="44">
        <v>36</v>
      </c>
      <c r="B365" s="806" t="s">
        <v>111</v>
      </c>
      <c r="C365" s="36">
        <v>1</v>
      </c>
      <c r="D365" s="25">
        <v>9100</v>
      </c>
      <c r="E365" s="14"/>
      <c r="F365" s="14"/>
      <c r="G365" s="14"/>
      <c r="H365" s="14"/>
      <c r="I365" s="14"/>
      <c r="J365" s="14"/>
      <c r="K365" s="14"/>
      <c r="L365" s="14"/>
      <c r="M365" s="14"/>
      <c r="N365" s="14"/>
      <c r="O365" s="14"/>
      <c r="P365" s="14"/>
      <c r="Q365" s="14"/>
      <c r="R365" s="14"/>
      <c r="S365" s="14"/>
      <c r="T365" s="14"/>
      <c r="U365" s="13">
        <f t="shared" si="19"/>
        <v>9100</v>
      </c>
      <c r="V365" s="25">
        <v>514.9</v>
      </c>
      <c r="W365" s="15">
        <f t="shared" si="18"/>
        <v>4685590</v>
      </c>
    </row>
    <row r="366" spans="1:23" s="154" customFormat="1" x14ac:dyDescent="0.25">
      <c r="A366" s="44">
        <v>37</v>
      </c>
      <c r="B366" s="806" t="s">
        <v>112</v>
      </c>
      <c r="C366" s="37">
        <v>1</v>
      </c>
      <c r="D366" s="25">
        <v>364</v>
      </c>
      <c r="E366" s="14"/>
      <c r="F366" s="14"/>
      <c r="G366" s="14"/>
      <c r="H366" s="14"/>
      <c r="I366" s="14"/>
      <c r="J366" s="14"/>
      <c r="K366" s="14"/>
      <c r="L366" s="14"/>
      <c r="M366" s="14"/>
      <c r="N366" s="14"/>
      <c r="O366" s="14"/>
      <c r="P366" s="14"/>
      <c r="Q366" s="14"/>
      <c r="R366" s="14"/>
      <c r="S366" s="14"/>
      <c r="T366" s="14"/>
      <c r="U366" s="13">
        <f t="shared" si="19"/>
        <v>364</v>
      </c>
      <c r="V366" s="25">
        <v>849.7</v>
      </c>
      <c r="W366" s="15">
        <f t="shared" si="18"/>
        <v>309290.8</v>
      </c>
    </row>
    <row r="367" spans="1:23" s="154" customFormat="1" ht="28.5" x14ac:dyDescent="0.25">
      <c r="A367" s="44">
        <v>38</v>
      </c>
      <c r="B367" s="806" t="s">
        <v>312</v>
      </c>
      <c r="C367" s="37">
        <v>1</v>
      </c>
      <c r="D367" s="25">
        <v>364</v>
      </c>
      <c r="E367" s="14"/>
      <c r="F367" s="14"/>
      <c r="G367" s="14"/>
      <c r="H367" s="14"/>
      <c r="I367" s="14"/>
      <c r="J367" s="14"/>
      <c r="K367" s="14"/>
      <c r="L367" s="14"/>
      <c r="M367" s="14"/>
      <c r="N367" s="14"/>
      <c r="O367" s="14"/>
      <c r="P367" s="14"/>
      <c r="Q367" s="14"/>
      <c r="R367" s="14"/>
      <c r="S367" s="14"/>
      <c r="T367" s="14"/>
      <c r="U367" s="13">
        <f t="shared" si="19"/>
        <v>364</v>
      </c>
      <c r="V367" s="25">
        <v>2374.25</v>
      </c>
      <c r="W367" s="15">
        <f t="shared" si="18"/>
        <v>864227</v>
      </c>
    </row>
    <row r="368" spans="1:23" s="154" customFormat="1" ht="128.25" x14ac:dyDescent="0.25">
      <c r="A368" s="44">
        <v>39</v>
      </c>
      <c r="B368" s="806" t="s">
        <v>313</v>
      </c>
      <c r="C368" s="20"/>
      <c r="D368" s="20"/>
      <c r="E368" s="20"/>
      <c r="F368" s="20"/>
      <c r="G368" s="20"/>
      <c r="H368" s="20"/>
      <c r="I368" s="20"/>
      <c r="J368" s="20"/>
      <c r="K368" s="20"/>
      <c r="L368" s="20"/>
      <c r="M368" s="20"/>
      <c r="N368" s="20"/>
      <c r="O368" s="20"/>
      <c r="P368" s="20"/>
      <c r="Q368" s="20"/>
      <c r="R368" s="20"/>
      <c r="S368" s="20"/>
      <c r="T368" s="20"/>
      <c r="U368" s="13">
        <f t="shared" si="19"/>
        <v>0</v>
      </c>
      <c r="V368" s="20"/>
      <c r="W368" s="20"/>
    </row>
    <row r="369" spans="1:23" s="154" customFormat="1" x14ac:dyDescent="0.25">
      <c r="A369" s="44" t="s">
        <v>60</v>
      </c>
      <c r="B369" s="806" t="s">
        <v>314</v>
      </c>
      <c r="C369" s="36">
        <v>1</v>
      </c>
      <c r="D369" s="25">
        <v>9100</v>
      </c>
      <c r="E369" s="14"/>
      <c r="F369" s="14"/>
      <c r="G369" s="14"/>
      <c r="H369" s="14"/>
      <c r="I369" s="14"/>
      <c r="J369" s="14"/>
      <c r="K369" s="14"/>
      <c r="L369" s="14"/>
      <c r="M369" s="14"/>
      <c r="N369" s="14"/>
      <c r="O369" s="14"/>
      <c r="P369" s="14"/>
      <c r="Q369" s="14"/>
      <c r="R369" s="14"/>
      <c r="S369" s="14"/>
      <c r="T369" s="14"/>
      <c r="U369" s="13">
        <f t="shared" si="19"/>
        <v>9100</v>
      </c>
      <c r="V369" s="25">
        <v>62.95</v>
      </c>
      <c r="W369" s="15">
        <f t="shared" si="18"/>
        <v>572845</v>
      </c>
    </row>
    <row r="370" spans="1:23" s="154" customFormat="1" x14ac:dyDescent="0.25">
      <c r="A370" s="44" t="s">
        <v>37</v>
      </c>
      <c r="B370" s="806" t="s">
        <v>315</v>
      </c>
      <c r="C370" s="36">
        <v>1</v>
      </c>
      <c r="D370" s="25">
        <v>4550</v>
      </c>
      <c r="E370" s="14"/>
      <c r="F370" s="14"/>
      <c r="G370" s="14"/>
      <c r="H370" s="14"/>
      <c r="I370" s="14"/>
      <c r="J370" s="14"/>
      <c r="K370" s="14"/>
      <c r="L370" s="14"/>
      <c r="M370" s="14"/>
      <c r="N370" s="14"/>
      <c r="O370" s="14"/>
      <c r="P370" s="14"/>
      <c r="Q370" s="14"/>
      <c r="R370" s="14"/>
      <c r="S370" s="14"/>
      <c r="T370" s="14"/>
      <c r="U370" s="13">
        <f t="shared" si="19"/>
        <v>4550</v>
      </c>
      <c r="V370" s="25">
        <v>87.1</v>
      </c>
      <c r="W370" s="15">
        <f t="shared" si="18"/>
        <v>396305</v>
      </c>
    </row>
    <row r="371" spans="1:23" s="154" customFormat="1" ht="28.5" x14ac:dyDescent="0.25">
      <c r="A371" s="44">
        <v>40</v>
      </c>
      <c r="B371" s="806" t="s">
        <v>316</v>
      </c>
      <c r="C371" s="38">
        <v>1</v>
      </c>
      <c r="D371" s="25">
        <v>91</v>
      </c>
      <c r="E371" s="14"/>
      <c r="F371" s="14"/>
      <c r="G371" s="14"/>
      <c r="H371" s="14"/>
      <c r="I371" s="14"/>
      <c r="J371" s="14"/>
      <c r="K371" s="14"/>
      <c r="L371" s="14"/>
      <c r="M371" s="14"/>
      <c r="N371" s="14"/>
      <c r="O371" s="14"/>
      <c r="P371" s="14"/>
      <c r="Q371" s="14"/>
      <c r="R371" s="14"/>
      <c r="S371" s="14"/>
      <c r="T371" s="14"/>
      <c r="U371" s="13">
        <f t="shared" si="19"/>
        <v>91</v>
      </c>
      <c r="V371" s="25">
        <v>1457.7</v>
      </c>
      <c r="W371" s="15">
        <f t="shared" si="18"/>
        <v>132650.70000000001</v>
      </c>
    </row>
    <row r="372" spans="1:23" s="154" customFormat="1" ht="42.75" x14ac:dyDescent="0.25">
      <c r="A372" s="44">
        <v>41</v>
      </c>
      <c r="B372" s="806" t="s">
        <v>317</v>
      </c>
      <c r="C372" s="38">
        <v>1</v>
      </c>
      <c r="D372" s="25">
        <v>91</v>
      </c>
      <c r="E372" s="14"/>
      <c r="F372" s="14"/>
      <c r="G372" s="14"/>
      <c r="H372" s="14"/>
      <c r="I372" s="14"/>
      <c r="J372" s="14"/>
      <c r="K372" s="14"/>
      <c r="L372" s="14"/>
      <c r="M372" s="14"/>
      <c r="N372" s="14"/>
      <c r="O372" s="14"/>
      <c r="P372" s="14"/>
      <c r="Q372" s="14"/>
      <c r="R372" s="14"/>
      <c r="S372" s="14"/>
      <c r="T372" s="14"/>
      <c r="U372" s="13">
        <f t="shared" si="19"/>
        <v>91</v>
      </c>
      <c r="V372" s="25">
        <v>15209.1</v>
      </c>
      <c r="W372" s="15">
        <f t="shared" si="18"/>
        <v>1384028.1</v>
      </c>
    </row>
    <row r="373" spans="1:23" s="154" customFormat="1" x14ac:dyDescent="0.25">
      <c r="A373" s="44">
        <v>42</v>
      </c>
      <c r="B373" s="806" t="s">
        <v>318</v>
      </c>
      <c r="C373" s="25"/>
      <c r="D373" s="25"/>
      <c r="E373" s="25"/>
      <c r="F373" s="25"/>
      <c r="G373" s="25"/>
      <c r="H373" s="25"/>
      <c r="I373" s="25"/>
      <c r="J373" s="25"/>
      <c r="K373" s="25"/>
      <c r="L373" s="25"/>
      <c r="M373" s="25"/>
      <c r="N373" s="25"/>
      <c r="O373" s="25"/>
      <c r="P373" s="25"/>
      <c r="Q373" s="25"/>
      <c r="R373" s="25"/>
      <c r="S373" s="25"/>
      <c r="T373" s="25"/>
      <c r="U373" s="13">
        <f t="shared" si="19"/>
        <v>0</v>
      </c>
      <c r="V373" s="25"/>
      <c r="W373" s="25"/>
    </row>
    <row r="374" spans="1:23" s="154" customFormat="1" x14ac:dyDescent="0.25">
      <c r="A374" s="44"/>
      <c r="B374" s="806" t="s">
        <v>319</v>
      </c>
      <c r="C374" s="38">
        <v>1</v>
      </c>
      <c r="D374" s="25">
        <v>91</v>
      </c>
      <c r="E374" s="14"/>
      <c r="F374" s="14"/>
      <c r="G374" s="14"/>
      <c r="H374" s="14"/>
      <c r="I374" s="14"/>
      <c r="J374" s="14"/>
      <c r="K374" s="14"/>
      <c r="L374" s="14"/>
      <c r="M374" s="14"/>
      <c r="N374" s="14"/>
      <c r="O374" s="14"/>
      <c r="P374" s="14"/>
      <c r="Q374" s="14"/>
      <c r="R374" s="14"/>
      <c r="S374" s="14"/>
      <c r="T374" s="14"/>
      <c r="U374" s="13">
        <f t="shared" si="19"/>
        <v>91</v>
      </c>
      <c r="V374" s="25">
        <v>1380</v>
      </c>
      <c r="W374" s="15">
        <f t="shared" si="18"/>
        <v>125580</v>
      </c>
    </row>
    <row r="375" spans="1:23" s="154" customFormat="1" x14ac:dyDescent="0.25">
      <c r="A375" s="44"/>
      <c r="B375" s="806" t="s">
        <v>320</v>
      </c>
      <c r="C375" s="38">
        <v>1</v>
      </c>
      <c r="D375" s="25">
        <v>91</v>
      </c>
      <c r="E375" s="14"/>
      <c r="F375" s="14"/>
      <c r="G375" s="14"/>
      <c r="H375" s="14"/>
      <c r="I375" s="14"/>
      <c r="J375" s="14"/>
      <c r="K375" s="14"/>
      <c r="L375" s="14"/>
      <c r="M375" s="14"/>
      <c r="N375" s="14"/>
      <c r="O375" s="14"/>
      <c r="P375" s="14"/>
      <c r="Q375" s="14"/>
      <c r="R375" s="14"/>
      <c r="S375" s="14"/>
      <c r="T375" s="14"/>
      <c r="U375" s="13">
        <f t="shared" si="19"/>
        <v>91</v>
      </c>
      <c r="V375" s="25">
        <v>1610</v>
      </c>
      <c r="W375" s="15">
        <f t="shared" si="18"/>
        <v>146510</v>
      </c>
    </row>
    <row r="376" spans="1:23" s="154" customFormat="1" x14ac:dyDescent="0.25">
      <c r="A376" s="44"/>
      <c r="B376" s="806" t="s">
        <v>321</v>
      </c>
      <c r="C376" s="38">
        <v>1</v>
      </c>
      <c r="D376" s="25">
        <v>91</v>
      </c>
      <c r="E376" s="14"/>
      <c r="F376" s="14"/>
      <c r="G376" s="14"/>
      <c r="H376" s="14"/>
      <c r="I376" s="14"/>
      <c r="J376" s="14"/>
      <c r="K376" s="14"/>
      <c r="L376" s="14"/>
      <c r="M376" s="14"/>
      <c r="N376" s="14"/>
      <c r="O376" s="14"/>
      <c r="P376" s="14"/>
      <c r="Q376" s="14"/>
      <c r="R376" s="14"/>
      <c r="S376" s="14"/>
      <c r="T376" s="14"/>
      <c r="U376" s="13">
        <f t="shared" si="19"/>
        <v>91</v>
      </c>
      <c r="V376" s="25">
        <v>1035</v>
      </c>
      <c r="W376" s="15">
        <f t="shared" si="18"/>
        <v>94185</v>
      </c>
    </row>
    <row r="377" spans="1:23" s="154" customFormat="1" x14ac:dyDescent="0.25">
      <c r="A377" s="44">
        <v>43</v>
      </c>
      <c r="B377" s="806" t="s">
        <v>322</v>
      </c>
      <c r="C377" s="38">
        <v>1</v>
      </c>
      <c r="D377" s="25">
        <v>91</v>
      </c>
      <c r="E377" s="14"/>
      <c r="F377" s="14"/>
      <c r="G377" s="14"/>
      <c r="H377" s="14"/>
      <c r="I377" s="14"/>
      <c r="J377" s="14"/>
      <c r="K377" s="14"/>
      <c r="L377" s="14"/>
      <c r="M377" s="14"/>
      <c r="N377" s="14"/>
      <c r="O377" s="14"/>
      <c r="P377" s="14"/>
      <c r="Q377" s="14"/>
      <c r="R377" s="14"/>
      <c r="S377" s="14"/>
      <c r="T377" s="14"/>
      <c r="U377" s="13">
        <f t="shared" si="19"/>
        <v>91</v>
      </c>
      <c r="V377" s="25">
        <v>1999.2</v>
      </c>
      <c r="W377" s="15">
        <f t="shared" si="18"/>
        <v>181927.2</v>
      </c>
    </row>
    <row r="378" spans="1:23" s="154" customFormat="1" ht="42.75" x14ac:dyDescent="0.25">
      <c r="A378" s="44">
        <v>44</v>
      </c>
      <c r="B378" s="806" t="s">
        <v>118</v>
      </c>
      <c r="C378" s="20"/>
      <c r="D378" s="20"/>
      <c r="E378" s="20"/>
      <c r="F378" s="20"/>
      <c r="G378" s="20"/>
      <c r="H378" s="20"/>
      <c r="I378" s="20"/>
      <c r="J378" s="20"/>
      <c r="K378" s="20"/>
      <c r="L378" s="20"/>
      <c r="M378" s="20"/>
      <c r="N378" s="20"/>
      <c r="O378" s="20"/>
      <c r="P378" s="20"/>
      <c r="Q378" s="20"/>
      <c r="R378" s="20"/>
      <c r="S378" s="20"/>
      <c r="T378" s="20"/>
      <c r="U378" s="13">
        <f t="shared" si="19"/>
        <v>0</v>
      </c>
      <c r="V378" s="20"/>
      <c r="W378" s="20"/>
    </row>
    <row r="379" spans="1:23" s="154" customFormat="1" x14ac:dyDescent="0.25">
      <c r="A379" s="44"/>
      <c r="B379" s="806" t="s">
        <v>148</v>
      </c>
      <c r="C379" s="36">
        <v>1</v>
      </c>
      <c r="D379" s="25">
        <v>9100</v>
      </c>
      <c r="E379" s="14"/>
      <c r="F379" s="14"/>
      <c r="G379" s="14"/>
      <c r="H379" s="14"/>
      <c r="I379" s="14"/>
      <c r="J379" s="14"/>
      <c r="K379" s="14"/>
      <c r="L379" s="14"/>
      <c r="M379" s="14"/>
      <c r="N379" s="14"/>
      <c r="O379" s="14"/>
      <c r="P379" s="14"/>
      <c r="Q379" s="14"/>
      <c r="R379" s="14"/>
      <c r="S379" s="14"/>
      <c r="T379" s="14"/>
      <c r="U379" s="13">
        <f t="shared" si="19"/>
        <v>9100</v>
      </c>
      <c r="V379" s="25">
        <v>112.25</v>
      </c>
      <c r="W379" s="15">
        <f t="shared" si="18"/>
        <v>1021475</v>
      </c>
    </row>
    <row r="380" spans="1:23" s="154" customFormat="1" x14ac:dyDescent="0.25">
      <c r="A380" s="44"/>
      <c r="B380" s="806" t="s">
        <v>149</v>
      </c>
      <c r="C380" s="36">
        <v>1</v>
      </c>
      <c r="D380" s="25">
        <v>4550</v>
      </c>
      <c r="E380" s="14"/>
      <c r="F380" s="14"/>
      <c r="G380" s="14"/>
      <c r="H380" s="14"/>
      <c r="I380" s="14"/>
      <c r="J380" s="14"/>
      <c r="K380" s="14"/>
      <c r="L380" s="14"/>
      <c r="M380" s="14"/>
      <c r="N380" s="14"/>
      <c r="O380" s="14"/>
      <c r="P380" s="14"/>
      <c r="Q380" s="14"/>
      <c r="R380" s="14"/>
      <c r="S380" s="14"/>
      <c r="T380" s="14"/>
      <c r="U380" s="13">
        <f t="shared" si="19"/>
        <v>4550</v>
      </c>
      <c r="V380" s="25">
        <v>133.6</v>
      </c>
      <c r="W380" s="15">
        <f t="shared" si="18"/>
        <v>607880</v>
      </c>
    </row>
    <row r="381" spans="1:23" s="154" customFormat="1" ht="71.25" x14ac:dyDescent="0.25">
      <c r="A381" s="44">
        <v>45</v>
      </c>
      <c r="B381" s="806" t="s">
        <v>123</v>
      </c>
      <c r="C381" s="20"/>
      <c r="D381" s="20"/>
      <c r="E381" s="20"/>
      <c r="F381" s="20"/>
      <c r="G381" s="20"/>
      <c r="H381" s="20"/>
      <c r="I381" s="20"/>
      <c r="J381" s="20"/>
      <c r="K381" s="20"/>
      <c r="L381" s="20"/>
      <c r="M381" s="20"/>
      <c r="N381" s="20"/>
      <c r="O381" s="20"/>
      <c r="P381" s="20"/>
      <c r="Q381" s="20"/>
      <c r="R381" s="20"/>
      <c r="S381" s="20"/>
      <c r="T381" s="20"/>
      <c r="U381" s="13">
        <f t="shared" si="19"/>
        <v>0</v>
      </c>
      <c r="V381" s="20"/>
      <c r="W381" s="20"/>
    </row>
    <row r="382" spans="1:23" s="154" customFormat="1" x14ac:dyDescent="0.25">
      <c r="A382" s="44"/>
      <c r="B382" s="806" t="s">
        <v>150</v>
      </c>
      <c r="C382" s="36">
        <v>1</v>
      </c>
      <c r="D382" s="25">
        <v>27300</v>
      </c>
      <c r="E382" s="14"/>
      <c r="F382" s="14"/>
      <c r="G382" s="14"/>
      <c r="H382" s="14"/>
      <c r="I382" s="14"/>
      <c r="J382" s="14"/>
      <c r="K382" s="14"/>
      <c r="L382" s="14"/>
      <c r="M382" s="14"/>
      <c r="N382" s="14"/>
      <c r="O382" s="14"/>
      <c r="P382" s="14"/>
      <c r="Q382" s="14"/>
      <c r="R382" s="14"/>
      <c r="S382" s="14"/>
      <c r="T382" s="14"/>
      <c r="U382" s="13">
        <f t="shared" si="19"/>
        <v>27300</v>
      </c>
      <c r="V382" s="25">
        <v>35.700000000000003</v>
      </c>
      <c r="W382" s="15">
        <f t="shared" si="18"/>
        <v>974610.00000000012</v>
      </c>
    </row>
    <row r="383" spans="1:23" s="154" customFormat="1" x14ac:dyDescent="0.25">
      <c r="A383" s="44"/>
      <c r="B383" s="806" t="s">
        <v>151</v>
      </c>
      <c r="C383" s="36">
        <v>1</v>
      </c>
      <c r="D383" s="25">
        <v>9100</v>
      </c>
      <c r="E383" s="14"/>
      <c r="F383" s="14"/>
      <c r="G383" s="14"/>
      <c r="H383" s="14"/>
      <c r="I383" s="14"/>
      <c r="J383" s="14"/>
      <c r="K383" s="14"/>
      <c r="L383" s="14"/>
      <c r="M383" s="14"/>
      <c r="N383" s="14"/>
      <c r="O383" s="14"/>
      <c r="P383" s="14"/>
      <c r="Q383" s="14"/>
      <c r="R383" s="14"/>
      <c r="S383" s="14"/>
      <c r="T383" s="14"/>
      <c r="U383" s="13">
        <f t="shared" si="19"/>
        <v>9100</v>
      </c>
      <c r="V383" s="25">
        <v>56.3</v>
      </c>
      <c r="W383" s="15">
        <f t="shared" si="18"/>
        <v>512330</v>
      </c>
    </row>
    <row r="384" spans="1:23" s="154" customFormat="1" ht="71.25" x14ac:dyDescent="0.25">
      <c r="A384" s="44">
        <v>46</v>
      </c>
      <c r="B384" s="806" t="s">
        <v>126</v>
      </c>
      <c r="C384" s="36">
        <v>1</v>
      </c>
      <c r="D384" s="25">
        <v>18200</v>
      </c>
      <c r="E384" s="14"/>
      <c r="F384" s="14"/>
      <c r="G384" s="14"/>
      <c r="H384" s="14"/>
      <c r="I384" s="14"/>
      <c r="J384" s="14"/>
      <c r="K384" s="14"/>
      <c r="L384" s="14"/>
      <c r="M384" s="14"/>
      <c r="N384" s="14"/>
      <c r="O384" s="14"/>
      <c r="P384" s="14"/>
      <c r="Q384" s="14"/>
      <c r="R384" s="14"/>
      <c r="S384" s="14"/>
      <c r="T384" s="14"/>
      <c r="U384" s="13">
        <f t="shared" si="19"/>
        <v>18200</v>
      </c>
      <c r="V384" s="25">
        <v>237.65</v>
      </c>
      <c r="W384" s="15">
        <f t="shared" si="18"/>
        <v>4325230</v>
      </c>
    </row>
    <row r="385" spans="1:23" s="154" customFormat="1" ht="42.75" x14ac:dyDescent="0.25">
      <c r="A385" s="44">
        <v>47</v>
      </c>
      <c r="B385" s="806" t="s">
        <v>127</v>
      </c>
      <c r="C385" s="20"/>
      <c r="D385" s="20"/>
      <c r="E385" s="20"/>
      <c r="F385" s="20"/>
      <c r="G385" s="20"/>
      <c r="H385" s="20"/>
      <c r="I385" s="20"/>
      <c r="J385" s="20"/>
      <c r="K385" s="20"/>
      <c r="L385" s="20"/>
      <c r="M385" s="20"/>
      <c r="N385" s="20"/>
      <c r="O385" s="20"/>
      <c r="P385" s="20"/>
      <c r="Q385" s="20"/>
      <c r="R385" s="20"/>
      <c r="S385" s="20"/>
      <c r="T385" s="20"/>
      <c r="U385" s="13">
        <f t="shared" si="19"/>
        <v>0</v>
      </c>
      <c r="V385" s="20"/>
      <c r="W385" s="20"/>
    </row>
    <row r="386" spans="1:23" s="154" customFormat="1" x14ac:dyDescent="0.25">
      <c r="A386" s="44"/>
      <c r="B386" s="806" t="s">
        <v>152</v>
      </c>
      <c r="C386" s="38">
        <v>1</v>
      </c>
      <c r="D386" s="25">
        <v>182</v>
      </c>
      <c r="E386" s="14"/>
      <c r="F386" s="14"/>
      <c r="G386" s="14"/>
      <c r="H386" s="14"/>
      <c r="I386" s="14"/>
      <c r="J386" s="14"/>
      <c r="K386" s="14"/>
      <c r="L386" s="14"/>
      <c r="M386" s="14"/>
      <c r="N386" s="14"/>
      <c r="O386" s="14"/>
      <c r="P386" s="14"/>
      <c r="Q386" s="14"/>
      <c r="R386" s="14"/>
      <c r="S386" s="14"/>
      <c r="T386" s="14"/>
      <c r="U386" s="13">
        <f t="shared" si="19"/>
        <v>182</v>
      </c>
      <c r="V386" s="25">
        <v>382.3</v>
      </c>
      <c r="W386" s="15">
        <f t="shared" si="18"/>
        <v>69578.600000000006</v>
      </c>
    </row>
    <row r="387" spans="1:23" s="154" customFormat="1" x14ac:dyDescent="0.25">
      <c r="A387" s="44"/>
      <c r="B387" s="806" t="s">
        <v>153</v>
      </c>
      <c r="C387" s="38">
        <v>1</v>
      </c>
      <c r="D387" s="25">
        <v>364</v>
      </c>
      <c r="E387" s="14"/>
      <c r="F387" s="14"/>
      <c r="G387" s="14"/>
      <c r="H387" s="14"/>
      <c r="I387" s="14"/>
      <c r="J387" s="14"/>
      <c r="K387" s="14"/>
      <c r="L387" s="14"/>
      <c r="M387" s="14"/>
      <c r="N387" s="14"/>
      <c r="O387" s="14"/>
      <c r="P387" s="14"/>
      <c r="Q387" s="14"/>
      <c r="R387" s="14"/>
      <c r="S387" s="14"/>
      <c r="T387" s="14"/>
      <c r="U387" s="13">
        <f t="shared" si="19"/>
        <v>364</v>
      </c>
      <c r="V387" s="25">
        <v>522.75</v>
      </c>
      <c r="W387" s="15">
        <f t="shared" si="18"/>
        <v>190281</v>
      </c>
    </row>
    <row r="388" spans="1:23" s="154" customFormat="1" x14ac:dyDescent="0.25">
      <c r="A388" s="44"/>
      <c r="B388" s="806" t="s">
        <v>154</v>
      </c>
      <c r="C388" s="38">
        <v>1</v>
      </c>
      <c r="D388" s="25">
        <v>91</v>
      </c>
      <c r="E388" s="14"/>
      <c r="F388" s="14"/>
      <c r="G388" s="14"/>
      <c r="H388" s="14"/>
      <c r="I388" s="14"/>
      <c r="J388" s="14"/>
      <c r="K388" s="14"/>
      <c r="L388" s="14"/>
      <c r="M388" s="14"/>
      <c r="N388" s="14"/>
      <c r="O388" s="14"/>
      <c r="P388" s="14"/>
      <c r="Q388" s="14"/>
      <c r="R388" s="14"/>
      <c r="S388" s="14"/>
      <c r="T388" s="14"/>
      <c r="U388" s="13">
        <f t="shared" si="19"/>
        <v>91</v>
      </c>
      <c r="V388" s="25">
        <v>668.8</v>
      </c>
      <c r="W388" s="15">
        <f t="shared" si="18"/>
        <v>60860.799999999996</v>
      </c>
    </row>
    <row r="389" spans="1:23" s="154" customFormat="1" ht="28.5" x14ac:dyDescent="0.25">
      <c r="A389" s="44">
        <v>48</v>
      </c>
      <c r="B389" s="806" t="s">
        <v>131</v>
      </c>
      <c r="C389" s="38">
        <v>1</v>
      </c>
      <c r="D389" s="25">
        <v>3185</v>
      </c>
      <c r="E389" s="14"/>
      <c r="F389" s="14"/>
      <c r="G389" s="14"/>
      <c r="H389" s="14"/>
      <c r="I389" s="14"/>
      <c r="J389" s="14"/>
      <c r="K389" s="14"/>
      <c r="L389" s="14"/>
      <c r="M389" s="14"/>
      <c r="N389" s="14"/>
      <c r="O389" s="14"/>
      <c r="P389" s="14"/>
      <c r="Q389" s="14"/>
      <c r="R389" s="14"/>
      <c r="S389" s="14"/>
      <c r="T389" s="14"/>
      <c r="U389" s="13">
        <f t="shared" si="19"/>
        <v>3185</v>
      </c>
      <c r="V389" s="25">
        <v>102.7</v>
      </c>
      <c r="W389" s="15">
        <f t="shared" si="18"/>
        <v>327099.5</v>
      </c>
    </row>
    <row r="390" spans="1:23" s="154" customFormat="1" x14ac:dyDescent="0.25">
      <c r="A390" s="44">
        <v>49</v>
      </c>
      <c r="B390" s="806" t="s">
        <v>183</v>
      </c>
      <c r="C390" s="38">
        <v>1</v>
      </c>
      <c r="D390" s="25">
        <v>546</v>
      </c>
      <c r="E390" s="14"/>
      <c r="F390" s="14"/>
      <c r="G390" s="14"/>
      <c r="H390" s="14"/>
      <c r="I390" s="14"/>
      <c r="J390" s="14"/>
      <c r="K390" s="14"/>
      <c r="L390" s="14"/>
      <c r="M390" s="14"/>
      <c r="N390" s="14"/>
      <c r="O390" s="14"/>
      <c r="P390" s="14"/>
      <c r="Q390" s="14"/>
      <c r="R390" s="14"/>
      <c r="S390" s="14"/>
      <c r="T390" s="14"/>
      <c r="U390" s="13">
        <f t="shared" si="19"/>
        <v>546</v>
      </c>
      <c r="V390" s="25">
        <v>178.75</v>
      </c>
      <c r="W390" s="15">
        <f t="shared" si="18"/>
        <v>97597.5</v>
      </c>
    </row>
    <row r="391" spans="1:23" s="154" customFormat="1" x14ac:dyDescent="0.25">
      <c r="A391" s="44">
        <v>50</v>
      </c>
      <c r="B391" s="806" t="s">
        <v>132</v>
      </c>
      <c r="C391" s="38">
        <v>1</v>
      </c>
      <c r="D391" s="25">
        <v>546</v>
      </c>
      <c r="E391" s="14"/>
      <c r="F391" s="14"/>
      <c r="G391" s="14"/>
      <c r="H391" s="14"/>
      <c r="I391" s="14"/>
      <c r="J391" s="14"/>
      <c r="K391" s="14"/>
      <c r="L391" s="14"/>
      <c r="M391" s="14"/>
      <c r="N391" s="14"/>
      <c r="O391" s="14"/>
      <c r="P391" s="14"/>
      <c r="Q391" s="14"/>
      <c r="R391" s="14"/>
      <c r="S391" s="14"/>
      <c r="T391" s="14"/>
      <c r="U391" s="13">
        <f t="shared" si="19"/>
        <v>546</v>
      </c>
      <c r="V391" s="25">
        <v>96.3</v>
      </c>
      <c r="W391" s="15">
        <f t="shared" si="18"/>
        <v>52579.799999999996</v>
      </c>
    </row>
    <row r="392" spans="1:23" s="154" customFormat="1" x14ac:dyDescent="0.25">
      <c r="A392" s="44">
        <v>51</v>
      </c>
      <c r="B392" s="806" t="s">
        <v>133</v>
      </c>
      <c r="C392" s="38">
        <v>1</v>
      </c>
      <c r="D392" s="25">
        <v>182</v>
      </c>
      <c r="E392" s="14"/>
      <c r="F392" s="14"/>
      <c r="G392" s="14"/>
      <c r="H392" s="14"/>
      <c r="I392" s="14"/>
      <c r="J392" s="14"/>
      <c r="K392" s="14"/>
      <c r="L392" s="14"/>
      <c r="M392" s="14"/>
      <c r="N392" s="14"/>
      <c r="O392" s="14"/>
      <c r="P392" s="14"/>
      <c r="Q392" s="14"/>
      <c r="R392" s="14"/>
      <c r="S392" s="14"/>
      <c r="T392" s="14"/>
      <c r="U392" s="13">
        <f t="shared" si="19"/>
        <v>182</v>
      </c>
      <c r="V392" s="25">
        <v>204.7</v>
      </c>
      <c r="W392" s="15">
        <f t="shared" si="18"/>
        <v>37255.4</v>
      </c>
    </row>
    <row r="393" spans="1:23" s="154" customFormat="1" ht="28.5" x14ac:dyDescent="0.25">
      <c r="A393" s="44">
        <v>52</v>
      </c>
      <c r="B393" s="806" t="s">
        <v>155</v>
      </c>
      <c r="C393" s="38">
        <v>1</v>
      </c>
      <c r="D393" s="25">
        <v>182</v>
      </c>
      <c r="E393" s="14"/>
      <c r="F393" s="14"/>
      <c r="G393" s="14"/>
      <c r="H393" s="14"/>
      <c r="I393" s="14"/>
      <c r="J393" s="14"/>
      <c r="K393" s="14"/>
      <c r="L393" s="14"/>
      <c r="M393" s="14"/>
      <c r="N393" s="14"/>
      <c r="O393" s="14"/>
      <c r="P393" s="14"/>
      <c r="Q393" s="14"/>
      <c r="R393" s="14"/>
      <c r="S393" s="14"/>
      <c r="T393" s="14"/>
      <c r="U393" s="13">
        <f t="shared" si="19"/>
        <v>182</v>
      </c>
      <c r="V393" s="25">
        <v>213.1</v>
      </c>
      <c r="W393" s="15">
        <f t="shared" ref="W393:W456" si="20">V393*U393/C393</f>
        <v>38784.199999999997</v>
      </c>
    </row>
    <row r="394" spans="1:23" s="154" customFormat="1" ht="114" x14ac:dyDescent="0.25">
      <c r="A394" s="44">
        <v>53</v>
      </c>
      <c r="B394" s="806" t="s">
        <v>163</v>
      </c>
      <c r="C394" s="37">
        <v>1</v>
      </c>
      <c r="D394" s="25">
        <v>91</v>
      </c>
      <c r="E394" s="14"/>
      <c r="F394" s="14"/>
      <c r="G394" s="14"/>
      <c r="H394" s="14"/>
      <c r="I394" s="14"/>
      <c r="J394" s="14"/>
      <c r="K394" s="14"/>
      <c r="L394" s="14"/>
      <c r="M394" s="14"/>
      <c r="N394" s="14"/>
      <c r="O394" s="14"/>
      <c r="P394" s="14"/>
      <c r="Q394" s="14"/>
      <c r="R394" s="14"/>
      <c r="S394" s="14"/>
      <c r="T394" s="14"/>
      <c r="U394" s="13">
        <f t="shared" ref="U394:U406" si="21">SUM(D394:T394)</f>
        <v>91</v>
      </c>
      <c r="V394" s="25">
        <v>24422.65</v>
      </c>
      <c r="W394" s="15">
        <f t="shared" si="20"/>
        <v>2222461.15</v>
      </c>
    </row>
    <row r="395" spans="1:23" s="154" customFormat="1" ht="87" x14ac:dyDescent="0.25">
      <c r="A395" s="44">
        <v>54</v>
      </c>
      <c r="B395" s="806" t="s">
        <v>445</v>
      </c>
      <c r="C395" s="37">
        <v>1</v>
      </c>
      <c r="D395" s="25">
        <v>91</v>
      </c>
      <c r="E395" s="14"/>
      <c r="F395" s="14"/>
      <c r="G395" s="14"/>
      <c r="H395" s="14"/>
      <c r="I395" s="14"/>
      <c r="J395" s="14"/>
      <c r="K395" s="14"/>
      <c r="L395" s="14"/>
      <c r="M395" s="14"/>
      <c r="N395" s="14"/>
      <c r="O395" s="14"/>
      <c r="P395" s="14"/>
      <c r="Q395" s="14"/>
      <c r="R395" s="14"/>
      <c r="S395" s="14"/>
      <c r="T395" s="14"/>
      <c r="U395" s="13">
        <f t="shared" si="21"/>
        <v>91</v>
      </c>
      <c r="V395" s="25">
        <v>5616.25</v>
      </c>
      <c r="W395" s="15">
        <f t="shared" si="20"/>
        <v>511078.75</v>
      </c>
    </row>
    <row r="396" spans="1:23" s="154" customFormat="1" ht="87" x14ac:dyDescent="0.25">
      <c r="A396" s="44">
        <v>55</v>
      </c>
      <c r="B396" s="806" t="s">
        <v>446</v>
      </c>
      <c r="C396" s="37">
        <v>1</v>
      </c>
      <c r="D396" s="25">
        <v>364</v>
      </c>
      <c r="E396" s="14"/>
      <c r="F396" s="14"/>
      <c r="G396" s="14">
        <v>42</v>
      </c>
      <c r="H396" s="14">
        <f>10+30</f>
        <v>40</v>
      </c>
      <c r="I396" s="14"/>
      <c r="J396" s="14">
        <f>5+72</f>
        <v>77</v>
      </c>
      <c r="K396" s="14">
        <v>6</v>
      </c>
      <c r="L396" s="14">
        <v>2</v>
      </c>
      <c r="M396" s="14">
        <v>2</v>
      </c>
      <c r="N396" s="14">
        <v>6</v>
      </c>
      <c r="O396" s="14">
        <f>4*91</f>
        <v>364</v>
      </c>
      <c r="P396" s="14">
        <f>10+30</f>
        <v>40</v>
      </c>
      <c r="Q396" s="14"/>
      <c r="R396" s="14"/>
      <c r="S396" s="14"/>
      <c r="T396" s="14"/>
      <c r="U396" s="13">
        <f>SUM(G396:T396)</f>
        <v>579</v>
      </c>
      <c r="V396" s="25">
        <v>1453.75</v>
      </c>
      <c r="W396" s="15">
        <f t="shared" si="20"/>
        <v>841721.25</v>
      </c>
    </row>
    <row r="397" spans="1:23" s="154" customFormat="1" ht="28.5" x14ac:dyDescent="0.25">
      <c r="A397" s="44">
        <v>56</v>
      </c>
      <c r="B397" s="806" t="s">
        <v>323</v>
      </c>
      <c r="C397" s="38">
        <v>1</v>
      </c>
      <c r="D397" s="25">
        <v>91</v>
      </c>
      <c r="E397" s="14"/>
      <c r="F397" s="14"/>
      <c r="G397" s="14"/>
      <c r="H397" s="14"/>
      <c r="I397" s="14"/>
      <c r="J397" s="14"/>
      <c r="K397" s="14"/>
      <c r="L397" s="14"/>
      <c r="M397" s="14"/>
      <c r="N397" s="14"/>
      <c r="O397" s="14"/>
      <c r="P397" s="14"/>
      <c r="Q397" s="14"/>
      <c r="R397" s="14"/>
      <c r="S397" s="14"/>
      <c r="T397" s="14"/>
      <c r="U397" s="13">
        <f t="shared" si="21"/>
        <v>91</v>
      </c>
      <c r="V397" s="25">
        <v>83.75</v>
      </c>
      <c r="W397" s="15">
        <f t="shared" si="20"/>
        <v>7621.25</v>
      </c>
    </row>
    <row r="398" spans="1:23" s="154" customFormat="1" ht="57" x14ac:dyDescent="0.25">
      <c r="A398" s="44">
        <v>57</v>
      </c>
      <c r="B398" s="806" t="s">
        <v>324</v>
      </c>
      <c r="C398" s="38">
        <v>1</v>
      </c>
      <c r="D398" s="25">
        <v>91</v>
      </c>
      <c r="E398" s="14"/>
      <c r="F398" s="14"/>
      <c r="G398" s="14"/>
      <c r="H398" s="14"/>
      <c r="I398" s="14"/>
      <c r="J398" s="14"/>
      <c r="K398" s="14"/>
      <c r="L398" s="14"/>
      <c r="M398" s="14"/>
      <c r="N398" s="14"/>
      <c r="O398" s="14"/>
      <c r="P398" s="14"/>
      <c r="Q398" s="14"/>
      <c r="R398" s="14"/>
      <c r="S398" s="14"/>
      <c r="T398" s="14"/>
      <c r="U398" s="13">
        <f t="shared" si="21"/>
        <v>91</v>
      </c>
      <c r="V398" s="25">
        <v>10815.4</v>
      </c>
      <c r="W398" s="15">
        <f t="shared" si="20"/>
        <v>984201.4</v>
      </c>
    </row>
    <row r="399" spans="1:23" s="154" customFormat="1" ht="57" x14ac:dyDescent="0.25">
      <c r="A399" s="44">
        <v>58</v>
      </c>
      <c r="B399" s="806" t="s">
        <v>325</v>
      </c>
      <c r="C399" s="38">
        <v>1</v>
      </c>
      <c r="D399" s="25">
        <v>91</v>
      </c>
      <c r="E399" s="14"/>
      <c r="F399" s="14"/>
      <c r="G399" s="14"/>
      <c r="H399" s="14"/>
      <c r="I399" s="14"/>
      <c r="J399" s="14"/>
      <c r="K399" s="14"/>
      <c r="L399" s="14"/>
      <c r="M399" s="14"/>
      <c r="N399" s="14"/>
      <c r="O399" s="14"/>
      <c r="P399" s="14"/>
      <c r="Q399" s="14"/>
      <c r="R399" s="14"/>
      <c r="S399" s="14"/>
      <c r="T399" s="14"/>
      <c r="U399" s="13">
        <f t="shared" si="21"/>
        <v>91</v>
      </c>
      <c r="V399" s="25">
        <v>663.65</v>
      </c>
      <c r="W399" s="15">
        <f t="shared" si="20"/>
        <v>60392.15</v>
      </c>
    </row>
    <row r="400" spans="1:23" s="154" customFormat="1" ht="61.5" customHeight="1" x14ac:dyDescent="0.25">
      <c r="A400" s="44">
        <v>59</v>
      </c>
      <c r="B400" s="806" t="s">
        <v>139</v>
      </c>
      <c r="C400" s="37">
        <v>1</v>
      </c>
      <c r="D400" s="25">
        <v>546</v>
      </c>
      <c r="E400" s="14"/>
      <c r="F400" s="14"/>
      <c r="G400" s="14"/>
      <c r="H400" s="14"/>
      <c r="I400" s="14"/>
      <c r="J400" s="14"/>
      <c r="K400" s="14"/>
      <c r="L400" s="14"/>
      <c r="M400" s="14"/>
      <c r="N400" s="14"/>
      <c r="O400" s="14"/>
      <c r="P400" s="14"/>
      <c r="Q400" s="14"/>
      <c r="R400" s="14"/>
      <c r="S400" s="14"/>
      <c r="T400" s="14"/>
      <c r="U400" s="13">
        <f t="shared" si="21"/>
        <v>546</v>
      </c>
      <c r="V400" s="25">
        <v>1995.3</v>
      </c>
      <c r="W400" s="15">
        <f t="shared" si="20"/>
        <v>1089433.8</v>
      </c>
    </row>
    <row r="401" spans="1:24" ht="57" x14ac:dyDescent="0.25">
      <c r="A401" s="44">
        <v>60</v>
      </c>
      <c r="B401" s="806" t="s">
        <v>326</v>
      </c>
      <c r="C401" s="38">
        <v>1</v>
      </c>
      <c r="D401" s="25">
        <v>91</v>
      </c>
      <c r="E401" s="14"/>
      <c r="F401" s="14"/>
      <c r="G401" s="14"/>
      <c r="H401" s="14"/>
      <c r="I401" s="14"/>
      <c r="J401" s="14"/>
      <c r="K401" s="14"/>
      <c r="L401" s="14"/>
      <c r="M401" s="14"/>
      <c r="N401" s="14"/>
      <c r="O401" s="14"/>
      <c r="P401" s="14"/>
      <c r="Q401" s="14"/>
      <c r="R401" s="14"/>
      <c r="S401" s="14"/>
      <c r="T401" s="14"/>
      <c r="U401" s="13">
        <f t="shared" si="21"/>
        <v>91</v>
      </c>
      <c r="V401" s="25">
        <v>99800</v>
      </c>
      <c r="W401" s="15">
        <f t="shared" si="20"/>
        <v>9081800</v>
      </c>
    </row>
    <row r="402" spans="1:24" ht="72" x14ac:dyDescent="0.25">
      <c r="A402" s="44">
        <v>61</v>
      </c>
      <c r="B402" s="806" t="s">
        <v>442</v>
      </c>
      <c r="C402" s="22"/>
      <c r="D402" s="22"/>
      <c r="E402" s="22"/>
      <c r="F402" s="22"/>
      <c r="G402" s="22"/>
      <c r="H402" s="22"/>
      <c r="I402" s="22"/>
      <c r="J402" s="22"/>
      <c r="K402" s="22"/>
      <c r="L402" s="22"/>
      <c r="M402" s="22"/>
      <c r="N402" s="22"/>
      <c r="O402" s="22"/>
      <c r="P402" s="22"/>
      <c r="Q402" s="22"/>
      <c r="R402" s="22"/>
      <c r="S402" s="22"/>
      <c r="T402" s="22"/>
      <c r="U402" s="13">
        <f t="shared" si="21"/>
        <v>0</v>
      </c>
      <c r="V402" s="22"/>
      <c r="W402" s="22"/>
    </row>
    <row r="403" spans="1:24" x14ac:dyDescent="0.25">
      <c r="A403" s="44" t="s">
        <v>60</v>
      </c>
      <c r="B403" s="806" t="s">
        <v>61</v>
      </c>
      <c r="C403" s="12">
        <v>100</v>
      </c>
      <c r="D403" s="25">
        <v>11086.966799999998</v>
      </c>
      <c r="E403" s="14"/>
      <c r="F403" s="14"/>
      <c r="G403" s="14"/>
      <c r="H403" s="14"/>
      <c r="I403" s="14"/>
      <c r="J403" s="14"/>
      <c r="K403" s="14"/>
      <c r="L403" s="14"/>
      <c r="M403" s="14"/>
      <c r="N403" s="14"/>
      <c r="O403" s="14"/>
      <c r="P403" s="14"/>
      <c r="Q403" s="14"/>
      <c r="R403" s="14"/>
      <c r="S403" s="14"/>
      <c r="T403" s="14"/>
      <c r="U403" s="13">
        <f t="shared" si="21"/>
        <v>11086.966799999998</v>
      </c>
      <c r="V403" s="13">
        <v>14042.6</v>
      </c>
      <c r="W403" s="15">
        <f t="shared" si="20"/>
        <v>1556898.3998567997</v>
      </c>
    </row>
    <row r="404" spans="1:24" x14ac:dyDescent="0.25">
      <c r="A404" s="44" t="s">
        <v>37</v>
      </c>
      <c r="B404" s="806" t="s">
        <v>38</v>
      </c>
      <c r="C404" s="12">
        <v>100</v>
      </c>
      <c r="D404" s="25">
        <v>1566.5650000000001</v>
      </c>
      <c r="E404" s="14"/>
      <c r="F404" s="14"/>
      <c r="G404" s="14"/>
      <c r="H404" s="14"/>
      <c r="I404" s="14"/>
      <c r="J404" s="14"/>
      <c r="K404" s="14"/>
      <c r="L404" s="14"/>
      <c r="M404" s="14"/>
      <c r="N404" s="14"/>
      <c r="O404" s="14"/>
      <c r="P404" s="14"/>
      <c r="Q404" s="14"/>
      <c r="R404" s="14"/>
      <c r="S404" s="14"/>
      <c r="T404" s="14"/>
      <c r="U404" s="13">
        <f t="shared" si="21"/>
        <v>1566.5650000000001</v>
      </c>
      <c r="V404" s="13">
        <v>14042.6</v>
      </c>
      <c r="W404" s="15">
        <f t="shared" si="20"/>
        <v>219986.45668999999</v>
      </c>
    </row>
    <row r="405" spans="1:24" x14ac:dyDescent="0.25">
      <c r="A405" s="44" t="s">
        <v>63</v>
      </c>
      <c r="B405" s="806" t="s">
        <v>141</v>
      </c>
      <c r="C405" s="12">
        <v>100</v>
      </c>
      <c r="D405" s="25">
        <v>19117.498399999997</v>
      </c>
      <c r="E405" s="14"/>
      <c r="F405" s="14"/>
      <c r="G405" s="14"/>
      <c r="H405" s="14"/>
      <c r="I405" s="14"/>
      <c r="J405" s="14"/>
      <c r="K405" s="14"/>
      <c r="L405" s="14"/>
      <c r="M405" s="14"/>
      <c r="N405" s="14"/>
      <c r="O405" s="14"/>
      <c r="P405" s="14"/>
      <c r="Q405" s="14"/>
      <c r="R405" s="14"/>
      <c r="S405" s="14"/>
      <c r="T405" s="14"/>
      <c r="U405" s="13">
        <f t="shared" si="21"/>
        <v>19117.498399999997</v>
      </c>
      <c r="V405" s="13">
        <v>14042.6</v>
      </c>
      <c r="W405" s="15">
        <f t="shared" si="20"/>
        <v>2684593.8303183997</v>
      </c>
    </row>
    <row r="406" spans="1:24" x14ac:dyDescent="0.25">
      <c r="A406" s="44" t="s">
        <v>142</v>
      </c>
      <c r="B406" s="806" t="s">
        <v>143</v>
      </c>
      <c r="C406" s="12">
        <v>100</v>
      </c>
      <c r="D406" s="25">
        <v>971.75203124999996</v>
      </c>
      <c r="E406" s="14"/>
      <c r="F406" s="14"/>
      <c r="G406" s="14"/>
      <c r="H406" s="14"/>
      <c r="I406" s="14"/>
      <c r="J406" s="14"/>
      <c r="K406" s="14"/>
      <c r="L406" s="14"/>
      <c r="M406" s="14"/>
      <c r="N406" s="14"/>
      <c r="O406" s="14"/>
      <c r="P406" s="14"/>
      <c r="Q406" s="14"/>
      <c r="R406" s="14"/>
      <c r="S406" s="14"/>
      <c r="T406" s="14"/>
      <c r="U406" s="13">
        <f t="shared" si="21"/>
        <v>971.75203124999996</v>
      </c>
      <c r="V406" s="13">
        <v>14042.6</v>
      </c>
      <c r="W406" s="15">
        <f t="shared" si="20"/>
        <v>136459.25074031251</v>
      </c>
      <c r="X406" s="186">
        <f>SUM(W330:W406)</f>
        <v>115067561.49870889</v>
      </c>
    </row>
    <row r="407" spans="1:24" s="155" customFormat="1" ht="22.5" x14ac:dyDescent="0.25">
      <c r="A407" s="198">
        <v>12</v>
      </c>
      <c r="B407" s="798" t="s">
        <v>405</v>
      </c>
      <c r="C407" s="406"/>
      <c r="D407" s="406"/>
      <c r="E407" s="406"/>
      <c r="F407" s="406"/>
      <c r="G407" s="406"/>
      <c r="H407" s="406"/>
      <c r="I407" s="406"/>
      <c r="J407" s="406"/>
      <c r="K407" s="406"/>
      <c r="L407" s="406"/>
      <c r="M407" s="406"/>
      <c r="N407" s="406"/>
      <c r="O407" s="406"/>
      <c r="P407" s="406"/>
      <c r="Q407" s="406"/>
      <c r="R407" s="406"/>
      <c r="S407" s="406"/>
      <c r="T407" s="406"/>
      <c r="U407" s="406"/>
      <c r="V407" s="406"/>
      <c r="W407" s="406"/>
    </row>
    <row r="408" spans="1:24" s="155" customFormat="1" x14ac:dyDescent="0.25">
      <c r="A408" s="123">
        <v>1</v>
      </c>
      <c r="B408" s="97" t="s">
        <v>210</v>
      </c>
      <c r="C408" s="106">
        <v>1</v>
      </c>
      <c r="D408" s="4">
        <v>25</v>
      </c>
      <c r="E408" s="5"/>
      <c r="F408" s="5"/>
      <c r="G408" s="5"/>
      <c r="H408" s="5"/>
      <c r="I408" s="5"/>
      <c r="J408" s="5"/>
      <c r="K408" s="5"/>
      <c r="L408" s="5"/>
      <c r="M408" s="5"/>
      <c r="N408" s="5"/>
      <c r="O408" s="5"/>
      <c r="P408" s="5"/>
      <c r="Q408" s="5"/>
      <c r="R408" s="5"/>
      <c r="S408" s="5"/>
      <c r="T408" s="5"/>
      <c r="U408" s="13">
        <f t="shared" ref="U408:U462" si="22">SUM(D408:T408)</f>
        <v>25</v>
      </c>
      <c r="V408" s="5">
        <v>71344</v>
      </c>
      <c r="W408" s="105">
        <f>V408*U408/C408</f>
        <v>1783600</v>
      </c>
    </row>
    <row r="409" spans="1:24" s="155" customFormat="1" x14ac:dyDescent="0.25">
      <c r="A409" s="123">
        <v>2</v>
      </c>
      <c r="B409" s="97" t="s">
        <v>211</v>
      </c>
      <c r="C409" s="106">
        <v>1</v>
      </c>
      <c r="D409" s="4">
        <v>700</v>
      </c>
      <c r="E409" s="5"/>
      <c r="F409" s="5"/>
      <c r="G409" s="5"/>
      <c r="H409" s="5"/>
      <c r="I409" s="5"/>
      <c r="J409" s="5"/>
      <c r="K409" s="5"/>
      <c r="L409" s="5"/>
      <c r="M409" s="5"/>
      <c r="N409" s="5"/>
      <c r="O409" s="5"/>
      <c r="P409" s="5"/>
      <c r="Q409" s="5"/>
      <c r="R409" s="5"/>
      <c r="S409" s="5"/>
      <c r="T409" s="5"/>
      <c r="U409" s="13">
        <f t="shared" si="22"/>
        <v>700</v>
      </c>
      <c r="V409" s="5">
        <v>71680</v>
      </c>
      <c r="W409" s="15">
        <f t="shared" si="20"/>
        <v>50176000</v>
      </c>
    </row>
    <row r="410" spans="1:24" s="155" customFormat="1" x14ac:dyDescent="0.25">
      <c r="A410" s="123">
        <v>3</v>
      </c>
      <c r="B410" s="97" t="s">
        <v>212</v>
      </c>
      <c r="C410" s="106">
        <v>1</v>
      </c>
      <c r="D410" s="4">
        <f>700+120+20</f>
        <v>840</v>
      </c>
      <c r="E410" s="5"/>
      <c r="F410" s="5"/>
      <c r="G410" s="5"/>
      <c r="H410" s="5"/>
      <c r="I410" s="5"/>
      <c r="J410" s="5"/>
      <c r="K410" s="5"/>
      <c r="L410" s="5"/>
      <c r="M410" s="5"/>
      <c r="N410" s="5"/>
      <c r="O410" s="5"/>
      <c r="P410" s="5"/>
      <c r="Q410" s="5"/>
      <c r="R410" s="5"/>
      <c r="S410" s="5"/>
      <c r="T410" s="5"/>
      <c r="U410" s="13">
        <f>700+120</f>
        <v>820</v>
      </c>
      <c r="V410" s="5">
        <v>5488</v>
      </c>
      <c r="W410" s="15">
        <f t="shared" si="20"/>
        <v>4500160</v>
      </c>
    </row>
    <row r="411" spans="1:24" s="155" customFormat="1" x14ac:dyDescent="0.25">
      <c r="A411" s="123">
        <v>4</v>
      </c>
      <c r="B411" s="97" t="s">
        <v>213</v>
      </c>
      <c r="C411" s="106">
        <v>1</v>
      </c>
      <c r="D411" s="4">
        <f>1000+700+9+3+6+10+4+6+4+6+12</f>
        <v>1760</v>
      </c>
      <c r="E411" s="5"/>
      <c r="F411" s="5"/>
      <c r="G411" s="5"/>
      <c r="H411" s="5"/>
      <c r="I411" s="5"/>
      <c r="J411" s="5"/>
      <c r="K411" s="5"/>
      <c r="L411" s="5"/>
      <c r="M411" s="5"/>
      <c r="N411" s="5"/>
      <c r="O411" s="5"/>
      <c r="P411" s="5"/>
      <c r="Q411" s="5"/>
      <c r="R411" s="5"/>
      <c r="S411" s="5"/>
      <c r="T411" s="5"/>
      <c r="U411" s="13">
        <v>1760</v>
      </c>
      <c r="V411" s="5">
        <v>8333</v>
      </c>
      <c r="W411" s="15">
        <f t="shared" si="20"/>
        <v>14666080</v>
      </c>
    </row>
    <row r="412" spans="1:24" s="155" customFormat="1" x14ac:dyDescent="0.25">
      <c r="A412" s="123">
        <v>5</v>
      </c>
      <c r="B412" s="97" t="s">
        <v>214</v>
      </c>
      <c r="C412" s="106">
        <v>1</v>
      </c>
      <c r="D412" s="4">
        <v>1500</v>
      </c>
      <c r="E412" s="5"/>
      <c r="F412" s="5"/>
      <c r="G412" s="5"/>
      <c r="H412" s="5"/>
      <c r="I412" s="5"/>
      <c r="J412" s="5"/>
      <c r="K412" s="5"/>
      <c r="L412" s="5"/>
      <c r="M412" s="5"/>
      <c r="N412" s="5"/>
      <c r="O412" s="5"/>
      <c r="P412" s="5"/>
      <c r="Q412" s="5"/>
      <c r="R412" s="5"/>
      <c r="S412" s="5"/>
      <c r="T412" s="5"/>
      <c r="U412" s="13">
        <f t="shared" si="22"/>
        <v>1500</v>
      </c>
      <c r="V412" s="5">
        <v>4250</v>
      </c>
      <c r="W412" s="15">
        <f t="shared" si="20"/>
        <v>6375000</v>
      </c>
    </row>
    <row r="413" spans="1:24" s="155" customFormat="1" x14ac:dyDescent="0.25">
      <c r="A413" s="123">
        <v>6</v>
      </c>
      <c r="B413" s="97" t="s">
        <v>215</v>
      </c>
      <c r="C413" s="106">
        <v>1</v>
      </c>
      <c r="D413" s="4">
        <v>1200</v>
      </c>
      <c r="E413" s="5"/>
      <c r="F413" s="5"/>
      <c r="G413" s="5"/>
      <c r="H413" s="5"/>
      <c r="I413" s="5"/>
      <c r="J413" s="5"/>
      <c r="K413" s="5"/>
      <c r="L413" s="5"/>
      <c r="M413" s="5"/>
      <c r="N413" s="5"/>
      <c r="O413" s="5"/>
      <c r="P413" s="5"/>
      <c r="Q413" s="5"/>
      <c r="R413" s="5"/>
      <c r="S413" s="5"/>
      <c r="T413" s="5"/>
      <c r="U413" s="13">
        <f t="shared" si="22"/>
        <v>1200</v>
      </c>
      <c r="V413" s="5">
        <v>609</v>
      </c>
      <c r="W413" s="15">
        <f t="shared" si="20"/>
        <v>730800</v>
      </c>
    </row>
    <row r="414" spans="1:24" s="155" customFormat="1" x14ac:dyDescent="0.25">
      <c r="A414" s="123">
        <v>7</v>
      </c>
      <c r="B414" s="97" t="s">
        <v>216</v>
      </c>
      <c r="C414" s="106">
        <v>1</v>
      </c>
      <c r="D414" s="4">
        <f>250+2100+9+6+12+6+6+6+6+8+6</f>
        <v>2415</v>
      </c>
      <c r="E414" s="5"/>
      <c r="F414" s="5"/>
      <c r="G414" s="5"/>
      <c r="H414" s="5"/>
      <c r="I414" s="5"/>
      <c r="J414" s="5"/>
      <c r="K414" s="5"/>
      <c r="L414" s="5"/>
      <c r="M414" s="5"/>
      <c r="N414" s="5"/>
      <c r="O414" s="5"/>
      <c r="P414" s="5"/>
      <c r="Q414" s="5"/>
      <c r="R414" s="5"/>
      <c r="S414" s="5"/>
      <c r="T414" s="5"/>
      <c r="U414" s="13">
        <f>2100+250</f>
        <v>2350</v>
      </c>
      <c r="V414" s="5">
        <v>1797</v>
      </c>
      <c r="W414" s="15">
        <f t="shared" si="20"/>
        <v>4222950</v>
      </c>
    </row>
    <row r="415" spans="1:24" s="155" customFormat="1" x14ac:dyDescent="0.25">
      <c r="A415" s="123">
        <v>8</v>
      </c>
      <c r="B415" s="97" t="s">
        <v>217</v>
      </c>
      <c r="C415" s="106">
        <v>1</v>
      </c>
      <c r="D415" s="4">
        <v>1000</v>
      </c>
      <c r="E415" s="5"/>
      <c r="F415" s="5"/>
      <c r="G415" s="5"/>
      <c r="H415" s="5"/>
      <c r="I415" s="5"/>
      <c r="J415" s="5"/>
      <c r="K415" s="5"/>
      <c r="L415" s="5"/>
      <c r="M415" s="5"/>
      <c r="N415" s="5"/>
      <c r="O415" s="5"/>
      <c r="P415" s="5"/>
      <c r="Q415" s="5"/>
      <c r="R415" s="5"/>
      <c r="S415" s="5"/>
      <c r="T415" s="5"/>
      <c r="U415" s="13">
        <f t="shared" si="22"/>
        <v>1000</v>
      </c>
      <c r="V415" s="5">
        <v>599</v>
      </c>
      <c r="W415" s="15">
        <f t="shared" si="20"/>
        <v>599000</v>
      </c>
    </row>
    <row r="416" spans="1:24" s="155" customFormat="1" x14ac:dyDescent="0.25">
      <c r="A416" s="123">
        <v>9</v>
      </c>
      <c r="B416" s="97" t="s">
        <v>218</v>
      </c>
      <c r="C416" s="106">
        <v>1</v>
      </c>
      <c r="D416" s="4">
        <v>700</v>
      </c>
      <c r="E416" s="5"/>
      <c r="F416" s="5"/>
      <c r="G416" s="5"/>
      <c r="H416" s="5"/>
      <c r="I416" s="5"/>
      <c r="J416" s="5"/>
      <c r="K416" s="5"/>
      <c r="L416" s="5"/>
      <c r="M416" s="5"/>
      <c r="N416" s="5"/>
      <c r="O416" s="5"/>
      <c r="P416" s="5"/>
      <c r="Q416" s="5"/>
      <c r="R416" s="5"/>
      <c r="S416" s="5"/>
      <c r="T416" s="5"/>
      <c r="U416" s="13">
        <f t="shared" si="22"/>
        <v>700</v>
      </c>
      <c r="V416" s="5">
        <v>358</v>
      </c>
      <c r="W416" s="15">
        <f t="shared" si="20"/>
        <v>250600</v>
      </c>
    </row>
    <row r="417" spans="1:24" s="155" customFormat="1" x14ac:dyDescent="0.25">
      <c r="A417" s="123">
        <v>10</v>
      </c>
      <c r="B417" s="97" t="s">
        <v>219</v>
      </c>
      <c r="C417" s="106">
        <v>1</v>
      </c>
      <c r="D417" s="4">
        <v>500</v>
      </c>
      <c r="E417" s="5"/>
      <c r="F417" s="5"/>
      <c r="G417" s="5"/>
      <c r="H417" s="5"/>
      <c r="I417" s="5"/>
      <c r="J417" s="5"/>
      <c r="K417" s="5"/>
      <c r="L417" s="5"/>
      <c r="M417" s="5"/>
      <c r="N417" s="5"/>
      <c r="O417" s="5"/>
      <c r="P417" s="5"/>
      <c r="Q417" s="5"/>
      <c r="R417" s="5"/>
      <c r="S417" s="5"/>
      <c r="T417" s="5"/>
      <c r="U417" s="13">
        <f t="shared" si="22"/>
        <v>500</v>
      </c>
      <c r="V417" s="5">
        <v>208</v>
      </c>
      <c r="W417" s="15">
        <f t="shared" si="20"/>
        <v>104000</v>
      </c>
    </row>
    <row r="418" spans="1:24" s="155" customFormat="1" x14ac:dyDescent="0.25">
      <c r="A418" s="123">
        <v>11</v>
      </c>
      <c r="B418" s="817" t="s">
        <v>220</v>
      </c>
      <c r="C418" s="106">
        <v>1</v>
      </c>
      <c r="D418" s="4">
        <v>500</v>
      </c>
      <c r="E418" s="5"/>
      <c r="F418" s="5"/>
      <c r="G418" s="5"/>
      <c r="H418" s="5"/>
      <c r="I418" s="5"/>
      <c r="J418" s="5"/>
      <c r="K418" s="5"/>
      <c r="L418" s="5"/>
      <c r="M418" s="5"/>
      <c r="N418" s="5"/>
      <c r="O418" s="5"/>
      <c r="P418" s="5"/>
      <c r="Q418" s="5"/>
      <c r="R418" s="5"/>
      <c r="S418" s="5"/>
      <c r="T418" s="5"/>
      <c r="U418" s="13">
        <f t="shared" si="22"/>
        <v>500</v>
      </c>
      <c r="V418" s="5">
        <v>184</v>
      </c>
      <c r="W418" s="15">
        <f t="shared" si="20"/>
        <v>92000</v>
      </c>
    </row>
    <row r="419" spans="1:24" s="155" customFormat="1" x14ac:dyDescent="0.25">
      <c r="A419" s="123">
        <v>12</v>
      </c>
      <c r="B419" s="817" t="s">
        <v>221</v>
      </c>
      <c r="C419" s="106">
        <v>1</v>
      </c>
      <c r="D419" s="4">
        <v>200</v>
      </c>
      <c r="E419" s="5"/>
      <c r="F419" s="5"/>
      <c r="G419" s="5"/>
      <c r="H419" s="5"/>
      <c r="I419" s="5"/>
      <c r="J419" s="5"/>
      <c r="K419" s="5"/>
      <c r="L419" s="5"/>
      <c r="M419" s="5"/>
      <c r="N419" s="5"/>
      <c r="O419" s="5"/>
      <c r="P419" s="5"/>
      <c r="Q419" s="5"/>
      <c r="R419" s="5"/>
      <c r="S419" s="5"/>
      <c r="T419" s="5"/>
      <c r="U419" s="13">
        <f t="shared" si="22"/>
        <v>200</v>
      </c>
      <c r="V419" s="5">
        <v>49</v>
      </c>
      <c r="W419" s="15">
        <f t="shared" si="20"/>
        <v>9800</v>
      </c>
    </row>
    <row r="420" spans="1:24" s="155" customFormat="1" x14ac:dyDescent="0.25">
      <c r="A420" s="123">
        <v>13</v>
      </c>
      <c r="B420" s="97" t="s">
        <v>222</v>
      </c>
      <c r="C420" s="106">
        <v>1</v>
      </c>
      <c r="D420" s="4">
        <v>150</v>
      </c>
      <c r="E420" s="5"/>
      <c r="F420" s="5"/>
      <c r="G420" s="5"/>
      <c r="H420" s="5"/>
      <c r="I420" s="5"/>
      <c r="J420" s="5"/>
      <c r="K420" s="5"/>
      <c r="L420" s="5"/>
      <c r="M420" s="5"/>
      <c r="N420" s="5"/>
      <c r="O420" s="5"/>
      <c r="P420" s="5"/>
      <c r="Q420" s="5"/>
      <c r="R420" s="5"/>
      <c r="S420" s="5"/>
      <c r="T420" s="5"/>
      <c r="U420" s="13">
        <f t="shared" si="22"/>
        <v>150</v>
      </c>
      <c r="V420" s="5">
        <v>3935</v>
      </c>
      <c r="W420" s="15">
        <f t="shared" si="20"/>
        <v>590250</v>
      </c>
    </row>
    <row r="421" spans="1:24" s="155" customFormat="1" x14ac:dyDescent="0.25">
      <c r="A421" s="123">
        <v>14</v>
      </c>
      <c r="B421" s="97" t="s">
        <v>223</v>
      </c>
      <c r="C421" s="107">
        <v>1</v>
      </c>
      <c r="D421" s="4">
        <f>1200+60+110+30+60+120+40+60+40+150</f>
        <v>1870</v>
      </c>
      <c r="E421" s="5"/>
      <c r="F421" s="5"/>
      <c r="G421" s="5"/>
      <c r="H421" s="5"/>
      <c r="I421" s="5"/>
      <c r="J421" s="5"/>
      <c r="K421" s="5"/>
      <c r="L421" s="5"/>
      <c r="M421" s="5"/>
      <c r="N421" s="5"/>
      <c r="O421" s="5"/>
      <c r="P421" s="5"/>
      <c r="Q421" s="5"/>
      <c r="R421" s="5"/>
      <c r="S421" s="5"/>
      <c r="T421" s="5"/>
      <c r="U421" s="13">
        <f>1200+670</f>
        <v>1870</v>
      </c>
      <c r="V421" s="5">
        <v>399</v>
      </c>
      <c r="W421" s="15">
        <f t="shared" si="20"/>
        <v>746130</v>
      </c>
    </row>
    <row r="422" spans="1:24" s="155" customFormat="1" x14ac:dyDescent="0.25">
      <c r="A422" s="123">
        <v>15</v>
      </c>
      <c r="B422" s="97" t="s">
        <v>224</v>
      </c>
      <c r="C422" s="106">
        <v>1</v>
      </c>
      <c r="D422" s="4">
        <f>55000+3200+930+30+380+1130+50+380+50+290+150</f>
        <v>61590</v>
      </c>
      <c r="E422" s="5"/>
      <c r="F422" s="5"/>
      <c r="G422" s="5"/>
      <c r="H422" s="5"/>
      <c r="I422" s="5"/>
      <c r="J422" s="5"/>
      <c r="K422" s="5"/>
      <c r="L422" s="5"/>
      <c r="M422" s="5"/>
      <c r="N422" s="5"/>
      <c r="O422" s="5"/>
      <c r="P422" s="5"/>
      <c r="Q422" s="5"/>
      <c r="R422" s="5"/>
      <c r="S422" s="5"/>
      <c r="T422" s="5"/>
      <c r="U422" s="13">
        <f>55000+3200</f>
        <v>58200</v>
      </c>
      <c r="V422" s="5">
        <v>246</v>
      </c>
      <c r="W422" s="15">
        <f t="shared" si="20"/>
        <v>14317200</v>
      </c>
      <c r="X422" s="155">
        <f>SUM(W408:W422)</f>
        <v>99163570</v>
      </c>
    </row>
    <row r="423" spans="1:24" s="155" customFormat="1" x14ac:dyDescent="0.25">
      <c r="A423" s="123">
        <v>16</v>
      </c>
      <c r="B423" s="97" t="s">
        <v>225</v>
      </c>
      <c r="C423" s="106">
        <v>1</v>
      </c>
      <c r="D423" s="4">
        <v>2</v>
      </c>
      <c r="E423" s="5"/>
      <c r="F423" s="5"/>
      <c r="G423" s="5"/>
      <c r="H423" s="5"/>
      <c r="I423" s="5"/>
      <c r="J423" s="5"/>
      <c r="K423" s="5"/>
      <c r="L423" s="5"/>
      <c r="M423" s="5"/>
      <c r="N423" s="5"/>
      <c r="O423" s="5"/>
      <c r="P423" s="5"/>
      <c r="Q423" s="5"/>
      <c r="R423" s="5"/>
      <c r="S423" s="5"/>
      <c r="T423" s="5"/>
      <c r="U423" s="13">
        <f t="shared" si="22"/>
        <v>2</v>
      </c>
      <c r="V423" s="5">
        <v>2189000</v>
      </c>
      <c r="W423" s="15">
        <f t="shared" si="20"/>
        <v>4378000</v>
      </c>
      <c r="X423" s="188">
        <f>SUM(W423:W435)</f>
        <v>40761205</v>
      </c>
    </row>
    <row r="424" spans="1:24" s="155" customFormat="1" x14ac:dyDescent="0.25">
      <c r="A424" s="123">
        <v>17</v>
      </c>
      <c r="B424" s="817" t="s">
        <v>226</v>
      </c>
      <c r="C424" s="106">
        <v>1</v>
      </c>
      <c r="D424" s="4">
        <v>5</v>
      </c>
      <c r="E424" s="5"/>
      <c r="F424" s="5"/>
      <c r="G424" s="5"/>
      <c r="H424" s="5"/>
      <c r="I424" s="5"/>
      <c r="J424" s="5"/>
      <c r="K424" s="5"/>
      <c r="L424" s="5"/>
      <c r="M424" s="5"/>
      <c r="N424" s="5"/>
      <c r="O424" s="5"/>
      <c r="P424" s="5"/>
      <c r="Q424" s="5"/>
      <c r="R424" s="5"/>
      <c r="S424" s="5"/>
      <c r="T424" s="5"/>
      <c r="U424" s="13">
        <f t="shared" si="22"/>
        <v>5</v>
      </c>
      <c r="V424" s="5">
        <v>506760</v>
      </c>
      <c r="W424" s="15">
        <f t="shared" si="20"/>
        <v>2533800</v>
      </c>
    </row>
    <row r="425" spans="1:24" s="155" customFormat="1" x14ac:dyDescent="0.25">
      <c r="A425" s="123">
        <v>18</v>
      </c>
      <c r="B425" s="817" t="s">
        <v>227</v>
      </c>
      <c r="C425" s="106">
        <v>1</v>
      </c>
      <c r="D425" s="4">
        <v>5</v>
      </c>
      <c r="E425" s="5"/>
      <c r="F425" s="5"/>
      <c r="G425" s="5"/>
      <c r="H425" s="5"/>
      <c r="I425" s="5"/>
      <c r="J425" s="5"/>
      <c r="K425" s="5"/>
      <c r="L425" s="5"/>
      <c r="M425" s="5"/>
      <c r="N425" s="5"/>
      <c r="O425" s="5"/>
      <c r="P425" s="5"/>
      <c r="Q425" s="5"/>
      <c r="R425" s="5"/>
      <c r="S425" s="5"/>
      <c r="T425" s="5"/>
      <c r="U425" s="13">
        <f t="shared" si="22"/>
        <v>5</v>
      </c>
      <c r="V425" s="5">
        <v>400567</v>
      </c>
      <c r="W425" s="15">
        <f t="shared" si="20"/>
        <v>2002835</v>
      </c>
    </row>
    <row r="426" spans="1:24" s="155" customFormat="1" x14ac:dyDescent="0.25">
      <c r="A426" s="123">
        <v>19</v>
      </c>
      <c r="B426" s="817" t="s">
        <v>228</v>
      </c>
      <c r="C426" s="106">
        <v>1</v>
      </c>
      <c r="D426" s="4">
        <v>40</v>
      </c>
      <c r="E426" s="5"/>
      <c r="F426" s="5"/>
      <c r="G426" s="5"/>
      <c r="H426" s="5"/>
      <c r="I426" s="5"/>
      <c r="J426" s="5"/>
      <c r="K426" s="5"/>
      <c r="L426" s="5"/>
      <c r="M426" s="5"/>
      <c r="N426" s="5"/>
      <c r="O426" s="5"/>
      <c r="P426" s="5"/>
      <c r="Q426" s="5"/>
      <c r="R426" s="5"/>
      <c r="S426" s="5"/>
      <c r="T426" s="5"/>
      <c r="U426" s="13">
        <f t="shared" si="22"/>
        <v>40</v>
      </c>
      <c r="V426" s="5">
        <v>286340</v>
      </c>
      <c r="W426" s="15">
        <f t="shared" si="20"/>
        <v>11453600</v>
      </c>
    </row>
    <row r="427" spans="1:24" s="155" customFormat="1" x14ac:dyDescent="0.25">
      <c r="A427" s="123">
        <v>23</v>
      </c>
      <c r="B427" s="97" t="s">
        <v>229</v>
      </c>
      <c r="C427" s="106">
        <v>1</v>
      </c>
      <c r="D427" s="4">
        <v>60</v>
      </c>
      <c r="E427" s="5"/>
      <c r="F427" s="5"/>
      <c r="G427" s="5"/>
      <c r="H427" s="5"/>
      <c r="I427" s="5"/>
      <c r="J427" s="5"/>
      <c r="K427" s="5"/>
      <c r="L427" s="5"/>
      <c r="M427" s="5"/>
      <c r="N427" s="5"/>
      <c r="O427" s="5"/>
      <c r="P427" s="5"/>
      <c r="Q427" s="5"/>
      <c r="R427" s="5"/>
      <c r="S427" s="5"/>
      <c r="T427" s="5"/>
      <c r="U427" s="13">
        <f t="shared" si="22"/>
        <v>60</v>
      </c>
      <c r="V427" s="5">
        <v>24290</v>
      </c>
      <c r="W427" s="15">
        <f t="shared" si="20"/>
        <v>1457400</v>
      </c>
    </row>
    <row r="428" spans="1:24" s="155" customFormat="1" x14ac:dyDescent="0.25">
      <c r="A428" s="123">
        <v>25</v>
      </c>
      <c r="B428" s="97" t="s">
        <v>230</v>
      </c>
      <c r="C428" s="106">
        <v>1</v>
      </c>
      <c r="D428" s="4">
        <v>500</v>
      </c>
      <c r="E428" s="5"/>
      <c r="F428" s="5"/>
      <c r="G428" s="5"/>
      <c r="H428" s="5"/>
      <c r="I428" s="5"/>
      <c r="J428" s="5"/>
      <c r="K428" s="5"/>
      <c r="L428" s="5"/>
      <c r="M428" s="5"/>
      <c r="N428" s="5"/>
      <c r="O428" s="5"/>
      <c r="P428" s="5"/>
      <c r="Q428" s="5"/>
      <c r="R428" s="5"/>
      <c r="S428" s="5"/>
      <c r="T428" s="5"/>
      <c r="U428" s="13">
        <f t="shared" si="22"/>
        <v>500</v>
      </c>
      <c r="V428" s="5">
        <v>198</v>
      </c>
      <c r="W428" s="15">
        <f t="shared" si="20"/>
        <v>99000</v>
      </c>
    </row>
    <row r="429" spans="1:24" s="155" customFormat="1" x14ac:dyDescent="0.25">
      <c r="A429" s="123">
        <v>26</v>
      </c>
      <c r="B429" s="97" t="s">
        <v>231</v>
      </c>
      <c r="C429" s="106">
        <v>1</v>
      </c>
      <c r="D429" s="4">
        <v>183</v>
      </c>
      <c r="E429" s="5"/>
      <c r="F429" s="5"/>
      <c r="G429" s="5"/>
      <c r="H429" s="5"/>
      <c r="I429" s="5"/>
      <c r="J429" s="5"/>
      <c r="K429" s="5"/>
      <c r="L429" s="5"/>
      <c r="M429" s="5"/>
      <c r="N429" s="5"/>
      <c r="O429" s="5"/>
      <c r="P429" s="5"/>
      <c r="Q429" s="5"/>
      <c r="R429" s="5"/>
      <c r="S429" s="5"/>
      <c r="T429" s="5"/>
      <c r="U429" s="13">
        <f t="shared" si="22"/>
        <v>183</v>
      </c>
      <c r="V429" s="5">
        <v>18250</v>
      </c>
      <c r="W429" s="15">
        <f t="shared" si="20"/>
        <v>3339750</v>
      </c>
    </row>
    <row r="430" spans="1:24" s="155" customFormat="1" x14ac:dyDescent="0.25">
      <c r="A430" s="123">
        <v>27</v>
      </c>
      <c r="B430" s="817" t="s">
        <v>232</v>
      </c>
      <c r="C430" s="106">
        <v>1</v>
      </c>
      <c r="D430" s="4">
        <v>50</v>
      </c>
      <c r="E430" s="5"/>
      <c r="F430" s="5"/>
      <c r="G430" s="5"/>
      <c r="H430" s="5"/>
      <c r="I430" s="5"/>
      <c r="J430" s="5"/>
      <c r="K430" s="5"/>
      <c r="L430" s="5"/>
      <c r="M430" s="5"/>
      <c r="N430" s="5"/>
      <c r="O430" s="5"/>
      <c r="P430" s="5"/>
      <c r="Q430" s="5"/>
      <c r="R430" s="5"/>
      <c r="S430" s="5"/>
      <c r="T430" s="5"/>
      <c r="U430" s="13">
        <f t="shared" si="22"/>
        <v>50</v>
      </c>
      <c r="V430" s="5">
        <v>4770</v>
      </c>
      <c r="W430" s="15">
        <f t="shared" si="20"/>
        <v>238500</v>
      </c>
    </row>
    <row r="431" spans="1:24" s="155" customFormat="1" x14ac:dyDescent="0.25">
      <c r="A431" s="123">
        <v>28</v>
      </c>
      <c r="B431" s="817" t="s">
        <v>233</v>
      </c>
      <c r="C431" s="106">
        <v>1</v>
      </c>
      <c r="D431" s="4">
        <v>50</v>
      </c>
      <c r="E431" s="5"/>
      <c r="F431" s="5"/>
      <c r="G431" s="5"/>
      <c r="H431" s="5"/>
      <c r="I431" s="5"/>
      <c r="J431" s="5"/>
      <c r="K431" s="5"/>
      <c r="L431" s="5"/>
      <c r="M431" s="5"/>
      <c r="N431" s="5"/>
      <c r="O431" s="5"/>
      <c r="P431" s="5"/>
      <c r="Q431" s="5"/>
      <c r="R431" s="5"/>
      <c r="S431" s="5"/>
      <c r="T431" s="5"/>
      <c r="U431" s="13">
        <f t="shared" si="22"/>
        <v>50</v>
      </c>
      <c r="V431" s="5">
        <v>10900</v>
      </c>
      <c r="W431" s="15">
        <f t="shared" si="20"/>
        <v>545000</v>
      </c>
    </row>
    <row r="432" spans="1:24" s="155" customFormat="1" x14ac:dyDescent="0.25">
      <c r="A432" s="123">
        <v>29</v>
      </c>
      <c r="B432" s="817" t="s">
        <v>234</v>
      </c>
      <c r="C432" s="106">
        <v>1</v>
      </c>
      <c r="D432" s="4">
        <v>500</v>
      </c>
      <c r="E432" s="5"/>
      <c r="F432" s="5"/>
      <c r="G432" s="5"/>
      <c r="H432" s="5"/>
      <c r="I432" s="5"/>
      <c r="J432" s="5"/>
      <c r="K432" s="5"/>
      <c r="L432" s="5"/>
      <c r="M432" s="5"/>
      <c r="N432" s="5"/>
      <c r="O432" s="5"/>
      <c r="P432" s="5"/>
      <c r="Q432" s="5"/>
      <c r="R432" s="5"/>
      <c r="S432" s="5"/>
      <c r="T432" s="5"/>
      <c r="U432" s="13">
        <f t="shared" si="22"/>
        <v>500</v>
      </c>
      <c r="V432" s="5">
        <v>23650</v>
      </c>
      <c r="W432" s="15">
        <f t="shared" si="20"/>
        <v>11825000</v>
      </c>
    </row>
    <row r="433" spans="1:25" s="155" customFormat="1" ht="45" x14ac:dyDescent="0.25">
      <c r="A433" s="123">
        <v>30</v>
      </c>
      <c r="B433" s="817" t="s">
        <v>235</v>
      </c>
      <c r="C433" s="106">
        <v>1</v>
      </c>
      <c r="D433" s="4">
        <v>200</v>
      </c>
      <c r="E433" s="5"/>
      <c r="F433" s="5"/>
      <c r="G433" s="5"/>
      <c r="H433" s="5"/>
      <c r="I433" s="5"/>
      <c r="J433" s="5"/>
      <c r="K433" s="5"/>
      <c r="L433" s="5"/>
      <c r="M433" s="5"/>
      <c r="N433" s="5"/>
      <c r="O433" s="5"/>
      <c r="P433" s="5"/>
      <c r="Q433" s="5"/>
      <c r="R433" s="5"/>
      <c r="S433" s="5"/>
      <c r="T433" s="5"/>
      <c r="U433" s="13">
        <f t="shared" si="22"/>
        <v>200</v>
      </c>
      <c r="V433" s="5">
        <v>3378.5</v>
      </c>
      <c r="W433" s="15">
        <f t="shared" si="20"/>
        <v>675700</v>
      </c>
    </row>
    <row r="434" spans="1:25" s="155" customFormat="1" ht="60" x14ac:dyDescent="0.25">
      <c r="A434" s="123">
        <v>31</v>
      </c>
      <c r="B434" s="817" t="s">
        <v>236</v>
      </c>
      <c r="C434" s="106">
        <v>1</v>
      </c>
      <c r="D434" s="4">
        <v>200</v>
      </c>
      <c r="E434" s="5"/>
      <c r="F434" s="5"/>
      <c r="G434" s="5"/>
      <c r="H434" s="5"/>
      <c r="I434" s="5"/>
      <c r="J434" s="5"/>
      <c r="K434" s="5"/>
      <c r="L434" s="5"/>
      <c r="M434" s="5"/>
      <c r="N434" s="5"/>
      <c r="O434" s="5"/>
      <c r="P434" s="5"/>
      <c r="Q434" s="5"/>
      <c r="R434" s="5"/>
      <c r="S434" s="5"/>
      <c r="T434" s="5"/>
      <c r="U434" s="13">
        <f t="shared" si="22"/>
        <v>200</v>
      </c>
      <c r="V434" s="5">
        <v>6949.8</v>
      </c>
      <c r="W434" s="15">
        <f t="shared" si="20"/>
        <v>1389960</v>
      </c>
    </row>
    <row r="435" spans="1:25" s="155" customFormat="1" ht="30" x14ac:dyDescent="0.25">
      <c r="A435" s="123">
        <v>32</v>
      </c>
      <c r="B435" s="817" t="s">
        <v>237</v>
      </c>
      <c r="C435" s="106">
        <v>1</v>
      </c>
      <c r="D435" s="4">
        <v>200</v>
      </c>
      <c r="E435" s="5"/>
      <c r="F435" s="5"/>
      <c r="G435" s="5"/>
      <c r="H435" s="5"/>
      <c r="I435" s="5"/>
      <c r="J435" s="5"/>
      <c r="K435" s="5"/>
      <c r="L435" s="5"/>
      <c r="M435" s="5"/>
      <c r="N435" s="5"/>
      <c r="O435" s="5"/>
      <c r="P435" s="5"/>
      <c r="Q435" s="5"/>
      <c r="R435" s="5"/>
      <c r="S435" s="5"/>
      <c r="T435" s="5"/>
      <c r="U435" s="13">
        <f t="shared" si="22"/>
        <v>200</v>
      </c>
      <c r="V435" s="5">
        <v>4113.3</v>
      </c>
      <c r="W435" s="15">
        <f t="shared" si="20"/>
        <v>822660</v>
      </c>
    </row>
    <row r="436" spans="1:25" s="155" customFormat="1" x14ac:dyDescent="0.25">
      <c r="A436" s="123">
        <v>33</v>
      </c>
      <c r="B436" s="817" t="s">
        <v>238</v>
      </c>
      <c r="C436" s="106">
        <v>1</v>
      </c>
      <c r="D436" s="4">
        <v>5000</v>
      </c>
      <c r="E436" s="5"/>
      <c r="F436" s="5"/>
      <c r="G436" s="5"/>
      <c r="H436" s="5"/>
      <c r="I436" s="5"/>
      <c r="J436" s="5"/>
      <c r="K436" s="5"/>
      <c r="L436" s="5"/>
      <c r="M436" s="5"/>
      <c r="N436" s="5"/>
      <c r="O436" s="5"/>
      <c r="P436" s="5"/>
      <c r="Q436" s="5"/>
      <c r="R436" s="5"/>
      <c r="S436" s="5"/>
      <c r="T436" s="5"/>
      <c r="U436" s="13">
        <f t="shared" si="22"/>
        <v>5000</v>
      </c>
      <c r="V436" s="5">
        <v>976</v>
      </c>
      <c r="W436" s="15">
        <f t="shared" si="20"/>
        <v>4880000</v>
      </c>
    </row>
    <row r="437" spans="1:25" s="155" customFormat="1" x14ac:dyDescent="0.25">
      <c r="A437" s="123">
        <v>34</v>
      </c>
      <c r="B437" s="817" t="s">
        <v>239</v>
      </c>
      <c r="C437" s="106">
        <v>1</v>
      </c>
      <c r="D437" s="4">
        <v>50</v>
      </c>
      <c r="E437" s="5"/>
      <c r="F437" s="5"/>
      <c r="G437" s="5"/>
      <c r="H437" s="5"/>
      <c r="I437" s="5"/>
      <c r="J437" s="5"/>
      <c r="K437" s="5"/>
      <c r="L437" s="5"/>
      <c r="M437" s="5"/>
      <c r="N437" s="5"/>
      <c r="O437" s="5"/>
      <c r="P437" s="5"/>
      <c r="Q437" s="5"/>
      <c r="R437" s="5"/>
      <c r="S437" s="5"/>
      <c r="T437" s="5"/>
      <c r="U437" s="13">
        <f t="shared" si="22"/>
        <v>50</v>
      </c>
      <c r="V437" s="5">
        <v>48900</v>
      </c>
      <c r="W437" s="15">
        <f t="shared" si="20"/>
        <v>2445000</v>
      </c>
    </row>
    <row r="438" spans="1:25" s="155" customFormat="1" x14ac:dyDescent="0.25">
      <c r="A438" s="123">
        <v>35</v>
      </c>
      <c r="B438" s="817" t="s">
        <v>240</v>
      </c>
      <c r="C438" s="106">
        <v>1</v>
      </c>
      <c r="D438" s="4">
        <v>10</v>
      </c>
      <c r="E438" s="5"/>
      <c r="F438" s="5"/>
      <c r="G438" s="5"/>
      <c r="H438" s="5"/>
      <c r="I438" s="5"/>
      <c r="J438" s="5"/>
      <c r="K438" s="5"/>
      <c r="L438" s="5"/>
      <c r="M438" s="5"/>
      <c r="N438" s="5"/>
      <c r="O438" s="5"/>
      <c r="P438" s="5"/>
      <c r="Q438" s="5"/>
      <c r="R438" s="5"/>
      <c r="S438" s="5"/>
      <c r="T438" s="5"/>
      <c r="U438" s="13">
        <f t="shared" si="22"/>
        <v>10</v>
      </c>
      <c r="V438" s="5">
        <v>31300</v>
      </c>
      <c r="W438" s="15">
        <f t="shared" si="20"/>
        <v>313000</v>
      </c>
    </row>
    <row r="439" spans="1:25" s="155" customFormat="1" x14ac:dyDescent="0.25">
      <c r="A439" s="123">
        <v>36</v>
      </c>
      <c r="B439" s="817" t="s">
        <v>241</v>
      </c>
      <c r="C439" s="106">
        <v>1</v>
      </c>
      <c r="D439" s="4">
        <v>20</v>
      </c>
      <c r="E439" s="5"/>
      <c r="F439" s="5"/>
      <c r="G439" s="5"/>
      <c r="H439" s="5"/>
      <c r="I439" s="5"/>
      <c r="J439" s="5"/>
      <c r="K439" s="5"/>
      <c r="L439" s="5"/>
      <c r="M439" s="5"/>
      <c r="N439" s="5"/>
      <c r="O439" s="5"/>
      <c r="P439" s="5"/>
      <c r="Q439" s="5"/>
      <c r="R439" s="5"/>
      <c r="S439" s="5"/>
      <c r="T439" s="5"/>
      <c r="U439" s="13">
        <f t="shared" si="22"/>
        <v>20</v>
      </c>
      <c r="V439" s="5">
        <v>5488</v>
      </c>
      <c r="W439" s="15">
        <f t="shared" si="20"/>
        <v>109760</v>
      </c>
    </row>
    <row r="440" spans="1:25" s="155" customFormat="1" x14ac:dyDescent="0.25">
      <c r="A440" s="123">
        <v>37</v>
      </c>
      <c r="B440" s="817" t="s">
        <v>242</v>
      </c>
      <c r="C440" s="106">
        <v>1</v>
      </c>
      <c r="D440" s="4">
        <v>80</v>
      </c>
      <c r="E440" s="5"/>
      <c r="F440" s="5"/>
      <c r="G440" s="5"/>
      <c r="H440" s="5"/>
      <c r="I440" s="5"/>
      <c r="J440" s="5"/>
      <c r="K440" s="5"/>
      <c r="L440" s="5"/>
      <c r="M440" s="5"/>
      <c r="N440" s="5"/>
      <c r="O440" s="5"/>
      <c r="P440" s="5"/>
      <c r="Q440" s="5"/>
      <c r="R440" s="5"/>
      <c r="S440" s="5"/>
      <c r="T440" s="5"/>
      <c r="U440" s="13">
        <f t="shared" si="22"/>
        <v>80</v>
      </c>
      <c r="V440" s="5">
        <v>10530</v>
      </c>
      <c r="W440" s="15">
        <f t="shared" si="20"/>
        <v>842400</v>
      </c>
    </row>
    <row r="441" spans="1:25" s="155" customFormat="1" x14ac:dyDescent="0.25">
      <c r="A441" s="123">
        <v>38</v>
      </c>
      <c r="B441" s="817" t="s">
        <v>243</v>
      </c>
      <c r="C441" s="106">
        <v>1</v>
      </c>
      <c r="D441" s="4"/>
      <c r="E441" s="5"/>
      <c r="F441" s="5"/>
      <c r="G441" s="5"/>
      <c r="H441" s="5"/>
      <c r="I441" s="5"/>
      <c r="J441" s="5"/>
      <c r="K441" s="5"/>
      <c r="L441" s="5"/>
      <c r="M441" s="5"/>
      <c r="N441" s="5"/>
      <c r="O441" s="5"/>
      <c r="P441" s="5"/>
      <c r="Q441" s="5"/>
      <c r="R441" s="5"/>
      <c r="S441" s="5"/>
      <c r="T441" s="5"/>
      <c r="U441" s="13">
        <f t="shared" si="22"/>
        <v>0</v>
      </c>
      <c r="V441" s="5">
        <v>16263340</v>
      </c>
      <c r="W441" s="15">
        <f t="shared" ref="W441:W446" si="23">V441</f>
        <v>16263340</v>
      </c>
    </row>
    <row r="442" spans="1:25" s="155" customFormat="1" x14ac:dyDescent="0.25">
      <c r="A442" s="123">
        <v>39</v>
      </c>
      <c r="B442" s="817" t="s">
        <v>244</v>
      </c>
      <c r="C442" s="106">
        <v>1</v>
      </c>
      <c r="D442" s="4"/>
      <c r="E442" s="5"/>
      <c r="F442" s="5"/>
      <c r="G442" s="5"/>
      <c r="H442" s="5"/>
      <c r="I442" s="5"/>
      <c r="J442" s="5"/>
      <c r="K442" s="5"/>
      <c r="L442" s="5"/>
      <c r="M442" s="5"/>
      <c r="N442" s="5"/>
      <c r="O442" s="5"/>
      <c r="P442" s="5"/>
      <c r="Q442" s="5"/>
      <c r="R442" s="5"/>
      <c r="S442" s="5"/>
      <c r="T442" s="5"/>
      <c r="U442" s="13">
        <f t="shared" si="22"/>
        <v>0</v>
      </c>
      <c r="V442" s="5">
        <v>5598490</v>
      </c>
      <c r="W442" s="15">
        <f>V442</f>
        <v>5598490</v>
      </c>
    </row>
    <row r="443" spans="1:25" s="155" customFormat="1" x14ac:dyDescent="0.25">
      <c r="A443" s="123">
        <v>40</v>
      </c>
      <c r="B443" s="817" t="s">
        <v>245</v>
      </c>
      <c r="C443" s="106">
        <v>1</v>
      </c>
      <c r="D443" s="4"/>
      <c r="E443" s="5"/>
      <c r="F443" s="5"/>
      <c r="G443" s="5"/>
      <c r="H443" s="5"/>
      <c r="I443" s="5"/>
      <c r="J443" s="5"/>
      <c r="K443" s="5"/>
      <c r="L443" s="5"/>
      <c r="M443" s="5"/>
      <c r="N443" s="5"/>
      <c r="O443" s="5"/>
      <c r="P443" s="5"/>
      <c r="Q443" s="5"/>
      <c r="R443" s="5"/>
      <c r="S443" s="5"/>
      <c r="T443" s="5"/>
      <c r="U443" s="13">
        <f t="shared" si="22"/>
        <v>0</v>
      </c>
      <c r="V443" s="5">
        <v>1034832</v>
      </c>
      <c r="W443" s="15">
        <f t="shared" si="23"/>
        <v>1034832</v>
      </c>
    </row>
    <row r="444" spans="1:25" s="155" customFormat="1" x14ac:dyDescent="0.25">
      <c r="A444" s="123">
        <v>41</v>
      </c>
      <c r="B444" s="817" t="s">
        <v>246</v>
      </c>
      <c r="C444" s="106">
        <v>1</v>
      </c>
      <c r="D444" s="4"/>
      <c r="E444" s="5"/>
      <c r="F444" s="5"/>
      <c r="G444" s="5"/>
      <c r="H444" s="5"/>
      <c r="I444" s="5"/>
      <c r="J444" s="5"/>
      <c r="K444" s="5"/>
      <c r="L444" s="5"/>
      <c r="M444" s="5"/>
      <c r="N444" s="5"/>
      <c r="O444" s="5"/>
      <c r="P444" s="5"/>
      <c r="Q444" s="5"/>
      <c r="R444" s="5"/>
      <c r="S444" s="5"/>
      <c r="T444" s="5"/>
      <c r="U444" s="13">
        <f t="shared" si="22"/>
        <v>0</v>
      </c>
      <c r="V444" s="3">
        <v>8064000</v>
      </c>
      <c r="W444" s="15">
        <f t="shared" si="23"/>
        <v>8064000</v>
      </c>
    </row>
    <row r="445" spans="1:25" s="155" customFormat="1" x14ac:dyDescent="0.25">
      <c r="A445" s="123">
        <v>42</v>
      </c>
      <c r="B445" s="817" t="s">
        <v>247</v>
      </c>
      <c r="C445" s="106">
        <v>1</v>
      </c>
      <c r="D445" s="4"/>
      <c r="E445" s="5"/>
      <c r="F445" s="5"/>
      <c r="G445" s="5"/>
      <c r="H445" s="5"/>
      <c r="I445" s="5"/>
      <c r="J445" s="5"/>
      <c r="K445" s="5"/>
      <c r="L445" s="5"/>
      <c r="M445" s="5"/>
      <c r="N445" s="5"/>
      <c r="O445" s="5"/>
      <c r="P445" s="5"/>
      <c r="Q445" s="5"/>
      <c r="R445" s="5"/>
      <c r="S445" s="5"/>
      <c r="T445" s="5"/>
      <c r="U445" s="13">
        <f t="shared" si="22"/>
        <v>0</v>
      </c>
      <c r="V445" s="3">
        <v>42000000</v>
      </c>
      <c r="W445" s="15">
        <f t="shared" si="23"/>
        <v>42000000</v>
      </c>
    </row>
    <row r="446" spans="1:25" s="155" customFormat="1" x14ac:dyDescent="0.25">
      <c r="A446" s="123">
        <v>43</v>
      </c>
      <c r="B446" s="817" t="s">
        <v>248</v>
      </c>
      <c r="C446" s="106">
        <v>1</v>
      </c>
      <c r="D446" s="4"/>
      <c r="E446" s="5"/>
      <c r="F446" s="5"/>
      <c r="G446" s="5"/>
      <c r="H446" s="5"/>
      <c r="I446" s="5"/>
      <c r="J446" s="5"/>
      <c r="K446" s="5"/>
      <c r="L446" s="5"/>
      <c r="M446" s="5"/>
      <c r="N446" s="5"/>
      <c r="O446" s="5"/>
      <c r="P446" s="5"/>
      <c r="Q446" s="5"/>
      <c r="R446" s="5"/>
      <c r="S446" s="5"/>
      <c r="T446" s="5"/>
      <c r="U446" s="13">
        <f t="shared" si="22"/>
        <v>0</v>
      </c>
      <c r="V446" s="3">
        <v>2000000</v>
      </c>
      <c r="W446" s="15">
        <f t="shared" si="23"/>
        <v>2000000</v>
      </c>
      <c r="X446" s="155">
        <f>SUM(W408:W446)</f>
        <v>223475597</v>
      </c>
    </row>
    <row r="447" spans="1:25" s="155" customFormat="1" x14ac:dyDescent="0.25">
      <c r="A447" s="123">
        <v>44</v>
      </c>
      <c r="B447" s="817" t="s">
        <v>269</v>
      </c>
      <c r="C447" s="108">
        <v>1</v>
      </c>
      <c r="D447" s="103"/>
      <c r="E447" s="10"/>
      <c r="F447" s="10"/>
      <c r="G447" s="10"/>
      <c r="H447" s="10"/>
      <c r="I447" s="10"/>
      <c r="J447" s="10"/>
      <c r="K447" s="10"/>
      <c r="L447" s="10">
        <v>2</v>
      </c>
      <c r="M447" s="10"/>
      <c r="N447" s="10"/>
      <c r="O447" s="10"/>
      <c r="P447" s="10"/>
      <c r="Q447" s="10"/>
      <c r="R447" s="10"/>
      <c r="S447" s="10"/>
      <c r="T447" s="10"/>
      <c r="U447" s="13">
        <f t="shared" si="22"/>
        <v>2</v>
      </c>
      <c r="V447" s="5">
        <v>2375000</v>
      </c>
      <c r="W447" s="15">
        <f t="shared" si="20"/>
        <v>4750000</v>
      </c>
      <c r="X447" s="188">
        <f>SUM(W447:W465)</f>
        <v>13826383</v>
      </c>
      <c r="Y447" s="155">
        <v>14594316</v>
      </c>
    </row>
    <row r="448" spans="1:25" s="155" customFormat="1" x14ac:dyDescent="0.25">
      <c r="A448" s="123">
        <v>45</v>
      </c>
      <c r="B448" s="817" t="s">
        <v>263</v>
      </c>
      <c r="C448" s="108">
        <v>1</v>
      </c>
      <c r="D448" s="103"/>
      <c r="E448" s="10"/>
      <c r="F448" s="10"/>
      <c r="G448" s="10"/>
      <c r="H448" s="10">
        <v>1</v>
      </c>
      <c r="I448" s="10"/>
      <c r="J448" s="10">
        <v>1</v>
      </c>
      <c r="K448" s="10"/>
      <c r="L448" s="10"/>
      <c r="M448" s="10"/>
      <c r="N448" s="10"/>
      <c r="O448" s="10"/>
      <c r="P448" s="10"/>
      <c r="Q448" s="10"/>
      <c r="R448" s="10"/>
      <c r="S448" s="10"/>
      <c r="T448" s="10"/>
      <c r="U448" s="13">
        <f t="shared" si="22"/>
        <v>2</v>
      </c>
      <c r="V448" s="5">
        <v>904422</v>
      </c>
      <c r="W448" s="15">
        <f t="shared" si="20"/>
        <v>1808844</v>
      </c>
      <c r="Y448" s="189">
        <f>Y447-X447</f>
        <v>767933</v>
      </c>
    </row>
    <row r="449" spans="1:23" s="155" customFormat="1" x14ac:dyDescent="0.25">
      <c r="A449" s="123">
        <v>46</v>
      </c>
      <c r="B449" s="817" t="s">
        <v>264</v>
      </c>
      <c r="C449" s="108">
        <v>1</v>
      </c>
      <c r="D449" s="103"/>
      <c r="E449" s="10"/>
      <c r="F449" s="10"/>
      <c r="G449" s="10"/>
      <c r="H449" s="10">
        <v>1</v>
      </c>
      <c r="I449" s="10"/>
      <c r="J449" s="10">
        <v>1</v>
      </c>
      <c r="K449" s="10"/>
      <c r="L449" s="10">
        <v>5</v>
      </c>
      <c r="M449" s="10"/>
      <c r="N449" s="10"/>
      <c r="O449" s="10"/>
      <c r="P449" s="10"/>
      <c r="Q449" s="10"/>
      <c r="R449" s="10"/>
      <c r="S449" s="10"/>
      <c r="T449" s="10"/>
      <c r="U449" s="13">
        <f t="shared" si="22"/>
        <v>7</v>
      </c>
      <c r="V449" s="5">
        <v>24290</v>
      </c>
      <c r="W449" s="15">
        <f t="shared" si="20"/>
        <v>170030</v>
      </c>
    </row>
    <row r="450" spans="1:23" s="155" customFormat="1" x14ac:dyDescent="0.25">
      <c r="A450" s="123">
        <v>48</v>
      </c>
      <c r="B450" s="97" t="s">
        <v>265</v>
      </c>
      <c r="C450" s="108">
        <v>1</v>
      </c>
      <c r="D450" s="103"/>
      <c r="E450" s="10"/>
      <c r="F450" s="10"/>
      <c r="G450" s="10"/>
      <c r="H450" s="10">
        <v>1</v>
      </c>
      <c r="I450" s="10"/>
      <c r="J450" s="10">
        <v>1</v>
      </c>
      <c r="K450" s="10"/>
      <c r="L450" s="10">
        <v>25</v>
      </c>
      <c r="M450" s="10"/>
      <c r="N450" s="10"/>
      <c r="O450" s="10"/>
      <c r="P450" s="10"/>
      <c r="Q450" s="10"/>
      <c r="R450" s="10"/>
      <c r="S450" s="10"/>
      <c r="T450" s="10"/>
      <c r="U450" s="13">
        <f t="shared" si="22"/>
        <v>27</v>
      </c>
      <c r="V450" s="5">
        <v>23650</v>
      </c>
      <c r="W450" s="15">
        <f t="shared" si="20"/>
        <v>638550</v>
      </c>
    </row>
    <row r="451" spans="1:23" s="155" customFormat="1" x14ac:dyDescent="0.25">
      <c r="A451" s="123">
        <v>49</v>
      </c>
      <c r="B451" s="817" t="s">
        <v>266</v>
      </c>
      <c r="C451" s="108">
        <v>1</v>
      </c>
      <c r="D451" s="103"/>
      <c r="E451" s="10"/>
      <c r="F451" s="10"/>
      <c r="G451" s="10"/>
      <c r="H451" s="10">
        <v>2</v>
      </c>
      <c r="I451" s="10"/>
      <c r="J451" s="10">
        <v>2</v>
      </c>
      <c r="K451" s="10"/>
      <c r="L451" s="10">
        <v>3</v>
      </c>
      <c r="M451" s="10"/>
      <c r="N451" s="10"/>
      <c r="O451" s="10"/>
      <c r="P451" s="10"/>
      <c r="Q451" s="10"/>
      <c r="R451" s="10"/>
      <c r="S451" s="10"/>
      <c r="T451" s="10"/>
      <c r="U451" s="13">
        <f t="shared" si="22"/>
        <v>7</v>
      </c>
      <c r="V451" s="5">
        <v>31300</v>
      </c>
      <c r="W451" s="15">
        <f t="shared" si="20"/>
        <v>219100</v>
      </c>
    </row>
    <row r="452" spans="1:23" s="155" customFormat="1" x14ac:dyDescent="0.25">
      <c r="A452" s="123">
        <v>50</v>
      </c>
      <c r="B452" s="817" t="s">
        <v>267</v>
      </c>
      <c r="C452" s="108">
        <v>1</v>
      </c>
      <c r="D452" s="103"/>
      <c r="E452" s="10"/>
      <c r="F452" s="10"/>
      <c r="G452" s="10"/>
      <c r="H452" s="10">
        <v>8</v>
      </c>
      <c r="I452" s="10"/>
      <c r="J452" s="10">
        <v>8</v>
      </c>
      <c r="K452" s="10"/>
      <c r="L452" s="10">
        <v>12</v>
      </c>
      <c r="M452" s="10"/>
      <c r="N452" s="10"/>
      <c r="O452" s="10"/>
      <c r="P452" s="10"/>
      <c r="Q452" s="10"/>
      <c r="R452" s="10"/>
      <c r="S452" s="10"/>
      <c r="T452" s="10"/>
      <c r="U452" s="13">
        <f t="shared" si="22"/>
        <v>28</v>
      </c>
      <c r="V452" s="5">
        <v>10530</v>
      </c>
      <c r="W452" s="15">
        <f t="shared" si="20"/>
        <v>294840</v>
      </c>
    </row>
    <row r="453" spans="1:23" s="155" customFormat="1" x14ac:dyDescent="0.25">
      <c r="A453" s="123">
        <v>51</v>
      </c>
      <c r="B453" s="817" t="s">
        <v>249</v>
      </c>
      <c r="C453" s="108">
        <v>1</v>
      </c>
      <c r="D453" s="4">
        <v>1</v>
      </c>
      <c r="E453" s="5">
        <v>1</v>
      </c>
      <c r="F453" s="5">
        <v>1</v>
      </c>
      <c r="G453" s="5">
        <v>1</v>
      </c>
      <c r="H453" s="5"/>
      <c r="I453" s="5">
        <v>1</v>
      </c>
      <c r="J453" s="5"/>
      <c r="K453" s="5">
        <v>1</v>
      </c>
      <c r="L453" s="5"/>
      <c r="M453" s="5"/>
      <c r="N453" s="5"/>
      <c r="O453" s="5"/>
      <c r="P453" s="5"/>
      <c r="Q453" s="5"/>
      <c r="R453" s="5"/>
      <c r="S453" s="5"/>
      <c r="T453" s="5"/>
      <c r="U453" s="13">
        <f t="shared" si="22"/>
        <v>6</v>
      </c>
      <c r="V453" s="5">
        <v>286340</v>
      </c>
      <c r="W453" s="15">
        <f t="shared" si="20"/>
        <v>1718040</v>
      </c>
    </row>
    <row r="454" spans="1:23" s="155" customFormat="1" x14ac:dyDescent="0.25">
      <c r="A454" s="123">
        <v>52</v>
      </c>
      <c r="B454" s="817" t="s">
        <v>250</v>
      </c>
      <c r="C454" s="108">
        <v>1</v>
      </c>
      <c r="D454" s="4">
        <v>1</v>
      </c>
      <c r="E454" s="5">
        <v>1</v>
      </c>
      <c r="F454" s="5">
        <v>1</v>
      </c>
      <c r="G454" s="5">
        <v>1</v>
      </c>
      <c r="H454" s="5"/>
      <c r="I454" s="5">
        <v>1</v>
      </c>
      <c r="J454" s="5"/>
      <c r="K454" s="5">
        <v>1</v>
      </c>
      <c r="L454" s="5"/>
      <c r="M454" s="5"/>
      <c r="N454" s="5"/>
      <c r="O454" s="5"/>
      <c r="P454" s="5"/>
      <c r="Q454" s="5"/>
      <c r="R454" s="5"/>
      <c r="S454" s="5"/>
      <c r="T454" s="5"/>
      <c r="U454" s="13">
        <f t="shared" si="22"/>
        <v>6</v>
      </c>
      <c r="V454" s="5">
        <v>15786</v>
      </c>
      <c r="W454" s="15">
        <f t="shared" si="20"/>
        <v>94716</v>
      </c>
    </row>
    <row r="455" spans="1:23" s="155" customFormat="1" x14ac:dyDescent="0.25">
      <c r="A455" s="123">
        <v>53</v>
      </c>
      <c r="B455" s="817" t="s">
        <v>251</v>
      </c>
      <c r="C455" s="108">
        <v>1</v>
      </c>
      <c r="D455" s="4">
        <v>3</v>
      </c>
      <c r="E455" s="5">
        <v>1</v>
      </c>
      <c r="F455" s="5">
        <v>1</v>
      </c>
      <c r="G455" s="5">
        <v>4</v>
      </c>
      <c r="H455" s="5"/>
      <c r="I455" s="5">
        <v>1</v>
      </c>
      <c r="J455" s="5"/>
      <c r="K455" s="5">
        <v>1</v>
      </c>
      <c r="L455" s="5"/>
      <c r="M455" s="5"/>
      <c r="N455" s="5"/>
      <c r="O455" s="5"/>
      <c r="P455" s="5"/>
      <c r="Q455" s="5"/>
      <c r="R455" s="5"/>
      <c r="S455" s="5"/>
      <c r="T455" s="5"/>
      <c r="U455" s="13">
        <v>12</v>
      </c>
      <c r="V455" s="5">
        <v>33000</v>
      </c>
      <c r="W455" s="15">
        <f t="shared" si="20"/>
        <v>396000</v>
      </c>
    </row>
    <row r="456" spans="1:23" s="155" customFormat="1" x14ac:dyDescent="0.25">
      <c r="A456" s="123">
        <v>55</v>
      </c>
      <c r="B456" s="817" t="s">
        <v>252</v>
      </c>
      <c r="C456" s="108">
        <v>1</v>
      </c>
      <c r="D456" s="4">
        <v>3</v>
      </c>
      <c r="E456" s="5">
        <v>3</v>
      </c>
      <c r="F456" s="5">
        <v>3</v>
      </c>
      <c r="G456" s="5">
        <v>3</v>
      </c>
      <c r="H456" s="5">
        <v>3</v>
      </c>
      <c r="I456" s="5">
        <v>3</v>
      </c>
      <c r="J456" s="5">
        <v>3</v>
      </c>
      <c r="K456" s="5">
        <v>3</v>
      </c>
      <c r="L456" s="5">
        <v>9</v>
      </c>
      <c r="M456" s="5"/>
      <c r="N456" s="5"/>
      <c r="O456" s="5"/>
      <c r="P456" s="5"/>
      <c r="Q456" s="5"/>
      <c r="R456" s="5"/>
      <c r="S456" s="5"/>
      <c r="T456" s="5"/>
      <c r="U456" s="13">
        <f t="shared" si="22"/>
        <v>33</v>
      </c>
      <c r="V456" s="5">
        <v>18250</v>
      </c>
      <c r="W456" s="15">
        <f t="shared" si="20"/>
        <v>602250</v>
      </c>
    </row>
    <row r="457" spans="1:23" s="155" customFormat="1" x14ac:dyDescent="0.25">
      <c r="A457" s="123">
        <v>56</v>
      </c>
      <c r="B457" s="817" t="s">
        <v>253</v>
      </c>
      <c r="C457" s="107">
        <v>1</v>
      </c>
      <c r="D457" s="4">
        <v>930</v>
      </c>
      <c r="E457" s="5">
        <v>30</v>
      </c>
      <c r="F457" s="5">
        <v>380</v>
      </c>
      <c r="G457" s="5">
        <v>1130</v>
      </c>
      <c r="H457" s="5">
        <v>50</v>
      </c>
      <c r="I457" s="5">
        <v>380</v>
      </c>
      <c r="J457" s="5">
        <v>50</v>
      </c>
      <c r="K457" s="5">
        <v>290</v>
      </c>
      <c r="L457" s="5">
        <v>150</v>
      </c>
      <c r="M457" s="5"/>
      <c r="N457" s="5"/>
      <c r="O457" s="5"/>
      <c r="P457" s="5"/>
      <c r="Q457" s="5"/>
      <c r="R457" s="5"/>
      <c r="S457" s="5"/>
      <c r="T457" s="5"/>
      <c r="U457" s="13">
        <f t="shared" si="22"/>
        <v>3390</v>
      </c>
      <c r="V457" s="5">
        <v>245</v>
      </c>
      <c r="W457" s="15">
        <f t="shared" ref="W457:W468" si="24">V457*U457/C457</f>
        <v>830550</v>
      </c>
    </row>
    <row r="458" spans="1:23" s="155" customFormat="1" x14ac:dyDescent="0.25">
      <c r="A458" s="123">
        <v>57</v>
      </c>
      <c r="B458" s="817" t="s">
        <v>254</v>
      </c>
      <c r="C458" s="108">
        <v>1</v>
      </c>
      <c r="D458" s="4">
        <v>1</v>
      </c>
      <c r="E458" s="5">
        <v>1</v>
      </c>
      <c r="F458" s="5">
        <v>1</v>
      </c>
      <c r="G458" s="5">
        <v>1</v>
      </c>
      <c r="H458" s="5">
        <v>1</v>
      </c>
      <c r="I458" s="5">
        <v>1</v>
      </c>
      <c r="J458" s="5">
        <v>1</v>
      </c>
      <c r="K458" s="5">
        <v>1</v>
      </c>
      <c r="L458" s="5">
        <v>1</v>
      </c>
      <c r="M458" s="5"/>
      <c r="N458" s="5"/>
      <c r="O458" s="5"/>
      <c r="P458" s="5"/>
      <c r="Q458" s="5"/>
      <c r="R458" s="5"/>
      <c r="S458" s="5"/>
      <c r="T458" s="5"/>
      <c r="U458" s="13">
        <f t="shared" si="22"/>
        <v>9</v>
      </c>
      <c r="V458" s="5">
        <v>35200</v>
      </c>
      <c r="W458" s="15">
        <f t="shared" si="24"/>
        <v>316800</v>
      </c>
    </row>
    <row r="459" spans="1:23" s="155" customFormat="1" x14ac:dyDescent="0.25">
      <c r="A459" s="123">
        <v>58</v>
      </c>
      <c r="B459" s="817" t="s">
        <v>255</v>
      </c>
      <c r="C459" s="108">
        <v>1</v>
      </c>
      <c r="D459" s="4">
        <v>9</v>
      </c>
      <c r="E459" s="5">
        <v>6</v>
      </c>
      <c r="F459" s="5">
        <v>6</v>
      </c>
      <c r="G459" s="5">
        <v>12</v>
      </c>
      <c r="H459" s="5">
        <v>6</v>
      </c>
      <c r="I459" s="5">
        <v>6</v>
      </c>
      <c r="J459" s="5">
        <v>6</v>
      </c>
      <c r="K459" s="5">
        <v>6</v>
      </c>
      <c r="L459" s="5">
        <v>8</v>
      </c>
      <c r="M459" s="5"/>
      <c r="N459" s="5"/>
      <c r="O459" s="5"/>
      <c r="P459" s="5"/>
      <c r="Q459" s="5"/>
      <c r="R459" s="5"/>
      <c r="S459" s="5"/>
      <c r="T459" s="5"/>
      <c r="U459" s="13">
        <f t="shared" si="22"/>
        <v>65</v>
      </c>
      <c r="V459" s="5">
        <v>1797</v>
      </c>
      <c r="W459" s="15">
        <f t="shared" si="24"/>
        <v>116805</v>
      </c>
    </row>
    <row r="460" spans="1:23" s="155" customFormat="1" x14ac:dyDescent="0.25">
      <c r="A460" s="123">
        <v>59</v>
      </c>
      <c r="B460" s="817" t="s">
        <v>256</v>
      </c>
      <c r="C460" s="108">
        <v>1</v>
      </c>
      <c r="D460" s="4">
        <v>6</v>
      </c>
      <c r="E460" s="5"/>
      <c r="F460" s="5">
        <v>6</v>
      </c>
      <c r="G460" s="5">
        <v>6</v>
      </c>
      <c r="H460" s="5"/>
      <c r="I460" s="5">
        <v>6</v>
      </c>
      <c r="J460" s="5"/>
      <c r="K460" s="5">
        <v>6</v>
      </c>
      <c r="L460" s="5"/>
      <c r="M460" s="5"/>
      <c r="N460" s="5"/>
      <c r="O460" s="5"/>
      <c r="P460" s="5"/>
      <c r="Q460" s="5"/>
      <c r="R460" s="5"/>
      <c r="S460" s="5"/>
      <c r="T460" s="5"/>
      <c r="U460" s="13">
        <f t="shared" si="22"/>
        <v>30</v>
      </c>
      <c r="V460" s="5">
        <v>4250</v>
      </c>
      <c r="W460" s="15">
        <f t="shared" si="24"/>
        <v>127500</v>
      </c>
    </row>
    <row r="461" spans="1:23" s="155" customFormat="1" x14ac:dyDescent="0.25">
      <c r="A461" s="123">
        <v>60</v>
      </c>
      <c r="B461" s="817" t="s">
        <v>257</v>
      </c>
      <c r="C461" s="108">
        <v>1</v>
      </c>
      <c r="D461" s="4">
        <v>4</v>
      </c>
      <c r="E461" s="5"/>
      <c r="F461" s="5">
        <v>2</v>
      </c>
      <c r="G461" s="5">
        <v>4</v>
      </c>
      <c r="H461" s="5"/>
      <c r="I461" s="5">
        <v>2</v>
      </c>
      <c r="J461" s="5"/>
      <c r="K461" s="5">
        <v>2</v>
      </c>
      <c r="L461" s="5"/>
      <c r="M461" s="5"/>
      <c r="N461" s="5"/>
      <c r="O461" s="5"/>
      <c r="P461" s="5"/>
      <c r="Q461" s="5"/>
      <c r="R461" s="5"/>
      <c r="S461" s="5"/>
      <c r="T461" s="5"/>
      <c r="U461" s="13">
        <f t="shared" si="22"/>
        <v>14</v>
      </c>
      <c r="V461" s="5">
        <v>3591</v>
      </c>
      <c r="W461" s="15">
        <f t="shared" si="24"/>
        <v>50274</v>
      </c>
    </row>
    <row r="462" spans="1:23" s="155" customFormat="1" x14ac:dyDescent="0.25">
      <c r="A462" s="123">
        <v>62</v>
      </c>
      <c r="B462" s="817" t="s">
        <v>258</v>
      </c>
      <c r="C462" s="108">
        <v>1</v>
      </c>
      <c r="D462" s="4">
        <v>7</v>
      </c>
      <c r="E462" s="5">
        <v>3</v>
      </c>
      <c r="F462" s="5">
        <v>4</v>
      </c>
      <c r="G462" s="5">
        <v>8</v>
      </c>
      <c r="H462" s="5">
        <v>4</v>
      </c>
      <c r="I462" s="5">
        <v>4</v>
      </c>
      <c r="J462" s="5">
        <v>4</v>
      </c>
      <c r="K462" s="5">
        <v>4</v>
      </c>
      <c r="L462" s="5">
        <v>20</v>
      </c>
      <c r="M462" s="5"/>
      <c r="N462" s="5"/>
      <c r="O462" s="5"/>
      <c r="P462" s="5"/>
      <c r="Q462" s="5"/>
      <c r="R462" s="5"/>
      <c r="S462" s="5"/>
      <c r="T462" s="5"/>
      <c r="U462" s="13">
        <f t="shared" si="22"/>
        <v>58</v>
      </c>
      <c r="V462" s="5">
        <v>1498</v>
      </c>
      <c r="W462" s="15">
        <f t="shared" si="24"/>
        <v>86884</v>
      </c>
    </row>
    <row r="463" spans="1:23" s="155" customFormat="1" x14ac:dyDescent="0.25">
      <c r="A463" s="123">
        <v>63</v>
      </c>
      <c r="B463" s="817" t="s">
        <v>259</v>
      </c>
      <c r="C463" s="107">
        <v>1</v>
      </c>
      <c r="D463" s="4">
        <v>30</v>
      </c>
      <c r="E463" s="5">
        <v>30</v>
      </c>
      <c r="F463" s="5">
        <v>30</v>
      </c>
      <c r="G463" s="5">
        <v>30</v>
      </c>
      <c r="H463" s="5">
        <v>100</v>
      </c>
      <c r="I463" s="5">
        <v>100</v>
      </c>
      <c r="J463" s="5"/>
      <c r="K463" s="5">
        <v>200</v>
      </c>
      <c r="L463" s="5"/>
      <c r="M463" s="5"/>
      <c r="N463" s="5"/>
      <c r="O463" s="5"/>
      <c r="P463" s="5"/>
      <c r="Q463" s="5"/>
      <c r="R463" s="5"/>
      <c r="S463" s="5"/>
      <c r="T463" s="5"/>
      <c r="U463" s="13">
        <v>420</v>
      </c>
      <c r="V463" s="5">
        <v>435</v>
      </c>
      <c r="W463" s="15">
        <f t="shared" si="24"/>
        <v>182700</v>
      </c>
    </row>
    <row r="464" spans="1:23" s="155" customFormat="1" x14ac:dyDescent="0.25">
      <c r="A464" s="123">
        <v>64</v>
      </c>
      <c r="B464" s="817" t="s">
        <v>268</v>
      </c>
      <c r="C464" s="107">
        <v>1</v>
      </c>
      <c r="D464" s="4"/>
      <c r="E464" s="5"/>
      <c r="F464" s="5"/>
      <c r="G464" s="5"/>
      <c r="H464" s="5"/>
      <c r="I464" s="5"/>
      <c r="J464" s="5">
        <v>200</v>
      </c>
      <c r="K464" s="5"/>
      <c r="L464" s="5">
        <v>1000</v>
      </c>
      <c r="M464" s="5"/>
      <c r="N464" s="5"/>
      <c r="O464" s="5"/>
      <c r="P464" s="5"/>
      <c r="Q464" s="5"/>
      <c r="R464" s="5"/>
      <c r="S464" s="5"/>
      <c r="T464" s="5"/>
      <c r="U464" s="13">
        <v>1300</v>
      </c>
      <c r="V464" s="5">
        <v>975</v>
      </c>
      <c r="W464" s="15">
        <f t="shared" si="24"/>
        <v>1267500</v>
      </c>
    </row>
    <row r="465" spans="1:25" s="155" customFormat="1" x14ac:dyDescent="0.25">
      <c r="A465" s="123">
        <v>65</v>
      </c>
      <c r="B465" s="817" t="s">
        <v>260</v>
      </c>
      <c r="C465" s="110" t="s">
        <v>261</v>
      </c>
      <c r="D465" s="4">
        <v>1</v>
      </c>
      <c r="E465" s="5">
        <v>1</v>
      </c>
      <c r="F465" s="5">
        <v>1</v>
      </c>
      <c r="G465" s="5">
        <v>1</v>
      </c>
      <c r="H465" s="5">
        <v>1</v>
      </c>
      <c r="I465" s="5">
        <v>1</v>
      </c>
      <c r="J465" s="5">
        <v>1</v>
      </c>
      <c r="K465" s="5">
        <v>1</v>
      </c>
      <c r="L465" s="5">
        <v>1</v>
      </c>
      <c r="M465" s="5"/>
      <c r="N465" s="5"/>
      <c r="O465" s="5"/>
      <c r="P465" s="5"/>
      <c r="Q465" s="5"/>
      <c r="R465" s="5"/>
      <c r="S465" s="5"/>
      <c r="T465" s="5"/>
      <c r="U465" s="13">
        <f t="shared" ref="U465:U476" si="25">SUM(D465:T465)</f>
        <v>9</v>
      </c>
      <c r="V465" s="5">
        <f>20000+10000+20000+20000+10000+20000+10000+10000+35000</f>
        <v>155000</v>
      </c>
      <c r="W465" s="15">
        <f>V465</f>
        <v>155000</v>
      </c>
    </row>
    <row r="466" spans="1:25" s="155" customFormat="1" x14ac:dyDescent="0.25">
      <c r="A466" s="123">
        <v>66</v>
      </c>
      <c r="B466" s="817" t="s">
        <v>262</v>
      </c>
      <c r="C466" s="108">
        <v>1</v>
      </c>
      <c r="D466" s="4">
        <v>3</v>
      </c>
      <c r="E466" s="5">
        <v>1</v>
      </c>
      <c r="F466" s="5">
        <v>1</v>
      </c>
      <c r="G466" s="5">
        <v>4</v>
      </c>
      <c r="H466" s="5">
        <v>1</v>
      </c>
      <c r="I466" s="5">
        <v>1</v>
      </c>
      <c r="J466" s="5">
        <v>2</v>
      </c>
      <c r="K466" s="5">
        <v>1</v>
      </c>
      <c r="L466" s="5">
        <v>1</v>
      </c>
      <c r="M466" s="5"/>
      <c r="N466" s="5"/>
      <c r="O466" s="5"/>
      <c r="P466" s="5"/>
      <c r="Q466" s="5"/>
      <c r="R466" s="5"/>
      <c r="S466" s="5"/>
      <c r="T466" s="5"/>
      <c r="U466" s="13">
        <f t="shared" si="25"/>
        <v>15</v>
      </c>
      <c r="V466" s="5">
        <v>15000</v>
      </c>
      <c r="W466" s="15">
        <f t="shared" si="24"/>
        <v>225000</v>
      </c>
      <c r="X466" s="155">
        <f>SUM(W408:W466)</f>
        <v>237526980</v>
      </c>
      <c r="Y466" s="155">
        <f>X537</f>
        <v>3629203</v>
      </c>
    </row>
    <row r="467" spans="1:25" s="155" customFormat="1" ht="85.5" x14ac:dyDescent="0.25">
      <c r="A467" s="123">
        <v>67</v>
      </c>
      <c r="B467" s="142" t="s">
        <v>406</v>
      </c>
      <c r="C467" s="89">
        <v>100</v>
      </c>
      <c r="D467" s="90">
        <v>49390</v>
      </c>
      <c r="E467" s="50"/>
      <c r="F467" s="50"/>
      <c r="G467" s="50"/>
      <c r="H467" s="50"/>
      <c r="I467" s="50"/>
      <c r="J467" s="50"/>
      <c r="K467" s="50"/>
      <c r="L467" s="50"/>
      <c r="M467" s="50"/>
      <c r="N467" s="50"/>
      <c r="O467" s="50"/>
      <c r="P467" s="48"/>
      <c r="Q467" s="50"/>
      <c r="R467" s="50"/>
      <c r="S467" s="50"/>
      <c r="T467" s="50"/>
      <c r="U467" s="13">
        <f t="shared" si="25"/>
        <v>49390</v>
      </c>
      <c r="V467" s="51">
        <v>69347.899999999994</v>
      </c>
      <c r="W467" s="15">
        <f t="shared" si="24"/>
        <v>34250927.809999995</v>
      </c>
      <c r="Y467" s="155">
        <f>X466+Y466</f>
        <v>241156183</v>
      </c>
    </row>
    <row r="468" spans="1:25" s="155" customFormat="1" ht="57" x14ac:dyDescent="0.25">
      <c r="A468" s="123">
        <v>68</v>
      </c>
      <c r="B468" s="142" t="s">
        <v>270</v>
      </c>
      <c r="C468" s="91">
        <v>1000</v>
      </c>
      <c r="D468" s="90">
        <v>2062.9820000000004</v>
      </c>
      <c r="E468" s="52"/>
      <c r="F468" s="52"/>
      <c r="G468" s="52"/>
      <c r="H468" s="52"/>
      <c r="I468" s="52"/>
      <c r="J468" s="52"/>
      <c r="K468" s="52"/>
      <c r="L468" s="52"/>
      <c r="M468" s="52"/>
      <c r="N468" s="52"/>
      <c r="O468" s="52"/>
      <c r="P468" s="48"/>
      <c r="Q468" s="52"/>
      <c r="R468" s="52"/>
      <c r="S468" s="52"/>
      <c r="T468" s="52"/>
      <c r="U468" s="13">
        <f t="shared" si="25"/>
        <v>2062.9820000000004</v>
      </c>
      <c r="V468" s="51">
        <v>15824.15</v>
      </c>
      <c r="W468" s="15">
        <f t="shared" si="24"/>
        <v>32644.936615300008</v>
      </c>
      <c r="Y468" s="155">
        <f>Y467-240554556</f>
        <v>601627</v>
      </c>
    </row>
    <row r="472" spans="1:25" s="155" customFormat="1" x14ac:dyDescent="0.25">
      <c r="A472" s="123">
        <v>72</v>
      </c>
      <c r="B472" s="142" t="s">
        <v>273</v>
      </c>
      <c r="C472" s="91">
        <v>100</v>
      </c>
      <c r="D472" s="90">
        <v>1656.5625</v>
      </c>
      <c r="E472" s="52"/>
      <c r="F472" s="52"/>
      <c r="G472" s="52"/>
      <c r="H472" s="52"/>
      <c r="I472" s="52"/>
      <c r="J472" s="52"/>
      <c r="K472" s="52"/>
      <c r="L472" s="52"/>
      <c r="M472" s="52"/>
      <c r="N472" s="52"/>
      <c r="O472" s="52"/>
      <c r="P472" s="48"/>
      <c r="Q472" s="52"/>
      <c r="R472" s="52"/>
      <c r="S472" s="52"/>
      <c r="T472" s="52"/>
      <c r="U472" s="13">
        <f t="shared" si="25"/>
        <v>1656.5625</v>
      </c>
      <c r="V472" s="51">
        <v>35727</v>
      </c>
      <c r="W472" s="15">
        <f t="shared" ref="W472:W511" si="26">V472*U472/C472</f>
        <v>591840.08437499998</v>
      </c>
    </row>
    <row r="473" spans="1:25" s="155" customFormat="1" x14ac:dyDescent="0.25">
      <c r="A473" s="123">
        <v>73</v>
      </c>
      <c r="B473" s="142" t="s">
        <v>274</v>
      </c>
      <c r="C473" s="53">
        <v>100</v>
      </c>
      <c r="D473" s="90">
        <v>6225.46875</v>
      </c>
      <c r="E473" s="54"/>
      <c r="F473" s="54"/>
      <c r="G473" s="54"/>
      <c r="H473" s="54"/>
      <c r="I473" s="54"/>
      <c r="J473" s="54"/>
      <c r="K473" s="54"/>
      <c r="L473" s="54"/>
      <c r="M473" s="54"/>
      <c r="N473" s="54"/>
      <c r="O473" s="54"/>
      <c r="P473" s="48"/>
      <c r="Q473" s="54"/>
      <c r="R473" s="54"/>
      <c r="S473" s="54"/>
      <c r="T473" s="54"/>
      <c r="U473" s="13">
        <f t="shared" si="25"/>
        <v>6225.46875</v>
      </c>
      <c r="V473" s="51">
        <v>4614.1000000000004</v>
      </c>
      <c r="W473" s="15">
        <f t="shared" si="26"/>
        <v>287249.35359375004</v>
      </c>
    </row>
    <row r="474" spans="1:25" s="155" customFormat="1" ht="128.25" x14ac:dyDescent="0.25">
      <c r="A474" s="123">
        <v>74</v>
      </c>
      <c r="B474" s="142" t="s">
        <v>275</v>
      </c>
      <c r="C474" s="53">
        <v>1</v>
      </c>
      <c r="D474" s="90">
        <v>6650</v>
      </c>
      <c r="E474" s="54"/>
      <c r="F474" s="54"/>
      <c r="G474" s="54"/>
      <c r="H474" s="54"/>
      <c r="I474" s="54"/>
      <c r="J474" s="54"/>
      <c r="K474" s="54"/>
      <c r="L474" s="54"/>
      <c r="M474" s="54"/>
      <c r="N474" s="54"/>
      <c r="O474" s="54"/>
      <c r="P474" s="48"/>
      <c r="Q474" s="54"/>
      <c r="R474" s="54"/>
      <c r="S474" s="54"/>
      <c r="T474" s="54"/>
      <c r="U474" s="13">
        <f t="shared" si="25"/>
        <v>6650</v>
      </c>
      <c r="V474" s="51">
        <v>1985.95</v>
      </c>
      <c r="W474" s="15">
        <f t="shared" si="26"/>
        <v>13206567.5</v>
      </c>
    </row>
    <row r="475" spans="1:25" s="155" customFormat="1" ht="42.75" x14ac:dyDescent="0.25">
      <c r="A475" s="123">
        <v>75</v>
      </c>
      <c r="B475" s="142" t="s">
        <v>276</v>
      </c>
      <c r="C475" s="89">
        <v>1</v>
      </c>
      <c r="D475" s="90">
        <v>14250</v>
      </c>
      <c r="E475" s="50"/>
      <c r="F475" s="50"/>
      <c r="G475" s="50"/>
      <c r="H475" s="50"/>
      <c r="I475" s="50"/>
      <c r="J475" s="50"/>
      <c r="K475" s="50"/>
      <c r="L475" s="50"/>
      <c r="M475" s="50"/>
      <c r="N475" s="50"/>
      <c r="O475" s="50"/>
      <c r="P475" s="48"/>
      <c r="Q475" s="50"/>
      <c r="R475" s="50"/>
      <c r="S475" s="50"/>
      <c r="T475" s="50"/>
      <c r="U475" s="13">
        <f t="shared" si="25"/>
        <v>14250</v>
      </c>
      <c r="V475" s="51">
        <v>234.95</v>
      </c>
      <c r="W475" s="15">
        <f t="shared" si="26"/>
        <v>3348037.5</v>
      </c>
    </row>
    <row r="476" spans="1:25" s="155" customFormat="1" ht="57" x14ac:dyDescent="0.25">
      <c r="A476" s="123">
        <v>76</v>
      </c>
      <c r="B476" s="142" t="s">
        <v>277</v>
      </c>
      <c r="C476" s="89">
        <v>1</v>
      </c>
      <c r="D476" s="90">
        <v>28500</v>
      </c>
      <c r="E476" s="50"/>
      <c r="F476" s="50"/>
      <c r="G476" s="50"/>
      <c r="H476" s="50"/>
      <c r="I476" s="50"/>
      <c r="J476" s="50"/>
      <c r="K476" s="50"/>
      <c r="L476" s="50"/>
      <c r="M476" s="50"/>
      <c r="N476" s="50"/>
      <c r="O476" s="50"/>
      <c r="P476" s="48"/>
      <c r="Q476" s="50"/>
      <c r="R476" s="50"/>
      <c r="S476" s="50"/>
      <c r="T476" s="50"/>
      <c r="U476" s="13">
        <f t="shared" si="25"/>
        <v>28500</v>
      </c>
      <c r="V476" s="51">
        <v>56.3</v>
      </c>
      <c r="W476" s="15">
        <f t="shared" si="26"/>
        <v>1604550</v>
      </c>
      <c r="X476" s="188">
        <f>SUM(W467:W476)</f>
        <v>53321817.184584051</v>
      </c>
    </row>
    <row r="477" spans="1:25" customFormat="1" ht="22.5" x14ac:dyDescent="0.25">
      <c r="A477" s="198" t="s">
        <v>407</v>
      </c>
      <c r="B477" s="798" t="s">
        <v>408</v>
      </c>
      <c r="C477" s="407"/>
      <c r="D477" s="407"/>
      <c r="E477" s="407"/>
      <c r="F477" s="407"/>
      <c r="G477" s="407"/>
      <c r="H477" s="407"/>
      <c r="I477" s="407"/>
      <c r="J477" s="407"/>
      <c r="K477" s="407"/>
      <c r="L477" s="407"/>
      <c r="M477" s="407"/>
      <c r="N477" s="407"/>
      <c r="O477" s="407"/>
      <c r="P477" s="407"/>
      <c r="Q477" s="407"/>
      <c r="R477" s="407"/>
      <c r="S477" s="407"/>
      <c r="T477" s="407"/>
      <c r="U477" s="407"/>
      <c r="V477" s="407"/>
      <c r="W477" s="407"/>
    </row>
    <row r="478" spans="1:25" customFormat="1" ht="272.25" x14ac:dyDescent="0.25">
      <c r="A478" s="124">
        <v>1</v>
      </c>
      <c r="B478" s="818" t="s">
        <v>450</v>
      </c>
      <c r="C478" s="37">
        <v>1</v>
      </c>
      <c r="D478" s="55">
        <v>37</v>
      </c>
      <c r="E478" s="55"/>
      <c r="F478" s="55"/>
      <c r="G478" s="55"/>
      <c r="H478" s="55"/>
      <c r="I478" s="55"/>
      <c r="J478" s="55"/>
      <c r="K478" s="55"/>
      <c r="L478" s="55"/>
      <c r="M478" s="55"/>
      <c r="N478" s="55"/>
      <c r="O478" s="55"/>
      <c r="P478" s="55"/>
      <c r="Q478" s="55"/>
      <c r="R478" s="55"/>
      <c r="S478" s="55"/>
      <c r="T478" s="55"/>
      <c r="U478" s="13">
        <f t="shared" ref="U478:U501" si="27">SUM(D478:T478)</f>
        <v>37</v>
      </c>
      <c r="V478" s="56">
        <v>4350150</v>
      </c>
      <c r="W478" s="15">
        <f>V478*U478/C478</f>
        <v>160955550</v>
      </c>
    </row>
    <row r="479" spans="1:25" customFormat="1" ht="345" x14ac:dyDescent="0.25">
      <c r="A479" s="124">
        <v>2</v>
      </c>
      <c r="B479" s="817" t="s">
        <v>451</v>
      </c>
      <c r="C479" s="37">
        <v>1</v>
      </c>
      <c r="D479" s="47">
        <v>8</v>
      </c>
      <c r="E479" s="55"/>
      <c r="F479" s="55"/>
      <c r="G479" s="55"/>
      <c r="H479" s="55"/>
      <c r="I479" s="55"/>
      <c r="J479" s="55"/>
      <c r="K479" s="55"/>
      <c r="L479" s="55"/>
      <c r="M479" s="55"/>
      <c r="N479" s="55"/>
      <c r="O479" s="55"/>
      <c r="P479" s="55"/>
      <c r="Q479" s="55"/>
      <c r="R479" s="55"/>
      <c r="S479" s="55"/>
      <c r="T479" s="55"/>
      <c r="U479" s="13">
        <f t="shared" si="27"/>
        <v>8</v>
      </c>
      <c r="V479" s="60">
        <v>3886124</v>
      </c>
      <c r="W479" s="15">
        <f t="shared" si="26"/>
        <v>31088992</v>
      </c>
    </row>
    <row r="480" spans="1:25" customFormat="1" ht="356.25" x14ac:dyDescent="0.25">
      <c r="A480" s="125">
        <v>3</v>
      </c>
      <c r="B480" s="142" t="s">
        <v>338</v>
      </c>
      <c r="C480" s="111">
        <v>1</v>
      </c>
      <c r="D480" s="25">
        <v>6</v>
      </c>
      <c r="E480" s="14"/>
      <c r="F480" s="14"/>
      <c r="G480" s="14"/>
      <c r="H480" s="14"/>
      <c r="I480" s="14"/>
      <c r="J480" s="14"/>
      <c r="K480" s="14"/>
      <c r="L480" s="14"/>
      <c r="M480" s="14"/>
      <c r="N480" s="14"/>
      <c r="O480" s="14"/>
      <c r="P480" s="14"/>
      <c r="Q480" s="14"/>
      <c r="R480" s="14"/>
      <c r="S480" s="14"/>
      <c r="T480" s="14"/>
      <c r="U480" s="13">
        <f t="shared" si="27"/>
        <v>6</v>
      </c>
      <c r="V480" s="64">
        <v>4140119</v>
      </c>
      <c r="W480" s="15">
        <f t="shared" si="26"/>
        <v>24840714</v>
      </c>
    </row>
    <row r="481" spans="1:23" customFormat="1" ht="358.5" x14ac:dyDescent="0.25">
      <c r="A481" s="124">
        <v>4</v>
      </c>
      <c r="B481" s="142" t="s">
        <v>452</v>
      </c>
      <c r="C481" s="37">
        <v>1</v>
      </c>
      <c r="D481" s="47">
        <v>1</v>
      </c>
      <c r="E481" s="55"/>
      <c r="F481" s="55"/>
      <c r="G481" s="55"/>
      <c r="H481" s="55"/>
      <c r="I481" s="55"/>
      <c r="J481" s="55"/>
      <c r="K481" s="55"/>
      <c r="L481" s="55"/>
      <c r="M481" s="55"/>
      <c r="N481" s="55"/>
      <c r="O481" s="55"/>
      <c r="P481" s="55"/>
      <c r="Q481" s="55"/>
      <c r="R481" s="55"/>
      <c r="S481" s="55"/>
      <c r="T481" s="55"/>
      <c r="U481" s="13">
        <f t="shared" si="27"/>
        <v>1</v>
      </c>
      <c r="V481" s="59">
        <v>8178639</v>
      </c>
      <c r="W481" s="15">
        <f t="shared" si="26"/>
        <v>8178639</v>
      </c>
    </row>
    <row r="482" spans="1:23" customFormat="1" ht="385.5" x14ac:dyDescent="0.25">
      <c r="A482" s="124">
        <v>5</v>
      </c>
      <c r="B482" s="799" t="s">
        <v>453</v>
      </c>
      <c r="C482" s="37">
        <v>1</v>
      </c>
      <c r="D482" s="55">
        <v>8</v>
      </c>
      <c r="E482" s="55"/>
      <c r="F482" s="55"/>
      <c r="G482" s="55"/>
      <c r="H482" s="55"/>
      <c r="I482" s="55"/>
      <c r="J482" s="55"/>
      <c r="K482" s="55"/>
      <c r="L482" s="55"/>
      <c r="M482" s="55"/>
      <c r="N482" s="55"/>
      <c r="O482" s="55"/>
      <c r="P482" s="55"/>
      <c r="Q482" s="55"/>
      <c r="R482" s="55"/>
      <c r="S482" s="55"/>
      <c r="T482" s="55"/>
      <c r="U482" s="13">
        <f t="shared" si="27"/>
        <v>8</v>
      </c>
      <c r="V482" s="59">
        <v>13004544</v>
      </c>
      <c r="W482" s="15">
        <f t="shared" si="26"/>
        <v>104036352</v>
      </c>
    </row>
    <row r="483" spans="1:23" customFormat="1" ht="71.25" x14ac:dyDescent="0.25">
      <c r="A483" s="124">
        <v>6</v>
      </c>
      <c r="B483" s="142" t="s">
        <v>299</v>
      </c>
      <c r="C483" s="37">
        <v>1</v>
      </c>
      <c r="D483" s="47">
        <v>3</v>
      </c>
      <c r="E483" s="55"/>
      <c r="F483" s="55"/>
      <c r="G483" s="55"/>
      <c r="H483" s="55"/>
      <c r="I483" s="55"/>
      <c r="J483" s="55"/>
      <c r="K483" s="55"/>
      <c r="L483" s="55"/>
      <c r="M483" s="55"/>
      <c r="N483" s="55"/>
      <c r="O483" s="55"/>
      <c r="P483" s="55"/>
      <c r="Q483" s="55"/>
      <c r="R483" s="55"/>
      <c r="S483" s="55"/>
      <c r="T483" s="55"/>
      <c r="U483" s="13">
        <v>3</v>
      </c>
      <c r="V483" s="59">
        <v>1472223</v>
      </c>
      <c r="W483" s="15">
        <f t="shared" si="26"/>
        <v>4416669</v>
      </c>
    </row>
    <row r="484" spans="1:23" customFormat="1" ht="71.25" x14ac:dyDescent="0.25">
      <c r="A484" s="124"/>
      <c r="B484" s="142" t="s">
        <v>299</v>
      </c>
      <c r="C484" s="37">
        <v>1</v>
      </c>
      <c r="D484" s="47">
        <v>1</v>
      </c>
      <c r="E484" s="55"/>
      <c r="F484" s="55"/>
      <c r="G484" s="55"/>
      <c r="H484" s="55"/>
      <c r="I484" s="55"/>
      <c r="J484" s="55"/>
      <c r="K484" s="55"/>
      <c r="L484" s="55"/>
      <c r="M484" s="55"/>
      <c r="N484" s="55"/>
      <c r="O484" s="55"/>
      <c r="P484" s="55"/>
      <c r="Q484" s="55"/>
      <c r="R484" s="55"/>
      <c r="S484" s="55"/>
      <c r="T484" s="55"/>
      <c r="U484" s="13">
        <v>1</v>
      </c>
      <c r="V484" s="59">
        <v>1315342</v>
      </c>
      <c r="W484" s="15">
        <f t="shared" si="26"/>
        <v>1315342</v>
      </c>
    </row>
    <row r="485" spans="1:23" customFormat="1" ht="60" x14ac:dyDescent="0.25">
      <c r="A485" s="124">
        <v>7</v>
      </c>
      <c r="B485" s="817" t="s">
        <v>297</v>
      </c>
      <c r="C485" s="37">
        <v>1</v>
      </c>
      <c r="D485" s="47">
        <v>1</v>
      </c>
      <c r="E485" s="55"/>
      <c r="F485" s="55"/>
      <c r="G485" s="55"/>
      <c r="H485" s="55"/>
      <c r="I485" s="55"/>
      <c r="J485" s="55"/>
      <c r="K485" s="55"/>
      <c r="L485" s="55"/>
      <c r="M485" s="55"/>
      <c r="N485" s="55"/>
      <c r="O485" s="55"/>
      <c r="P485" s="55"/>
      <c r="Q485" s="55"/>
      <c r="R485" s="55"/>
      <c r="S485" s="55"/>
      <c r="T485" s="55"/>
      <c r="U485" s="13">
        <f t="shared" si="27"/>
        <v>1</v>
      </c>
      <c r="V485" s="59">
        <v>1472223</v>
      </c>
      <c r="W485" s="15">
        <f t="shared" si="26"/>
        <v>1472223</v>
      </c>
    </row>
    <row r="486" spans="1:23" customFormat="1" ht="45" x14ac:dyDescent="0.25">
      <c r="A486" s="126">
        <v>8</v>
      </c>
      <c r="B486" s="817" t="s">
        <v>390</v>
      </c>
      <c r="C486" s="47" t="s">
        <v>278</v>
      </c>
      <c r="D486" s="47">
        <v>8140</v>
      </c>
      <c r="E486" s="47"/>
      <c r="F486" s="47"/>
      <c r="G486" s="47"/>
      <c r="H486" s="47"/>
      <c r="I486" s="47"/>
      <c r="J486" s="47"/>
      <c r="K486" s="47"/>
      <c r="L486" s="47"/>
      <c r="M486" s="47"/>
      <c r="N486" s="47"/>
      <c r="O486" s="47"/>
      <c r="P486" s="47"/>
      <c r="Q486" s="47"/>
      <c r="R486" s="47"/>
      <c r="S486" s="47"/>
      <c r="T486" s="47"/>
      <c r="U486" s="13">
        <f t="shared" si="27"/>
        <v>8140</v>
      </c>
      <c r="V486" s="47">
        <v>864.05</v>
      </c>
      <c r="W486" s="15">
        <f>V486*U486</f>
        <v>7033367</v>
      </c>
    </row>
    <row r="487" spans="1:23" customFormat="1" ht="30" x14ac:dyDescent="0.25">
      <c r="A487" s="124">
        <v>9</v>
      </c>
      <c r="B487" s="817" t="s">
        <v>279</v>
      </c>
      <c r="C487" s="37">
        <v>1</v>
      </c>
      <c r="D487" s="47">
        <v>1628</v>
      </c>
      <c r="E487" s="47"/>
      <c r="F487" s="47"/>
      <c r="G487" s="47"/>
      <c r="H487" s="47"/>
      <c r="I487" s="47"/>
      <c r="J487" s="47"/>
      <c r="K487" s="47"/>
      <c r="L487" s="47"/>
      <c r="M487" s="47"/>
      <c r="N487" s="47"/>
      <c r="O487" s="47"/>
      <c r="P487" s="47"/>
      <c r="Q487" s="47"/>
      <c r="R487" s="47"/>
      <c r="S487" s="47"/>
      <c r="T487" s="47"/>
      <c r="U487" s="13">
        <f t="shared" si="27"/>
        <v>1628</v>
      </c>
      <c r="V487" s="47">
        <v>80</v>
      </c>
      <c r="W487" s="15">
        <f t="shared" si="26"/>
        <v>130240</v>
      </c>
    </row>
    <row r="488" spans="1:23" customFormat="1" ht="30" x14ac:dyDescent="0.25">
      <c r="A488" s="126">
        <v>10</v>
      </c>
      <c r="B488" s="817" t="s">
        <v>280</v>
      </c>
      <c r="C488" s="57" t="s">
        <v>281</v>
      </c>
      <c r="D488" s="47">
        <v>37</v>
      </c>
      <c r="E488" s="47"/>
      <c r="F488" s="47"/>
      <c r="G488" s="47"/>
      <c r="H488" s="47"/>
      <c r="I488" s="47"/>
      <c r="J488" s="47"/>
      <c r="K488" s="47"/>
      <c r="L488" s="47"/>
      <c r="M488" s="47"/>
      <c r="N488" s="47"/>
      <c r="O488" s="47"/>
      <c r="P488" s="47"/>
      <c r="Q488" s="47"/>
      <c r="R488" s="47"/>
      <c r="S488" s="47"/>
      <c r="T488" s="47"/>
      <c r="U488" s="13">
        <f t="shared" si="27"/>
        <v>37</v>
      </c>
      <c r="V488" s="47">
        <v>232.8</v>
      </c>
      <c r="W488" s="15">
        <f>V488*U488</f>
        <v>8613.6</v>
      </c>
    </row>
    <row r="489" spans="1:23" customFormat="1" ht="60" x14ac:dyDescent="0.25">
      <c r="A489" s="124">
        <v>11</v>
      </c>
      <c r="B489" s="817" t="s">
        <v>282</v>
      </c>
      <c r="C489" s="47" t="s">
        <v>278</v>
      </c>
      <c r="D489" s="47">
        <v>2590</v>
      </c>
      <c r="E489" s="47"/>
      <c r="F489" s="47"/>
      <c r="G489" s="47"/>
      <c r="H489" s="47"/>
      <c r="I489" s="47"/>
      <c r="J489" s="47"/>
      <c r="K489" s="47"/>
      <c r="L489" s="47"/>
      <c r="M489" s="47"/>
      <c r="N489" s="47"/>
      <c r="O489" s="47"/>
      <c r="P489" s="47"/>
      <c r="Q489" s="47"/>
      <c r="R489" s="47"/>
      <c r="S489" s="47"/>
      <c r="T489" s="47"/>
      <c r="U489" s="13">
        <f t="shared" si="27"/>
        <v>2590</v>
      </c>
      <c r="V489" s="47">
        <v>5371</v>
      </c>
      <c r="W489" s="15">
        <f>V489*U489</f>
        <v>13910890</v>
      </c>
    </row>
    <row r="490" spans="1:23" customFormat="1" ht="45" x14ac:dyDescent="0.25">
      <c r="A490" s="126">
        <v>12</v>
      </c>
      <c r="B490" s="817" t="s">
        <v>283</v>
      </c>
      <c r="C490" s="37">
        <v>1</v>
      </c>
      <c r="D490" s="47">
        <v>74</v>
      </c>
      <c r="E490" s="47"/>
      <c r="F490" s="47"/>
      <c r="G490" s="47"/>
      <c r="H490" s="47"/>
      <c r="I490" s="47"/>
      <c r="J490" s="47"/>
      <c r="K490" s="47"/>
      <c r="L490" s="47"/>
      <c r="M490" s="47"/>
      <c r="N490" s="47"/>
      <c r="O490" s="47"/>
      <c r="P490" s="47"/>
      <c r="Q490" s="47"/>
      <c r="R490" s="47"/>
      <c r="S490" s="47"/>
      <c r="T490" s="47"/>
      <c r="U490" s="13">
        <f t="shared" si="27"/>
        <v>74</v>
      </c>
      <c r="V490" s="47">
        <v>35582</v>
      </c>
      <c r="W490" s="15">
        <f t="shared" si="26"/>
        <v>2633068</v>
      </c>
    </row>
    <row r="491" spans="1:23" customFormat="1" ht="75" x14ac:dyDescent="0.25">
      <c r="A491" s="124">
        <v>13</v>
      </c>
      <c r="B491" s="817" t="s">
        <v>284</v>
      </c>
      <c r="C491" s="47" t="s">
        <v>278</v>
      </c>
      <c r="D491" s="47">
        <v>4440</v>
      </c>
      <c r="E491" s="47"/>
      <c r="F491" s="47"/>
      <c r="G491" s="47"/>
      <c r="H491" s="47"/>
      <c r="I491" s="47"/>
      <c r="J491" s="47"/>
      <c r="K491" s="47"/>
      <c r="L491" s="47"/>
      <c r="M491" s="47"/>
      <c r="N491" s="47"/>
      <c r="O491" s="47"/>
      <c r="P491" s="47"/>
      <c r="Q491" s="47"/>
      <c r="R491" s="47"/>
      <c r="S491" s="47"/>
      <c r="T491" s="47"/>
      <c r="U491" s="13">
        <f t="shared" si="27"/>
        <v>4440</v>
      </c>
      <c r="V491" s="47">
        <v>3866.45</v>
      </c>
      <c r="W491" s="15">
        <f>V491*U491</f>
        <v>17167038</v>
      </c>
    </row>
    <row r="492" spans="1:23" customFormat="1" ht="60" x14ac:dyDescent="0.25">
      <c r="A492" s="126">
        <v>14</v>
      </c>
      <c r="B492" s="817" t="s">
        <v>285</v>
      </c>
      <c r="C492" s="47" t="s">
        <v>278</v>
      </c>
      <c r="D492" s="47">
        <v>740</v>
      </c>
      <c r="E492" s="47"/>
      <c r="F492" s="47"/>
      <c r="G492" s="47"/>
      <c r="H492" s="47"/>
      <c r="I492" s="47"/>
      <c r="J492" s="47"/>
      <c r="K492" s="47"/>
      <c r="L492" s="47"/>
      <c r="M492" s="47"/>
      <c r="N492" s="47"/>
      <c r="O492" s="47"/>
      <c r="P492" s="47"/>
      <c r="Q492" s="47"/>
      <c r="R492" s="47"/>
      <c r="S492" s="47"/>
      <c r="T492" s="47"/>
      <c r="U492" s="13">
        <f t="shared" si="27"/>
        <v>740</v>
      </c>
      <c r="V492" s="47">
        <v>3583</v>
      </c>
      <c r="W492" s="15">
        <f>V492*U492</f>
        <v>2651420</v>
      </c>
    </row>
    <row r="493" spans="1:23" customFormat="1" ht="75" x14ac:dyDescent="0.25">
      <c r="A493" s="124">
        <v>15</v>
      </c>
      <c r="B493" s="817" t="s">
        <v>286</v>
      </c>
      <c r="C493" s="47" t="s">
        <v>278</v>
      </c>
      <c r="D493" s="47">
        <v>370</v>
      </c>
      <c r="E493" s="47"/>
      <c r="F493" s="47"/>
      <c r="G493" s="47"/>
      <c r="H493" s="47"/>
      <c r="I493" s="47"/>
      <c r="J493" s="47"/>
      <c r="K493" s="47"/>
      <c r="L493" s="47"/>
      <c r="M493" s="47"/>
      <c r="N493" s="47"/>
      <c r="O493" s="47"/>
      <c r="P493" s="47"/>
      <c r="Q493" s="47"/>
      <c r="R493" s="47"/>
      <c r="S493" s="47"/>
      <c r="T493" s="47"/>
      <c r="U493" s="13">
        <f t="shared" si="27"/>
        <v>370</v>
      </c>
      <c r="V493" s="47">
        <v>3735.5</v>
      </c>
      <c r="W493" s="15">
        <f>V493*U493</f>
        <v>1382135</v>
      </c>
    </row>
    <row r="494" spans="1:23" customFormat="1" ht="30" x14ac:dyDescent="0.25">
      <c r="A494" s="126">
        <v>16</v>
      </c>
      <c r="B494" s="817" t="s">
        <v>287</v>
      </c>
      <c r="C494" s="37">
        <v>1</v>
      </c>
      <c r="D494" s="47">
        <v>148</v>
      </c>
      <c r="E494" s="47"/>
      <c r="F494" s="47"/>
      <c r="G494" s="47"/>
      <c r="H494" s="47"/>
      <c r="I494" s="47"/>
      <c r="J494" s="47"/>
      <c r="K494" s="47"/>
      <c r="L494" s="47"/>
      <c r="M494" s="47"/>
      <c r="N494" s="47"/>
      <c r="O494" s="47"/>
      <c r="P494" s="47"/>
      <c r="Q494" s="47"/>
      <c r="R494" s="47"/>
      <c r="S494" s="47"/>
      <c r="T494" s="47"/>
      <c r="U494" s="13">
        <f t="shared" si="27"/>
        <v>148</v>
      </c>
      <c r="V494" s="47">
        <v>1148</v>
      </c>
      <c r="W494" s="15">
        <f t="shared" si="26"/>
        <v>169904</v>
      </c>
    </row>
    <row r="495" spans="1:23" customFormat="1" ht="30" x14ac:dyDescent="0.25">
      <c r="A495" s="124">
        <v>17</v>
      </c>
      <c r="B495" s="817" t="s">
        <v>288</v>
      </c>
      <c r="C495" s="47" t="s">
        <v>289</v>
      </c>
      <c r="D495" s="47">
        <v>6520.88</v>
      </c>
      <c r="E495" s="47"/>
      <c r="F495" s="47"/>
      <c r="G495" s="47"/>
      <c r="H495" s="47"/>
      <c r="I495" s="47"/>
      <c r="J495" s="47"/>
      <c r="K495" s="47"/>
      <c r="L495" s="47"/>
      <c r="M495" s="47"/>
      <c r="N495" s="47"/>
      <c r="O495" s="47"/>
      <c r="P495" s="47"/>
      <c r="Q495" s="47"/>
      <c r="R495" s="47"/>
      <c r="S495" s="47"/>
      <c r="T495" s="47"/>
      <c r="U495" s="13">
        <f t="shared" si="27"/>
        <v>6520.88</v>
      </c>
      <c r="V495" s="47">
        <v>186.65</v>
      </c>
      <c r="W495" s="15">
        <f>V495*U495</f>
        <v>1217122.2520000001</v>
      </c>
    </row>
    <row r="496" spans="1:23" customFormat="1" ht="30" x14ac:dyDescent="0.25">
      <c r="A496" s="126">
        <v>18</v>
      </c>
      <c r="B496" s="817" t="s">
        <v>387</v>
      </c>
      <c r="C496" s="47" t="s">
        <v>290</v>
      </c>
      <c r="D496" s="47">
        <v>2664</v>
      </c>
      <c r="E496" s="47"/>
      <c r="F496" s="47"/>
      <c r="G496" s="47"/>
      <c r="H496" s="47"/>
      <c r="I496" s="47"/>
      <c r="J496" s="47"/>
      <c r="K496" s="47"/>
      <c r="L496" s="47"/>
      <c r="M496" s="47"/>
      <c r="N496" s="47"/>
      <c r="O496" s="47"/>
      <c r="P496" s="47"/>
      <c r="Q496" s="47"/>
      <c r="R496" s="47"/>
      <c r="S496" s="47"/>
      <c r="T496" s="47"/>
      <c r="U496" s="13">
        <f t="shared" si="27"/>
        <v>2664</v>
      </c>
      <c r="V496" s="47">
        <v>3253.1</v>
      </c>
      <c r="W496" s="15">
        <f>V496*U496</f>
        <v>8666258.4000000004</v>
      </c>
    </row>
    <row r="497" spans="1:24" customFormat="1" ht="45" x14ac:dyDescent="0.25">
      <c r="A497" s="124">
        <v>19</v>
      </c>
      <c r="B497" s="817" t="s">
        <v>291</v>
      </c>
      <c r="C497" s="47" t="s">
        <v>278</v>
      </c>
      <c r="D497" s="47">
        <v>1850</v>
      </c>
      <c r="E497" s="47"/>
      <c r="F497" s="47"/>
      <c r="G497" s="47"/>
      <c r="H497" s="47"/>
      <c r="I497" s="47"/>
      <c r="J497" s="47"/>
      <c r="K497" s="47"/>
      <c r="L497" s="47"/>
      <c r="M497" s="47"/>
      <c r="N497" s="47"/>
      <c r="O497" s="47"/>
      <c r="P497" s="47"/>
      <c r="Q497" s="47"/>
      <c r="R497" s="47"/>
      <c r="S497" s="47"/>
      <c r="T497" s="47"/>
      <c r="U497" s="13">
        <f t="shared" si="27"/>
        <v>1850</v>
      </c>
      <c r="V497" s="47">
        <v>924.05</v>
      </c>
      <c r="W497" s="15">
        <f>V497*U497</f>
        <v>1709492.5</v>
      </c>
    </row>
    <row r="498" spans="1:24" customFormat="1" ht="60" x14ac:dyDescent="0.25">
      <c r="A498" s="126">
        <v>20</v>
      </c>
      <c r="B498" s="817" t="s">
        <v>292</v>
      </c>
      <c r="C498" s="58">
        <v>1000</v>
      </c>
      <c r="D498" s="47">
        <v>118400</v>
      </c>
      <c r="E498" s="47"/>
      <c r="F498" s="47"/>
      <c r="G498" s="47"/>
      <c r="H498" s="47"/>
      <c r="I498" s="47"/>
      <c r="J498" s="47"/>
      <c r="K498" s="47"/>
      <c r="L498" s="47"/>
      <c r="M498" s="47"/>
      <c r="N498" s="47"/>
      <c r="O498" s="47"/>
      <c r="P498" s="47"/>
      <c r="Q498" s="47"/>
      <c r="R498" s="47"/>
      <c r="S498" s="47"/>
      <c r="T498" s="47"/>
      <c r="U498" s="13">
        <f t="shared" si="27"/>
        <v>118400</v>
      </c>
      <c r="V498" s="47">
        <v>11293.9</v>
      </c>
      <c r="W498" s="15">
        <f t="shared" si="26"/>
        <v>1337197.76</v>
      </c>
    </row>
    <row r="500" spans="1:24" customFormat="1" ht="75" x14ac:dyDescent="0.25">
      <c r="A500" s="126">
        <v>22</v>
      </c>
      <c r="B500" s="817" t="s">
        <v>294</v>
      </c>
      <c r="C500" s="47" t="s">
        <v>295</v>
      </c>
      <c r="D500" s="47">
        <v>14800</v>
      </c>
      <c r="E500" s="47"/>
      <c r="F500" s="47"/>
      <c r="G500" s="47"/>
      <c r="H500" s="47"/>
      <c r="I500" s="47"/>
      <c r="J500" s="47"/>
      <c r="K500" s="47"/>
      <c r="L500" s="47"/>
      <c r="M500" s="47"/>
      <c r="N500" s="47"/>
      <c r="O500" s="47"/>
      <c r="P500" s="47"/>
      <c r="Q500" s="47"/>
      <c r="R500" s="47"/>
      <c r="S500" s="47"/>
      <c r="T500" s="47"/>
      <c r="U500" s="13">
        <f t="shared" si="27"/>
        <v>14800</v>
      </c>
      <c r="V500" s="47">
        <v>3565</v>
      </c>
      <c r="W500" s="15">
        <f>V500*U500</f>
        <v>52762000</v>
      </c>
    </row>
    <row r="501" spans="1:24" customFormat="1" ht="75" x14ac:dyDescent="0.25">
      <c r="A501" s="124">
        <v>23</v>
      </c>
      <c r="B501" s="817" t="s">
        <v>296</v>
      </c>
      <c r="C501" s="47" t="s">
        <v>295</v>
      </c>
      <c r="D501" s="47">
        <v>555</v>
      </c>
      <c r="E501" s="47"/>
      <c r="F501" s="47"/>
      <c r="G501" s="47"/>
      <c r="H501" s="47"/>
      <c r="I501" s="47"/>
      <c r="J501" s="47"/>
      <c r="K501" s="47"/>
      <c r="L501" s="47"/>
      <c r="M501" s="47"/>
      <c r="N501" s="47"/>
      <c r="O501" s="47"/>
      <c r="P501" s="47"/>
      <c r="Q501" s="47"/>
      <c r="R501" s="47"/>
      <c r="S501" s="47"/>
      <c r="T501" s="47"/>
      <c r="U501" s="13">
        <f t="shared" si="27"/>
        <v>555</v>
      </c>
      <c r="V501" s="47">
        <v>500.3</v>
      </c>
      <c r="W501" s="15">
        <f>V501*U501</f>
        <v>277666.5</v>
      </c>
      <c r="X501" s="190">
        <f>SUM(W486:W501)</f>
        <v>111056413.01199999</v>
      </c>
    </row>
    <row r="502" spans="1:24" customFormat="1" ht="22.5" x14ac:dyDescent="0.25">
      <c r="A502" s="198">
        <v>14</v>
      </c>
      <c r="B502" s="798" t="s">
        <v>409</v>
      </c>
      <c r="C502" s="407"/>
      <c r="D502" s="407"/>
      <c r="E502" s="407"/>
      <c r="F502" s="407"/>
      <c r="G502" s="407"/>
      <c r="H502" s="407"/>
      <c r="I502" s="407"/>
      <c r="J502" s="407"/>
      <c r="K502" s="407"/>
      <c r="L502" s="407"/>
      <c r="M502" s="407"/>
      <c r="N502" s="407"/>
      <c r="O502" s="407"/>
      <c r="P502" s="407"/>
      <c r="Q502" s="407"/>
      <c r="R502" s="407"/>
      <c r="S502" s="407"/>
      <c r="T502" s="407"/>
      <c r="U502" s="407"/>
      <c r="V502" s="407"/>
      <c r="W502" s="407"/>
    </row>
    <row r="503" spans="1:24" customFormat="1" ht="270.75" x14ac:dyDescent="0.25">
      <c r="A503" s="126">
        <v>1</v>
      </c>
      <c r="B503" s="142" t="s">
        <v>300</v>
      </c>
      <c r="C503" s="37">
        <v>1</v>
      </c>
      <c r="D503" s="4">
        <v>87</v>
      </c>
      <c r="E503" s="60"/>
      <c r="F503" s="60"/>
      <c r="G503" s="60"/>
      <c r="H503" s="60"/>
      <c r="I503" s="60"/>
      <c r="J503" s="60"/>
      <c r="K503" s="60"/>
      <c r="L503" s="60"/>
      <c r="M503" s="60"/>
      <c r="N503" s="60"/>
      <c r="O503" s="60"/>
      <c r="P503" s="60"/>
      <c r="Q503" s="60"/>
      <c r="R503" s="60"/>
      <c r="S503" s="60"/>
      <c r="T503" s="60"/>
      <c r="U503" s="13">
        <f t="shared" ref="U503:U527" si="28">SUM(D503:T503)</f>
        <v>87</v>
      </c>
      <c r="V503" s="60">
        <v>1950150</v>
      </c>
      <c r="W503" s="15">
        <f t="shared" si="26"/>
        <v>169663050</v>
      </c>
    </row>
    <row r="504" spans="1:24" customFormat="1" ht="28.5" x14ac:dyDescent="0.25">
      <c r="A504" s="124">
        <v>3</v>
      </c>
      <c r="B504" s="799" t="s">
        <v>339</v>
      </c>
      <c r="C504" s="37">
        <v>1</v>
      </c>
      <c r="D504" s="49">
        <v>1</v>
      </c>
      <c r="E504" s="49"/>
      <c r="F504" s="49"/>
      <c r="G504" s="49"/>
      <c r="H504" s="49"/>
      <c r="I504" s="49"/>
      <c r="J504" s="49"/>
      <c r="K504" s="49"/>
      <c r="L504" s="49"/>
      <c r="M504" s="49"/>
      <c r="N504" s="49"/>
      <c r="O504" s="49"/>
      <c r="P504" s="49"/>
      <c r="Q504" s="49"/>
      <c r="R504" s="49"/>
      <c r="S504" s="49"/>
      <c r="T504" s="49"/>
      <c r="U504" s="13">
        <f t="shared" si="28"/>
        <v>1</v>
      </c>
      <c r="V504" s="65">
        <v>1829000</v>
      </c>
      <c r="W504" s="15">
        <f t="shared" si="26"/>
        <v>1829000</v>
      </c>
    </row>
    <row r="505" spans="1:24" customFormat="1" ht="114" x14ac:dyDescent="0.25">
      <c r="A505" s="124">
        <v>4</v>
      </c>
      <c r="B505" s="799" t="s">
        <v>340</v>
      </c>
      <c r="C505" s="37">
        <v>1</v>
      </c>
      <c r="D505" s="49">
        <v>1</v>
      </c>
      <c r="E505" s="49"/>
      <c r="F505" s="49"/>
      <c r="G505" s="49"/>
      <c r="H505" s="49"/>
      <c r="I505" s="49"/>
      <c r="J505" s="49"/>
      <c r="K505" s="49"/>
      <c r="L505" s="49"/>
      <c r="M505" s="49"/>
      <c r="N505" s="49"/>
      <c r="O505" s="49"/>
      <c r="P505" s="49"/>
      <c r="Q505" s="49"/>
      <c r="R505" s="49"/>
      <c r="S505" s="49"/>
      <c r="T505" s="49"/>
      <c r="U505" s="13">
        <f t="shared" si="28"/>
        <v>1</v>
      </c>
      <c r="V505" s="65">
        <v>4250000</v>
      </c>
      <c r="W505" s="15">
        <f t="shared" si="26"/>
        <v>4250000</v>
      </c>
    </row>
    <row r="506" spans="1:24" customFormat="1" ht="85.5" x14ac:dyDescent="0.25">
      <c r="A506" s="124">
        <v>5</v>
      </c>
      <c r="B506" s="799" t="s">
        <v>341</v>
      </c>
      <c r="C506" s="37">
        <v>1</v>
      </c>
      <c r="D506" s="49">
        <v>1</v>
      </c>
      <c r="E506" s="49"/>
      <c r="F506" s="49"/>
      <c r="G506" s="49"/>
      <c r="H506" s="49"/>
      <c r="I506" s="49"/>
      <c r="J506" s="49"/>
      <c r="K506" s="49"/>
      <c r="L506" s="49"/>
      <c r="M506" s="49"/>
      <c r="N506" s="49"/>
      <c r="O506" s="49"/>
      <c r="P506" s="49"/>
      <c r="Q506" s="49"/>
      <c r="R506" s="49"/>
      <c r="S506" s="49"/>
      <c r="T506" s="49"/>
      <c r="U506" s="13">
        <f t="shared" si="28"/>
        <v>1</v>
      </c>
      <c r="V506" s="49">
        <v>1475000</v>
      </c>
      <c r="W506" s="15">
        <f>V506*U506/C506</f>
        <v>1475000</v>
      </c>
    </row>
    <row r="507" spans="1:24" customFormat="1" ht="57" x14ac:dyDescent="0.25">
      <c r="A507" s="124">
        <v>6</v>
      </c>
      <c r="B507" s="799" t="s">
        <v>342</v>
      </c>
      <c r="C507" s="37">
        <v>1</v>
      </c>
      <c r="D507" s="49">
        <v>4</v>
      </c>
      <c r="E507" s="49"/>
      <c r="F507" s="49"/>
      <c r="G507" s="49"/>
      <c r="H507" s="49"/>
      <c r="I507" s="49"/>
      <c r="J507" s="49"/>
      <c r="K507" s="49"/>
      <c r="L507" s="49"/>
      <c r="M507" s="49"/>
      <c r="N507" s="49"/>
      <c r="O507" s="49"/>
      <c r="P507" s="49"/>
      <c r="Q507" s="49"/>
      <c r="R507" s="49"/>
      <c r="S507" s="49"/>
      <c r="T507" s="49"/>
      <c r="U507" s="13">
        <f t="shared" si="28"/>
        <v>4</v>
      </c>
      <c r="V507" s="49">
        <v>129800</v>
      </c>
      <c r="W507" s="15">
        <f t="shared" si="26"/>
        <v>519200</v>
      </c>
    </row>
    <row r="508" spans="1:24" customFormat="1" ht="114" x14ac:dyDescent="0.25">
      <c r="A508" s="124">
        <v>7</v>
      </c>
      <c r="B508" s="799" t="s">
        <v>343</v>
      </c>
      <c r="C508" s="37">
        <v>1</v>
      </c>
      <c r="D508" s="49">
        <v>2</v>
      </c>
      <c r="E508" s="49"/>
      <c r="F508" s="49"/>
      <c r="G508" s="49"/>
      <c r="H508" s="49"/>
      <c r="I508" s="49"/>
      <c r="J508" s="49"/>
      <c r="K508" s="49"/>
      <c r="L508" s="49"/>
      <c r="M508" s="49"/>
      <c r="N508" s="49"/>
      <c r="O508" s="49"/>
      <c r="P508" s="49"/>
      <c r="Q508" s="49"/>
      <c r="R508" s="49"/>
      <c r="S508" s="49"/>
      <c r="T508" s="49"/>
      <c r="U508" s="13">
        <f t="shared" si="28"/>
        <v>2</v>
      </c>
      <c r="V508" s="49">
        <v>850000</v>
      </c>
      <c r="W508" s="15">
        <f t="shared" si="26"/>
        <v>1700000</v>
      </c>
    </row>
    <row r="509" spans="1:24" customFormat="1" ht="285.75" x14ac:dyDescent="0.25">
      <c r="A509" s="124">
        <v>8</v>
      </c>
      <c r="B509" s="142" t="s">
        <v>344</v>
      </c>
      <c r="C509" s="37">
        <v>1</v>
      </c>
      <c r="D509" s="61">
        <v>6</v>
      </c>
      <c r="E509" s="61"/>
      <c r="F509" s="61"/>
      <c r="G509" s="61"/>
      <c r="H509" s="61"/>
      <c r="I509" s="61"/>
      <c r="J509" s="61"/>
      <c r="K509" s="61"/>
      <c r="L509" s="61"/>
      <c r="M509" s="61"/>
      <c r="N509" s="61"/>
      <c r="O509" s="61"/>
      <c r="P509" s="61"/>
      <c r="Q509" s="61"/>
      <c r="R509" s="61"/>
      <c r="S509" s="61"/>
      <c r="T509" s="61"/>
      <c r="U509" s="13">
        <f t="shared" si="28"/>
        <v>6</v>
      </c>
      <c r="V509" s="66">
        <v>5061387.5</v>
      </c>
      <c r="W509" s="15">
        <f t="shared" si="26"/>
        <v>30368325</v>
      </c>
    </row>
    <row r="510" spans="1:24" customFormat="1" ht="285" x14ac:dyDescent="0.25">
      <c r="A510" s="124"/>
      <c r="B510" s="142" t="s">
        <v>426</v>
      </c>
      <c r="C510" s="37">
        <v>1</v>
      </c>
      <c r="D510" s="61">
        <v>7</v>
      </c>
      <c r="E510" s="61"/>
      <c r="F510" s="61"/>
      <c r="G510" s="61"/>
      <c r="H510" s="61"/>
      <c r="I510" s="61"/>
      <c r="J510" s="61"/>
      <c r="K510" s="61"/>
      <c r="L510" s="61"/>
      <c r="M510" s="61"/>
      <c r="N510" s="61"/>
      <c r="O510" s="61"/>
      <c r="P510" s="61"/>
      <c r="Q510" s="61"/>
      <c r="R510" s="61"/>
      <c r="S510" s="61"/>
      <c r="T510" s="61"/>
      <c r="U510" s="13">
        <f t="shared" si="28"/>
        <v>7</v>
      </c>
      <c r="V510" s="66">
        <v>4116450</v>
      </c>
      <c r="W510" s="15">
        <f t="shared" si="26"/>
        <v>28815150</v>
      </c>
    </row>
    <row r="511" spans="1:24" customFormat="1" ht="285" x14ac:dyDescent="0.25">
      <c r="A511" s="124"/>
      <c r="B511" s="142" t="s">
        <v>427</v>
      </c>
      <c r="C511" s="37">
        <v>1</v>
      </c>
      <c r="D511" s="61">
        <v>1</v>
      </c>
      <c r="E511" s="61"/>
      <c r="F511" s="61"/>
      <c r="G511" s="61"/>
      <c r="H511" s="61"/>
      <c r="I511" s="61"/>
      <c r="J511" s="61"/>
      <c r="K511" s="61"/>
      <c r="L511" s="61"/>
      <c r="M511" s="61"/>
      <c r="N511" s="61"/>
      <c r="O511" s="61"/>
      <c r="P511" s="61"/>
      <c r="Q511" s="61"/>
      <c r="R511" s="61"/>
      <c r="S511" s="61"/>
      <c r="T511" s="61"/>
      <c r="U511" s="13">
        <f t="shared" si="28"/>
        <v>1</v>
      </c>
      <c r="V511" s="66">
        <v>8787425</v>
      </c>
      <c r="W511" s="15">
        <f t="shared" si="26"/>
        <v>8787425</v>
      </c>
    </row>
    <row r="512" spans="1:24" s="154" customFormat="1" x14ac:dyDescent="0.25">
      <c r="A512" s="117" t="s">
        <v>51</v>
      </c>
      <c r="B512" s="799" t="s">
        <v>429</v>
      </c>
      <c r="C512" s="22" t="s">
        <v>347</v>
      </c>
      <c r="D512" s="25"/>
      <c r="E512" s="30"/>
      <c r="F512" s="30"/>
      <c r="G512" s="30"/>
      <c r="H512" s="30"/>
      <c r="I512" s="30"/>
      <c r="J512" s="30"/>
      <c r="K512" s="30"/>
      <c r="L512" s="30"/>
      <c r="M512" s="30"/>
      <c r="N512" s="30"/>
      <c r="O512" s="30"/>
      <c r="P512" s="30"/>
      <c r="Q512" s="30"/>
      <c r="R512" s="30"/>
      <c r="S512" s="30"/>
      <c r="T512" s="30"/>
      <c r="U512" s="13">
        <f t="shared" si="28"/>
        <v>0</v>
      </c>
      <c r="V512" s="30"/>
      <c r="W512" s="15">
        <v>1300000</v>
      </c>
    </row>
    <row r="513" spans="1:31" s="154" customFormat="1" x14ac:dyDescent="0.25">
      <c r="A513" s="117" t="s">
        <v>53</v>
      </c>
      <c r="B513" s="799" t="s">
        <v>428</v>
      </c>
      <c r="C513" s="22" t="s">
        <v>347</v>
      </c>
      <c r="D513" s="25"/>
      <c r="E513" s="30"/>
      <c r="F513" s="30"/>
      <c r="G513" s="30"/>
      <c r="H513" s="30"/>
      <c r="I513" s="30"/>
      <c r="J513" s="30"/>
      <c r="K513" s="30"/>
      <c r="L513" s="30"/>
      <c r="M513" s="30"/>
      <c r="N513" s="30"/>
      <c r="O513" s="30"/>
      <c r="P513" s="30"/>
      <c r="Q513" s="30"/>
      <c r="R513" s="30"/>
      <c r="S513" s="30"/>
      <c r="T513" s="30"/>
      <c r="U513" s="13">
        <f t="shared" si="28"/>
        <v>0</v>
      </c>
      <c r="V513" s="30"/>
      <c r="W513" s="15">
        <v>700000</v>
      </c>
    </row>
    <row r="514" spans="1:31" s="154" customFormat="1" x14ac:dyDescent="0.25">
      <c r="A514" s="117" t="s">
        <v>55</v>
      </c>
      <c r="B514" s="799" t="s">
        <v>432</v>
      </c>
      <c r="C514" s="22" t="s">
        <v>347</v>
      </c>
      <c r="D514" s="25"/>
      <c r="E514" s="30"/>
      <c r="F514" s="30"/>
      <c r="G514" s="30"/>
      <c r="H514" s="30"/>
      <c r="I514" s="30"/>
      <c r="J514" s="30"/>
      <c r="K514" s="30"/>
      <c r="L514" s="30"/>
      <c r="M514" s="30"/>
      <c r="N514" s="30"/>
      <c r="O514" s="30"/>
      <c r="P514" s="30"/>
      <c r="Q514" s="30"/>
      <c r="R514" s="30"/>
      <c r="S514" s="30"/>
      <c r="T514" s="30"/>
      <c r="U514" s="13">
        <f t="shared" si="28"/>
        <v>0</v>
      </c>
      <c r="V514" s="30"/>
      <c r="W514" s="15">
        <v>500000</v>
      </c>
    </row>
    <row r="515" spans="1:31" s="154" customFormat="1" x14ac:dyDescent="0.25">
      <c r="A515" s="117" t="s">
        <v>51</v>
      </c>
      <c r="B515" s="799" t="s">
        <v>430</v>
      </c>
      <c r="C515" s="22" t="s">
        <v>347</v>
      </c>
      <c r="D515" s="25"/>
      <c r="E515" s="30"/>
      <c r="F515" s="30"/>
      <c r="G515" s="30"/>
      <c r="H515" s="30"/>
      <c r="I515" s="30"/>
      <c r="J515" s="30"/>
      <c r="K515" s="30"/>
      <c r="L515" s="30"/>
      <c r="M515" s="30"/>
      <c r="N515" s="30"/>
      <c r="O515" s="30"/>
      <c r="P515" s="30"/>
      <c r="Q515" s="30"/>
      <c r="R515" s="30"/>
      <c r="S515" s="30"/>
      <c r="T515" s="30"/>
      <c r="U515" s="13">
        <f t="shared" si="28"/>
        <v>0</v>
      </c>
      <c r="V515" s="30"/>
      <c r="W515" s="15">
        <v>500000</v>
      </c>
    </row>
    <row r="516" spans="1:31" s="154" customFormat="1" x14ac:dyDescent="0.25">
      <c r="A516" s="117" t="s">
        <v>53</v>
      </c>
      <c r="B516" s="799" t="s">
        <v>431</v>
      </c>
      <c r="C516" s="22" t="s">
        <v>347</v>
      </c>
      <c r="D516" s="25"/>
      <c r="E516" s="30"/>
      <c r="F516" s="30"/>
      <c r="G516" s="30"/>
      <c r="H516" s="30"/>
      <c r="I516" s="30"/>
      <c r="J516" s="30"/>
      <c r="K516" s="30"/>
      <c r="L516" s="30"/>
      <c r="M516" s="30"/>
      <c r="N516" s="30"/>
      <c r="O516" s="30"/>
      <c r="P516" s="30"/>
      <c r="Q516" s="30"/>
      <c r="R516" s="30"/>
      <c r="S516" s="30"/>
      <c r="T516" s="30"/>
      <c r="U516" s="13">
        <f t="shared" si="28"/>
        <v>0</v>
      </c>
      <c r="V516" s="30"/>
      <c r="W516" s="15">
        <v>500000</v>
      </c>
    </row>
    <row r="517" spans="1:31" s="154" customFormat="1" ht="28.5" x14ac:dyDescent="0.25">
      <c r="A517" s="117" t="s">
        <v>51</v>
      </c>
      <c r="B517" s="806" t="s">
        <v>433</v>
      </c>
      <c r="C517" s="22" t="s">
        <v>347</v>
      </c>
      <c r="D517" s="25"/>
      <c r="E517" s="30"/>
      <c r="F517" s="30"/>
      <c r="G517" s="30"/>
      <c r="H517" s="30"/>
      <c r="I517" s="30"/>
      <c r="J517" s="30"/>
      <c r="K517" s="30"/>
      <c r="L517" s="30"/>
      <c r="M517" s="30"/>
      <c r="N517" s="30"/>
      <c r="O517" s="30"/>
      <c r="P517" s="30"/>
      <c r="Q517" s="30"/>
      <c r="R517" s="30"/>
      <c r="S517" s="30"/>
      <c r="T517" s="30"/>
      <c r="U517" s="13">
        <f t="shared" si="28"/>
        <v>0</v>
      </c>
      <c r="V517" s="30"/>
      <c r="W517" s="15">
        <v>250000</v>
      </c>
    </row>
    <row r="518" spans="1:31" s="154" customFormat="1" ht="28.5" x14ac:dyDescent="0.25">
      <c r="A518" s="117" t="s">
        <v>53</v>
      </c>
      <c r="B518" s="806" t="s">
        <v>434</v>
      </c>
      <c r="C518" s="22" t="s">
        <v>347</v>
      </c>
      <c r="D518" s="25"/>
      <c r="E518" s="30"/>
      <c r="F518" s="30"/>
      <c r="G518" s="30"/>
      <c r="H518" s="30"/>
      <c r="I518" s="30"/>
      <c r="J518" s="30"/>
      <c r="K518" s="30"/>
      <c r="L518" s="30"/>
      <c r="M518" s="30"/>
      <c r="N518" s="30"/>
      <c r="O518" s="30"/>
      <c r="P518" s="30"/>
      <c r="Q518" s="30"/>
      <c r="R518" s="30"/>
      <c r="S518" s="30"/>
      <c r="T518" s="30"/>
      <c r="U518" s="13">
        <f t="shared" si="28"/>
        <v>0</v>
      </c>
      <c r="V518" s="30"/>
      <c r="W518" s="15">
        <v>250000</v>
      </c>
    </row>
    <row r="519" spans="1:31" s="154" customFormat="1" x14ac:dyDescent="0.25">
      <c r="A519" s="117" t="s">
        <v>51</v>
      </c>
      <c r="B519" s="806" t="s">
        <v>354</v>
      </c>
      <c r="C519" s="22" t="s">
        <v>347</v>
      </c>
      <c r="D519" s="33">
        <v>5</v>
      </c>
      <c r="E519" s="40"/>
      <c r="F519" s="40"/>
      <c r="G519" s="40"/>
      <c r="H519" s="40"/>
      <c r="I519" s="40"/>
      <c r="J519" s="40"/>
      <c r="K519" s="40"/>
      <c r="L519" s="40"/>
      <c r="M519" s="40"/>
      <c r="N519" s="40"/>
      <c r="O519" s="40"/>
      <c r="P519" s="40"/>
      <c r="Q519" s="40"/>
      <c r="R519" s="40"/>
      <c r="S519" s="40"/>
      <c r="T519" s="40"/>
      <c r="U519" s="13">
        <f t="shared" si="28"/>
        <v>5</v>
      </c>
      <c r="V519" s="40">
        <v>100000</v>
      </c>
      <c r="W519" s="15">
        <v>500000</v>
      </c>
    </row>
    <row r="520" spans="1:31" s="154" customFormat="1" x14ac:dyDescent="0.25">
      <c r="A520" s="127">
        <v>13</v>
      </c>
      <c r="B520" s="819" t="s">
        <v>355</v>
      </c>
      <c r="C520" s="22" t="s">
        <v>347</v>
      </c>
      <c r="D520" s="25">
        <v>1</v>
      </c>
      <c r="E520" s="30"/>
      <c r="F520" s="30"/>
      <c r="G520" s="30"/>
      <c r="H520" s="30"/>
      <c r="I520" s="30"/>
      <c r="J520" s="30"/>
      <c r="K520" s="30"/>
      <c r="L520" s="30"/>
      <c r="M520" s="30"/>
      <c r="N520" s="30"/>
      <c r="O520" s="30"/>
      <c r="P520" s="30"/>
      <c r="Q520" s="30"/>
      <c r="R520" s="30"/>
      <c r="S520" s="30"/>
      <c r="T520" s="30"/>
      <c r="U520" s="13">
        <f t="shared" si="28"/>
        <v>1</v>
      </c>
      <c r="V520" s="30"/>
      <c r="W520" s="15">
        <v>1500000</v>
      </c>
    </row>
    <row r="521" spans="1:31" s="154" customFormat="1" x14ac:dyDescent="0.25">
      <c r="A521" s="127">
        <v>14</v>
      </c>
      <c r="B521" s="819" t="s">
        <v>356</v>
      </c>
      <c r="C521" s="22" t="s">
        <v>347</v>
      </c>
      <c r="D521" s="33">
        <v>3</v>
      </c>
      <c r="E521" s="40"/>
      <c r="F521" s="40"/>
      <c r="G521" s="40"/>
      <c r="H521" s="40"/>
      <c r="I521" s="40"/>
      <c r="J521" s="40"/>
      <c r="K521" s="40"/>
      <c r="L521" s="40"/>
      <c r="M521" s="40"/>
      <c r="N521" s="40"/>
      <c r="O521" s="40"/>
      <c r="P521" s="40"/>
      <c r="Q521" s="40"/>
      <c r="R521" s="40"/>
      <c r="S521" s="40"/>
      <c r="T521" s="40"/>
      <c r="U521" s="13">
        <f t="shared" si="28"/>
        <v>3</v>
      </c>
      <c r="V521" s="40">
        <v>500000</v>
      </c>
      <c r="W521" s="15">
        <v>1500000</v>
      </c>
    </row>
    <row r="522" spans="1:31" s="154" customFormat="1" x14ac:dyDescent="0.25">
      <c r="A522" s="127">
        <v>15</v>
      </c>
      <c r="B522" s="819" t="s">
        <v>357</v>
      </c>
      <c r="C522" s="22" t="s">
        <v>347</v>
      </c>
      <c r="D522" s="25">
        <v>1</v>
      </c>
      <c r="E522" s="30"/>
      <c r="F522" s="30"/>
      <c r="G522" s="30"/>
      <c r="H522" s="30"/>
      <c r="I522" s="30"/>
      <c r="J522" s="30"/>
      <c r="K522" s="30"/>
      <c r="L522" s="30"/>
      <c r="M522" s="30"/>
      <c r="N522" s="30"/>
      <c r="O522" s="30"/>
      <c r="P522" s="30"/>
      <c r="Q522" s="30"/>
      <c r="R522" s="30"/>
      <c r="S522" s="30"/>
      <c r="T522" s="30"/>
      <c r="U522" s="13">
        <f t="shared" si="28"/>
        <v>1</v>
      </c>
      <c r="V522" s="30"/>
      <c r="W522" s="15">
        <v>500000</v>
      </c>
    </row>
    <row r="523" spans="1:31" x14ac:dyDescent="0.25">
      <c r="A523" s="117" t="s">
        <v>51</v>
      </c>
      <c r="B523" s="806" t="s">
        <v>435</v>
      </c>
      <c r="C523" s="22" t="s">
        <v>347</v>
      </c>
      <c r="D523" s="33">
        <v>1</v>
      </c>
      <c r="E523" s="40"/>
      <c r="F523" s="40"/>
      <c r="G523" s="40"/>
      <c r="H523" s="40"/>
      <c r="I523" s="40"/>
      <c r="J523" s="40"/>
      <c r="K523" s="40"/>
      <c r="L523" s="40"/>
      <c r="M523" s="40"/>
      <c r="N523" s="40"/>
      <c r="O523" s="40"/>
      <c r="P523" s="40"/>
      <c r="Q523" s="40"/>
      <c r="R523" s="40"/>
      <c r="S523" s="40"/>
      <c r="T523" s="40"/>
      <c r="U523" s="13">
        <f t="shared" si="28"/>
        <v>1</v>
      </c>
      <c r="V523" s="30"/>
      <c r="W523" s="15">
        <v>125000</v>
      </c>
    </row>
    <row r="524" spans="1:31" ht="28.5" x14ac:dyDescent="0.25">
      <c r="A524" s="117" t="s">
        <v>53</v>
      </c>
      <c r="B524" s="806" t="s">
        <v>436</v>
      </c>
      <c r="C524" s="22" t="s">
        <v>347</v>
      </c>
      <c r="D524" s="33">
        <v>1</v>
      </c>
      <c r="E524" s="40"/>
      <c r="F524" s="40"/>
      <c r="G524" s="40"/>
      <c r="H524" s="40"/>
      <c r="I524" s="40"/>
      <c r="J524" s="40"/>
      <c r="K524" s="40"/>
      <c r="L524" s="40"/>
      <c r="M524" s="40"/>
      <c r="N524" s="40"/>
      <c r="O524" s="40"/>
      <c r="P524" s="40"/>
      <c r="Q524" s="40"/>
      <c r="R524" s="40"/>
      <c r="S524" s="40"/>
      <c r="T524" s="40"/>
      <c r="U524" s="13">
        <f t="shared" si="28"/>
        <v>1</v>
      </c>
      <c r="V524" s="30"/>
      <c r="W524" s="15">
        <v>100000</v>
      </c>
      <c r="AC524"/>
      <c r="AD524"/>
      <c r="AE524">
        <f>AC524+AD524</f>
        <v>0</v>
      </c>
    </row>
    <row r="525" spans="1:31" x14ac:dyDescent="0.25">
      <c r="A525" s="117" t="s">
        <v>55</v>
      </c>
      <c r="B525" s="806" t="s">
        <v>437</v>
      </c>
      <c r="C525" s="22" t="s">
        <v>347</v>
      </c>
      <c r="D525" s="33">
        <v>1</v>
      </c>
      <c r="E525" s="40"/>
      <c r="F525" s="40"/>
      <c r="G525" s="40"/>
      <c r="H525" s="40"/>
      <c r="I525" s="40"/>
      <c r="J525" s="40"/>
      <c r="K525" s="40"/>
      <c r="L525" s="40"/>
      <c r="M525" s="40"/>
      <c r="N525" s="40"/>
      <c r="O525" s="40"/>
      <c r="P525" s="40"/>
      <c r="Q525" s="40"/>
      <c r="R525" s="40"/>
      <c r="S525" s="40"/>
      <c r="T525" s="40"/>
      <c r="U525" s="13">
        <f t="shared" si="28"/>
        <v>1</v>
      </c>
      <c r="V525" s="30"/>
      <c r="W525" s="15">
        <v>100000</v>
      </c>
      <c r="AC525">
        <v>187601.82</v>
      </c>
      <c r="AD525">
        <v>40000</v>
      </c>
      <c r="AE525">
        <f t="shared" ref="AE525:AE533" si="29">AC525+AD525</f>
        <v>227601.82</v>
      </c>
    </row>
    <row r="526" spans="1:31" x14ac:dyDescent="0.25">
      <c r="A526" s="117" t="s">
        <v>362</v>
      </c>
      <c r="B526" s="806" t="s">
        <v>438</v>
      </c>
      <c r="C526" s="22" t="s">
        <v>347</v>
      </c>
      <c r="D526" s="33">
        <v>1</v>
      </c>
      <c r="E526" s="40"/>
      <c r="F526" s="40"/>
      <c r="G526" s="40"/>
      <c r="H526" s="40"/>
      <c r="I526" s="40"/>
      <c r="J526" s="40"/>
      <c r="K526" s="40"/>
      <c r="L526" s="40"/>
      <c r="M526" s="40"/>
      <c r="N526" s="40"/>
      <c r="O526" s="40"/>
      <c r="P526" s="40"/>
      <c r="Q526" s="40"/>
      <c r="R526" s="40"/>
      <c r="S526" s="40"/>
      <c r="T526" s="40"/>
      <c r="U526" s="13">
        <f t="shared" si="28"/>
        <v>1</v>
      </c>
      <c r="V526" s="30"/>
      <c r="W526" s="15">
        <v>175000</v>
      </c>
      <c r="AC526">
        <v>101544.2</v>
      </c>
      <c r="AD526">
        <v>40000</v>
      </c>
      <c r="AE526">
        <f t="shared" si="29"/>
        <v>141544.20000000001</v>
      </c>
    </row>
    <row r="527" spans="1:31" ht="28.5" x14ac:dyDescent="0.25">
      <c r="A527" s="117" t="s">
        <v>364</v>
      </c>
      <c r="B527" s="806" t="s">
        <v>439</v>
      </c>
      <c r="C527" s="22" t="s">
        <v>347</v>
      </c>
      <c r="D527" s="33">
        <v>1</v>
      </c>
      <c r="E527" s="40"/>
      <c r="F527" s="40"/>
      <c r="G527" s="40"/>
      <c r="H527" s="40"/>
      <c r="I527" s="40"/>
      <c r="J527" s="40"/>
      <c r="K527" s="40"/>
      <c r="L527" s="40"/>
      <c r="M527" s="40"/>
      <c r="N527" s="40"/>
      <c r="O527" s="40"/>
      <c r="P527" s="40"/>
      <c r="Q527" s="40"/>
      <c r="R527" s="40"/>
      <c r="S527" s="40"/>
      <c r="T527" s="40"/>
      <c r="U527" s="13">
        <f t="shared" si="28"/>
        <v>1</v>
      </c>
      <c r="V527" s="30"/>
      <c r="W527" s="15">
        <v>500000</v>
      </c>
      <c r="X527" s="186">
        <f>SUM(W512:W527)</f>
        <v>9000000</v>
      </c>
      <c r="AC527">
        <v>134924</v>
      </c>
      <c r="AD527">
        <v>40000</v>
      </c>
      <c r="AE527">
        <f t="shared" si="29"/>
        <v>174924</v>
      </c>
    </row>
    <row r="528" spans="1:31" x14ac:dyDescent="0.25">
      <c r="B528" s="820"/>
      <c r="AC528">
        <v>207719.6</v>
      </c>
      <c r="AD528">
        <v>40000</v>
      </c>
      <c r="AE528">
        <f t="shared" si="29"/>
        <v>247719.6</v>
      </c>
    </row>
    <row r="529" spans="2:31" x14ac:dyDescent="0.25">
      <c r="B529" s="820"/>
      <c r="AC529">
        <v>274993.59999999998</v>
      </c>
      <c r="AD529">
        <v>156780</v>
      </c>
      <c r="AE529">
        <f t="shared" si="29"/>
        <v>431773.6</v>
      </c>
    </row>
    <row r="530" spans="2:31" x14ac:dyDescent="0.25">
      <c r="B530" s="820"/>
      <c r="V530" s="153" t="s">
        <v>415</v>
      </c>
      <c r="W530" s="68">
        <f>SUM(W5:W527)</f>
        <v>2265652111.2852783</v>
      </c>
      <c r="AC530">
        <v>141014</v>
      </c>
      <c r="AD530">
        <v>40000</v>
      </c>
      <c r="AE530">
        <f t="shared" si="29"/>
        <v>181014</v>
      </c>
    </row>
    <row r="531" spans="2:31" x14ac:dyDescent="0.25">
      <c r="W531" s="159"/>
      <c r="AC531">
        <v>301093.59999999998</v>
      </c>
      <c r="AD531">
        <v>156780</v>
      </c>
      <c r="AE531">
        <f t="shared" si="29"/>
        <v>457873.6</v>
      </c>
    </row>
    <row r="532" spans="2:31" x14ac:dyDescent="0.25">
      <c r="V532" s="153" t="s">
        <v>416</v>
      </c>
      <c r="W532" s="68">
        <v>2279229198.29</v>
      </c>
      <c r="AC532">
        <v>143304</v>
      </c>
      <c r="AD532">
        <v>40000</v>
      </c>
      <c r="AE532">
        <f t="shared" si="29"/>
        <v>183304</v>
      </c>
    </row>
    <row r="533" spans="2:31" x14ac:dyDescent="0.25">
      <c r="W533" s="159"/>
      <c r="AC533">
        <v>1426668.4</v>
      </c>
      <c r="AD533">
        <v>156780</v>
      </c>
      <c r="AE533">
        <f t="shared" si="29"/>
        <v>1583448.4</v>
      </c>
    </row>
    <row r="534" spans="2:31" x14ac:dyDescent="0.25">
      <c r="V534" s="153" t="s">
        <v>417</v>
      </c>
      <c r="W534" s="165">
        <f>W530-W532</f>
        <v>-13577087.004721642</v>
      </c>
      <c r="X534" s="1">
        <f>16069459</f>
        <v>16069459</v>
      </c>
      <c r="AC534"/>
      <c r="AD534"/>
      <c r="AE534">
        <f>SUM(AE524:AE533)</f>
        <v>3629203.2199999997</v>
      </c>
    </row>
    <row r="535" spans="2:31" x14ac:dyDescent="0.25">
      <c r="X535" s="1">
        <v>4726644</v>
      </c>
    </row>
    <row r="536" spans="2:31" x14ac:dyDescent="0.25">
      <c r="W536" s="153">
        <f>W534+X536+X537+X538+Z537+Z541</f>
        <v>1395553.9952783585</v>
      </c>
      <c r="X536" s="1">
        <f>X534-X535</f>
        <v>11342815</v>
      </c>
    </row>
    <row r="537" spans="2:31" x14ac:dyDescent="0.25">
      <c r="X537">
        <v>3629203</v>
      </c>
    </row>
    <row r="538" spans="2:31" x14ac:dyDescent="0.25">
      <c r="X538" s="1">
        <v>623</v>
      </c>
    </row>
    <row r="539" spans="2:31" x14ac:dyDescent="0.25">
      <c r="AA539" s="187">
        <f>AA538+AB560</f>
        <v>0</v>
      </c>
    </row>
    <row r="541" spans="2:31" x14ac:dyDescent="0.25">
      <c r="AC541" s="187"/>
    </row>
  </sheetData>
  <autoFilter ref="B1:B541" xr:uid="{00000000-0009-0000-0000-000002000000}"/>
  <conditionalFormatting sqref="B124">
    <cfRule type="cellIs" dxfId="52" priority="3" operator="equal">
      <formula>0</formula>
    </cfRule>
  </conditionalFormatting>
  <conditionalFormatting sqref="B164">
    <cfRule type="cellIs" dxfId="51" priority="8" operator="equal">
      <formula>0</formula>
    </cfRule>
  </conditionalFormatting>
  <conditionalFormatting sqref="B278">
    <cfRule type="cellIs" dxfId="50" priority="6" operator="equal">
      <formula>0</formula>
    </cfRule>
  </conditionalFormatting>
  <conditionalFormatting sqref="B335:B338 B340:B350 B139:B155 B162:B165 B159 B157 B167:B172 B174:B191 B195:B200 B202:B209 B211:B217 B219:B250 B252:B256 B259:B267 B269:B308 B311:B312 B316:B322 B324:B332 B352:B468 B472:B498 B500:B1048576 B94:B97 B1:B91 B100:B137">
    <cfRule type="duplicateValues" dxfId="49" priority="12"/>
  </conditionalFormatting>
  <conditionalFormatting sqref="J130:M132">
    <cfRule type="cellIs" dxfId="48" priority="5" operator="equal">
      <formula>0</formula>
    </cfRule>
  </conditionalFormatting>
  <conditionalFormatting sqref="O130:O132">
    <cfRule type="cellIs" dxfId="47" priority="2" operator="equal">
      <formula>0</formula>
    </cfRule>
  </conditionalFormatting>
  <conditionalFormatting sqref="V124">
    <cfRule type="cellIs" dxfId="46" priority="1" operator="equal">
      <formula>0</formula>
    </cfRule>
  </conditionalFormatting>
  <conditionalFormatting sqref="V130:V132 W140:W151">
    <cfRule type="cellIs" dxfId="45" priority="10" operator="equal">
      <formula>0</formula>
    </cfRule>
  </conditionalFormatting>
  <conditionalFormatting sqref="V164:V165">
    <cfRule type="cellIs" dxfId="44" priority="9" operator="equal">
      <formula>0</formula>
    </cfRule>
  </conditionalFormatting>
  <conditionalFormatting sqref="V278">
    <cfRule type="cellIs" dxfId="43" priority="7" operator="equal">
      <formula>0</formula>
    </cfRule>
  </conditionalFormatting>
  <conditionalFormatting sqref="W3 W40 W72 W74:W79 W81 W83:W86 W94:W96 D130:D132 W153:W154 W168:W170 W189:W190 W222:W224 W226:W228 W230:W242 W244:W247 W249:W250 W280:W281 W283:W284 W286:W293 W295:W297 W299:W300 W302:W305 W307 W325:W328 W330:W331 W369:W372 W374:W377 W379:W380 W382:W384 W386:W401 W403:W406">
    <cfRule type="cellIs" dxfId="42" priority="11" operator="equal">
      <formula>0</formula>
    </cfRule>
  </conditionalFormatting>
  <conditionalFormatting sqref="W5:W8 W10:W24 W26:W38 W42:W70 B88:B91 W88:W91 W100:W105 W107:W132 B130:B136 W134:W137 W157 W162:W165 W172 W174:W187 W195:W197 W199:W200 W202:W208 W211:W217 W219:W220 W252:W255 W259:W267 W269:W278 W311 W316:W322 W335:W338 W340:W349 W352:W367 W408:W468 W472:W476 W478:W498 W500:W501 W503:W527">
    <cfRule type="cellIs" dxfId="41" priority="4" operator="equal">
      <formula>0</formula>
    </cfRule>
  </conditionalFormatting>
  <printOptions horizontalCentered="1"/>
  <pageMargins left="0.39370078740157483" right="7.874015748031496E-2" top="0.27559055118110237" bottom="0.11811023622047245" header="0.31496062992125984" footer="0.31496062992125984"/>
  <pageSetup paperSize="9" scale="75"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G481"/>
  <sheetViews>
    <sheetView workbookViewId="0">
      <selection activeCell="C7" sqref="C7"/>
    </sheetView>
  </sheetViews>
  <sheetFormatPr defaultColWidth="9.140625" defaultRowHeight="15.75" x14ac:dyDescent="0.25"/>
  <cols>
    <col min="1" max="1" width="5.85546875" style="1" bestFit="1" customWidth="1"/>
    <col min="2" max="2" width="63.7109375" style="6" customWidth="1"/>
    <col min="3" max="3" width="17.85546875" style="7" customWidth="1"/>
    <col min="4" max="4" width="17.85546875" style="163" customWidth="1"/>
    <col min="5" max="5" width="22.5703125" style="8" customWidth="1"/>
    <col min="6" max="7" width="22.5703125" style="1" customWidth="1"/>
    <col min="8" max="16384" width="9.140625" style="1"/>
  </cols>
  <sheetData>
    <row r="1" spans="1:7" ht="26.25" customHeight="1" x14ac:dyDescent="0.25">
      <c r="A1" s="1038" t="s">
        <v>0</v>
      </c>
      <c r="B1" s="1038"/>
      <c r="C1" s="1038"/>
      <c r="D1" s="1038"/>
      <c r="E1" s="1038"/>
      <c r="F1" s="1038"/>
      <c r="G1" s="1038"/>
    </row>
    <row r="2" spans="1:7" ht="18.75" customHeight="1" x14ac:dyDescent="0.25">
      <c r="A2" s="1036" t="s">
        <v>410</v>
      </c>
      <c r="B2" s="1036"/>
      <c r="C2" s="1036"/>
      <c r="D2" s="1036"/>
      <c r="E2" s="1036"/>
      <c r="F2" s="1036"/>
      <c r="G2" s="1036"/>
    </row>
    <row r="3" spans="1:7" ht="18.75" customHeight="1" x14ac:dyDescent="0.25">
      <c r="A3" s="1039" t="s">
        <v>2</v>
      </c>
      <c r="B3" s="1040" t="s">
        <v>411</v>
      </c>
      <c r="C3" s="1040" t="s">
        <v>4</v>
      </c>
      <c r="D3" s="1041" t="s">
        <v>5</v>
      </c>
      <c r="E3" s="1042" t="s">
        <v>6</v>
      </c>
      <c r="F3" s="1042"/>
      <c r="G3" s="1043" t="s">
        <v>412</v>
      </c>
    </row>
    <row r="4" spans="1:7" s="2" customFormat="1" ht="36" x14ac:dyDescent="0.3">
      <c r="A4" s="1039"/>
      <c r="B4" s="1040"/>
      <c r="C4" s="1040"/>
      <c r="D4" s="1041"/>
      <c r="E4" s="28" t="s">
        <v>413</v>
      </c>
      <c r="F4" s="28" t="s">
        <v>414</v>
      </c>
      <c r="G4" s="1044"/>
    </row>
    <row r="5" spans="1:7" ht="22.5" x14ac:dyDescent="0.25">
      <c r="A5" s="143">
        <v>1</v>
      </c>
      <c r="B5" s="144" t="s">
        <v>394</v>
      </c>
      <c r="C5" s="145"/>
      <c r="D5" s="164"/>
      <c r="E5" s="67"/>
      <c r="F5" s="17"/>
      <c r="G5" s="17"/>
    </row>
    <row r="6" spans="1:7" ht="75" x14ac:dyDescent="0.25">
      <c r="A6" s="116">
        <v>1</v>
      </c>
      <c r="B6" s="92" t="s">
        <v>8</v>
      </c>
      <c r="C6" s="12">
        <v>1000</v>
      </c>
      <c r="D6" s="162">
        <v>69294444.519999996</v>
      </c>
      <c r="E6" s="67"/>
      <c r="F6" s="17"/>
      <c r="G6" s="17"/>
    </row>
    <row r="7" spans="1:7" ht="30" x14ac:dyDescent="0.25">
      <c r="A7" s="116">
        <v>2</v>
      </c>
      <c r="B7" s="92" t="s">
        <v>9</v>
      </c>
      <c r="C7" s="12">
        <v>1000</v>
      </c>
      <c r="D7" s="162">
        <v>29373180.919999998</v>
      </c>
      <c r="E7" s="67"/>
      <c r="F7" s="17"/>
      <c r="G7" s="17"/>
    </row>
    <row r="8" spans="1:7" ht="45" x14ac:dyDescent="0.25">
      <c r="A8" s="116">
        <v>3</v>
      </c>
      <c r="B8" s="92" t="s">
        <v>10</v>
      </c>
      <c r="C8" s="104"/>
      <c r="D8" s="162"/>
      <c r="E8" s="67"/>
      <c r="F8" s="17"/>
      <c r="G8" s="17"/>
    </row>
    <row r="9" spans="1:7" x14ac:dyDescent="0.25">
      <c r="A9" s="116"/>
      <c r="B9" s="92" t="s">
        <v>11</v>
      </c>
      <c r="C9" s="12">
        <v>1000</v>
      </c>
      <c r="D9" s="162">
        <v>546147.5</v>
      </c>
      <c r="E9" s="67"/>
      <c r="F9" s="17"/>
      <c r="G9" s="17"/>
    </row>
    <row r="10" spans="1:7" x14ac:dyDescent="0.25">
      <c r="A10" s="116"/>
      <c r="B10" s="92" t="s">
        <v>144</v>
      </c>
      <c r="C10" s="12">
        <v>1000</v>
      </c>
      <c r="D10" s="162">
        <v>989635</v>
      </c>
      <c r="E10" s="67"/>
      <c r="F10" s="17"/>
      <c r="G10" s="17"/>
    </row>
    <row r="11" spans="1:7" x14ac:dyDescent="0.25">
      <c r="A11" s="116"/>
      <c r="B11" s="92" t="s">
        <v>12</v>
      </c>
      <c r="C11" s="12">
        <v>1000</v>
      </c>
      <c r="D11" s="162">
        <v>275885.29000000004</v>
      </c>
      <c r="E11" s="67"/>
      <c r="F11" s="17"/>
      <c r="G11" s="17"/>
    </row>
    <row r="12" spans="1:7" x14ac:dyDescent="0.25">
      <c r="A12" s="116"/>
      <c r="B12" s="92" t="s">
        <v>13</v>
      </c>
      <c r="C12" s="12">
        <v>1000</v>
      </c>
      <c r="D12" s="162">
        <v>62477.500000000007</v>
      </c>
      <c r="E12" s="67"/>
      <c r="F12" s="17"/>
      <c r="G12" s="17"/>
    </row>
    <row r="13" spans="1:7" x14ac:dyDescent="0.25">
      <c r="A13" s="116"/>
      <c r="B13" s="92" t="s">
        <v>14</v>
      </c>
      <c r="C13" s="12">
        <v>1000</v>
      </c>
      <c r="D13" s="162">
        <v>549295</v>
      </c>
      <c r="E13" s="67"/>
      <c r="F13" s="17"/>
      <c r="G13" s="17"/>
    </row>
    <row r="14" spans="1:7" x14ac:dyDescent="0.25">
      <c r="A14" s="116"/>
      <c r="B14" s="92" t="s">
        <v>380</v>
      </c>
      <c r="C14" s="12">
        <v>1000</v>
      </c>
      <c r="D14" s="162">
        <v>555572.5</v>
      </c>
      <c r="E14" s="67"/>
      <c r="F14" s="17"/>
      <c r="G14" s="17"/>
    </row>
    <row r="15" spans="1:7" x14ac:dyDescent="0.25">
      <c r="A15" s="116"/>
      <c r="B15" s="92" t="s">
        <v>15</v>
      </c>
      <c r="C15" s="12">
        <v>1000</v>
      </c>
      <c r="D15" s="162">
        <v>18740</v>
      </c>
      <c r="E15" s="67"/>
      <c r="F15" s="17"/>
      <c r="G15" s="17"/>
    </row>
    <row r="16" spans="1:7" x14ac:dyDescent="0.25">
      <c r="A16" s="116"/>
      <c r="B16" s="92" t="s">
        <v>187</v>
      </c>
      <c r="C16" s="12">
        <v>1000</v>
      </c>
      <c r="D16" s="162">
        <v>53390</v>
      </c>
      <c r="E16" s="67"/>
      <c r="F16" s="17"/>
      <c r="G16" s="17"/>
    </row>
    <row r="17" spans="1:7" x14ac:dyDescent="0.25">
      <c r="A17" s="116"/>
      <c r="B17" s="92" t="s">
        <v>381</v>
      </c>
      <c r="C17" s="12">
        <v>1000</v>
      </c>
      <c r="D17" s="162">
        <v>75040</v>
      </c>
      <c r="E17" s="67"/>
      <c r="F17" s="17"/>
      <c r="G17" s="17"/>
    </row>
    <row r="18" spans="1:7" x14ac:dyDescent="0.25">
      <c r="A18" s="116"/>
      <c r="B18" s="92" t="s">
        <v>145</v>
      </c>
      <c r="C18" s="12">
        <v>1000</v>
      </c>
      <c r="D18" s="162">
        <v>98265.75</v>
      </c>
      <c r="E18" s="67"/>
      <c r="F18" s="17"/>
      <c r="G18" s="17"/>
    </row>
    <row r="19" spans="1:7" x14ac:dyDescent="0.25">
      <c r="A19" s="116"/>
      <c r="B19" s="92" t="s">
        <v>188</v>
      </c>
      <c r="C19" s="12">
        <v>1000</v>
      </c>
      <c r="D19" s="162">
        <v>187560</v>
      </c>
      <c r="E19" s="67"/>
      <c r="F19" s="17"/>
      <c r="G19" s="17"/>
    </row>
    <row r="20" spans="1:7" x14ac:dyDescent="0.25">
      <c r="A20" s="116"/>
      <c r="B20" s="92" t="s">
        <v>16</v>
      </c>
      <c r="C20" s="12">
        <v>1000</v>
      </c>
      <c r="D20" s="162">
        <v>54772.5</v>
      </c>
      <c r="E20" s="67"/>
      <c r="F20" s="17"/>
      <c r="G20" s="17"/>
    </row>
    <row r="21" spans="1:7" x14ac:dyDescent="0.25">
      <c r="A21" s="116"/>
      <c r="B21" s="92" t="s">
        <v>146</v>
      </c>
      <c r="C21" s="12">
        <v>1000</v>
      </c>
      <c r="D21" s="162">
        <v>125720</v>
      </c>
      <c r="E21" s="67"/>
      <c r="F21" s="17"/>
      <c r="G21" s="17"/>
    </row>
    <row r="22" spans="1:7" x14ac:dyDescent="0.25">
      <c r="A22" s="116"/>
      <c r="B22" s="115" t="s">
        <v>156</v>
      </c>
      <c r="C22" s="12">
        <v>1000</v>
      </c>
      <c r="D22" s="162">
        <v>70367.5</v>
      </c>
      <c r="E22" s="67"/>
      <c r="F22" s="17"/>
      <c r="G22" s="17"/>
    </row>
    <row r="23" spans="1:7" x14ac:dyDescent="0.25">
      <c r="A23" s="116"/>
      <c r="B23" s="92" t="s">
        <v>147</v>
      </c>
      <c r="C23" s="12">
        <v>1000</v>
      </c>
      <c r="D23" s="162">
        <v>4869.33</v>
      </c>
      <c r="E23" s="67"/>
      <c r="F23" s="17"/>
      <c r="G23" s="17"/>
    </row>
    <row r="24" spans="1:7" x14ac:dyDescent="0.25">
      <c r="A24" s="116">
        <v>4</v>
      </c>
      <c r="B24" s="115" t="s">
        <v>157</v>
      </c>
      <c r="C24" s="12">
        <v>1000</v>
      </c>
      <c r="D24" s="162"/>
      <c r="E24" s="67"/>
      <c r="F24" s="17"/>
      <c r="G24" s="17"/>
    </row>
    <row r="25" spans="1:7" x14ac:dyDescent="0.25">
      <c r="A25" s="116"/>
      <c r="B25" s="92" t="s">
        <v>384</v>
      </c>
      <c r="C25" s="12">
        <v>1000</v>
      </c>
      <c r="D25" s="162">
        <v>140702.28500000003</v>
      </c>
      <c r="E25" s="67"/>
      <c r="F25" s="17"/>
      <c r="G25" s="17"/>
    </row>
    <row r="26" spans="1:7" x14ac:dyDescent="0.25">
      <c r="A26" s="116"/>
      <c r="B26" s="115" t="s">
        <v>11</v>
      </c>
      <c r="C26" s="12">
        <v>1000</v>
      </c>
      <c r="D26" s="162">
        <v>1887045.5</v>
      </c>
      <c r="E26" s="67"/>
      <c r="F26" s="17"/>
      <c r="G26" s="17"/>
    </row>
    <row r="27" spans="1:7" x14ac:dyDescent="0.25">
      <c r="A27" s="116"/>
      <c r="B27" s="92" t="s">
        <v>209</v>
      </c>
      <c r="C27" s="12">
        <v>1000</v>
      </c>
      <c r="D27" s="162">
        <v>97969.465000000011</v>
      </c>
      <c r="E27" s="67"/>
      <c r="F27" s="17"/>
      <c r="G27" s="17"/>
    </row>
    <row r="28" spans="1:7" x14ac:dyDescent="0.25">
      <c r="A28" s="116"/>
      <c r="B28" s="92" t="s">
        <v>208</v>
      </c>
      <c r="C28" s="12">
        <v>1000</v>
      </c>
      <c r="D28" s="162">
        <v>159193.80000000005</v>
      </c>
      <c r="E28" s="67"/>
      <c r="F28" s="17"/>
      <c r="G28" s="17"/>
    </row>
    <row r="29" spans="1:7" ht="30" x14ac:dyDescent="0.25">
      <c r="A29" s="116">
        <v>5</v>
      </c>
      <c r="B29" s="130" t="s">
        <v>332</v>
      </c>
      <c r="C29" s="12">
        <v>1000</v>
      </c>
      <c r="D29" s="162">
        <v>910707.77524999995</v>
      </c>
      <c r="E29" s="67"/>
      <c r="F29" s="17"/>
      <c r="G29" s="17"/>
    </row>
    <row r="30" spans="1:7" ht="45" x14ac:dyDescent="0.25">
      <c r="A30" s="116">
        <v>6</v>
      </c>
      <c r="B30" s="92" t="s">
        <v>189</v>
      </c>
      <c r="C30" s="37">
        <v>1</v>
      </c>
      <c r="D30" s="162">
        <v>1254</v>
      </c>
      <c r="E30" s="67"/>
      <c r="F30" s="17"/>
      <c r="G30" s="17"/>
    </row>
    <row r="31" spans="1:7" ht="45" x14ac:dyDescent="0.25">
      <c r="A31" s="116">
        <v>7</v>
      </c>
      <c r="B31" s="92" t="s">
        <v>17</v>
      </c>
      <c r="C31" s="18">
        <v>1</v>
      </c>
      <c r="D31" s="162">
        <v>1740</v>
      </c>
      <c r="E31" s="67"/>
      <c r="F31" s="17"/>
      <c r="G31" s="17"/>
    </row>
    <row r="32" spans="1:7" x14ac:dyDescent="0.25">
      <c r="A32" s="116">
        <v>8</v>
      </c>
      <c r="B32" s="131" t="s">
        <v>18</v>
      </c>
      <c r="C32" s="19">
        <v>1000</v>
      </c>
      <c r="D32" s="162">
        <v>6885050</v>
      </c>
      <c r="E32" s="67"/>
      <c r="F32" s="17"/>
      <c r="G32" s="17"/>
    </row>
    <row r="33" spans="1:7" ht="30" x14ac:dyDescent="0.25">
      <c r="A33" s="116">
        <v>9</v>
      </c>
      <c r="B33" s="92" t="s">
        <v>327</v>
      </c>
      <c r="C33" s="37">
        <v>1</v>
      </c>
      <c r="D33" s="162">
        <v>5</v>
      </c>
      <c r="E33" s="67"/>
      <c r="F33" s="17"/>
      <c r="G33" s="17"/>
    </row>
    <row r="34" spans="1:7" ht="22.5" x14ac:dyDescent="0.25">
      <c r="A34" s="144">
        <v>2</v>
      </c>
      <c r="B34" s="144" t="s">
        <v>393</v>
      </c>
      <c r="C34" s="88"/>
      <c r="D34" s="162"/>
      <c r="E34" s="67"/>
      <c r="F34" s="17"/>
      <c r="G34" s="17"/>
    </row>
    <row r="35" spans="1:7" ht="60" x14ac:dyDescent="0.25">
      <c r="A35" s="117">
        <v>1</v>
      </c>
      <c r="B35" s="94" t="s">
        <v>19</v>
      </c>
      <c r="C35" s="12">
        <v>1000</v>
      </c>
      <c r="D35" s="162">
        <v>1617</v>
      </c>
      <c r="E35" s="67"/>
      <c r="F35" s="17"/>
      <c r="G35" s="17"/>
    </row>
    <row r="36" spans="1:7" ht="45" x14ac:dyDescent="0.25">
      <c r="A36" s="44">
        <v>2</v>
      </c>
      <c r="B36" s="94" t="s">
        <v>20</v>
      </c>
      <c r="C36" s="12"/>
      <c r="D36" s="162"/>
      <c r="E36" s="67"/>
      <c r="F36" s="17"/>
      <c r="G36" s="17"/>
    </row>
    <row r="37" spans="1:7" x14ac:dyDescent="0.25">
      <c r="A37" s="44"/>
      <c r="B37" s="94" t="s">
        <v>21</v>
      </c>
      <c r="C37" s="12">
        <v>100</v>
      </c>
      <c r="D37" s="162">
        <v>404.25</v>
      </c>
      <c r="E37" s="67"/>
      <c r="F37" s="17"/>
      <c r="G37" s="17"/>
    </row>
    <row r="38" spans="1:7" ht="30" x14ac:dyDescent="0.25">
      <c r="A38" s="44">
        <v>3</v>
      </c>
      <c r="B38" s="94" t="s">
        <v>22</v>
      </c>
      <c r="C38" s="12">
        <v>100</v>
      </c>
      <c r="D38" s="162">
        <v>1608.75</v>
      </c>
      <c r="E38" s="67"/>
      <c r="F38" s="17"/>
      <c r="G38" s="17"/>
    </row>
    <row r="39" spans="1:7" ht="45" x14ac:dyDescent="0.25">
      <c r="A39" s="44">
        <v>4</v>
      </c>
      <c r="B39" s="94" t="s">
        <v>23</v>
      </c>
      <c r="C39" s="19">
        <v>100</v>
      </c>
      <c r="D39" s="162">
        <v>643.5</v>
      </c>
      <c r="E39" s="67"/>
      <c r="F39" s="17"/>
      <c r="G39" s="17"/>
    </row>
    <row r="40" spans="1:7" ht="30" x14ac:dyDescent="0.25">
      <c r="A40" s="117">
        <v>5</v>
      </c>
      <c r="B40" s="94" t="s">
        <v>24</v>
      </c>
      <c r="C40" s="12">
        <v>100</v>
      </c>
      <c r="D40" s="162">
        <v>1348.1015625</v>
      </c>
      <c r="E40" s="67"/>
      <c r="F40" s="17"/>
      <c r="G40" s="17"/>
    </row>
    <row r="41" spans="1:7" x14ac:dyDescent="0.25">
      <c r="A41" s="117">
        <v>6</v>
      </c>
      <c r="B41" s="94" t="s">
        <v>25</v>
      </c>
      <c r="C41" s="19">
        <v>100</v>
      </c>
      <c r="D41" s="162">
        <v>3805.7250000000004</v>
      </c>
      <c r="E41" s="67"/>
      <c r="F41" s="17"/>
      <c r="G41" s="17"/>
    </row>
    <row r="42" spans="1:7" ht="45" x14ac:dyDescent="0.25">
      <c r="A42" s="117">
        <v>7</v>
      </c>
      <c r="B42" s="94" t="s">
        <v>26</v>
      </c>
      <c r="C42" s="19">
        <v>100</v>
      </c>
      <c r="D42" s="162">
        <v>3805.7250000000004</v>
      </c>
      <c r="E42" s="67"/>
      <c r="F42" s="17"/>
      <c r="G42" s="17"/>
    </row>
    <row r="43" spans="1:7" x14ac:dyDescent="0.25">
      <c r="A43" s="117">
        <v>8</v>
      </c>
      <c r="B43" s="94" t="s">
        <v>27</v>
      </c>
      <c r="C43" s="24">
        <v>1</v>
      </c>
      <c r="D43" s="162">
        <v>8250</v>
      </c>
      <c r="E43" s="67"/>
      <c r="F43" s="17"/>
      <c r="G43" s="17"/>
    </row>
    <row r="44" spans="1:7" ht="75" x14ac:dyDescent="0.25">
      <c r="A44" s="117">
        <v>9</v>
      </c>
      <c r="B44" s="94" t="s">
        <v>28</v>
      </c>
      <c r="C44" s="17"/>
      <c r="D44" s="162"/>
      <c r="E44" s="67"/>
      <c r="F44" s="17"/>
      <c r="G44" s="17"/>
    </row>
    <row r="45" spans="1:7" x14ac:dyDescent="0.25">
      <c r="A45" s="117"/>
      <c r="B45" s="94" t="s">
        <v>29</v>
      </c>
      <c r="C45" s="12">
        <v>100</v>
      </c>
      <c r="D45" s="162">
        <v>70.784999999999997</v>
      </c>
      <c r="E45" s="67"/>
      <c r="F45" s="17"/>
      <c r="G45" s="17"/>
    </row>
    <row r="46" spans="1:7" ht="22.5" x14ac:dyDescent="0.25">
      <c r="A46" s="144">
        <v>3</v>
      </c>
      <c r="B46" s="144" t="s">
        <v>395</v>
      </c>
      <c r="C46" s="88"/>
      <c r="D46" s="162"/>
      <c r="E46" s="67"/>
      <c r="F46" s="17"/>
      <c r="G46" s="17"/>
    </row>
    <row r="47" spans="1:7" x14ac:dyDescent="0.25">
      <c r="A47" s="118">
        <v>1</v>
      </c>
      <c r="B47" s="132" t="s">
        <v>30</v>
      </c>
      <c r="C47" s="12">
        <v>1</v>
      </c>
      <c r="D47" s="162">
        <v>786.04000000000008</v>
      </c>
      <c r="E47" s="67"/>
      <c r="F47" s="17"/>
      <c r="G47" s="17"/>
    </row>
    <row r="48" spans="1:7" ht="45" x14ac:dyDescent="0.25">
      <c r="A48" s="118">
        <v>2</v>
      </c>
      <c r="B48" s="132" t="s">
        <v>31</v>
      </c>
      <c r="C48" s="26">
        <v>100</v>
      </c>
      <c r="D48" s="162">
        <v>1796.0099999999998</v>
      </c>
      <c r="E48" s="67"/>
      <c r="F48" s="17"/>
      <c r="G48" s="17"/>
    </row>
    <row r="49" spans="1:7" x14ac:dyDescent="0.25">
      <c r="A49" s="44">
        <v>3</v>
      </c>
      <c r="B49" s="132" t="s">
        <v>32</v>
      </c>
      <c r="C49" s="24">
        <v>1</v>
      </c>
      <c r="D49" s="162">
        <v>457</v>
      </c>
      <c r="E49" s="67"/>
      <c r="F49" s="17"/>
      <c r="G49" s="17"/>
    </row>
    <row r="50" spans="1:7" x14ac:dyDescent="0.25">
      <c r="A50" s="44">
        <v>4</v>
      </c>
      <c r="B50" s="132" t="s">
        <v>33</v>
      </c>
      <c r="C50" s="27">
        <v>1</v>
      </c>
      <c r="D50" s="162">
        <v>457</v>
      </c>
      <c r="E50" s="67"/>
      <c r="F50" s="17"/>
      <c r="G50" s="17"/>
    </row>
    <row r="51" spans="1:7" x14ac:dyDescent="0.25">
      <c r="A51" s="44">
        <v>5</v>
      </c>
      <c r="B51" s="132" t="s">
        <v>34</v>
      </c>
      <c r="C51" s="19">
        <v>100</v>
      </c>
      <c r="D51" s="162">
        <v>1599.5</v>
      </c>
      <c r="E51" s="67"/>
      <c r="F51" s="17"/>
      <c r="G51" s="17"/>
    </row>
    <row r="52" spans="1:7" ht="30" x14ac:dyDescent="0.25">
      <c r="A52" s="44">
        <v>6</v>
      </c>
      <c r="B52" s="132" t="s">
        <v>35</v>
      </c>
      <c r="C52" s="24">
        <v>1</v>
      </c>
      <c r="D52" s="162">
        <v>4570</v>
      </c>
      <c r="E52" s="67"/>
      <c r="F52" s="17"/>
      <c r="G52" s="17"/>
    </row>
    <row r="53" spans="1:7" ht="75.75" x14ac:dyDescent="0.25">
      <c r="A53" s="44">
        <v>7</v>
      </c>
      <c r="B53" s="132" t="s">
        <v>36</v>
      </c>
      <c r="C53" s="23"/>
      <c r="D53" s="162"/>
      <c r="E53" s="67"/>
      <c r="F53" s="17"/>
      <c r="G53" s="17"/>
    </row>
    <row r="54" spans="1:7" x14ac:dyDescent="0.25">
      <c r="A54" s="44" t="s">
        <v>37</v>
      </c>
      <c r="B54" s="94" t="s">
        <v>38</v>
      </c>
      <c r="C54" s="12">
        <v>100</v>
      </c>
      <c r="D54" s="162">
        <v>691.71519999999987</v>
      </c>
      <c r="E54" s="67"/>
      <c r="F54" s="17"/>
      <c r="G54" s="17"/>
    </row>
    <row r="55" spans="1:7" ht="22.5" x14ac:dyDescent="0.25">
      <c r="A55" s="144">
        <v>4</v>
      </c>
      <c r="B55" s="144" t="s">
        <v>378</v>
      </c>
      <c r="C55" s="99"/>
      <c r="D55" s="162"/>
      <c r="E55" s="67"/>
      <c r="F55" s="17"/>
      <c r="G55" s="17"/>
    </row>
    <row r="56" spans="1:7" ht="30" x14ac:dyDescent="0.25">
      <c r="A56" s="118">
        <v>1</v>
      </c>
      <c r="B56" s="94" t="s">
        <v>328</v>
      </c>
      <c r="C56" s="12">
        <v>1000</v>
      </c>
      <c r="D56" s="162">
        <v>929.56000000000006</v>
      </c>
      <c r="E56" s="67"/>
      <c r="F56" s="17"/>
      <c r="G56" s="17"/>
    </row>
    <row r="57" spans="1:7" ht="45" x14ac:dyDescent="0.25">
      <c r="A57" s="118">
        <v>2</v>
      </c>
      <c r="B57" s="94" t="s">
        <v>329</v>
      </c>
      <c r="C57" s="62">
        <v>100</v>
      </c>
      <c r="D57" s="162">
        <v>1931.6399999999996</v>
      </c>
      <c r="E57" s="67"/>
      <c r="F57" s="17"/>
      <c r="G57" s="17"/>
    </row>
    <row r="58" spans="1:7" ht="75" x14ac:dyDescent="0.25">
      <c r="A58" s="44">
        <v>3</v>
      </c>
      <c r="B58" s="94" t="s">
        <v>330</v>
      </c>
      <c r="C58" s="63">
        <v>1</v>
      </c>
      <c r="D58" s="162">
        <v>958</v>
      </c>
      <c r="E58" s="67"/>
      <c r="F58" s="17"/>
      <c r="G58" s="17"/>
    </row>
    <row r="59" spans="1:7" ht="60" x14ac:dyDescent="0.25">
      <c r="A59" s="44">
        <v>4</v>
      </c>
      <c r="B59" s="94" t="s">
        <v>331</v>
      </c>
      <c r="C59" s="62">
        <v>100</v>
      </c>
      <c r="D59" s="162">
        <v>721.40000000000009</v>
      </c>
      <c r="E59" s="67"/>
      <c r="F59" s="17"/>
      <c r="G59" s="17"/>
    </row>
    <row r="60" spans="1:7" ht="22.5" x14ac:dyDescent="0.25">
      <c r="A60" s="144">
        <v>5</v>
      </c>
      <c r="B60" s="144" t="s">
        <v>396</v>
      </c>
      <c r="C60" s="99"/>
      <c r="D60" s="162"/>
      <c r="E60" s="67"/>
      <c r="F60" s="17"/>
      <c r="G60" s="17"/>
    </row>
    <row r="61" spans="1:7" x14ac:dyDescent="0.25">
      <c r="A61" s="119">
        <v>1</v>
      </c>
      <c r="B61" s="133" t="s">
        <v>333</v>
      </c>
      <c r="C61" s="62">
        <v>100</v>
      </c>
      <c r="D61" s="162">
        <v>2114.4375</v>
      </c>
      <c r="E61" s="67"/>
      <c r="F61" s="17"/>
      <c r="G61" s="17"/>
    </row>
    <row r="62" spans="1:7" ht="45" x14ac:dyDescent="0.25">
      <c r="A62" s="119">
        <v>2</v>
      </c>
      <c r="B62" s="133" t="s">
        <v>57</v>
      </c>
      <c r="C62" s="12">
        <v>100</v>
      </c>
      <c r="D62" s="162">
        <v>1155</v>
      </c>
      <c r="E62" s="67"/>
      <c r="F62" s="17"/>
      <c r="G62" s="17"/>
    </row>
    <row r="63" spans="1:7" ht="45" x14ac:dyDescent="0.25">
      <c r="A63" s="119">
        <v>3</v>
      </c>
      <c r="B63" s="133" t="s">
        <v>336</v>
      </c>
      <c r="C63" s="12">
        <v>100</v>
      </c>
      <c r="D63" s="162">
        <v>12937.27</v>
      </c>
      <c r="E63" s="67"/>
      <c r="F63" s="17"/>
      <c r="G63" s="17"/>
    </row>
    <row r="64" spans="1:7" ht="30" x14ac:dyDescent="0.25">
      <c r="A64" s="119">
        <v>4</v>
      </c>
      <c r="B64" s="94" t="s">
        <v>74</v>
      </c>
      <c r="C64" s="12">
        <v>1000</v>
      </c>
      <c r="D64" s="162">
        <v>49900</v>
      </c>
      <c r="E64" s="67"/>
      <c r="F64" s="17"/>
      <c r="G64" s="17"/>
    </row>
    <row r="65" spans="1:7" ht="75" x14ac:dyDescent="0.25">
      <c r="A65" s="118">
        <v>5</v>
      </c>
      <c r="B65" s="94" t="s">
        <v>39</v>
      </c>
      <c r="C65" s="12">
        <v>1000</v>
      </c>
      <c r="D65" s="162">
        <v>238102.45729411728</v>
      </c>
      <c r="E65" s="67"/>
      <c r="F65" s="17"/>
      <c r="G65" s="17"/>
    </row>
    <row r="66" spans="1:7" ht="45" x14ac:dyDescent="0.25">
      <c r="A66" s="44">
        <v>6</v>
      </c>
      <c r="B66" s="94" t="s">
        <v>20</v>
      </c>
      <c r="C66" s="12"/>
      <c r="D66" s="162"/>
      <c r="E66" s="67"/>
      <c r="F66" s="17"/>
      <c r="G66" s="17"/>
    </row>
    <row r="67" spans="1:7" x14ac:dyDescent="0.25">
      <c r="A67" s="44"/>
      <c r="B67" s="94" t="s">
        <v>21</v>
      </c>
      <c r="C67" s="12">
        <v>100</v>
      </c>
      <c r="D67" s="162">
        <v>6223.7200000000021</v>
      </c>
      <c r="E67" s="67"/>
      <c r="F67" s="17"/>
      <c r="G67" s="17"/>
    </row>
    <row r="68" spans="1:7" x14ac:dyDescent="0.25">
      <c r="A68" s="44"/>
      <c r="B68" s="94" t="s">
        <v>107</v>
      </c>
      <c r="C68" s="12">
        <v>100</v>
      </c>
      <c r="D68" s="162">
        <v>4852.3762500000003</v>
      </c>
      <c r="E68" s="67"/>
      <c r="F68" s="17"/>
      <c r="G68" s="17"/>
    </row>
    <row r="69" spans="1:7" ht="90" x14ac:dyDescent="0.25">
      <c r="A69" s="44">
        <v>7</v>
      </c>
      <c r="B69" s="94" t="s">
        <v>40</v>
      </c>
      <c r="C69" s="29">
        <v>100</v>
      </c>
      <c r="D69" s="162">
        <v>339255.49134216673</v>
      </c>
      <c r="E69" s="67"/>
      <c r="F69" s="17"/>
      <c r="G69" s="17"/>
    </row>
    <row r="70" spans="1:7" ht="120.75" x14ac:dyDescent="0.25">
      <c r="A70" s="44">
        <v>8</v>
      </c>
      <c r="B70" s="94" t="s">
        <v>41</v>
      </c>
      <c r="C70" s="12"/>
      <c r="D70" s="162"/>
      <c r="E70" s="67"/>
      <c r="F70" s="17"/>
      <c r="G70" s="17"/>
    </row>
    <row r="71" spans="1:7" ht="75" x14ac:dyDescent="0.25">
      <c r="A71" s="44" t="s">
        <v>42</v>
      </c>
      <c r="B71" s="94" t="s">
        <v>43</v>
      </c>
      <c r="C71" s="12">
        <v>1</v>
      </c>
      <c r="D71" s="162">
        <v>78004.141176470555</v>
      </c>
      <c r="E71" s="67"/>
      <c r="F71" s="17"/>
      <c r="G71" s="17"/>
    </row>
    <row r="72" spans="1:7" ht="75" x14ac:dyDescent="0.25">
      <c r="A72" s="44" t="s">
        <v>44</v>
      </c>
      <c r="B72" s="94" t="s">
        <v>45</v>
      </c>
      <c r="C72" s="12">
        <v>1</v>
      </c>
      <c r="D72" s="162">
        <v>26528.479999999996</v>
      </c>
      <c r="E72" s="67"/>
      <c r="F72" s="17"/>
      <c r="G72" s="17"/>
    </row>
    <row r="73" spans="1:7" ht="45" x14ac:dyDescent="0.25">
      <c r="A73" s="44">
        <v>9</v>
      </c>
      <c r="B73" s="134" t="s">
        <v>71</v>
      </c>
      <c r="C73" s="31">
        <v>1</v>
      </c>
      <c r="D73" s="162">
        <v>51.34</v>
      </c>
      <c r="E73" s="67"/>
      <c r="F73" s="17"/>
      <c r="G73" s="17"/>
    </row>
    <row r="74" spans="1:7" ht="30" x14ac:dyDescent="0.25">
      <c r="A74" s="44">
        <v>10</v>
      </c>
      <c r="B74" s="94" t="s">
        <v>46</v>
      </c>
      <c r="C74" s="19">
        <v>100</v>
      </c>
      <c r="D74" s="162">
        <v>51442.711176470526</v>
      </c>
      <c r="E74" s="67"/>
      <c r="F74" s="17"/>
      <c r="G74" s="17"/>
    </row>
    <row r="75" spans="1:7" ht="45" x14ac:dyDescent="0.25">
      <c r="A75" s="44">
        <v>11</v>
      </c>
      <c r="B75" s="94" t="s">
        <v>111</v>
      </c>
      <c r="C75" s="31">
        <v>1</v>
      </c>
      <c r="D75" s="162">
        <v>30</v>
      </c>
      <c r="E75" s="67"/>
      <c r="F75" s="17"/>
      <c r="G75" s="17"/>
    </row>
    <row r="76" spans="1:7" x14ac:dyDescent="0.25">
      <c r="A76" s="121">
        <v>12</v>
      </c>
      <c r="B76" s="93" t="s">
        <v>87</v>
      </c>
      <c r="C76" s="36">
        <v>1</v>
      </c>
      <c r="D76" s="162">
        <v>48</v>
      </c>
      <c r="E76" s="67"/>
      <c r="F76" s="17"/>
      <c r="G76" s="17"/>
    </row>
    <row r="77" spans="1:7" ht="45" x14ac:dyDescent="0.25">
      <c r="A77" s="44">
        <v>13</v>
      </c>
      <c r="B77" s="94" t="s">
        <v>47</v>
      </c>
      <c r="C77" s="31">
        <v>1</v>
      </c>
      <c r="D77" s="162">
        <v>169.5</v>
      </c>
      <c r="E77" s="67"/>
      <c r="F77" s="17"/>
      <c r="G77" s="17"/>
    </row>
    <row r="78" spans="1:7" ht="105" x14ac:dyDescent="0.25">
      <c r="A78" s="44">
        <v>14</v>
      </c>
      <c r="B78" s="94" t="s">
        <v>164</v>
      </c>
      <c r="C78" s="36">
        <v>1</v>
      </c>
      <c r="D78" s="162">
        <v>624</v>
      </c>
      <c r="E78" s="67"/>
      <c r="F78" s="17"/>
      <c r="G78" s="17"/>
    </row>
    <row r="79" spans="1:7" ht="105" x14ac:dyDescent="0.25">
      <c r="A79" s="44">
        <v>15</v>
      </c>
      <c r="B79" s="133" t="s">
        <v>48</v>
      </c>
      <c r="C79" s="12">
        <v>100</v>
      </c>
      <c r="D79" s="162">
        <v>2615</v>
      </c>
      <c r="E79" s="67"/>
      <c r="F79" s="17"/>
      <c r="G79" s="17"/>
    </row>
    <row r="80" spans="1:7" ht="105" x14ac:dyDescent="0.25">
      <c r="A80" s="44">
        <v>16</v>
      </c>
      <c r="B80" s="133" t="s">
        <v>49</v>
      </c>
      <c r="C80" s="12">
        <v>100</v>
      </c>
      <c r="D80" s="162">
        <v>2615</v>
      </c>
      <c r="E80" s="67"/>
      <c r="F80" s="17"/>
      <c r="G80" s="17"/>
    </row>
    <row r="81" spans="1:7" ht="30" x14ac:dyDescent="0.25">
      <c r="A81" s="44">
        <v>17</v>
      </c>
      <c r="B81" s="133" t="s">
        <v>50</v>
      </c>
      <c r="C81" s="31">
        <v>1</v>
      </c>
      <c r="D81" s="162">
        <v>700</v>
      </c>
      <c r="E81" s="67"/>
      <c r="F81" s="17"/>
      <c r="G81" s="17"/>
    </row>
    <row r="82" spans="1:7" ht="105" x14ac:dyDescent="0.25">
      <c r="A82" s="44">
        <v>18</v>
      </c>
      <c r="B82" s="133" t="s">
        <v>392</v>
      </c>
      <c r="C82" s="19"/>
      <c r="D82" s="162"/>
      <c r="E82" s="67"/>
      <c r="F82" s="17"/>
      <c r="G82" s="17"/>
    </row>
    <row r="83" spans="1:7" ht="45" x14ac:dyDescent="0.25">
      <c r="A83" s="44" t="s">
        <v>51</v>
      </c>
      <c r="B83" s="133" t="s">
        <v>52</v>
      </c>
      <c r="C83" s="19">
        <v>100</v>
      </c>
      <c r="D83" s="162">
        <v>5230</v>
      </c>
      <c r="E83" s="67"/>
      <c r="F83" s="17"/>
      <c r="G83" s="17"/>
    </row>
    <row r="84" spans="1:7" ht="45" x14ac:dyDescent="0.25">
      <c r="A84" s="44" t="s">
        <v>53</v>
      </c>
      <c r="B84" s="133" t="s">
        <v>54</v>
      </c>
      <c r="C84" s="19">
        <v>100</v>
      </c>
      <c r="D84" s="162">
        <v>5230</v>
      </c>
      <c r="E84" s="67"/>
      <c r="F84" s="17"/>
      <c r="G84" s="17"/>
    </row>
    <row r="85" spans="1:7" ht="45" x14ac:dyDescent="0.25">
      <c r="A85" s="44" t="s">
        <v>55</v>
      </c>
      <c r="B85" s="133" t="s">
        <v>56</v>
      </c>
      <c r="C85" s="19">
        <v>100</v>
      </c>
      <c r="D85" s="162">
        <v>5230</v>
      </c>
      <c r="E85" s="67"/>
      <c r="F85" s="17"/>
      <c r="G85" s="17"/>
    </row>
    <row r="86" spans="1:7" ht="45" x14ac:dyDescent="0.25">
      <c r="A86" s="44">
        <v>19</v>
      </c>
      <c r="B86" s="133" t="s">
        <v>57</v>
      </c>
      <c r="C86" s="12">
        <v>100</v>
      </c>
      <c r="D86" s="162">
        <v>3480</v>
      </c>
      <c r="E86" s="67"/>
      <c r="F86" s="17"/>
      <c r="G86" s="17"/>
    </row>
    <row r="87" spans="1:7" ht="30" x14ac:dyDescent="0.25">
      <c r="A87" s="120">
        <v>20</v>
      </c>
      <c r="B87" s="96" t="s">
        <v>58</v>
      </c>
      <c r="C87" s="12">
        <v>1000</v>
      </c>
      <c r="D87" s="162">
        <v>118125</v>
      </c>
      <c r="E87" s="67"/>
      <c r="F87" s="17"/>
      <c r="G87" s="17"/>
    </row>
    <row r="88" spans="1:7" x14ac:dyDescent="0.25">
      <c r="A88" s="44">
        <v>21</v>
      </c>
      <c r="B88" s="94" t="s">
        <v>59</v>
      </c>
      <c r="C88" s="12">
        <v>1000</v>
      </c>
      <c r="D88" s="162">
        <v>194792.79999999987</v>
      </c>
      <c r="E88" s="67"/>
      <c r="F88" s="17"/>
      <c r="G88" s="17"/>
    </row>
    <row r="89" spans="1:7" ht="75.75" x14ac:dyDescent="0.25">
      <c r="A89" s="44">
        <v>22</v>
      </c>
      <c r="B89" s="94" t="s">
        <v>36</v>
      </c>
      <c r="C89" s="12">
        <v>100</v>
      </c>
      <c r="D89" s="162"/>
      <c r="E89" s="67"/>
      <c r="F89" s="17"/>
      <c r="G89" s="17"/>
    </row>
    <row r="90" spans="1:7" x14ac:dyDescent="0.25">
      <c r="A90" s="44" t="s">
        <v>60</v>
      </c>
      <c r="B90" s="94" t="s">
        <v>61</v>
      </c>
      <c r="C90" s="12">
        <v>100</v>
      </c>
      <c r="D90" s="162">
        <v>3867.84</v>
      </c>
      <c r="E90" s="67"/>
      <c r="F90" s="17"/>
      <c r="G90" s="17"/>
    </row>
    <row r="91" spans="1:7" x14ac:dyDescent="0.25">
      <c r="A91" s="44" t="s">
        <v>37</v>
      </c>
      <c r="B91" s="94" t="s">
        <v>62</v>
      </c>
      <c r="C91" s="12">
        <v>100</v>
      </c>
      <c r="D91" s="162">
        <v>49578.88418823525</v>
      </c>
      <c r="E91" s="67"/>
      <c r="F91" s="17"/>
      <c r="G91" s="17"/>
    </row>
    <row r="92" spans="1:7" x14ac:dyDescent="0.25">
      <c r="A92" s="44" t="s">
        <v>63</v>
      </c>
      <c r="B92" s="94" t="s">
        <v>64</v>
      </c>
      <c r="C92" s="12">
        <v>100</v>
      </c>
      <c r="D92" s="162">
        <v>2183.8000000000002</v>
      </c>
      <c r="E92" s="67"/>
      <c r="F92" s="17"/>
      <c r="G92" s="17"/>
    </row>
    <row r="93" spans="1:7" x14ac:dyDescent="0.25">
      <c r="A93" s="44" t="s">
        <v>63</v>
      </c>
      <c r="B93" s="94" t="s">
        <v>65</v>
      </c>
      <c r="C93" s="12">
        <v>100</v>
      </c>
      <c r="D93" s="162">
        <v>268.5</v>
      </c>
      <c r="E93" s="67"/>
      <c r="F93" s="17"/>
      <c r="G93" s="17"/>
    </row>
    <row r="94" spans="1:7" ht="30" x14ac:dyDescent="0.25">
      <c r="A94" s="121">
        <v>23</v>
      </c>
      <c r="B94" s="94" t="s">
        <v>88</v>
      </c>
      <c r="C94" s="19">
        <v>100</v>
      </c>
      <c r="D94" s="162">
        <v>15594.5</v>
      </c>
      <c r="E94" s="67"/>
      <c r="F94" s="17"/>
      <c r="G94" s="17"/>
    </row>
    <row r="95" spans="1:7" x14ac:dyDescent="0.25">
      <c r="A95" s="121">
        <v>24</v>
      </c>
      <c r="B95" s="93" t="s">
        <v>167</v>
      </c>
      <c r="C95" s="12">
        <v>100</v>
      </c>
      <c r="D95" s="162">
        <v>2100</v>
      </c>
      <c r="E95" s="67"/>
      <c r="F95" s="17"/>
      <c r="G95" s="17"/>
    </row>
    <row r="96" spans="1:7" x14ac:dyDescent="0.25">
      <c r="A96" s="121">
        <v>25</v>
      </c>
      <c r="B96" s="93" t="s">
        <v>168</v>
      </c>
      <c r="C96" s="12">
        <v>100</v>
      </c>
      <c r="D96" s="162">
        <v>2100</v>
      </c>
      <c r="E96" s="67"/>
      <c r="F96" s="17"/>
      <c r="G96" s="17"/>
    </row>
    <row r="97" spans="1:7" ht="105" x14ac:dyDescent="0.25">
      <c r="A97" s="121">
        <v>26</v>
      </c>
      <c r="B97" s="93" t="s">
        <v>169</v>
      </c>
      <c r="C97" s="19">
        <v>100</v>
      </c>
      <c r="D97" s="162">
        <v>2800</v>
      </c>
      <c r="E97" s="67"/>
      <c r="F97" s="17"/>
      <c r="G97" s="17"/>
    </row>
    <row r="98" spans="1:7" ht="45" x14ac:dyDescent="0.25">
      <c r="A98" s="121">
        <v>27</v>
      </c>
      <c r="B98" s="93" t="s">
        <v>165</v>
      </c>
      <c r="C98" s="35" t="s">
        <v>166</v>
      </c>
      <c r="D98" s="162">
        <v>304.64</v>
      </c>
      <c r="E98" s="67"/>
      <c r="F98" s="17"/>
      <c r="G98" s="17"/>
    </row>
    <row r="99" spans="1:7" ht="60" x14ac:dyDescent="0.25">
      <c r="A99" s="44">
        <v>28</v>
      </c>
      <c r="B99" s="94" t="s">
        <v>385</v>
      </c>
      <c r="C99" s="12">
        <v>1</v>
      </c>
      <c r="D99" s="162">
        <v>287.10000000000002</v>
      </c>
      <c r="E99" s="67"/>
      <c r="F99" s="17"/>
      <c r="G99" s="17"/>
    </row>
    <row r="100" spans="1:7" x14ac:dyDescent="0.25">
      <c r="A100" s="121">
        <v>29</v>
      </c>
      <c r="B100" s="136" t="s">
        <v>89</v>
      </c>
      <c r="C100" s="29">
        <v>1</v>
      </c>
      <c r="D100" s="162">
        <v>-22797.54</v>
      </c>
      <c r="E100" s="67"/>
      <c r="F100" s="17"/>
      <c r="G100" s="17"/>
    </row>
    <row r="101" spans="1:7" ht="22.5" x14ac:dyDescent="0.25">
      <c r="A101" s="144">
        <v>6</v>
      </c>
      <c r="B101" s="144" t="s">
        <v>397</v>
      </c>
      <c r="C101" s="99"/>
      <c r="D101" s="162"/>
      <c r="E101" s="67"/>
      <c r="F101" s="17"/>
      <c r="G101" s="17"/>
    </row>
    <row r="102" spans="1:7" ht="75" x14ac:dyDescent="0.25">
      <c r="A102" s="118">
        <v>1</v>
      </c>
      <c r="B102" s="94" t="s">
        <v>39</v>
      </c>
      <c r="C102" s="12">
        <v>1000</v>
      </c>
      <c r="D102" s="162">
        <v>56689.660299999981</v>
      </c>
      <c r="E102" s="67"/>
      <c r="F102" s="17"/>
      <c r="G102" s="17"/>
    </row>
    <row r="103" spans="1:7" x14ac:dyDescent="0.25">
      <c r="A103" s="118">
        <v>2</v>
      </c>
      <c r="B103" s="94" t="s">
        <v>66</v>
      </c>
      <c r="C103" s="12">
        <v>1000</v>
      </c>
      <c r="D103" s="162">
        <v>56689.660299999981</v>
      </c>
      <c r="E103" s="67"/>
      <c r="F103" s="17"/>
      <c r="G103" s="17"/>
    </row>
    <row r="104" spans="1:7" ht="45" x14ac:dyDescent="0.25">
      <c r="A104" s="44">
        <v>3</v>
      </c>
      <c r="B104" s="94" t="s">
        <v>20</v>
      </c>
      <c r="C104" s="12"/>
      <c r="D104" s="162"/>
      <c r="E104" s="67"/>
      <c r="F104" s="17"/>
      <c r="G104" s="17"/>
    </row>
    <row r="105" spans="1:7" x14ac:dyDescent="0.25">
      <c r="A105" s="44" t="s">
        <v>42</v>
      </c>
      <c r="B105" s="94" t="s">
        <v>67</v>
      </c>
      <c r="C105" s="12">
        <v>100</v>
      </c>
      <c r="D105" s="162">
        <v>6046.0000000000009</v>
      </c>
      <c r="E105" s="67"/>
      <c r="F105" s="17"/>
      <c r="G105" s="17"/>
    </row>
    <row r="106" spans="1:7" x14ac:dyDescent="0.25">
      <c r="A106" s="44" t="s">
        <v>44</v>
      </c>
      <c r="B106" s="94" t="s">
        <v>68</v>
      </c>
      <c r="C106" s="12">
        <v>100</v>
      </c>
      <c r="D106" s="162">
        <v>799</v>
      </c>
      <c r="E106" s="67"/>
      <c r="F106" s="17"/>
      <c r="G106" s="17"/>
    </row>
    <row r="107" spans="1:7" ht="90" x14ac:dyDescent="0.25">
      <c r="A107" s="44">
        <v>4</v>
      </c>
      <c r="B107" s="94" t="s">
        <v>40</v>
      </c>
      <c r="C107" s="32">
        <v>100</v>
      </c>
      <c r="D107" s="162">
        <v>161380.34639999998</v>
      </c>
      <c r="E107" s="67"/>
      <c r="F107" s="17"/>
      <c r="G107" s="17"/>
    </row>
    <row r="108" spans="1:7" ht="120.75" x14ac:dyDescent="0.25">
      <c r="A108" s="44">
        <v>5</v>
      </c>
      <c r="B108" s="94" t="s">
        <v>69</v>
      </c>
      <c r="C108" s="12"/>
      <c r="D108" s="162"/>
      <c r="E108" s="67"/>
      <c r="F108" s="17"/>
      <c r="G108" s="17"/>
    </row>
    <row r="109" spans="1:7" ht="75" x14ac:dyDescent="0.25">
      <c r="A109" s="44" t="s">
        <v>42</v>
      </c>
      <c r="B109" s="94" t="s">
        <v>43</v>
      </c>
      <c r="C109" s="12">
        <v>1</v>
      </c>
      <c r="D109" s="162">
        <v>35685.351299999995</v>
      </c>
      <c r="E109" s="67"/>
      <c r="F109" s="17"/>
      <c r="G109" s="17"/>
    </row>
    <row r="110" spans="1:7" ht="75" x14ac:dyDescent="0.25">
      <c r="A110" s="44" t="s">
        <v>44</v>
      </c>
      <c r="B110" s="94" t="s">
        <v>45</v>
      </c>
      <c r="C110" s="12">
        <v>1</v>
      </c>
      <c r="D110" s="162">
        <v>18108.097500000003</v>
      </c>
      <c r="E110" s="67"/>
      <c r="F110" s="17"/>
      <c r="G110" s="17"/>
    </row>
    <row r="111" spans="1:7" ht="30" x14ac:dyDescent="0.25">
      <c r="A111" s="44">
        <v>6</v>
      </c>
      <c r="B111" s="94" t="s">
        <v>46</v>
      </c>
      <c r="C111" s="19">
        <v>100</v>
      </c>
      <c r="D111" s="162">
        <v>21285.746999999988</v>
      </c>
      <c r="E111" s="67"/>
      <c r="F111" s="17"/>
      <c r="G111" s="17"/>
    </row>
    <row r="112" spans="1:7" ht="30" x14ac:dyDescent="0.25">
      <c r="A112" s="44">
        <v>7</v>
      </c>
      <c r="B112" s="94" t="s">
        <v>70</v>
      </c>
      <c r="C112" s="12">
        <v>100</v>
      </c>
      <c r="D112" s="162">
        <v>1880</v>
      </c>
      <c r="E112" s="67"/>
      <c r="F112" s="17"/>
      <c r="G112" s="17"/>
    </row>
    <row r="113" spans="1:7" ht="45" x14ac:dyDescent="0.25">
      <c r="A113" s="44">
        <v>8</v>
      </c>
      <c r="B113" s="134" t="s">
        <v>71</v>
      </c>
      <c r="C113" s="34">
        <v>1</v>
      </c>
      <c r="D113" s="162">
        <v>4999.1799999999994</v>
      </c>
      <c r="E113" s="67"/>
      <c r="F113" s="17"/>
      <c r="G113" s="17"/>
    </row>
    <row r="114" spans="1:7" ht="30" x14ac:dyDescent="0.25">
      <c r="A114" s="44">
        <v>9</v>
      </c>
      <c r="B114" s="147" t="s">
        <v>72</v>
      </c>
      <c r="C114" s="34">
        <v>1</v>
      </c>
      <c r="D114" s="162">
        <v>1670</v>
      </c>
      <c r="E114" s="67"/>
      <c r="F114" s="17"/>
      <c r="G114" s="17"/>
    </row>
    <row r="115" spans="1:7" x14ac:dyDescent="0.25">
      <c r="A115" s="44">
        <v>10</v>
      </c>
      <c r="B115" s="95" t="s">
        <v>59</v>
      </c>
      <c r="C115" s="12">
        <v>1000</v>
      </c>
      <c r="D115" s="162">
        <v>94000</v>
      </c>
      <c r="E115" s="67"/>
      <c r="F115" s="17"/>
      <c r="G115" s="17"/>
    </row>
    <row r="116" spans="1:7" ht="75.75" x14ac:dyDescent="0.25">
      <c r="A116" s="44">
        <v>11</v>
      </c>
      <c r="B116" s="94" t="s">
        <v>36</v>
      </c>
      <c r="C116" s="12"/>
      <c r="D116" s="162"/>
      <c r="E116" s="67"/>
      <c r="F116" s="17"/>
      <c r="G116" s="17"/>
    </row>
    <row r="117" spans="1:7" x14ac:dyDescent="0.25">
      <c r="A117" s="44" t="s">
        <v>60</v>
      </c>
      <c r="B117" s="94" t="s">
        <v>61</v>
      </c>
      <c r="C117" s="12">
        <v>100</v>
      </c>
      <c r="D117" s="162">
        <v>5804.1600000000008</v>
      </c>
      <c r="E117" s="67"/>
      <c r="F117" s="17"/>
      <c r="G117" s="17"/>
    </row>
    <row r="118" spans="1:7" x14ac:dyDescent="0.25">
      <c r="A118" s="44" t="s">
        <v>37</v>
      </c>
      <c r="B118" s="94" t="s">
        <v>38</v>
      </c>
      <c r="C118" s="12">
        <v>100</v>
      </c>
      <c r="D118" s="162">
        <v>703.12</v>
      </c>
      <c r="E118" s="67"/>
      <c r="F118" s="17"/>
      <c r="G118" s="17"/>
    </row>
    <row r="119" spans="1:7" x14ac:dyDescent="0.25">
      <c r="A119" s="44" t="s">
        <v>63</v>
      </c>
      <c r="B119" s="94" t="s">
        <v>73</v>
      </c>
      <c r="C119" s="12">
        <v>100</v>
      </c>
      <c r="D119" s="162">
        <v>45186.496991999993</v>
      </c>
      <c r="E119" s="67"/>
      <c r="F119" s="17"/>
      <c r="G119" s="17"/>
    </row>
    <row r="120" spans="1:7" ht="22.5" x14ac:dyDescent="0.25">
      <c r="A120" s="144">
        <v>7</v>
      </c>
      <c r="B120" s="144" t="s">
        <v>398</v>
      </c>
      <c r="C120" s="88"/>
      <c r="D120" s="162"/>
      <c r="E120" s="67"/>
      <c r="F120" s="17"/>
      <c r="G120" s="17"/>
    </row>
    <row r="121" spans="1:7" ht="30" x14ac:dyDescent="0.25">
      <c r="A121" s="119">
        <v>1</v>
      </c>
      <c r="B121" s="94" t="s">
        <v>158</v>
      </c>
      <c r="C121" s="12">
        <v>100</v>
      </c>
      <c r="D121" s="162">
        <v>93240</v>
      </c>
      <c r="E121" s="67"/>
      <c r="F121" s="17"/>
      <c r="G121" s="17"/>
    </row>
    <row r="122" spans="1:7" ht="30" x14ac:dyDescent="0.25">
      <c r="A122" s="118">
        <v>2</v>
      </c>
      <c r="B122" s="94" t="s">
        <v>74</v>
      </c>
      <c r="C122" s="12">
        <v>1000</v>
      </c>
      <c r="D122" s="162">
        <v>438058.58999999997</v>
      </c>
      <c r="E122" s="67"/>
      <c r="F122" s="17"/>
      <c r="G122" s="17"/>
    </row>
    <row r="123" spans="1:7" ht="30" x14ac:dyDescent="0.25">
      <c r="A123" s="118">
        <v>3</v>
      </c>
      <c r="B123" s="94" t="s">
        <v>159</v>
      </c>
      <c r="C123" s="12">
        <v>100</v>
      </c>
      <c r="D123" s="162">
        <v>126000</v>
      </c>
      <c r="E123" s="67"/>
      <c r="F123" s="17"/>
      <c r="G123" s="17"/>
    </row>
    <row r="124" spans="1:7" ht="30" x14ac:dyDescent="0.25">
      <c r="A124" s="118">
        <v>4</v>
      </c>
      <c r="B124" s="94" t="s">
        <v>75</v>
      </c>
      <c r="C124" s="12">
        <v>100</v>
      </c>
      <c r="D124" s="162">
        <v>52250.99</v>
      </c>
      <c r="E124" s="67"/>
      <c r="F124" s="17"/>
      <c r="G124" s="17"/>
    </row>
    <row r="125" spans="1:7" x14ac:dyDescent="0.25">
      <c r="A125" s="44">
        <v>5</v>
      </c>
      <c r="B125" s="131" t="s">
        <v>76</v>
      </c>
      <c r="C125" s="19">
        <v>100</v>
      </c>
      <c r="D125" s="162">
        <v>94817.159660000019</v>
      </c>
      <c r="E125" s="67"/>
      <c r="F125" s="17"/>
      <c r="G125" s="17"/>
    </row>
    <row r="126" spans="1:7" x14ac:dyDescent="0.25">
      <c r="A126" s="44">
        <v>6</v>
      </c>
      <c r="B126" s="131" t="s">
        <v>77</v>
      </c>
      <c r="C126" s="19">
        <v>100</v>
      </c>
      <c r="D126" s="162">
        <v>15640.14</v>
      </c>
      <c r="E126" s="67"/>
      <c r="F126" s="17"/>
      <c r="G126" s="17"/>
    </row>
    <row r="127" spans="1:7" x14ac:dyDescent="0.25">
      <c r="A127" s="118">
        <v>7</v>
      </c>
      <c r="B127" s="94" t="s">
        <v>78</v>
      </c>
      <c r="C127" s="12">
        <v>100</v>
      </c>
      <c r="D127" s="162">
        <v>32104.808830399994</v>
      </c>
      <c r="E127" s="67"/>
      <c r="F127" s="17"/>
      <c r="G127" s="17"/>
    </row>
    <row r="128" spans="1:7" x14ac:dyDescent="0.25">
      <c r="A128" s="118">
        <v>8</v>
      </c>
      <c r="B128" s="94" t="s">
        <v>79</v>
      </c>
      <c r="C128" s="12">
        <v>100</v>
      </c>
      <c r="D128" s="162">
        <v>32104.808830399994</v>
      </c>
      <c r="E128" s="67"/>
      <c r="F128" s="17"/>
      <c r="G128" s="17"/>
    </row>
    <row r="129" spans="1:7" x14ac:dyDescent="0.25">
      <c r="A129" s="118">
        <v>9</v>
      </c>
      <c r="B129" s="94" t="s">
        <v>80</v>
      </c>
      <c r="C129" s="12">
        <v>100</v>
      </c>
      <c r="D129" s="162">
        <v>5327.7402000000002</v>
      </c>
      <c r="E129" s="67"/>
      <c r="F129" s="17"/>
      <c r="G129" s="17"/>
    </row>
    <row r="130" spans="1:7" x14ac:dyDescent="0.25">
      <c r="A130" s="118">
        <v>10</v>
      </c>
      <c r="B130" s="94" t="s">
        <v>81</v>
      </c>
      <c r="C130" s="12">
        <v>100</v>
      </c>
      <c r="D130" s="162">
        <v>5327.7402000000002</v>
      </c>
      <c r="E130" s="67"/>
      <c r="F130" s="17"/>
      <c r="G130" s="17"/>
    </row>
    <row r="131" spans="1:7" x14ac:dyDescent="0.25">
      <c r="A131" s="118">
        <v>11</v>
      </c>
      <c r="B131" s="94" t="s">
        <v>82</v>
      </c>
      <c r="C131" s="12">
        <v>100</v>
      </c>
      <c r="D131" s="162">
        <v>97280.452880000026</v>
      </c>
      <c r="E131" s="67"/>
      <c r="F131" s="17"/>
      <c r="G131" s="17"/>
    </row>
    <row r="132" spans="1:7" x14ac:dyDescent="0.25">
      <c r="A132" s="118">
        <v>12</v>
      </c>
      <c r="B132" s="94" t="s">
        <v>83</v>
      </c>
      <c r="C132" s="12">
        <v>100</v>
      </c>
      <c r="D132" s="162">
        <v>15441.059999999998</v>
      </c>
      <c r="E132" s="67"/>
      <c r="F132" s="17"/>
      <c r="G132" s="17"/>
    </row>
    <row r="133" spans="1:7" ht="60" x14ac:dyDescent="0.25">
      <c r="A133" s="118">
        <v>13</v>
      </c>
      <c r="B133" s="135" t="s">
        <v>84</v>
      </c>
      <c r="C133" s="12">
        <v>100</v>
      </c>
      <c r="D133" s="162">
        <v>363985.112073</v>
      </c>
      <c r="E133" s="67"/>
      <c r="F133" s="17"/>
      <c r="G133" s="17"/>
    </row>
    <row r="134" spans="1:7" x14ac:dyDescent="0.25">
      <c r="A134" s="118">
        <v>14</v>
      </c>
      <c r="B134" s="131" t="s">
        <v>334</v>
      </c>
      <c r="C134" s="12"/>
      <c r="D134" s="162"/>
      <c r="E134" s="67"/>
      <c r="F134" s="17"/>
      <c r="G134" s="17"/>
    </row>
    <row r="135" spans="1:7" x14ac:dyDescent="0.25">
      <c r="A135" s="118"/>
      <c r="B135" s="131" t="s">
        <v>337</v>
      </c>
      <c r="C135" s="29">
        <v>1</v>
      </c>
      <c r="D135" s="162">
        <v>1267.5</v>
      </c>
      <c r="E135" s="67"/>
      <c r="F135" s="17"/>
      <c r="G135" s="17"/>
    </row>
    <row r="136" spans="1:7" x14ac:dyDescent="0.25">
      <c r="A136" s="118"/>
      <c r="B136" s="131" t="s">
        <v>335</v>
      </c>
      <c r="C136" s="12">
        <v>100</v>
      </c>
      <c r="D136" s="162">
        <v>2114.44</v>
      </c>
      <c r="E136" s="67"/>
      <c r="F136" s="17"/>
      <c r="G136" s="17"/>
    </row>
    <row r="137" spans="1:7" ht="22.5" x14ac:dyDescent="0.25">
      <c r="A137" s="144">
        <v>8</v>
      </c>
      <c r="B137" s="144" t="s">
        <v>399</v>
      </c>
      <c r="C137" s="99"/>
      <c r="D137" s="162"/>
      <c r="E137" s="67"/>
      <c r="F137" s="17"/>
      <c r="G137" s="17"/>
    </row>
    <row r="138" spans="1:7" ht="75" x14ac:dyDescent="0.25">
      <c r="A138" s="118">
        <v>1</v>
      </c>
      <c r="B138" s="94" t="s">
        <v>90</v>
      </c>
      <c r="C138" s="12">
        <v>1000</v>
      </c>
      <c r="D138" s="162">
        <v>20161.000607832604</v>
      </c>
      <c r="E138" s="67"/>
      <c r="F138" s="17"/>
      <c r="G138" s="17"/>
    </row>
    <row r="139" spans="1:7" ht="105" x14ac:dyDescent="0.25">
      <c r="A139" s="118">
        <v>2</v>
      </c>
      <c r="B139" s="135" t="s">
        <v>91</v>
      </c>
      <c r="C139" s="19">
        <v>1</v>
      </c>
      <c r="D139" s="162">
        <v>18814.5</v>
      </c>
      <c r="E139" s="67"/>
      <c r="F139" s="17"/>
      <c r="G139" s="17"/>
    </row>
    <row r="140" spans="1:7" ht="45" x14ac:dyDescent="0.25">
      <c r="A140" s="44">
        <v>3</v>
      </c>
      <c r="B140" s="94" t="s">
        <v>20</v>
      </c>
      <c r="C140" s="16"/>
      <c r="D140" s="162"/>
      <c r="E140" s="67"/>
      <c r="F140" s="17"/>
      <c r="G140" s="17"/>
    </row>
    <row r="141" spans="1:7" x14ac:dyDescent="0.25">
      <c r="A141" s="44" t="s">
        <v>42</v>
      </c>
      <c r="B141" s="94" t="s">
        <v>67</v>
      </c>
      <c r="C141" s="12">
        <v>100</v>
      </c>
      <c r="D141" s="162">
        <v>3907.6604400176002</v>
      </c>
      <c r="E141" s="67"/>
      <c r="F141" s="17"/>
      <c r="G141" s="17"/>
    </row>
    <row r="142" spans="1:7" ht="30" x14ac:dyDescent="0.25">
      <c r="A142" s="44">
        <v>4</v>
      </c>
      <c r="B142" s="94" t="s">
        <v>22</v>
      </c>
      <c r="C142" s="12">
        <v>100</v>
      </c>
      <c r="D142" s="162">
        <v>11656.480000000003</v>
      </c>
      <c r="E142" s="67"/>
      <c r="F142" s="17"/>
      <c r="G142" s="17"/>
    </row>
    <row r="143" spans="1:7" ht="60" x14ac:dyDescent="0.25">
      <c r="A143" s="44">
        <v>5</v>
      </c>
      <c r="B143" s="94" t="s">
        <v>92</v>
      </c>
      <c r="C143" s="19">
        <v>100</v>
      </c>
      <c r="D143" s="162">
        <v>2386.5</v>
      </c>
      <c r="E143" s="67"/>
      <c r="F143" s="17"/>
      <c r="G143" s="17"/>
    </row>
    <row r="144" spans="1:7" ht="60" x14ac:dyDescent="0.25">
      <c r="A144" s="44">
        <v>6</v>
      </c>
      <c r="B144" s="94" t="s">
        <v>93</v>
      </c>
      <c r="C144" s="19">
        <v>100</v>
      </c>
      <c r="D144" s="162">
        <v>4440</v>
      </c>
      <c r="E144" s="67"/>
      <c r="F144" s="17"/>
      <c r="G144" s="17"/>
    </row>
    <row r="145" spans="1:7" ht="30" x14ac:dyDescent="0.25">
      <c r="A145" s="44">
        <v>7</v>
      </c>
      <c r="B145" s="94" t="s">
        <v>94</v>
      </c>
      <c r="C145" s="12">
        <v>1000</v>
      </c>
      <c r="D145" s="162">
        <v>5550</v>
      </c>
      <c r="E145" s="67"/>
      <c r="F145" s="17"/>
      <c r="G145" s="17"/>
    </row>
    <row r="146" spans="1:7" ht="30" x14ac:dyDescent="0.25">
      <c r="A146" s="44">
        <v>8</v>
      </c>
      <c r="B146" s="94" t="s">
        <v>95</v>
      </c>
      <c r="C146" s="12">
        <v>100</v>
      </c>
      <c r="D146" s="162">
        <v>10763.3</v>
      </c>
      <c r="E146" s="67"/>
      <c r="F146" s="17"/>
      <c r="G146" s="17"/>
    </row>
    <row r="147" spans="1:7" ht="120.75" x14ac:dyDescent="0.25">
      <c r="A147" s="44">
        <v>9</v>
      </c>
      <c r="B147" s="94" t="s">
        <v>41</v>
      </c>
      <c r="C147" s="20"/>
      <c r="D147" s="162"/>
      <c r="E147" s="67"/>
      <c r="F147" s="17"/>
      <c r="G147" s="17"/>
    </row>
    <row r="148" spans="1:7" ht="75" x14ac:dyDescent="0.25">
      <c r="A148" s="44" t="s">
        <v>42</v>
      </c>
      <c r="B148" s="94" t="s">
        <v>96</v>
      </c>
      <c r="C148" s="12">
        <v>1</v>
      </c>
      <c r="D148" s="162">
        <v>5704.1345999999994</v>
      </c>
      <c r="E148" s="67"/>
      <c r="F148" s="17"/>
      <c r="G148" s="17"/>
    </row>
    <row r="149" spans="1:7" ht="75" x14ac:dyDescent="0.25">
      <c r="A149" s="44" t="s">
        <v>44</v>
      </c>
      <c r="B149" s="94" t="s">
        <v>97</v>
      </c>
      <c r="C149" s="12">
        <v>1</v>
      </c>
      <c r="D149" s="162">
        <v>681.08906249999995</v>
      </c>
      <c r="E149" s="67"/>
      <c r="F149" s="17"/>
      <c r="G149" s="17"/>
    </row>
    <row r="150" spans="1:7" ht="90" x14ac:dyDescent="0.25">
      <c r="A150" s="122">
        <v>10</v>
      </c>
      <c r="B150" s="94" t="s">
        <v>98</v>
      </c>
      <c r="C150" s="29">
        <v>100</v>
      </c>
      <c r="D150" s="162">
        <v>38311.341975000003</v>
      </c>
      <c r="E150" s="67"/>
      <c r="F150" s="17"/>
      <c r="G150" s="17"/>
    </row>
    <row r="151" spans="1:7" ht="180" x14ac:dyDescent="0.25">
      <c r="A151" s="44">
        <v>11</v>
      </c>
      <c r="B151" s="94" t="s">
        <v>99</v>
      </c>
      <c r="C151" s="19">
        <v>1</v>
      </c>
      <c r="D151" s="162">
        <v>1184</v>
      </c>
      <c r="E151" s="67"/>
      <c r="F151" s="17"/>
      <c r="G151" s="17"/>
    </row>
    <row r="152" spans="1:7" ht="60" x14ac:dyDescent="0.25">
      <c r="A152" s="44">
        <v>12</v>
      </c>
      <c r="B152" s="94" t="s">
        <v>100</v>
      </c>
      <c r="C152" s="19">
        <v>1</v>
      </c>
      <c r="D152" s="162">
        <v>1480</v>
      </c>
      <c r="E152" s="67"/>
      <c r="F152" s="17"/>
      <c r="G152" s="17"/>
    </row>
    <row r="153" spans="1:7" ht="45" x14ac:dyDescent="0.25">
      <c r="A153" s="44">
        <v>13</v>
      </c>
      <c r="B153" s="94" t="s">
        <v>101</v>
      </c>
      <c r="C153" s="19">
        <v>1</v>
      </c>
      <c r="D153" s="162">
        <v>1813</v>
      </c>
      <c r="E153" s="67"/>
      <c r="F153" s="17"/>
      <c r="G153" s="17"/>
    </row>
    <row r="154" spans="1:7" ht="75" x14ac:dyDescent="0.25">
      <c r="A154" s="44">
        <v>14</v>
      </c>
      <c r="B154" s="94" t="s">
        <v>102</v>
      </c>
      <c r="C154" s="19">
        <v>100</v>
      </c>
      <c r="D154" s="162">
        <v>3535.8125</v>
      </c>
      <c r="E154" s="67"/>
      <c r="F154" s="17"/>
      <c r="G154" s="17"/>
    </row>
    <row r="155" spans="1:7" ht="30" x14ac:dyDescent="0.25">
      <c r="A155" s="44">
        <v>15</v>
      </c>
      <c r="B155" s="94" t="s">
        <v>103</v>
      </c>
      <c r="C155" s="19">
        <v>1</v>
      </c>
      <c r="D155" s="162">
        <v>3683.8125</v>
      </c>
      <c r="E155" s="67"/>
      <c r="F155" s="17"/>
      <c r="G155" s="17"/>
    </row>
    <row r="156" spans="1:7" x14ac:dyDescent="0.25">
      <c r="A156" s="44">
        <v>16</v>
      </c>
      <c r="B156" s="94" t="s">
        <v>104</v>
      </c>
      <c r="C156" s="12">
        <v>100</v>
      </c>
      <c r="D156" s="162">
        <v>1514.6875</v>
      </c>
      <c r="E156" s="67"/>
      <c r="F156" s="17"/>
      <c r="G156" s="17"/>
    </row>
    <row r="157" spans="1:7" ht="45" x14ac:dyDescent="0.25">
      <c r="A157" s="44">
        <v>17</v>
      </c>
      <c r="B157" s="94" t="s">
        <v>105</v>
      </c>
      <c r="C157" s="12">
        <v>100</v>
      </c>
      <c r="D157" s="162">
        <v>1810.6875</v>
      </c>
      <c r="E157" s="67"/>
      <c r="F157" s="17"/>
      <c r="G157" s="17"/>
    </row>
    <row r="158" spans="1:7" ht="45" x14ac:dyDescent="0.25">
      <c r="A158" s="44">
        <v>18</v>
      </c>
      <c r="B158" s="92" t="s">
        <v>106</v>
      </c>
      <c r="C158" s="20"/>
      <c r="D158" s="162"/>
      <c r="E158" s="67"/>
      <c r="F158" s="17"/>
      <c r="G158" s="17"/>
    </row>
    <row r="159" spans="1:7" x14ac:dyDescent="0.25">
      <c r="A159" s="44"/>
      <c r="B159" s="92" t="s">
        <v>107</v>
      </c>
      <c r="C159" s="12">
        <v>100</v>
      </c>
      <c r="D159" s="162">
        <v>1696.8199999999997</v>
      </c>
      <c r="E159" s="67"/>
      <c r="F159" s="17"/>
      <c r="G159" s="17"/>
    </row>
    <row r="160" spans="1:7" ht="30" x14ac:dyDescent="0.25">
      <c r="A160" s="44">
        <v>19</v>
      </c>
      <c r="B160" s="94" t="s">
        <v>108</v>
      </c>
      <c r="C160" s="19">
        <v>100</v>
      </c>
      <c r="D160" s="162">
        <v>21027.285000000003</v>
      </c>
      <c r="E160" s="67"/>
      <c r="F160" s="17"/>
      <c r="G160" s="17"/>
    </row>
    <row r="161" spans="1:7" ht="45" x14ac:dyDescent="0.25">
      <c r="A161" s="44">
        <v>20</v>
      </c>
      <c r="B161" s="94" t="s">
        <v>109</v>
      </c>
      <c r="C161" s="19">
        <v>100</v>
      </c>
      <c r="D161" s="162">
        <v>4237.2400000000007</v>
      </c>
      <c r="E161" s="67"/>
      <c r="F161" s="17"/>
      <c r="G161" s="17"/>
    </row>
    <row r="162" spans="1:7" ht="60" x14ac:dyDescent="0.25">
      <c r="A162" s="44">
        <v>21</v>
      </c>
      <c r="B162" s="94" t="s">
        <v>110</v>
      </c>
      <c r="C162" s="19">
        <v>100</v>
      </c>
      <c r="D162" s="162">
        <v>18125.375</v>
      </c>
      <c r="E162" s="67"/>
      <c r="F162" s="17"/>
      <c r="G162" s="17"/>
    </row>
    <row r="163" spans="1:7" ht="45" x14ac:dyDescent="0.25">
      <c r="A163" s="44">
        <v>22</v>
      </c>
      <c r="B163" s="94" t="s">
        <v>111</v>
      </c>
      <c r="C163" s="36">
        <v>1</v>
      </c>
      <c r="D163" s="162">
        <v>481</v>
      </c>
      <c r="E163" s="67"/>
      <c r="F163" s="17"/>
      <c r="G163" s="17"/>
    </row>
    <row r="164" spans="1:7" ht="30" x14ac:dyDescent="0.25">
      <c r="A164" s="44">
        <v>23</v>
      </c>
      <c r="B164" s="94" t="s">
        <v>112</v>
      </c>
      <c r="C164" s="37">
        <v>1</v>
      </c>
      <c r="D164" s="162">
        <v>74</v>
      </c>
      <c r="E164" s="67"/>
      <c r="F164" s="17"/>
      <c r="G164" s="17"/>
    </row>
    <row r="165" spans="1:7" x14ac:dyDescent="0.25">
      <c r="A165" s="44">
        <v>24</v>
      </c>
      <c r="B165" s="94" t="s">
        <v>113</v>
      </c>
      <c r="C165" s="37">
        <v>1</v>
      </c>
      <c r="D165" s="162">
        <v>37</v>
      </c>
      <c r="E165" s="67"/>
      <c r="F165" s="17"/>
      <c r="G165" s="17"/>
    </row>
    <row r="166" spans="1:7" x14ac:dyDescent="0.25">
      <c r="A166" s="44">
        <v>25</v>
      </c>
      <c r="B166" s="94" t="s">
        <v>114</v>
      </c>
      <c r="C166" s="19">
        <v>100</v>
      </c>
      <c r="D166" s="162">
        <v>18879.990000000002</v>
      </c>
      <c r="E166" s="67"/>
      <c r="F166" s="17"/>
      <c r="G166" s="17"/>
    </row>
    <row r="167" spans="1:7" ht="45" x14ac:dyDescent="0.25">
      <c r="A167" s="44">
        <v>26</v>
      </c>
      <c r="B167" s="94" t="s">
        <v>115</v>
      </c>
      <c r="C167" s="19">
        <v>100</v>
      </c>
      <c r="D167" s="162">
        <v>6384.5349999999999</v>
      </c>
      <c r="E167" s="67"/>
      <c r="F167" s="17"/>
      <c r="G167" s="17"/>
    </row>
    <row r="168" spans="1:7" ht="30" x14ac:dyDescent="0.25">
      <c r="A168" s="44">
        <v>27</v>
      </c>
      <c r="B168" s="94" t="s">
        <v>116</v>
      </c>
      <c r="C168" s="19">
        <v>100</v>
      </c>
      <c r="D168" s="162">
        <v>3293</v>
      </c>
      <c r="E168" s="67"/>
      <c r="F168" s="17"/>
      <c r="G168" s="17"/>
    </row>
    <row r="169" spans="1:7" ht="60" x14ac:dyDescent="0.25">
      <c r="A169" s="44">
        <v>28</v>
      </c>
      <c r="B169" s="92" t="s">
        <v>117</v>
      </c>
      <c r="C169" s="29">
        <v>100</v>
      </c>
      <c r="D169" s="162">
        <v>12393.472738818833</v>
      </c>
      <c r="E169" s="67"/>
      <c r="F169" s="17"/>
      <c r="G169" s="17"/>
    </row>
    <row r="170" spans="1:7" ht="45" x14ac:dyDescent="0.25">
      <c r="A170" s="44">
        <v>29</v>
      </c>
      <c r="B170" s="94" t="s">
        <v>118</v>
      </c>
      <c r="C170" s="20"/>
      <c r="D170" s="162"/>
      <c r="E170" s="67"/>
      <c r="F170" s="17"/>
      <c r="G170" s="17"/>
    </row>
    <row r="171" spans="1:7" x14ac:dyDescent="0.25">
      <c r="A171" s="44" t="s">
        <v>42</v>
      </c>
      <c r="B171" s="94" t="s">
        <v>119</v>
      </c>
      <c r="C171" s="36">
        <v>1</v>
      </c>
      <c r="D171" s="162">
        <v>2220</v>
      </c>
      <c r="E171" s="67"/>
      <c r="F171" s="17"/>
      <c r="G171" s="17"/>
    </row>
    <row r="172" spans="1:7" x14ac:dyDescent="0.25">
      <c r="A172" s="44" t="s">
        <v>44</v>
      </c>
      <c r="B172" s="94" t="s">
        <v>120</v>
      </c>
      <c r="C172" s="36">
        <v>1</v>
      </c>
      <c r="D172" s="162">
        <v>1110</v>
      </c>
      <c r="E172" s="67"/>
      <c r="F172" s="17"/>
      <c r="G172" s="17"/>
    </row>
    <row r="173" spans="1:7" x14ac:dyDescent="0.25">
      <c r="A173" s="44" t="s">
        <v>121</v>
      </c>
      <c r="B173" s="94" t="s">
        <v>122</v>
      </c>
      <c r="C173" s="36">
        <v>1</v>
      </c>
      <c r="D173" s="162">
        <v>555</v>
      </c>
      <c r="E173" s="67"/>
      <c r="F173" s="17"/>
      <c r="G173" s="17"/>
    </row>
    <row r="174" spans="1:7" ht="75" x14ac:dyDescent="0.25">
      <c r="A174" s="44">
        <v>30</v>
      </c>
      <c r="B174" s="94" t="s">
        <v>123</v>
      </c>
      <c r="C174" s="20"/>
      <c r="D174" s="162"/>
      <c r="E174" s="67"/>
      <c r="F174" s="17"/>
      <c r="G174" s="17"/>
    </row>
    <row r="175" spans="1:7" x14ac:dyDescent="0.25">
      <c r="A175" s="44" t="s">
        <v>42</v>
      </c>
      <c r="B175" s="94" t="s">
        <v>124</v>
      </c>
      <c r="C175" s="36">
        <v>1</v>
      </c>
      <c r="D175" s="162">
        <v>6660</v>
      </c>
      <c r="E175" s="67"/>
      <c r="F175" s="17"/>
      <c r="G175" s="17"/>
    </row>
    <row r="176" spans="1:7" x14ac:dyDescent="0.25">
      <c r="A176" s="44" t="s">
        <v>44</v>
      </c>
      <c r="B176" s="94" t="s">
        <v>125</v>
      </c>
      <c r="C176" s="36">
        <v>1</v>
      </c>
      <c r="D176" s="162">
        <v>2220</v>
      </c>
      <c r="E176" s="67"/>
      <c r="F176" s="17"/>
      <c r="G176" s="17"/>
    </row>
    <row r="177" spans="1:7" ht="75" x14ac:dyDescent="0.25">
      <c r="A177" s="44">
        <v>31</v>
      </c>
      <c r="B177" s="94" t="s">
        <v>126</v>
      </c>
      <c r="C177" s="36">
        <v>1</v>
      </c>
      <c r="D177" s="162">
        <v>1480</v>
      </c>
      <c r="E177" s="67"/>
      <c r="F177" s="17"/>
      <c r="G177" s="17"/>
    </row>
    <row r="178" spans="1:7" ht="60" x14ac:dyDescent="0.25">
      <c r="A178" s="44">
        <v>32</v>
      </c>
      <c r="B178" s="94" t="s">
        <v>127</v>
      </c>
      <c r="C178" s="20"/>
      <c r="D178" s="162"/>
      <c r="E178" s="67"/>
      <c r="F178" s="17"/>
      <c r="G178" s="17"/>
    </row>
    <row r="179" spans="1:7" x14ac:dyDescent="0.25">
      <c r="A179" s="44" t="s">
        <v>42</v>
      </c>
      <c r="B179" s="94" t="s">
        <v>128</v>
      </c>
      <c r="C179" s="38">
        <v>1</v>
      </c>
      <c r="D179" s="162">
        <v>37</v>
      </c>
      <c r="E179" s="67"/>
      <c r="F179" s="17"/>
      <c r="G179" s="17"/>
    </row>
    <row r="180" spans="1:7" x14ac:dyDescent="0.25">
      <c r="A180" s="44" t="s">
        <v>44</v>
      </c>
      <c r="B180" s="94" t="s">
        <v>129</v>
      </c>
      <c r="C180" s="38">
        <v>1</v>
      </c>
      <c r="D180" s="162">
        <v>37</v>
      </c>
      <c r="E180" s="67"/>
      <c r="F180" s="17"/>
      <c r="G180" s="17"/>
    </row>
    <row r="181" spans="1:7" x14ac:dyDescent="0.25">
      <c r="A181" s="44" t="s">
        <v>121</v>
      </c>
      <c r="B181" s="94" t="s">
        <v>130</v>
      </c>
      <c r="C181" s="38">
        <v>1</v>
      </c>
      <c r="D181" s="162">
        <v>37</v>
      </c>
      <c r="E181" s="67"/>
      <c r="F181" s="17"/>
      <c r="G181" s="17"/>
    </row>
    <row r="182" spans="1:7" ht="30" x14ac:dyDescent="0.25">
      <c r="A182" s="44">
        <v>33</v>
      </c>
      <c r="B182" s="94" t="s">
        <v>131</v>
      </c>
      <c r="C182" s="38">
        <v>1</v>
      </c>
      <c r="D182" s="162">
        <v>740</v>
      </c>
      <c r="E182" s="67"/>
      <c r="F182" s="17"/>
      <c r="G182" s="17"/>
    </row>
    <row r="183" spans="1:7" x14ac:dyDescent="0.25">
      <c r="A183" s="44">
        <v>34</v>
      </c>
      <c r="B183" s="94" t="s">
        <v>132</v>
      </c>
      <c r="C183" s="38">
        <v>1</v>
      </c>
      <c r="D183" s="162">
        <v>148</v>
      </c>
      <c r="E183" s="67"/>
      <c r="F183" s="17"/>
      <c r="G183" s="17"/>
    </row>
    <row r="184" spans="1:7" x14ac:dyDescent="0.25">
      <c r="A184" s="44">
        <v>35</v>
      </c>
      <c r="B184" s="94" t="s">
        <v>133</v>
      </c>
      <c r="C184" s="38">
        <v>1</v>
      </c>
      <c r="D184" s="162">
        <v>74</v>
      </c>
      <c r="E184" s="67"/>
      <c r="F184" s="17"/>
      <c r="G184" s="17"/>
    </row>
    <row r="185" spans="1:7" ht="45" x14ac:dyDescent="0.25">
      <c r="A185" s="44">
        <v>36</v>
      </c>
      <c r="B185" s="94" t="s">
        <v>134</v>
      </c>
      <c r="C185" s="38">
        <v>1</v>
      </c>
      <c r="D185" s="162">
        <v>37</v>
      </c>
      <c r="E185" s="67"/>
      <c r="F185" s="17"/>
      <c r="G185" s="17"/>
    </row>
    <row r="186" spans="1:7" ht="150" x14ac:dyDescent="0.25">
      <c r="A186" s="44">
        <v>37</v>
      </c>
      <c r="B186" s="94" t="s">
        <v>135</v>
      </c>
      <c r="C186" s="37">
        <v>1</v>
      </c>
      <c r="D186" s="162">
        <v>37</v>
      </c>
      <c r="E186" s="67"/>
      <c r="F186" s="17"/>
      <c r="G186" s="17"/>
    </row>
    <row r="187" spans="1:7" ht="90" x14ac:dyDescent="0.25">
      <c r="A187" s="44">
        <v>38</v>
      </c>
      <c r="B187" s="94" t="s">
        <v>136</v>
      </c>
      <c r="C187" s="37">
        <v>1</v>
      </c>
      <c r="D187" s="162">
        <v>222</v>
      </c>
      <c r="E187" s="67"/>
      <c r="F187" s="17"/>
      <c r="G187" s="17"/>
    </row>
    <row r="188" spans="1:7" ht="135" x14ac:dyDescent="0.25">
      <c r="A188" s="44">
        <v>39</v>
      </c>
      <c r="B188" s="94" t="s">
        <v>137</v>
      </c>
      <c r="C188" s="37">
        <v>1</v>
      </c>
      <c r="D188" s="162">
        <v>74</v>
      </c>
      <c r="E188" s="67"/>
      <c r="F188" s="17"/>
      <c r="G188" s="17"/>
    </row>
    <row r="189" spans="1:7" ht="150" x14ac:dyDescent="0.25">
      <c r="A189" s="44">
        <v>40</v>
      </c>
      <c r="B189" s="94" t="s">
        <v>138</v>
      </c>
      <c r="C189" s="37">
        <v>1</v>
      </c>
      <c r="D189" s="162">
        <v>37</v>
      </c>
      <c r="E189" s="67"/>
      <c r="F189" s="17"/>
      <c r="G189" s="17"/>
    </row>
    <row r="190" spans="1:7" ht="60" x14ac:dyDescent="0.25">
      <c r="A190" s="44">
        <v>41</v>
      </c>
      <c r="B190" s="94" t="s">
        <v>139</v>
      </c>
      <c r="C190" s="37">
        <v>1</v>
      </c>
      <c r="D190" s="162">
        <v>111</v>
      </c>
      <c r="E190" s="67"/>
      <c r="F190" s="17"/>
      <c r="G190" s="17"/>
    </row>
    <row r="191" spans="1:7" ht="30" x14ac:dyDescent="0.25">
      <c r="A191" s="44">
        <v>42</v>
      </c>
      <c r="B191" s="94" t="s">
        <v>140</v>
      </c>
      <c r="C191" s="37">
        <v>1</v>
      </c>
      <c r="D191" s="162">
        <v>111</v>
      </c>
      <c r="E191" s="67"/>
      <c r="F191" s="17"/>
      <c r="G191" s="17"/>
    </row>
    <row r="192" spans="1:7" ht="75.75" x14ac:dyDescent="0.25">
      <c r="A192" s="44">
        <v>43</v>
      </c>
      <c r="B192" s="94" t="s">
        <v>36</v>
      </c>
      <c r="C192" s="22"/>
      <c r="D192" s="162"/>
      <c r="E192" s="67"/>
      <c r="F192" s="17"/>
      <c r="G192" s="17"/>
    </row>
    <row r="193" spans="1:7" x14ac:dyDescent="0.25">
      <c r="A193" s="44" t="s">
        <v>60</v>
      </c>
      <c r="B193" s="94" t="s">
        <v>61</v>
      </c>
      <c r="C193" s="12">
        <v>100</v>
      </c>
      <c r="D193" s="162">
        <v>3751.354022416896</v>
      </c>
      <c r="E193" s="67"/>
      <c r="F193" s="17"/>
      <c r="G193" s="17"/>
    </row>
    <row r="194" spans="1:7" x14ac:dyDescent="0.25">
      <c r="A194" s="44" t="s">
        <v>37</v>
      </c>
      <c r="B194" s="94" t="s">
        <v>38</v>
      </c>
      <c r="C194" s="12">
        <v>100</v>
      </c>
      <c r="D194" s="162">
        <v>1493.2016000000003</v>
      </c>
      <c r="E194" s="67"/>
      <c r="F194" s="17"/>
      <c r="G194" s="17"/>
    </row>
    <row r="195" spans="1:7" x14ac:dyDescent="0.25">
      <c r="A195" s="44" t="s">
        <v>63</v>
      </c>
      <c r="B195" s="94" t="s">
        <v>141</v>
      </c>
      <c r="C195" s="12">
        <v>100</v>
      </c>
      <c r="D195" s="162">
        <v>5618.9968229999995</v>
      </c>
      <c r="E195" s="67"/>
      <c r="F195" s="17"/>
      <c r="G195" s="17"/>
    </row>
    <row r="196" spans="1:7" x14ac:dyDescent="0.25">
      <c r="A196" s="44" t="s">
        <v>142</v>
      </c>
      <c r="B196" s="94" t="s">
        <v>143</v>
      </c>
      <c r="C196" s="12">
        <v>100</v>
      </c>
      <c r="D196" s="162">
        <v>262.51500000000004</v>
      </c>
      <c r="E196" s="67"/>
      <c r="F196" s="17"/>
      <c r="G196" s="17"/>
    </row>
    <row r="197" spans="1:7" ht="22.5" x14ac:dyDescent="0.25">
      <c r="A197" s="144">
        <v>9</v>
      </c>
      <c r="B197" s="144" t="s">
        <v>401</v>
      </c>
      <c r="C197" s="99"/>
      <c r="D197" s="162"/>
      <c r="E197" s="67"/>
      <c r="F197" s="17"/>
      <c r="G197" s="17"/>
    </row>
    <row r="198" spans="1:7" ht="75" x14ac:dyDescent="0.25">
      <c r="A198" s="118">
        <v>1</v>
      </c>
      <c r="B198" s="94" t="s">
        <v>39</v>
      </c>
      <c r="C198" s="12">
        <v>1000</v>
      </c>
      <c r="D198" s="162">
        <v>276776.50860399997</v>
      </c>
      <c r="E198" s="67"/>
      <c r="F198" s="17"/>
      <c r="G198" s="17"/>
    </row>
    <row r="199" spans="1:7" x14ac:dyDescent="0.25">
      <c r="A199" s="118">
        <v>2</v>
      </c>
      <c r="B199" s="94" t="s">
        <v>66</v>
      </c>
      <c r="C199" s="12">
        <v>1000</v>
      </c>
      <c r="D199" s="162">
        <v>276776.50860399997</v>
      </c>
      <c r="E199" s="67"/>
      <c r="F199" s="17"/>
      <c r="G199" s="17"/>
    </row>
    <row r="200" spans="1:7" ht="45" x14ac:dyDescent="0.25">
      <c r="A200" s="1037">
        <v>3</v>
      </c>
      <c r="B200" s="94" t="s">
        <v>20</v>
      </c>
      <c r="C200" s="20"/>
      <c r="D200" s="162"/>
      <c r="E200" s="67"/>
      <c r="F200" s="17"/>
      <c r="G200" s="17"/>
    </row>
    <row r="201" spans="1:7" x14ac:dyDescent="0.25">
      <c r="A201" s="1037"/>
      <c r="B201" s="94" t="s">
        <v>21</v>
      </c>
      <c r="C201" s="12">
        <v>100</v>
      </c>
      <c r="D201" s="162">
        <v>6337.4613750000008</v>
      </c>
      <c r="E201" s="67"/>
      <c r="F201" s="17"/>
      <c r="G201" s="17"/>
    </row>
    <row r="202" spans="1:7" x14ac:dyDescent="0.25">
      <c r="A202" s="1037"/>
      <c r="B202" s="94" t="s">
        <v>107</v>
      </c>
      <c r="C202" s="12">
        <v>100</v>
      </c>
      <c r="D202" s="162">
        <v>3109.0200000000004</v>
      </c>
      <c r="E202" s="67"/>
      <c r="F202" s="17"/>
      <c r="G202" s="17"/>
    </row>
    <row r="203" spans="1:7" ht="90" x14ac:dyDescent="0.25">
      <c r="A203" s="44">
        <v>4</v>
      </c>
      <c r="B203" s="94" t="s">
        <v>170</v>
      </c>
      <c r="C203" s="29">
        <v>100</v>
      </c>
      <c r="D203" s="162">
        <v>391443.56966250006</v>
      </c>
      <c r="E203" s="67"/>
      <c r="F203" s="17"/>
      <c r="G203" s="17"/>
    </row>
    <row r="204" spans="1:7" ht="120.75" x14ac:dyDescent="0.25">
      <c r="A204" s="44">
        <v>5</v>
      </c>
      <c r="B204" s="94" t="s">
        <v>41</v>
      </c>
      <c r="C204" s="20"/>
      <c r="D204" s="162"/>
      <c r="E204" s="67"/>
      <c r="F204" s="17"/>
      <c r="G204" s="17"/>
    </row>
    <row r="205" spans="1:7" ht="60" x14ac:dyDescent="0.25">
      <c r="A205" s="44"/>
      <c r="B205" s="94" t="s">
        <v>161</v>
      </c>
      <c r="C205" s="12">
        <v>1</v>
      </c>
      <c r="D205" s="162">
        <v>55755.845625000009</v>
      </c>
      <c r="E205" s="67"/>
      <c r="F205" s="17"/>
      <c r="G205" s="17"/>
    </row>
    <row r="206" spans="1:7" ht="60" x14ac:dyDescent="0.25">
      <c r="A206" s="44"/>
      <c r="B206" s="94" t="s">
        <v>402</v>
      </c>
      <c r="C206" s="12">
        <v>1</v>
      </c>
      <c r="D206" s="162">
        <v>31231.614299999997</v>
      </c>
      <c r="E206" s="67"/>
      <c r="F206" s="17"/>
      <c r="G206" s="17"/>
    </row>
    <row r="207" spans="1:7" ht="30" x14ac:dyDescent="0.25">
      <c r="A207" s="44">
        <v>6</v>
      </c>
      <c r="B207" s="94" t="s">
        <v>46</v>
      </c>
      <c r="C207" s="19">
        <v>100</v>
      </c>
      <c r="D207" s="162">
        <v>28066.247800000001</v>
      </c>
      <c r="E207" s="67"/>
      <c r="F207" s="17"/>
      <c r="G207" s="17"/>
    </row>
    <row r="208" spans="1:7" ht="75" x14ac:dyDescent="0.25">
      <c r="A208" s="44">
        <v>7</v>
      </c>
      <c r="B208" s="94" t="s">
        <v>171</v>
      </c>
      <c r="C208" s="19">
        <v>100</v>
      </c>
      <c r="D208" s="162">
        <v>5447.5326000000005</v>
      </c>
      <c r="E208" s="67"/>
      <c r="F208" s="17"/>
      <c r="G208" s="17"/>
    </row>
    <row r="209" spans="1:7" ht="30" x14ac:dyDescent="0.25">
      <c r="A209" s="44">
        <v>8</v>
      </c>
      <c r="B209" s="94" t="s">
        <v>103</v>
      </c>
      <c r="C209" s="19">
        <v>1</v>
      </c>
      <c r="D209" s="162">
        <v>5447.5326000000005</v>
      </c>
      <c r="E209" s="67"/>
      <c r="F209" s="17"/>
      <c r="G209" s="17"/>
    </row>
    <row r="210" spans="1:7" ht="45" x14ac:dyDescent="0.25">
      <c r="A210" s="44">
        <v>9</v>
      </c>
      <c r="B210" s="94" t="s">
        <v>111</v>
      </c>
      <c r="C210" s="36">
        <v>1</v>
      </c>
      <c r="D210" s="162">
        <v>629</v>
      </c>
      <c r="E210" s="67"/>
      <c r="F210" s="17"/>
      <c r="G210" s="17"/>
    </row>
    <row r="211" spans="1:7" ht="30" x14ac:dyDescent="0.25">
      <c r="A211" s="44">
        <v>10</v>
      </c>
      <c r="B211" s="94" t="s">
        <v>112</v>
      </c>
      <c r="C211" s="37">
        <v>1</v>
      </c>
      <c r="D211" s="162">
        <v>38</v>
      </c>
      <c r="E211" s="67"/>
      <c r="F211" s="17"/>
      <c r="G211" s="17"/>
    </row>
    <row r="212" spans="1:7" x14ac:dyDescent="0.25">
      <c r="A212" s="44">
        <v>11</v>
      </c>
      <c r="B212" s="94" t="s">
        <v>113</v>
      </c>
      <c r="C212" s="37">
        <v>1</v>
      </c>
      <c r="D212" s="162">
        <v>26</v>
      </c>
      <c r="E212" s="67"/>
      <c r="F212" s="17"/>
      <c r="G212" s="17"/>
    </row>
    <row r="213" spans="1:7" ht="180" x14ac:dyDescent="0.25">
      <c r="A213" s="44">
        <v>12</v>
      </c>
      <c r="B213" s="94" t="s">
        <v>172</v>
      </c>
      <c r="C213" s="22">
        <v>1</v>
      </c>
      <c r="D213" s="162">
        <v>1983.6000000000001</v>
      </c>
      <c r="E213" s="67"/>
      <c r="F213" s="17"/>
      <c r="G213" s="17"/>
    </row>
    <row r="214" spans="1:7" ht="45" x14ac:dyDescent="0.25">
      <c r="A214" s="44">
        <v>13</v>
      </c>
      <c r="B214" s="94" t="s">
        <v>173</v>
      </c>
      <c r="C214" s="19">
        <v>1</v>
      </c>
      <c r="D214" s="162">
        <v>908</v>
      </c>
      <c r="E214" s="67"/>
      <c r="F214" s="17"/>
      <c r="G214" s="17"/>
    </row>
    <row r="215" spans="1:7" x14ac:dyDescent="0.25">
      <c r="A215" s="44">
        <v>14</v>
      </c>
      <c r="B215" s="94" t="s">
        <v>174</v>
      </c>
      <c r="C215" s="19">
        <v>100</v>
      </c>
      <c r="D215" s="162">
        <v>19399.646999999997</v>
      </c>
      <c r="E215" s="67"/>
      <c r="F215" s="17"/>
      <c r="G215" s="17"/>
    </row>
    <row r="216" spans="1:7" ht="45" x14ac:dyDescent="0.25">
      <c r="A216" s="44">
        <v>15</v>
      </c>
      <c r="B216" s="94" t="s">
        <v>115</v>
      </c>
      <c r="C216" s="19">
        <v>100</v>
      </c>
      <c r="D216" s="162">
        <v>20145.1993</v>
      </c>
      <c r="E216" s="67"/>
      <c r="F216" s="17"/>
      <c r="G216" s="17"/>
    </row>
    <row r="217" spans="1:7" ht="30" x14ac:dyDescent="0.25">
      <c r="A217" s="44">
        <v>16</v>
      </c>
      <c r="B217" s="94" t="s">
        <v>116</v>
      </c>
      <c r="C217" s="19">
        <v>100</v>
      </c>
      <c r="D217" s="162">
        <v>1372</v>
      </c>
      <c r="E217" s="67"/>
      <c r="F217" s="17"/>
      <c r="G217" s="17"/>
    </row>
    <row r="218" spans="1:7" ht="45" x14ac:dyDescent="0.25">
      <c r="A218" s="44">
        <v>17</v>
      </c>
      <c r="B218" s="94" t="s">
        <v>175</v>
      </c>
      <c r="C218" s="37">
        <v>1</v>
      </c>
      <c r="D218" s="162">
        <v>369</v>
      </c>
      <c r="E218" s="67"/>
      <c r="F218" s="17"/>
      <c r="G218" s="17"/>
    </row>
    <row r="219" spans="1:7" ht="75" x14ac:dyDescent="0.25">
      <c r="A219" s="44">
        <v>18</v>
      </c>
      <c r="B219" s="94" t="s">
        <v>190</v>
      </c>
      <c r="C219" s="36">
        <v>1</v>
      </c>
      <c r="D219" s="162">
        <v>111.86</v>
      </c>
      <c r="E219" s="67"/>
      <c r="F219" s="17"/>
      <c r="G219" s="17"/>
    </row>
    <row r="220" spans="1:7" x14ac:dyDescent="0.25">
      <c r="A220" s="44">
        <v>19</v>
      </c>
      <c r="B220" s="94" t="s">
        <v>176</v>
      </c>
      <c r="C220" s="19">
        <v>1</v>
      </c>
      <c r="D220" s="162">
        <v>2800</v>
      </c>
      <c r="E220" s="67"/>
      <c r="F220" s="17"/>
      <c r="G220" s="17"/>
    </row>
    <row r="221" spans="1:7" ht="75" x14ac:dyDescent="0.25">
      <c r="A221" s="44">
        <v>20</v>
      </c>
      <c r="B221" s="94" t="s">
        <v>177</v>
      </c>
      <c r="C221" s="19">
        <v>1</v>
      </c>
      <c r="D221" s="162">
        <v>9477.0586000000003</v>
      </c>
      <c r="E221" s="67"/>
      <c r="F221" s="17"/>
      <c r="G221" s="17"/>
    </row>
    <row r="222" spans="1:7" ht="30" x14ac:dyDescent="0.25">
      <c r="A222" s="44">
        <v>21</v>
      </c>
      <c r="B222" s="94" t="s">
        <v>178</v>
      </c>
      <c r="C222" s="12">
        <v>100</v>
      </c>
      <c r="D222" s="162">
        <v>2287.9699999999998</v>
      </c>
      <c r="E222" s="67"/>
      <c r="F222" s="17"/>
      <c r="G222" s="17"/>
    </row>
    <row r="223" spans="1:7" ht="75" x14ac:dyDescent="0.25">
      <c r="A223" s="44">
        <v>22</v>
      </c>
      <c r="B223" s="94" t="s">
        <v>179</v>
      </c>
      <c r="C223" s="19">
        <v>100</v>
      </c>
      <c r="D223" s="162">
        <v>5447.5326000000005</v>
      </c>
      <c r="E223" s="67"/>
      <c r="F223" s="17"/>
      <c r="G223" s="17"/>
    </row>
    <row r="224" spans="1:7" ht="75" x14ac:dyDescent="0.25">
      <c r="A224" s="44">
        <v>23</v>
      </c>
      <c r="B224" s="94" t="s">
        <v>180</v>
      </c>
      <c r="C224" s="19">
        <v>100</v>
      </c>
      <c r="D224" s="162">
        <v>385.13000000000005</v>
      </c>
      <c r="E224" s="67"/>
      <c r="F224" s="17"/>
      <c r="G224" s="17"/>
    </row>
    <row r="225" spans="1:7" ht="45" x14ac:dyDescent="0.25">
      <c r="A225" s="44">
        <v>24</v>
      </c>
      <c r="B225" s="94" t="s">
        <v>181</v>
      </c>
      <c r="C225" s="36">
        <v>1</v>
      </c>
      <c r="D225" s="162">
        <v>2922.31</v>
      </c>
      <c r="E225" s="67"/>
      <c r="F225" s="17"/>
      <c r="G225" s="17"/>
    </row>
    <row r="226" spans="1:7" ht="45" x14ac:dyDescent="0.25">
      <c r="A226" s="44">
        <v>25</v>
      </c>
      <c r="B226" s="134" t="s">
        <v>71</v>
      </c>
      <c r="C226" s="36">
        <v>1</v>
      </c>
      <c r="D226" s="162">
        <v>1372.96</v>
      </c>
      <c r="E226" s="67"/>
      <c r="F226" s="17"/>
      <c r="G226" s="17"/>
    </row>
    <row r="227" spans="1:7" ht="45" x14ac:dyDescent="0.25">
      <c r="A227" s="44">
        <v>26</v>
      </c>
      <c r="B227" s="94" t="s">
        <v>118</v>
      </c>
      <c r="C227" s="20"/>
      <c r="D227" s="162"/>
      <c r="E227" s="67"/>
      <c r="F227" s="17"/>
      <c r="G227" s="17"/>
    </row>
    <row r="228" spans="1:7" x14ac:dyDescent="0.25">
      <c r="A228" s="44"/>
      <c r="B228" s="94" t="s">
        <v>148</v>
      </c>
      <c r="C228" s="36">
        <v>1</v>
      </c>
      <c r="D228" s="162">
        <v>1200</v>
      </c>
      <c r="E228" s="67"/>
      <c r="F228" s="17"/>
      <c r="G228" s="17"/>
    </row>
    <row r="229" spans="1:7" x14ac:dyDescent="0.25">
      <c r="A229" s="44"/>
      <c r="B229" s="94" t="s">
        <v>149</v>
      </c>
      <c r="C229" s="36">
        <v>1</v>
      </c>
      <c r="D229" s="162">
        <v>900</v>
      </c>
      <c r="E229" s="67"/>
      <c r="F229" s="17"/>
      <c r="G229" s="17"/>
    </row>
    <row r="230" spans="1:7" ht="75" x14ac:dyDescent="0.25">
      <c r="A230" s="44">
        <v>27</v>
      </c>
      <c r="B230" s="94" t="s">
        <v>123</v>
      </c>
      <c r="C230" s="20"/>
      <c r="D230" s="162"/>
      <c r="E230" s="67"/>
      <c r="F230" s="17"/>
      <c r="G230" s="17"/>
    </row>
    <row r="231" spans="1:7" x14ac:dyDescent="0.25">
      <c r="A231" s="44"/>
      <c r="B231" s="94" t="s">
        <v>150</v>
      </c>
      <c r="C231" s="36">
        <v>1</v>
      </c>
      <c r="D231" s="162">
        <v>3000</v>
      </c>
      <c r="E231" s="67"/>
      <c r="F231" s="17"/>
      <c r="G231" s="17"/>
    </row>
    <row r="232" spans="1:7" x14ac:dyDescent="0.25">
      <c r="A232" s="44"/>
      <c r="B232" s="94" t="s">
        <v>151</v>
      </c>
      <c r="C232" s="36">
        <v>1</v>
      </c>
      <c r="D232" s="162">
        <v>1700</v>
      </c>
      <c r="E232" s="67"/>
      <c r="F232" s="17"/>
      <c r="G232" s="17"/>
    </row>
    <row r="233" spans="1:7" ht="60" x14ac:dyDescent="0.25">
      <c r="A233" s="44">
        <v>28</v>
      </c>
      <c r="B233" s="94" t="s">
        <v>127</v>
      </c>
      <c r="C233" s="20"/>
      <c r="D233" s="162"/>
      <c r="E233" s="67"/>
      <c r="F233" s="17"/>
      <c r="G233" s="17"/>
    </row>
    <row r="234" spans="1:7" x14ac:dyDescent="0.25">
      <c r="A234" s="44"/>
      <c r="B234" s="94" t="s">
        <v>153</v>
      </c>
      <c r="C234" s="38">
        <v>1</v>
      </c>
      <c r="D234" s="162">
        <v>31</v>
      </c>
      <c r="E234" s="67"/>
      <c r="F234" s="17"/>
      <c r="G234" s="17"/>
    </row>
    <row r="235" spans="1:7" x14ac:dyDescent="0.25">
      <c r="A235" s="44">
        <v>29</v>
      </c>
      <c r="B235" s="94" t="s">
        <v>182</v>
      </c>
      <c r="C235" s="38">
        <v>1</v>
      </c>
      <c r="D235" s="162">
        <v>175</v>
      </c>
      <c r="E235" s="67"/>
      <c r="F235" s="17"/>
      <c r="G235" s="17"/>
    </row>
    <row r="236" spans="1:7" ht="30" x14ac:dyDescent="0.25">
      <c r="A236" s="44">
        <v>30</v>
      </c>
      <c r="B236" s="94" t="s">
        <v>183</v>
      </c>
      <c r="C236" s="38">
        <v>1</v>
      </c>
      <c r="D236" s="162">
        <v>50</v>
      </c>
      <c r="E236" s="67"/>
      <c r="F236" s="17"/>
      <c r="G236" s="17"/>
    </row>
    <row r="237" spans="1:7" x14ac:dyDescent="0.25">
      <c r="A237" s="44">
        <v>31</v>
      </c>
      <c r="B237" s="94" t="s">
        <v>132</v>
      </c>
      <c r="C237" s="38">
        <v>1</v>
      </c>
      <c r="D237" s="162">
        <v>50</v>
      </c>
      <c r="E237" s="67"/>
      <c r="F237" s="17"/>
      <c r="G237" s="17"/>
    </row>
    <row r="238" spans="1:7" ht="90.75" x14ac:dyDescent="0.25">
      <c r="A238" s="44">
        <v>32</v>
      </c>
      <c r="B238" s="94" t="s">
        <v>184</v>
      </c>
      <c r="C238" s="37">
        <v>1</v>
      </c>
      <c r="D238" s="162">
        <v>5</v>
      </c>
      <c r="E238" s="67"/>
      <c r="F238" s="17"/>
      <c r="G238" s="17"/>
    </row>
    <row r="239" spans="1:7" ht="90.75" x14ac:dyDescent="0.25">
      <c r="A239" s="44">
        <v>33</v>
      </c>
      <c r="B239" s="94" t="s">
        <v>185</v>
      </c>
      <c r="C239" s="37">
        <v>1</v>
      </c>
      <c r="D239" s="162">
        <v>29</v>
      </c>
      <c r="E239" s="67"/>
      <c r="F239" s="17"/>
      <c r="G239" s="17"/>
    </row>
    <row r="240" spans="1:7" ht="60" x14ac:dyDescent="0.25">
      <c r="A240" s="44">
        <v>34</v>
      </c>
      <c r="B240" s="94" t="s">
        <v>186</v>
      </c>
      <c r="C240" s="38">
        <v>1</v>
      </c>
      <c r="D240" s="162">
        <v>34</v>
      </c>
      <c r="E240" s="67"/>
      <c r="F240" s="17"/>
      <c r="G240" s="17"/>
    </row>
    <row r="241" spans="1:7" ht="60" x14ac:dyDescent="0.25">
      <c r="A241" s="44">
        <v>35</v>
      </c>
      <c r="B241" s="94" t="s">
        <v>139</v>
      </c>
      <c r="C241" s="37">
        <v>1</v>
      </c>
      <c r="D241" s="162">
        <v>50</v>
      </c>
      <c r="E241" s="67"/>
      <c r="F241" s="17"/>
      <c r="G241" s="17"/>
    </row>
    <row r="242" spans="1:7" x14ac:dyDescent="0.25">
      <c r="A242" s="44"/>
      <c r="B242" s="137" t="s">
        <v>193</v>
      </c>
      <c r="C242" s="42"/>
      <c r="D242" s="162"/>
      <c r="E242" s="67"/>
      <c r="F242" s="17"/>
      <c r="G242" s="17"/>
    </row>
    <row r="243" spans="1:7" ht="30" x14ac:dyDescent="0.25">
      <c r="A243" s="120">
        <v>36</v>
      </c>
      <c r="B243" s="96" t="s">
        <v>58</v>
      </c>
      <c r="C243" s="12">
        <v>1000</v>
      </c>
      <c r="D243" s="162">
        <v>58871.790000000008</v>
      </c>
      <c r="E243" s="67"/>
      <c r="F243" s="17"/>
      <c r="G243" s="17"/>
    </row>
    <row r="244" spans="1:7" ht="60" x14ac:dyDescent="0.25">
      <c r="A244" s="120">
        <v>37</v>
      </c>
      <c r="B244" s="96" t="s">
        <v>194</v>
      </c>
      <c r="C244" s="12">
        <v>1000</v>
      </c>
      <c r="D244" s="162">
        <v>58871.790000000008</v>
      </c>
      <c r="E244" s="67"/>
      <c r="F244" s="17"/>
      <c r="G244" s="17"/>
    </row>
    <row r="245" spans="1:7" ht="60" x14ac:dyDescent="0.25">
      <c r="A245" s="120">
        <v>38</v>
      </c>
      <c r="B245" s="96" t="s">
        <v>195</v>
      </c>
      <c r="C245" s="12">
        <v>1000</v>
      </c>
      <c r="D245" s="162">
        <v>14550.010000000002</v>
      </c>
      <c r="E245" s="67"/>
      <c r="F245" s="17"/>
      <c r="G245" s="17"/>
    </row>
    <row r="246" spans="1:7" x14ac:dyDescent="0.25">
      <c r="A246" s="120"/>
      <c r="B246" s="96" t="s">
        <v>196</v>
      </c>
      <c r="C246" s="43"/>
      <c r="D246" s="162"/>
      <c r="E246" s="67"/>
      <c r="F246" s="17"/>
      <c r="G246" s="17"/>
    </row>
    <row r="247" spans="1:7" x14ac:dyDescent="0.25">
      <c r="A247" s="120"/>
      <c r="B247" s="96" t="s">
        <v>197</v>
      </c>
      <c r="C247" s="19">
        <v>100</v>
      </c>
      <c r="D247" s="162">
        <v>2500</v>
      </c>
      <c r="E247" s="67"/>
      <c r="F247" s="17"/>
      <c r="G247" s="17"/>
    </row>
    <row r="248" spans="1:7" x14ac:dyDescent="0.25">
      <c r="A248" s="120"/>
      <c r="B248" s="96" t="s">
        <v>198</v>
      </c>
      <c r="C248" s="19">
        <v>100</v>
      </c>
      <c r="D248" s="162">
        <v>3876</v>
      </c>
      <c r="E248" s="67"/>
      <c r="F248" s="17"/>
      <c r="G248" s="17"/>
    </row>
    <row r="249" spans="1:7" ht="30" x14ac:dyDescent="0.25">
      <c r="A249" s="120">
        <v>39</v>
      </c>
      <c r="B249" s="96" t="s">
        <v>199</v>
      </c>
      <c r="C249" s="43"/>
      <c r="D249" s="162"/>
      <c r="E249" s="67"/>
      <c r="F249" s="17"/>
      <c r="G249" s="17"/>
    </row>
    <row r="250" spans="1:7" x14ac:dyDescent="0.25">
      <c r="A250" s="120"/>
      <c r="B250" s="96" t="s">
        <v>200</v>
      </c>
      <c r="C250" s="12">
        <v>100</v>
      </c>
      <c r="D250" s="162">
        <v>856.25</v>
      </c>
      <c r="E250" s="67"/>
      <c r="F250" s="17"/>
      <c r="G250" s="17"/>
    </row>
    <row r="251" spans="1:7" x14ac:dyDescent="0.25">
      <c r="A251" s="120"/>
      <c r="B251" s="96" t="s">
        <v>201</v>
      </c>
      <c r="C251" s="12">
        <v>100</v>
      </c>
      <c r="D251" s="162">
        <v>1327.53</v>
      </c>
      <c r="E251" s="67"/>
      <c r="F251" s="17"/>
      <c r="G251" s="17"/>
    </row>
    <row r="252" spans="1:7" ht="30" x14ac:dyDescent="0.25">
      <c r="A252" s="120">
        <v>40</v>
      </c>
      <c r="B252" s="96" t="s">
        <v>202</v>
      </c>
      <c r="C252" s="36">
        <v>1</v>
      </c>
      <c r="D252" s="162">
        <v>637.6</v>
      </c>
      <c r="E252" s="67"/>
      <c r="F252" s="17"/>
      <c r="G252" s="17"/>
    </row>
    <row r="253" spans="1:7" ht="30" x14ac:dyDescent="0.25">
      <c r="A253" s="120">
        <v>41</v>
      </c>
      <c r="B253" s="96" t="s">
        <v>203</v>
      </c>
      <c r="C253" s="19">
        <v>100</v>
      </c>
      <c r="D253" s="162">
        <v>318.8</v>
      </c>
      <c r="E253" s="67"/>
      <c r="F253" s="17"/>
      <c r="G253" s="17"/>
    </row>
    <row r="254" spans="1:7" ht="22.5" x14ac:dyDescent="0.25">
      <c r="A254" s="144">
        <v>10</v>
      </c>
      <c r="B254" s="144" t="s">
        <v>403</v>
      </c>
      <c r="C254" s="99"/>
      <c r="D254" s="162"/>
      <c r="E254" s="67"/>
      <c r="F254" s="17"/>
      <c r="G254" s="17"/>
    </row>
    <row r="255" spans="1:7" ht="75.75" x14ac:dyDescent="0.25">
      <c r="A255" s="118">
        <v>1</v>
      </c>
      <c r="B255" s="94" t="s">
        <v>204</v>
      </c>
      <c r="C255" s="12">
        <v>1000</v>
      </c>
      <c r="D255" s="162">
        <v>46483.393100000008</v>
      </c>
      <c r="E255" s="67"/>
      <c r="F255" s="17"/>
      <c r="G255" s="17"/>
    </row>
    <row r="256" spans="1:7" ht="45" x14ac:dyDescent="0.25">
      <c r="A256" s="44">
        <v>2</v>
      </c>
      <c r="B256" s="92" t="s">
        <v>106</v>
      </c>
      <c r="C256" s="11"/>
      <c r="D256" s="162"/>
      <c r="E256" s="67"/>
      <c r="F256" s="17"/>
      <c r="G256" s="17"/>
    </row>
    <row r="257" spans="1:7" x14ac:dyDescent="0.25">
      <c r="A257" s="44"/>
      <c r="B257" s="92" t="s">
        <v>21</v>
      </c>
      <c r="C257" s="12">
        <v>100</v>
      </c>
      <c r="D257" s="162">
        <v>6364.7330999999995</v>
      </c>
      <c r="E257" s="67"/>
      <c r="F257" s="17"/>
      <c r="G257" s="17"/>
    </row>
    <row r="258" spans="1:7" x14ac:dyDescent="0.25">
      <c r="A258" s="44"/>
      <c r="B258" s="92" t="s">
        <v>107</v>
      </c>
      <c r="C258" s="12">
        <v>100</v>
      </c>
      <c r="D258" s="162">
        <v>661.34062499999982</v>
      </c>
      <c r="E258" s="67"/>
      <c r="F258" s="17"/>
      <c r="G258" s="17"/>
    </row>
    <row r="259" spans="1:7" ht="30" x14ac:dyDescent="0.25">
      <c r="A259" s="44">
        <v>3</v>
      </c>
      <c r="B259" s="94" t="s">
        <v>70</v>
      </c>
      <c r="C259" s="12">
        <v>100</v>
      </c>
      <c r="D259" s="162">
        <v>10262.587500000001</v>
      </c>
      <c r="E259" s="67"/>
      <c r="F259" s="17"/>
      <c r="G259" s="17"/>
    </row>
    <row r="260" spans="1:7" ht="120" x14ac:dyDescent="0.25">
      <c r="A260" s="44">
        <v>4</v>
      </c>
      <c r="B260" s="94" t="s">
        <v>85</v>
      </c>
      <c r="C260" s="20"/>
      <c r="D260" s="162"/>
      <c r="E260" s="67"/>
      <c r="F260" s="17"/>
      <c r="G260" s="17"/>
    </row>
    <row r="261" spans="1:7" ht="75" x14ac:dyDescent="0.25">
      <c r="A261" s="122"/>
      <c r="B261" s="94" t="s">
        <v>86</v>
      </c>
      <c r="C261" s="12">
        <v>1</v>
      </c>
      <c r="D261" s="162">
        <v>8569.125</v>
      </c>
      <c r="E261" s="67"/>
      <c r="F261" s="17"/>
      <c r="G261" s="17"/>
    </row>
    <row r="262" spans="1:7" ht="75" x14ac:dyDescent="0.25">
      <c r="A262" s="122"/>
      <c r="B262" s="94" t="s">
        <v>160</v>
      </c>
      <c r="C262" s="12">
        <v>1</v>
      </c>
      <c r="D262" s="162">
        <v>2956.5</v>
      </c>
      <c r="E262" s="67"/>
      <c r="F262" s="17"/>
      <c r="G262" s="17"/>
    </row>
    <row r="263" spans="1:7" ht="90" x14ac:dyDescent="0.25">
      <c r="A263" s="122">
        <v>5</v>
      </c>
      <c r="B263" s="94" t="s">
        <v>205</v>
      </c>
      <c r="C263" s="29">
        <v>100</v>
      </c>
      <c r="D263" s="162">
        <v>34576.875</v>
      </c>
      <c r="E263" s="67"/>
      <c r="F263" s="17"/>
      <c r="G263" s="17"/>
    </row>
    <row r="264" spans="1:7" ht="30" x14ac:dyDescent="0.25">
      <c r="A264" s="44">
        <v>6</v>
      </c>
      <c r="B264" s="131" t="s">
        <v>206</v>
      </c>
      <c r="C264" s="12">
        <v>100</v>
      </c>
      <c r="D264" s="162">
        <v>11277.602800000002</v>
      </c>
      <c r="E264" s="67"/>
      <c r="F264" s="17"/>
      <c r="G264" s="17"/>
    </row>
    <row r="265" spans="1:7" x14ac:dyDescent="0.25">
      <c r="A265" s="44">
        <v>7</v>
      </c>
      <c r="B265" s="94" t="s">
        <v>59</v>
      </c>
      <c r="C265" s="12">
        <v>1000</v>
      </c>
      <c r="D265" s="162">
        <v>17520</v>
      </c>
      <c r="E265" s="67"/>
      <c r="F265" s="17"/>
      <c r="G265" s="17"/>
    </row>
    <row r="266" spans="1:7" ht="75.75" x14ac:dyDescent="0.25">
      <c r="A266" s="44">
        <v>8</v>
      </c>
      <c r="B266" s="94" t="s">
        <v>36</v>
      </c>
      <c r="C266" s="22"/>
      <c r="D266" s="162"/>
      <c r="E266" s="67"/>
      <c r="F266" s="17"/>
      <c r="G266" s="17"/>
    </row>
    <row r="267" spans="1:7" x14ac:dyDescent="0.25">
      <c r="A267" s="44" t="s">
        <v>60</v>
      </c>
      <c r="B267" s="94" t="s">
        <v>61</v>
      </c>
      <c r="C267" s="12">
        <v>100</v>
      </c>
      <c r="D267" s="162">
        <v>6110.1437759999999</v>
      </c>
      <c r="E267" s="67"/>
      <c r="F267" s="17"/>
      <c r="G267" s="17"/>
    </row>
    <row r="268" spans="1:7" x14ac:dyDescent="0.25">
      <c r="A268" s="44" t="s">
        <v>60</v>
      </c>
      <c r="B268" s="94" t="s">
        <v>38</v>
      </c>
      <c r="C268" s="12">
        <v>100</v>
      </c>
      <c r="D268" s="162">
        <v>581.97974999999985</v>
      </c>
      <c r="E268" s="67"/>
      <c r="F268" s="17"/>
      <c r="G268" s="17"/>
    </row>
    <row r="269" spans="1:7" x14ac:dyDescent="0.25">
      <c r="A269" s="44" t="s">
        <v>37</v>
      </c>
      <c r="B269" s="94" t="s">
        <v>62</v>
      </c>
      <c r="C269" s="12">
        <v>100</v>
      </c>
      <c r="D269" s="162">
        <v>9681.5249999999978</v>
      </c>
      <c r="E269" s="67"/>
      <c r="F269" s="17"/>
      <c r="G269" s="17"/>
    </row>
    <row r="270" spans="1:7" x14ac:dyDescent="0.25">
      <c r="A270" s="44" t="s">
        <v>63</v>
      </c>
      <c r="B270" s="94" t="s">
        <v>207</v>
      </c>
      <c r="C270" s="12">
        <v>100</v>
      </c>
      <c r="D270" s="162">
        <v>15224.763780000005</v>
      </c>
      <c r="E270" s="67"/>
      <c r="F270" s="17"/>
      <c r="G270" s="17"/>
    </row>
    <row r="271" spans="1:7" ht="22.5" x14ac:dyDescent="0.25">
      <c r="A271" s="144">
        <v>11</v>
      </c>
      <c r="B271" s="144" t="s">
        <v>404</v>
      </c>
      <c r="C271" s="99"/>
      <c r="D271" s="162"/>
      <c r="E271" s="67"/>
      <c r="F271" s="17"/>
      <c r="G271" s="17"/>
    </row>
    <row r="272" spans="1:7" ht="75.75" x14ac:dyDescent="0.25">
      <c r="A272" s="118">
        <v>1</v>
      </c>
      <c r="B272" s="94" t="s">
        <v>301</v>
      </c>
      <c r="C272" s="12">
        <v>1000</v>
      </c>
      <c r="D272" s="162">
        <v>72531.663749999992</v>
      </c>
      <c r="E272" s="67"/>
      <c r="F272" s="17"/>
      <c r="G272" s="17"/>
    </row>
    <row r="273" spans="1:7" x14ac:dyDescent="0.25">
      <c r="A273" s="118">
        <v>2</v>
      </c>
      <c r="B273" s="94" t="s">
        <v>302</v>
      </c>
      <c r="C273" s="19">
        <v>1</v>
      </c>
      <c r="D273" s="162">
        <v>88776.1875</v>
      </c>
      <c r="E273" s="67"/>
      <c r="F273" s="17"/>
      <c r="G273" s="17"/>
    </row>
    <row r="274" spans="1:7" ht="45" x14ac:dyDescent="0.25">
      <c r="A274" s="44">
        <v>3</v>
      </c>
      <c r="B274" s="94" t="s">
        <v>20</v>
      </c>
      <c r="C274" s="22"/>
      <c r="D274" s="162"/>
      <c r="E274" s="67"/>
      <c r="F274" s="17"/>
      <c r="G274" s="17"/>
    </row>
    <row r="275" spans="1:7" x14ac:dyDescent="0.25">
      <c r="A275" s="44"/>
      <c r="B275" s="94" t="s">
        <v>21</v>
      </c>
      <c r="C275" s="12">
        <v>100</v>
      </c>
      <c r="D275" s="162">
        <v>11548.92375</v>
      </c>
      <c r="E275" s="67"/>
      <c r="F275" s="17"/>
      <c r="G275" s="17"/>
    </row>
    <row r="276" spans="1:7" ht="30" x14ac:dyDescent="0.25">
      <c r="A276" s="44">
        <v>4</v>
      </c>
      <c r="B276" s="94" t="s">
        <v>22</v>
      </c>
      <c r="C276" s="12">
        <v>100</v>
      </c>
      <c r="D276" s="162">
        <v>44360.679999999993</v>
      </c>
      <c r="E276" s="67"/>
      <c r="F276" s="17"/>
      <c r="G276" s="17"/>
    </row>
    <row r="277" spans="1:7" ht="60" x14ac:dyDescent="0.25">
      <c r="A277" s="44">
        <v>5</v>
      </c>
      <c r="B277" s="94" t="s">
        <v>92</v>
      </c>
      <c r="C277" s="19">
        <v>100</v>
      </c>
      <c r="D277" s="162">
        <v>8834.109375</v>
      </c>
      <c r="E277" s="67"/>
      <c r="F277" s="17"/>
      <c r="G277" s="17"/>
    </row>
    <row r="278" spans="1:7" ht="60" x14ac:dyDescent="0.25">
      <c r="A278" s="44">
        <v>6</v>
      </c>
      <c r="B278" s="94" t="s">
        <v>93</v>
      </c>
      <c r="C278" s="19">
        <v>100</v>
      </c>
      <c r="D278" s="162">
        <v>8771.49</v>
      </c>
      <c r="E278" s="67"/>
      <c r="F278" s="17"/>
      <c r="G278" s="17"/>
    </row>
    <row r="279" spans="1:7" ht="30" x14ac:dyDescent="0.25">
      <c r="A279" s="44">
        <v>7</v>
      </c>
      <c r="B279" s="94" t="s">
        <v>94</v>
      </c>
      <c r="C279" s="12">
        <v>1000</v>
      </c>
      <c r="D279" s="162">
        <v>31674.37</v>
      </c>
      <c r="E279" s="67"/>
      <c r="F279" s="17"/>
      <c r="G279" s="17"/>
    </row>
    <row r="280" spans="1:7" ht="30" x14ac:dyDescent="0.25">
      <c r="A280" s="44">
        <v>8</v>
      </c>
      <c r="B280" s="94" t="s">
        <v>303</v>
      </c>
      <c r="C280" s="12">
        <v>100</v>
      </c>
      <c r="D280" s="162">
        <v>47794.11</v>
      </c>
      <c r="E280" s="67"/>
      <c r="F280" s="17"/>
      <c r="G280" s="17"/>
    </row>
    <row r="281" spans="1:7" ht="195.75" x14ac:dyDescent="0.25">
      <c r="A281" s="122">
        <v>9</v>
      </c>
      <c r="B281" s="94" t="s">
        <v>304</v>
      </c>
      <c r="C281" s="12">
        <v>1</v>
      </c>
      <c r="D281" s="162">
        <v>21724.43</v>
      </c>
      <c r="E281" s="67"/>
      <c r="F281" s="17"/>
      <c r="G281" s="17"/>
    </row>
    <row r="282" spans="1:7" ht="90" x14ac:dyDescent="0.25">
      <c r="A282" s="122">
        <v>10</v>
      </c>
      <c r="B282" s="94" t="s">
        <v>98</v>
      </c>
      <c r="C282" s="29">
        <v>100</v>
      </c>
      <c r="D282" s="162">
        <v>65173.289999999994</v>
      </c>
      <c r="E282" s="67"/>
      <c r="F282" s="17"/>
      <c r="G282" s="17"/>
    </row>
    <row r="283" spans="1:7" ht="180" x14ac:dyDescent="0.25">
      <c r="A283" s="44">
        <v>11</v>
      </c>
      <c r="B283" s="94" t="s">
        <v>99</v>
      </c>
      <c r="C283" s="19">
        <v>1</v>
      </c>
      <c r="D283" s="162">
        <v>3276</v>
      </c>
      <c r="E283" s="67"/>
      <c r="F283" s="17"/>
      <c r="G283" s="17"/>
    </row>
    <row r="284" spans="1:7" ht="60" x14ac:dyDescent="0.25">
      <c r="A284" s="44">
        <v>12</v>
      </c>
      <c r="B284" s="94" t="s">
        <v>100</v>
      </c>
      <c r="C284" s="19">
        <v>1</v>
      </c>
      <c r="D284" s="162">
        <v>3822</v>
      </c>
      <c r="E284" s="67"/>
      <c r="F284" s="17"/>
      <c r="G284" s="17"/>
    </row>
    <row r="285" spans="1:7" ht="90" x14ac:dyDescent="0.25">
      <c r="A285" s="44">
        <v>13</v>
      </c>
      <c r="B285" s="94" t="s">
        <v>305</v>
      </c>
      <c r="C285" s="19">
        <v>1</v>
      </c>
      <c r="D285" s="162">
        <v>3822</v>
      </c>
      <c r="E285" s="67"/>
      <c r="F285" s="17"/>
      <c r="G285" s="17"/>
    </row>
    <row r="286" spans="1:7" ht="75" x14ac:dyDescent="0.25">
      <c r="A286" s="118">
        <v>14</v>
      </c>
      <c r="B286" s="94" t="s">
        <v>102</v>
      </c>
      <c r="C286" s="19">
        <v>100</v>
      </c>
      <c r="D286" s="162">
        <v>33854.84375</v>
      </c>
      <c r="E286" s="67"/>
      <c r="F286" s="17"/>
      <c r="G286" s="17"/>
    </row>
    <row r="287" spans="1:7" ht="30" x14ac:dyDescent="0.25">
      <c r="A287" s="118">
        <v>15</v>
      </c>
      <c r="B287" s="94" t="s">
        <v>103</v>
      </c>
      <c r="C287" s="19">
        <v>1</v>
      </c>
      <c r="D287" s="162">
        <v>34218.84375</v>
      </c>
      <c r="E287" s="67"/>
      <c r="F287" s="17"/>
      <c r="G287" s="17"/>
    </row>
    <row r="288" spans="1:7" x14ac:dyDescent="0.25">
      <c r="A288" s="44">
        <v>16</v>
      </c>
      <c r="B288" s="94" t="s">
        <v>104</v>
      </c>
      <c r="C288" s="12">
        <v>100</v>
      </c>
      <c r="D288" s="162">
        <v>7420.14</v>
      </c>
      <c r="E288" s="67"/>
      <c r="F288" s="17"/>
      <c r="G288" s="17"/>
    </row>
    <row r="289" spans="1:7" ht="45" x14ac:dyDescent="0.25">
      <c r="A289" s="118">
        <v>17</v>
      </c>
      <c r="B289" s="94" t="s">
        <v>105</v>
      </c>
      <c r="C289" s="12">
        <v>100</v>
      </c>
      <c r="D289" s="162">
        <v>9109.1</v>
      </c>
      <c r="E289" s="67"/>
      <c r="F289" s="17"/>
      <c r="G289" s="17"/>
    </row>
    <row r="290" spans="1:7" ht="90" x14ac:dyDescent="0.25">
      <c r="A290" s="118">
        <v>18</v>
      </c>
      <c r="B290" s="94" t="s">
        <v>191</v>
      </c>
      <c r="C290" s="19">
        <v>100</v>
      </c>
      <c r="D290" s="162">
        <v>22325.37125</v>
      </c>
      <c r="E290" s="67"/>
      <c r="F290" s="17"/>
      <c r="G290" s="17"/>
    </row>
    <row r="291" spans="1:7" ht="75" x14ac:dyDescent="0.25">
      <c r="A291" s="118">
        <v>19</v>
      </c>
      <c r="B291" s="94" t="s">
        <v>180</v>
      </c>
      <c r="C291" s="19">
        <v>100</v>
      </c>
      <c r="D291" s="162">
        <v>14054.039999999999</v>
      </c>
      <c r="E291" s="67"/>
      <c r="F291" s="17"/>
      <c r="G291" s="17"/>
    </row>
    <row r="292" spans="1:7" ht="45" x14ac:dyDescent="0.25">
      <c r="A292" s="118">
        <v>20</v>
      </c>
      <c r="B292" s="94" t="s">
        <v>192</v>
      </c>
      <c r="C292" s="36">
        <v>1</v>
      </c>
      <c r="D292" s="162">
        <v>22750</v>
      </c>
      <c r="E292" s="67"/>
      <c r="F292" s="17"/>
      <c r="G292" s="17"/>
    </row>
    <row r="293" spans="1:7" ht="45" x14ac:dyDescent="0.25">
      <c r="A293" s="44">
        <v>21</v>
      </c>
      <c r="B293" s="92" t="s">
        <v>106</v>
      </c>
      <c r="C293" s="20"/>
      <c r="D293" s="162"/>
      <c r="E293" s="67"/>
      <c r="F293" s="17"/>
      <c r="G293" s="17"/>
    </row>
    <row r="294" spans="1:7" x14ac:dyDescent="0.25">
      <c r="A294" s="44"/>
      <c r="B294" s="92" t="s">
        <v>107</v>
      </c>
      <c r="C294" s="12">
        <v>100</v>
      </c>
      <c r="D294" s="162">
        <v>1780.1875</v>
      </c>
      <c r="E294" s="67"/>
      <c r="F294" s="17"/>
      <c r="G294" s="17"/>
    </row>
    <row r="295" spans="1:7" ht="30" x14ac:dyDescent="0.25">
      <c r="A295" s="44">
        <v>22</v>
      </c>
      <c r="B295" s="94" t="s">
        <v>108</v>
      </c>
      <c r="C295" s="19">
        <v>100</v>
      </c>
      <c r="D295" s="162">
        <v>113184.66250000001</v>
      </c>
      <c r="E295" s="67"/>
      <c r="F295" s="17"/>
      <c r="G295" s="17"/>
    </row>
    <row r="296" spans="1:7" ht="30" x14ac:dyDescent="0.25">
      <c r="A296" s="44">
        <v>23</v>
      </c>
      <c r="B296" s="94" t="s">
        <v>162</v>
      </c>
      <c r="C296" s="19">
        <v>100</v>
      </c>
      <c r="D296" s="162">
        <v>21116.55</v>
      </c>
      <c r="E296" s="67"/>
      <c r="F296" s="17"/>
      <c r="G296" s="17"/>
    </row>
    <row r="297" spans="1:7" x14ac:dyDescent="0.25">
      <c r="A297" s="44">
        <v>24</v>
      </c>
      <c r="B297" s="94" t="s">
        <v>114</v>
      </c>
      <c r="C297" s="19">
        <v>100</v>
      </c>
      <c r="D297" s="162">
        <v>99928.237500000003</v>
      </c>
      <c r="E297" s="67"/>
      <c r="F297" s="17"/>
      <c r="G297" s="17"/>
    </row>
    <row r="298" spans="1:7" ht="45" x14ac:dyDescent="0.25">
      <c r="A298" s="44">
        <v>25</v>
      </c>
      <c r="B298" s="94" t="s">
        <v>115</v>
      </c>
      <c r="C298" s="19">
        <v>100</v>
      </c>
      <c r="D298" s="162">
        <v>31339.945</v>
      </c>
      <c r="E298" s="67"/>
      <c r="F298" s="17"/>
      <c r="G298" s="17"/>
    </row>
    <row r="299" spans="1:7" ht="60" x14ac:dyDescent="0.25">
      <c r="A299" s="44">
        <v>26</v>
      </c>
      <c r="B299" s="94" t="s">
        <v>110</v>
      </c>
      <c r="C299" s="19">
        <v>100</v>
      </c>
      <c r="D299" s="162">
        <v>65280.215000000004</v>
      </c>
      <c r="E299" s="67"/>
      <c r="F299" s="17"/>
      <c r="G299" s="17"/>
    </row>
    <row r="300" spans="1:7" ht="45" x14ac:dyDescent="0.25">
      <c r="A300" s="44">
        <v>27</v>
      </c>
      <c r="B300" s="94" t="s">
        <v>111</v>
      </c>
      <c r="C300" s="36">
        <v>1</v>
      </c>
      <c r="D300" s="162">
        <v>1183</v>
      </c>
      <c r="E300" s="67"/>
      <c r="F300" s="17"/>
      <c r="G300" s="17"/>
    </row>
    <row r="301" spans="1:7" ht="30" x14ac:dyDescent="0.25">
      <c r="A301" s="44">
        <v>28</v>
      </c>
      <c r="B301" s="94" t="s">
        <v>112</v>
      </c>
      <c r="C301" s="37">
        <v>1</v>
      </c>
      <c r="D301" s="162">
        <v>182</v>
      </c>
      <c r="E301" s="67"/>
      <c r="F301" s="17"/>
      <c r="G301" s="17"/>
    </row>
    <row r="302" spans="1:7" x14ac:dyDescent="0.25">
      <c r="A302" s="44">
        <v>29</v>
      </c>
      <c r="B302" s="94" t="s">
        <v>113</v>
      </c>
      <c r="C302" s="37">
        <v>1</v>
      </c>
      <c r="D302" s="162">
        <v>91</v>
      </c>
      <c r="E302" s="67"/>
      <c r="F302" s="17"/>
      <c r="G302" s="17"/>
    </row>
    <row r="303" spans="1:7" ht="30" x14ac:dyDescent="0.25">
      <c r="A303" s="44">
        <v>30</v>
      </c>
      <c r="B303" s="94" t="s">
        <v>306</v>
      </c>
      <c r="C303" s="37">
        <v>1</v>
      </c>
      <c r="D303" s="162">
        <v>182</v>
      </c>
      <c r="E303" s="67"/>
      <c r="F303" s="17"/>
      <c r="G303" s="17"/>
    </row>
    <row r="304" spans="1:7" ht="45" x14ac:dyDescent="0.25">
      <c r="A304" s="44">
        <v>31</v>
      </c>
      <c r="B304" s="94" t="s">
        <v>307</v>
      </c>
      <c r="C304" s="19">
        <v>100</v>
      </c>
      <c r="D304" s="162">
        <v>7644</v>
      </c>
      <c r="E304" s="67"/>
      <c r="F304" s="17"/>
      <c r="G304" s="17"/>
    </row>
    <row r="305" spans="1:7" ht="30" x14ac:dyDescent="0.25">
      <c r="A305" s="44">
        <v>32</v>
      </c>
      <c r="B305" s="94" t="s">
        <v>308</v>
      </c>
      <c r="C305" s="38">
        <v>1</v>
      </c>
      <c r="D305" s="162">
        <v>91</v>
      </c>
      <c r="E305" s="67"/>
      <c r="F305" s="17"/>
      <c r="G305" s="17"/>
    </row>
    <row r="306" spans="1:7" ht="30" x14ac:dyDescent="0.25">
      <c r="A306" s="44">
        <v>33</v>
      </c>
      <c r="B306" s="94" t="s">
        <v>309</v>
      </c>
      <c r="C306" s="38">
        <v>1</v>
      </c>
      <c r="D306" s="162">
        <v>273</v>
      </c>
      <c r="E306" s="67"/>
      <c r="F306" s="17"/>
      <c r="G306" s="17"/>
    </row>
    <row r="307" spans="1:7" ht="30" x14ac:dyDescent="0.25">
      <c r="A307" s="44">
        <v>34</v>
      </c>
      <c r="B307" s="94" t="s">
        <v>310</v>
      </c>
      <c r="C307" s="38">
        <v>1</v>
      </c>
      <c r="D307" s="162">
        <v>364</v>
      </c>
      <c r="E307" s="67"/>
      <c r="F307" s="17"/>
      <c r="G307" s="17"/>
    </row>
    <row r="308" spans="1:7" ht="45" x14ac:dyDescent="0.25">
      <c r="A308" s="44">
        <v>35</v>
      </c>
      <c r="B308" s="94" t="s">
        <v>311</v>
      </c>
      <c r="C308" s="38">
        <v>1</v>
      </c>
      <c r="D308" s="162">
        <v>91</v>
      </c>
      <c r="E308" s="67"/>
      <c r="F308" s="17"/>
      <c r="G308" s="17"/>
    </row>
    <row r="309" spans="1:7" ht="45" x14ac:dyDescent="0.25">
      <c r="A309" s="44">
        <v>36</v>
      </c>
      <c r="B309" s="94" t="s">
        <v>111</v>
      </c>
      <c r="C309" s="36">
        <v>1</v>
      </c>
      <c r="D309" s="162">
        <v>9100</v>
      </c>
      <c r="E309" s="67"/>
      <c r="F309" s="17"/>
      <c r="G309" s="17"/>
    </row>
    <row r="310" spans="1:7" ht="30" x14ac:dyDescent="0.25">
      <c r="A310" s="44">
        <v>37</v>
      </c>
      <c r="B310" s="94" t="s">
        <v>112</v>
      </c>
      <c r="C310" s="37">
        <v>1</v>
      </c>
      <c r="D310" s="162">
        <v>364</v>
      </c>
      <c r="E310" s="67"/>
      <c r="F310" s="17"/>
      <c r="G310" s="17"/>
    </row>
    <row r="311" spans="1:7" ht="30" x14ac:dyDescent="0.25">
      <c r="A311" s="44">
        <v>38</v>
      </c>
      <c r="B311" s="94" t="s">
        <v>312</v>
      </c>
      <c r="C311" s="37">
        <v>1</v>
      </c>
      <c r="D311" s="162">
        <v>364</v>
      </c>
      <c r="E311" s="67"/>
      <c r="F311" s="17"/>
      <c r="G311" s="17"/>
    </row>
    <row r="312" spans="1:7" ht="135" x14ac:dyDescent="0.25">
      <c r="A312" s="44">
        <v>39</v>
      </c>
      <c r="B312" s="94" t="s">
        <v>313</v>
      </c>
      <c r="C312" s="20"/>
      <c r="D312" s="162"/>
      <c r="E312" s="67"/>
      <c r="F312" s="17"/>
      <c r="G312" s="17"/>
    </row>
    <row r="313" spans="1:7" x14ac:dyDescent="0.25">
      <c r="A313" s="44" t="s">
        <v>60</v>
      </c>
      <c r="B313" s="94" t="s">
        <v>314</v>
      </c>
      <c r="C313" s="36">
        <v>1</v>
      </c>
      <c r="D313" s="162">
        <v>9100</v>
      </c>
      <c r="E313" s="67"/>
      <c r="F313" s="17"/>
      <c r="G313" s="17"/>
    </row>
    <row r="314" spans="1:7" x14ac:dyDescent="0.25">
      <c r="A314" s="44" t="s">
        <v>37</v>
      </c>
      <c r="B314" s="94" t="s">
        <v>315</v>
      </c>
      <c r="C314" s="36">
        <v>1</v>
      </c>
      <c r="D314" s="162">
        <v>4550</v>
      </c>
      <c r="E314" s="67"/>
      <c r="F314" s="17"/>
      <c r="G314" s="17"/>
    </row>
    <row r="315" spans="1:7" ht="30" x14ac:dyDescent="0.25">
      <c r="A315" s="44">
        <v>40</v>
      </c>
      <c r="B315" s="94" t="s">
        <v>316</v>
      </c>
      <c r="C315" s="38">
        <v>1</v>
      </c>
      <c r="D315" s="162">
        <v>91</v>
      </c>
      <c r="E315" s="67"/>
      <c r="F315" s="17"/>
      <c r="G315" s="17"/>
    </row>
    <row r="316" spans="1:7" ht="45" x14ac:dyDescent="0.25">
      <c r="A316" s="44">
        <v>41</v>
      </c>
      <c r="B316" s="94" t="s">
        <v>317</v>
      </c>
      <c r="C316" s="38">
        <v>1</v>
      </c>
      <c r="D316" s="162">
        <v>91</v>
      </c>
      <c r="E316" s="67"/>
      <c r="F316" s="17"/>
      <c r="G316" s="17"/>
    </row>
    <row r="317" spans="1:7" x14ac:dyDescent="0.25">
      <c r="A317" s="44">
        <v>42</v>
      </c>
      <c r="B317" s="94" t="s">
        <v>318</v>
      </c>
      <c r="C317" s="25"/>
      <c r="D317" s="162"/>
      <c r="E317" s="67"/>
      <c r="F317" s="17"/>
      <c r="G317" s="17"/>
    </row>
    <row r="318" spans="1:7" x14ac:dyDescent="0.25">
      <c r="A318" s="44"/>
      <c r="B318" s="94" t="s">
        <v>319</v>
      </c>
      <c r="C318" s="38">
        <v>1</v>
      </c>
      <c r="D318" s="162">
        <v>91</v>
      </c>
      <c r="E318" s="67"/>
      <c r="F318" s="17"/>
      <c r="G318" s="17"/>
    </row>
    <row r="319" spans="1:7" x14ac:dyDescent="0.25">
      <c r="A319" s="44"/>
      <c r="B319" s="94" t="s">
        <v>320</v>
      </c>
      <c r="C319" s="38">
        <v>1</v>
      </c>
      <c r="D319" s="162">
        <v>91</v>
      </c>
      <c r="E319" s="67"/>
      <c r="F319" s="17"/>
      <c r="G319" s="17"/>
    </row>
    <row r="320" spans="1:7" x14ac:dyDescent="0.25">
      <c r="A320" s="44"/>
      <c r="B320" s="94" t="s">
        <v>321</v>
      </c>
      <c r="C320" s="38">
        <v>1</v>
      </c>
      <c r="D320" s="162">
        <v>91</v>
      </c>
      <c r="E320" s="67"/>
      <c r="F320" s="17"/>
      <c r="G320" s="17"/>
    </row>
    <row r="321" spans="1:7" ht="30" x14ac:dyDescent="0.25">
      <c r="A321" s="44">
        <v>43</v>
      </c>
      <c r="B321" s="94" t="s">
        <v>322</v>
      </c>
      <c r="C321" s="38">
        <v>1</v>
      </c>
      <c r="D321" s="162">
        <v>91</v>
      </c>
      <c r="E321" s="67"/>
      <c r="F321" s="17"/>
      <c r="G321" s="17"/>
    </row>
    <row r="322" spans="1:7" ht="45" x14ac:dyDescent="0.25">
      <c r="A322" s="44">
        <v>44</v>
      </c>
      <c r="B322" s="94" t="s">
        <v>118</v>
      </c>
      <c r="C322" s="20"/>
      <c r="D322" s="162"/>
      <c r="E322" s="67"/>
      <c r="F322" s="17"/>
      <c r="G322" s="17"/>
    </row>
    <row r="323" spans="1:7" x14ac:dyDescent="0.25">
      <c r="A323" s="44"/>
      <c r="B323" s="94" t="s">
        <v>148</v>
      </c>
      <c r="C323" s="36">
        <v>1</v>
      </c>
      <c r="D323" s="162">
        <v>9100</v>
      </c>
      <c r="E323" s="67"/>
      <c r="F323" s="17"/>
      <c r="G323" s="17"/>
    </row>
    <row r="324" spans="1:7" x14ac:dyDescent="0.25">
      <c r="A324" s="44"/>
      <c r="B324" s="94" t="s">
        <v>149</v>
      </c>
      <c r="C324" s="36">
        <v>1</v>
      </c>
      <c r="D324" s="162">
        <v>4550</v>
      </c>
      <c r="E324" s="67"/>
      <c r="F324" s="17"/>
      <c r="G324" s="17"/>
    </row>
    <row r="325" spans="1:7" ht="75" x14ac:dyDescent="0.25">
      <c r="A325" s="44">
        <v>45</v>
      </c>
      <c r="B325" s="94" t="s">
        <v>123</v>
      </c>
      <c r="C325" s="20"/>
      <c r="D325" s="162"/>
      <c r="E325" s="67"/>
      <c r="F325" s="17"/>
      <c r="G325" s="17"/>
    </row>
    <row r="326" spans="1:7" x14ac:dyDescent="0.25">
      <c r="A326" s="44"/>
      <c r="B326" s="94" t="s">
        <v>150</v>
      </c>
      <c r="C326" s="36">
        <v>1</v>
      </c>
      <c r="D326" s="162">
        <v>27300</v>
      </c>
      <c r="E326" s="67"/>
      <c r="F326" s="17"/>
      <c r="G326" s="17"/>
    </row>
    <row r="327" spans="1:7" x14ac:dyDescent="0.25">
      <c r="A327" s="44"/>
      <c r="B327" s="94" t="s">
        <v>151</v>
      </c>
      <c r="C327" s="36">
        <v>1</v>
      </c>
      <c r="D327" s="162">
        <v>9100</v>
      </c>
      <c r="E327" s="67"/>
      <c r="F327" s="17"/>
      <c r="G327" s="17"/>
    </row>
    <row r="328" spans="1:7" ht="75" x14ac:dyDescent="0.25">
      <c r="A328" s="44">
        <v>46</v>
      </c>
      <c r="B328" s="94" t="s">
        <v>126</v>
      </c>
      <c r="C328" s="36">
        <v>1</v>
      </c>
      <c r="D328" s="162">
        <v>18200</v>
      </c>
      <c r="E328" s="67"/>
      <c r="F328" s="17"/>
      <c r="G328" s="17"/>
    </row>
    <row r="329" spans="1:7" ht="60" x14ac:dyDescent="0.25">
      <c r="A329" s="44">
        <v>47</v>
      </c>
      <c r="B329" s="94" t="s">
        <v>127</v>
      </c>
      <c r="C329" s="20"/>
      <c r="D329" s="162"/>
      <c r="E329" s="67"/>
      <c r="F329" s="17"/>
      <c r="G329" s="17"/>
    </row>
    <row r="330" spans="1:7" x14ac:dyDescent="0.25">
      <c r="A330" s="44"/>
      <c r="B330" s="94" t="s">
        <v>152</v>
      </c>
      <c r="C330" s="38">
        <v>1</v>
      </c>
      <c r="D330" s="162">
        <v>182</v>
      </c>
      <c r="E330" s="67"/>
      <c r="F330" s="17"/>
      <c r="G330" s="17"/>
    </row>
    <row r="331" spans="1:7" x14ac:dyDescent="0.25">
      <c r="A331" s="44"/>
      <c r="B331" s="94" t="s">
        <v>153</v>
      </c>
      <c r="C331" s="38">
        <v>1</v>
      </c>
      <c r="D331" s="162">
        <v>364</v>
      </c>
      <c r="E331" s="67"/>
      <c r="F331" s="17"/>
      <c r="G331" s="17"/>
    </row>
    <row r="332" spans="1:7" x14ac:dyDescent="0.25">
      <c r="A332" s="44"/>
      <c r="B332" s="94" t="s">
        <v>154</v>
      </c>
      <c r="C332" s="38">
        <v>1</v>
      </c>
      <c r="D332" s="162">
        <v>91</v>
      </c>
      <c r="E332" s="67"/>
      <c r="F332" s="17"/>
      <c r="G332" s="17"/>
    </row>
    <row r="333" spans="1:7" ht="30" x14ac:dyDescent="0.25">
      <c r="A333" s="44">
        <v>48</v>
      </c>
      <c r="B333" s="94" t="s">
        <v>131</v>
      </c>
      <c r="C333" s="38">
        <v>1</v>
      </c>
      <c r="D333" s="162">
        <v>3185</v>
      </c>
      <c r="E333" s="67"/>
      <c r="F333" s="17"/>
      <c r="G333" s="17"/>
    </row>
    <row r="334" spans="1:7" ht="30" x14ac:dyDescent="0.25">
      <c r="A334" s="44">
        <v>49</v>
      </c>
      <c r="B334" s="94" t="s">
        <v>183</v>
      </c>
      <c r="C334" s="38">
        <v>1</v>
      </c>
      <c r="D334" s="162">
        <v>546</v>
      </c>
      <c r="E334" s="67"/>
      <c r="F334" s="17"/>
      <c r="G334" s="17"/>
    </row>
    <row r="335" spans="1:7" x14ac:dyDescent="0.25">
      <c r="A335" s="44">
        <v>50</v>
      </c>
      <c r="B335" s="94" t="s">
        <v>132</v>
      </c>
      <c r="C335" s="38">
        <v>1</v>
      </c>
      <c r="D335" s="162">
        <v>546</v>
      </c>
      <c r="E335" s="67"/>
      <c r="F335" s="17"/>
      <c r="G335" s="17"/>
    </row>
    <row r="336" spans="1:7" x14ac:dyDescent="0.25">
      <c r="A336" s="44">
        <v>51</v>
      </c>
      <c r="B336" s="94" t="s">
        <v>133</v>
      </c>
      <c r="C336" s="38">
        <v>1</v>
      </c>
      <c r="D336" s="162">
        <v>182</v>
      </c>
      <c r="E336" s="67"/>
      <c r="F336" s="17"/>
      <c r="G336" s="17"/>
    </row>
    <row r="337" spans="1:7" ht="30" x14ac:dyDescent="0.25">
      <c r="A337" s="44">
        <v>52</v>
      </c>
      <c r="B337" s="94" t="s">
        <v>155</v>
      </c>
      <c r="C337" s="38">
        <v>1</v>
      </c>
      <c r="D337" s="162">
        <v>182</v>
      </c>
      <c r="E337" s="67"/>
      <c r="F337" s="17"/>
      <c r="G337" s="17"/>
    </row>
    <row r="338" spans="1:7" ht="135" x14ac:dyDescent="0.25">
      <c r="A338" s="44">
        <v>53</v>
      </c>
      <c r="B338" s="94" t="s">
        <v>163</v>
      </c>
      <c r="C338" s="37">
        <v>1</v>
      </c>
      <c r="D338" s="162">
        <v>91</v>
      </c>
      <c r="E338" s="67"/>
      <c r="F338" s="17"/>
      <c r="G338" s="17"/>
    </row>
    <row r="339" spans="1:7" ht="90.75" x14ac:dyDescent="0.25">
      <c r="A339" s="44">
        <v>54</v>
      </c>
      <c r="B339" s="94" t="s">
        <v>184</v>
      </c>
      <c r="C339" s="37">
        <v>1</v>
      </c>
      <c r="D339" s="162">
        <v>91</v>
      </c>
      <c r="E339" s="67"/>
      <c r="F339" s="17"/>
      <c r="G339" s="17"/>
    </row>
    <row r="340" spans="1:7" ht="90.75" x14ac:dyDescent="0.25">
      <c r="A340" s="44">
        <v>55</v>
      </c>
      <c r="B340" s="94" t="s">
        <v>185</v>
      </c>
      <c r="C340" s="37">
        <v>1</v>
      </c>
      <c r="D340" s="162">
        <v>364</v>
      </c>
      <c r="E340" s="67"/>
      <c r="F340" s="17"/>
      <c r="G340" s="17"/>
    </row>
    <row r="341" spans="1:7" ht="30" x14ac:dyDescent="0.25">
      <c r="A341" s="44">
        <v>56</v>
      </c>
      <c r="B341" s="94" t="s">
        <v>323</v>
      </c>
      <c r="C341" s="38">
        <v>1</v>
      </c>
      <c r="D341" s="162">
        <v>91</v>
      </c>
      <c r="E341" s="67"/>
      <c r="F341" s="17"/>
      <c r="G341" s="17"/>
    </row>
    <row r="342" spans="1:7" ht="60" x14ac:dyDescent="0.25">
      <c r="A342" s="44">
        <v>57</v>
      </c>
      <c r="B342" s="94" t="s">
        <v>324</v>
      </c>
      <c r="C342" s="38">
        <v>1</v>
      </c>
      <c r="D342" s="162">
        <v>91</v>
      </c>
      <c r="E342" s="67"/>
      <c r="F342" s="17"/>
      <c r="G342" s="17"/>
    </row>
    <row r="343" spans="1:7" ht="60" x14ac:dyDescent="0.25">
      <c r="A343" s="44">
        <v>58</v>
      </c>
      <c r="B343" s="94" t="s">
        <v>325</v>
      </c>
      <c r="C343" s="38">
        <v>1</v>
      </c>
      <c r="D343" s="162">
        <v>91</v>
      </c>
      <c r="E343" s="67"/>
      <c r="F343" s="17"/>
      <c r="G343" s="17"/>
    </row>
    <row r="344" spans="1:7" ht="60" x14ac:dyDescent="0.25">
      <c r="A344" s="44">
        <v>59</v>
      </c>
      <c r="B344" s="94" t="s">
        <v>139</v>
      </c>
      <c r="C344" s="37">
        <v>1</v>
      </c>
      <c r="D344" s="162">
        <v>546</v>
      </c>
      <c r="E344" s="67"/>
      <c r="F344" s="17"/>
      <c r="G344" s="17"/>
    </row>
    <row r="345" spans="1:7" ht="60" x14ac:dyDescent="0.25">
      <c r="A345" s="44">
        <v>60</v>
      </c>
      <c r="B345" s="94" t="s">
        <v>326</v>
      </c>
      <c r="C345" s="38">
        <v>1</v>
      </c>
      <c r="D345" s="162">
        <v>91</v>
      </c>
      <c r="E345" s="67"/>
      <c r="F345" s="17"/>
      <c r="G345" s="17"/>
    </row>
    <row r="346" spans="1:7" ht="75.75" x14ac:dyDescent="0.25">
      <c r="A346" s="44">
        <v>61</v>
      </c>
      <c r="B346" s="94" t="s">
        <v>36</v>
      </c>
      <c r="C346" s="22"/>
      <c r="D346" s="162"/>
      <c r="E346" s="67"/>
      <c r="F346" s="17"/>
      <c r="G346" s="17"/>
    </row>
    <row r="347" spans="1:7" x14ac:dyDescent="0.25">
      <c r="A347" s="44" t="s">
        <v>60</v>
      </c>
      <c r="B347" s="94" t="s">
        <v>61</v>
      </c>
      <c r="C347" s="12">
        <v>100</v>
      </c>
      <c r="D347" s="162">
        <v>11086.966799999998</v>
      </c>
      <c r="E347" s="67"/>
      <c r="F347" s="17"/>
      <c r="G347" s="17"/>
    </row>
    <row r="348" spans="1:7" x14ac:dyDescent="0.25">
      <c r="A348" s="44" t="s">
        <v>37</v>
      </c>
      <c r="B348" s="94" t="s">
        <v>38</v>
      </c>
      <c r="C348" s="12">
        <v>100</v>
      </c>
      <c r="D348" s="162">
        <v>1566.5650000000001</v>
      </c>
      <c r="E348" s="67"/>
      <c r="F348" s="17"/>
      <c r="G348" s="17"/>
    </row>
    <row r="349" spans="1:7" x14ac:dyDescent="0.25">
      <c r="A349" s="44" t="s">
        <v>63</v>
      </c>
      <c r="B349" s="94" t="s">
        <v>141</v>
      </c>
      <c r="C349" s="12">
        <v>100</v>
      </c>
      <c r="D349" s="162">
        <v>19117.498399999997</v>
      </c>
      <c r="E349" s="67"/>
      <c r="F349" s="17"/>
      <c r="G349" s="17"/>
    </row>
    <row r="350" spans="1:7" x14ac:dyDescent="0.25">
      <c r="A350" s="44" t="s">
        <v>142</v>
      </c>
      <c r="B350" s="94" t="s">
        <v>143</v>
      </c>
      <c r="C350" s="12">
        <v>100</v>
      </c>
      <c r="D350" s="162">
        <v>971.75203124999996</v>
      </c>
      <c r="E350" s="67"/>
      <c r="F350" s="17"/>
      <c r="G350" s="17"/>
    </row>
    <row r="351" spans="1:7" ht="22.5" x14ac:dyDescent="0.25">
      <c r="A351" s="144">
        <v>12</v>
      </c>
      <c r="B351" s="144" t="s">
        <v>405</v>
      </c>
      <c r="C351" s="148"/>
      <c r="D351" s="162"/>
      <c r="E351" s="67"/>
      <c r="F351" s="17"/>
      <c r="G351" s="17"/>
    </row>
    <row r="352" spans="1:7" x14ac:dyDescent="0.25">
      <c r="A352" s="123">
        <v>1</v>
      </c>
      <c r="B352" s="138" t="s">
        <v>210</v>
      </c>
      <c r="C352" s="106">
        <v>1</v>
      </c>
      <c r="D352" s="162">
        <v>25</v>
      </c>
      <c r="E352" s="67"/>
      <c r="F352" s="17"/>
      <c r="G352" s="17"/>
    </row>
    <row r="353" spans="1:7" x14ac:dyDescent="0.25">
      <c r="A353" s="123">
        <v>2</v>
      </c>
      <c r="B353" s="138" t="s">
        <v>211</v>
      </c>
      <c r="C353" s="106">
        <v>1</v>
      </c>
      <c r="D353" s="162">
        <v>700</v>
      </c>
      <c r="E353" s="67"/>
      <c r="F353" s="17"/>
      <c r="G353" s="17"/>
    </row>
    <row r="354" spans="1:7" x14ac:dyDescent="0.25">
      <c r="A354" s="123">
        <v>3</v>
      </c>
      <c r="B354" s="138" t="s">
        <v>212</v>
      </c>
      <c r="C354" s="106">
        <v>1</v>
      </c>
      <c r="D354" s="162">
        <v>700</v>
      </c>
      <c r="E354" s="67"/>
      <c r="F354" s="17"/>
      <c r="G354" s="17"/>
    </row>
    <row r="355" spans="1:7" x14ac:dyDescent="0.25">
      <c r="A355" s="123">
        <v>4</v>
      </c>
      <c r="B355" s="138" t="s">
        <v>213</v>
      </c>
      <c r="C355" s="106">
        <v>1</v>
      </c>
      <c r="D355" s="162">
        <v>1000</v>
      </c>
      <c r="E355" s="67"/>
      <c r="F355" s="17"/>
      <c r="G355" s="17"/>
    </row>
    <row r="356" spans="1:7" x14ac:dyDescent="0.25">
      <c r="A356" s="123">
        <v>5</v>
      </c>
      <c r="B356" s="138" t="s">
        <v>214</v>
      </c>
      <c r="C356" s="106">
        <v>1</v>
      </c>
      <c r="D356" s="162">
        <v>1500</v>
      </c>
      <c r="E356" s="67"/>
      <c r="F356" s="17"/>
      <c r="G356" s="17"/>
    </row>
    <row r="357" spans="1:7" x14ac:dyDescent="0.25">
      <c r="A357" s="123">
        <v>6</v>
      </c>
      <c r="B357" s="138" t="s">
        <v>215</v>
      </c>
      <c r="C357" s="106">
        <v>1</v>
      </c>
      <c r="D357" s="162">
        <v>1200</v>
      </c>
      <c r="E357" s="67"/>
      <c r="F357" s="17"/>
      <c r="G357" s="17"/>
    </row>
    <row r="358" spans="1:7" x14ac:dyDescent="0.25">
      <c r="A358" s="123">
        <v>7</v>
      </c>
      <c r="B358" s="138" t="s">
        <v>216</v>
      </c>
      <c r="C358" s="106">
        <v>1</v>
      </c>
      <c r="D358" s="162">
        <v>250</v>
      </c>
      <c r="E358" s="67"/>
      <c r="F358" s="17"/>
      <c r="G358" s="17"/>
    </row>
    <row r="359" spans="1:7" x14ac:dyDescent="0.25">
      <c r="A359" s="123">
        <v>8</v>
      </c>
      <c r="B359" s="138" t="s">
        <v>217</v>
      </c>
      <c r="C359" s="106">
        <v>1</v>
      </c>
      <c r="D359" s="162">
        <v>1000</v>
      </c>
      <c r="E359" s="67"/>
      <c r="F359" s="17"/>
      <c r="G359" s="17"/>
    </row>
    <row r="360" spans="1:7" x14ac:dyDescent="0.25">
      <c r="A360" s="123">
        <v>9</v>
      </c>
      <c r="B360" s="138" t="s">
        <v>218</v>
      </c>
      <c r="C360" s="106">
        <v>1</v>
      </c>
      <c r="D360" s="162">
        <v>700</v>
      </c>
      <c r="E360" s="67"/>
      <c r="F360" s="17"/>
      <c r="G360" s="17"/>
    </row>
    <row r="361" spans="1:7" x14ac:dyDescent="0.25">
      <c r="A361" s="123">
        <v>10</v>
      </c>
      <c r="B361" s="138" t="s">
        <v>219</v>
      </c>
      <c r="C361" s="106">
        <v>1</v>
      </c>
      <c r="D361" s="162">
        <v>500</v>
      </c>
      <c r="E361" s="67"/>
      <c r="F361" s="17"/>
      <c r="G361" s="17"/>
    </row>
    <row r="362" spans="1:7" x14ac:dyDescent="0.25">
      <c r="A362" s="123">
        <v>11</v>
      </c>
      <c r="B362" s="138" t="s">
        <v>220</v>
      </c>
      <c r="C362" s="106">
        <v>1</v>
      </c>
      <c r="D362" s="162">
        <v>500</v>
      </c>
      <c r="E362" s="67"/>
      <c r="F362" s="17"/>
      <c r="G362" s="17"/>
    </row>
    <row r="363" spans="1:7" x14ac:dyDescent="0.25">
      <c r="A363" s="123">
        <v>12</v>
      </c>
      <c r="B363" s="138" t="s">
        <v>221</v>
      </c>
      <c r="C363" s="106">
        <v>1</v>
      </c>
      <c r="D363" s="162">
        <v>200</v>
      </c>
      <c r="E363" s="67"/>
      <c r="F363" s="17"/>
      <c r="G363" s="17"/>
    </row>
    <row r="364" spans="1:7" x14ac:dyDescent="0.25">
      <c r="A364" s="123">
        <v>13</v>
      </c>
      <c r="B364" s="138" t="s">
        <v>222</v>
      </c>
      <c r="C364" s="106">
        <v>1</v>
      </c>
      <c r="D364" s="162">
        <v>150</v>
      </c>
      <c r="E364" s="67"/>
      <c r="F364" s="17"/>
      <c r="G364" s="17"/>
    </row>
    <row r="365" spans="1:7" x14ac:dyDescent="0.25">
      <c r="A365" s="123">
        <v>14</v>
      </c>
      <c r="B365" s="138" t="s">
        <v>223</v>
      </c>
      <c r="C365" s="107">
        <v>1</v>
      </c>
      <c r="D365" s="162">
        <v>1200</v>
      </c>
      <c r="E365" s="67"/>
      <c r="F365" s="17"/>
      <c r="G365" s="17"/>
    </row>
    <row r="366" spans="1:7" x14ac:dyDescent="0.25">
      <c r="A366" s="123">
        <v>15</v>
      </c>
      <c r="B366" s="138" t="s">
        <v>224</v>
      </c>
      <c r="C366" s="106">
        <v>1</v>
      </c>
      <c r="D366" s="162">
        <v>55000</v>
      </c>
      <c r="E366" s="67"/>
      <c r="F366" s="17"/>
      <c r="G366" s="17"/>
    </row>
    <row r="367" spans="1:7" x14ac:dyDescent="0.25">
      <c r="A367" s="123">
        <v>16</v>
      </c>
      <c r="B367" s="138" t="s">
        <v>225</v>
      </c>
      <c r="C367" s="106">
        <v>1</v>
      </c>
      <c r="D367" s="162">
        <v>2</v>
      </c>
      <c r="E367" s="67"/>
      <c r="F367" s="17"/>
      <c r="G367" s="17"/>
    </row>
    <row r="368" spans="1:7" x14ac:dyDescent="0.25">
      <c r="A368" s="123">
        <v>17</v>
      </c>
      <c r="B368" s="138" t="s">
        <v>226</v>
      </c>
      <c r="C368" s="106">
        <v>1</v>
      </c>
      <c r="D368" s="162">
        <v>5</v>
      </c>
      <c r="E368" s="67"/>
      <c r="F368" s="17"/>
      <c r="G368" s="17"/>
    </row>
    <row r="369" spans="1:7" x14ac:dyDescent="0.25">
      <c r="A369" s="123">
        <v>18</v>
      </c>
      <c r="B369" s="138" t="s">
        <v>227</v>
      </c>
      <c r="C369" s="106">
        <v>1</v>
      </c>
      <c r="D369" s="162">
        <v>5</v>
      </c>
      <c r="E369" s="67"/>
      <c r="F369" s="17"/>
      <c r="G369" s="17"/>
    </row>
    <row r="370" spans="1:7" x14ac:dyDescent="0.25">
      <c r="A370" s="123">
        <v>19</v>
      </c>
      <c r="B370" s="138" t="s">
        <v>228</v>
      </c>
      <c r="C370" s="106">
        <v>1</v>
      </c>
      <c r="D370" s="162">
        <v>40</v>
      </c>
      <c r="E370" s="67"/>
      <c r="F370" s="17"/>
      <c r="G370" s="17"/>
    </row>
    <row r="371" spans="1:7" x14ac:dyDescent="0.25">
      <c r="A371" s="123">
        <v>20</v>
      </c>
      <c r="B371" s="138" t="s">
        <v>212</v>
      </c>
      <c r="C371" s="106">
        <v>1</v>
      </c>
      <c r="D371" s="162">
        <v>120</v>
      </c>
      <c r="E371" s="67"/>
      <c r="F371" s="17"/>
      <c r="G371" s="17"/>
    </row>
    <row r="372" spans="1:7" x14ac:dyDescent="0.25">
      <c r="A372" s="123">
        <v>21</v>
      </c>
      <c r="B372" s="138" t="s">
        <v>213</v>
      </c>
      <c r="C372" s="106">
        <v>1</v>
      </c>
      <c r="D372" s="162">
        <v>700</v>
      </c>
      <c r="E372" s="67"/>
      <c r="F372" s="17"/>
      <c r="G372" s="17"/>
    </row>
    <row r="373" spans="1:7" x14ac:dyDescent="0.25">
      <c r="A373" s="123">
        <v>22</v>
      </c>
      <c r="B373" s="138" t="s">
        <v>216</v>
      </c>
      <c r="C373" s="106">
        <v>1</v>
      </c>
      <c r="D373" s="162">
        <v>2100</v>
      </c>
      <c r="E373" s="67"/>
      <c r="F373" s="17"/>
      <c r="G373" s="17"/>
    </row>
    <row r="374" spans="1:7" x14ac:dyDescent="0.25">
      <c r="A374" s="123">
        <v>23</v>
      </c>
      <c r="B374" s="138" t="s">
        <v>229</v>
      </c>
      <c r="C374" s="106">
        <v>1</v>
      </c>
      <c r="D374" s="162">
        <v>60</v>
      </c>
      <c r="E374" s="67"/>
      <c r="F374" s="17"/>
      <c r="G374" s="17"/>
    </row>
    <row r="375" spans="1:7" x14ac:dyDescent="0.25">
      <c r="A375" s="123">
        <v>24</v>
      </c>
      <c r="B375" s="138" t="s">
        <v>224</v>
      </c>
      <c r="C375" s="106">
        <v>1</v>
      </c>
      <c r="D375" s="162">
        <v>3200</v>
      </c>
      <c r="E375" s="67"/>
      <c r="F375" s="17"/>
      <c r="G375" s="17"/>
    </row>
    <row r="376" spans="1:7" x14ac:dyDescent="0.25">
      <c r="A376" s="123">
        <v>25</v>
      </c>
      <c r="B376" s="138" t="s">
        <v>230</v>
      </c>
      <c r="C376" s="106">
        <v>1</v>
      </c>
      <c r="D376" s="162">
        <v>500</v>
      </c>
      <c r="E376" s="67"/>
      <c r="F376" s="17"/>
      <c r="G376" s="17"/>
    </row>
    <row r="377" spans="1:7" x14ac:dyDescent="0.25">
      <c r="A377" s="123">
        <v>26</v>
      </c>
      <c r="B377" s="138" t="s">
        <v>231</v>
      </c>
      <c r="C377" s="106">
        <v>1</v>
      </c>
      <c r="D377" s="162">
        <v>150</v>
      </c>
      <c r="E377" s="67"/>
      <c r="F377" s="17"/>
      <c r="G377" s="17"/>
    </row>
    <row r="378" spans="1:7" x14ac:dyDescent="0.25">
      <c r="A378" s="123">
        <v>27</v>
      </c>
      <c r="B378" s="138" t="s">
        <v>232</v>
      </c>
      <c r="C378" s="106">
        <v>1</v>
      </c>
      <c r="D378" s="162">
        <v>50</v>
      </c>
      <c r="E378" s="67"/>
      <c r="F378" s="17"/>
      <c r="G378" s="17"/>
    </row>
    <row r="379" spans="1:7" x14ac:dyDescent="0.25">
      <c r="A379" s="123">
        <v>28</v>
      </c>
      <c r="B379" s="138" t="s">
        <v>233</v>
      </c>
      <c r="C379" s="106">
        <v>1</v>
      </c>
      <c r="D379" s="162">
        <v>50</v>
      </c>
      <c r="E379" s="67"/>
      <c r="F379" s="17"/>
      <c r="G379" s="17"/>
    </row>
    <row r="380" spans="1:7" x14ac:dyDescent="0.25">
      <c r="A380" s="123">
        <v>29</v>
      </c>
      <c r="B380" s="138" t="s">
        <v>234</v>
      </c>
      <c r="C380" s="106">
        <v>1</v>
      </c>
      <c r="D380" s="162">
        <v>500</v>
      </c>
      <c r="E380" s="67"/>
      <c r="F380" s="17"/>
      <c r="G380" s="17"/>
    </row>
    <row r="381" spans="1:7" ht="47.25" x14ac:dyDescent="0.25">
      <c r="A381" s="123">
        <v>30</v>
      </c>
      <c r="B381" s="138" t="s">
        <v>235</v>
      </c>
      <c r="C381" s="106">
        <v>1</v>
      </c>
      <c r="D381" s="162">
        <v>200</v>
      </c>
      <c r="E381" s="67"/>
      <c r="F381" s="17"/>
      <c r="G381" s="17"/>
    </row>
    <row r="382" spans="1:7" ht="63" x14ac:dyDescent="0.25">
      <c r="A382" s="123">
        <v>31</v>
      </c>
      <c r="B382" s="138" t="s">
        <v>236</v>
      </c>
      <c r="C382" s="106">
        <v>1</v>
      </c>
      <c r="D382" s="162">
        <v>200</v>
      </c>
      <c r="E382" s="67"/>
      <c r="F382" s="17"/>
      <c r="G382" s="17"/>
    </row>
    <row r="383" spans="1:7" ht="31.5" x14ac:dyDescent="0.25">
      <c r="A383" s="123">
        <v>32</v>
      </c>
      <c r="B383" s="138" t="s">
        <v>237</v>
      </c>
      <c r="C383" s="106">
        <v>1</v>
      </c>
      <c r="D383" s="162">
        <v>200</v>
      </c>
      <c r="E383" s="67"/>
      <c r="F383" s="17"/>
      <c r="G383" s="17"/>
    </row>
    <row r="384" spans="1:7" x14ac:dyDescent="0.25">
      <c r="A384" s="123">
        <v>33</v>
      </c>
      <c r="B384" s="138" t="s">
        <v>238</v>
      </c>
      <c r="C384" s="106">
        <v>1</v>
      </c>
      <c r="D384" s="162">
        <v>5000</v>
      </c>
      <c r="E384" s="67"/>
      <c r="F384" s="17"/>
      <c r="G384" s="17"/>
    </row>
    <row r="385" spans="1:7" x14ac:dyDescent="0.25">
      <c r="A385" s="123">
        <v>34</v>
      </c>
      <c r="B385" s="138" t="s">
        <v>239</v>
      </c>
      <c r="C385" s="106">
        <v>1</v>
      </c>
      <c r="D385" s="162">
        <v>50</v>
      </c>
      <c r="E385" s="67"/>
      <c r="F385" s="17"/>
      <c r="G385" s="17"/>
    </row>
    <row r="386" spans="1:7" x14ac:dyDescent="0.25">
      <c r="A386" s="123">
        <v>35</v>
      </c>
      <c r="B386" s="138" t="s">
        <v>240</v>
      </c>
      <c r="C386" s="106">
        <v>1</v>
      </c>
      <c r="D386" s="162">
        <v>10</v>
      </c>
      <c r="E386" s="67"/>
      <c r="F386" s="17"/>
      <c r="G386" s="17"/>
    </row>
    <row r="387" spans="1:7" x14ac:dyDescent="0.25">
      <c r="A387" s="123">
        <v>36</v>
      </c>
      <c r="B387" s="138" t="s">
        <v>241</v>
      </c>
      <c r="C387" s="106">
        <v>1</v>
      </c>
      <c r="D387" s="162">
        <v>20</v>
      </c>
      <c r="E387" s="67"/>
      <c r="F387" s="17"/>
      <c r="G387" s="17"/>
    </row>
    <row r="388" spans="1:7" x14ac:dyDescent="0.25">
      <c r="A388" s="123">
        <v>37</v>
      </c>
      <c r="B388" s="138" t="s">
        <v>242</v>
      </c>
      <c r="C388" s="106">
        <v>1</v>
      </c>
      <c r="D388" s="162">
        <v>80</v>
      </c>
      <c r="E388" s="67"/>
      <c r="F388" s="17"/>
      <c r="G388" s="17"/>
    </row>
    <row r="389" spans="1:7" x14ac:dyDescent="0.25">
      <c r="A389" s="123">
        <v>38</v>
      </c>
      <c r="B389" s="138" t="s">
        <v>243</v>
      </c>
      <c r="C389" s="106">
        <v>1</v>
      </c>
      <c r="D389" s="162">
        <v>0</v>
      </c>
      <c r="E389" s="67"/>
      <c r="F389" s="17"/>
      <c r="G389" s="17"/>
    </row>
    <row r="390" spans="1:7" x14ac:dyDescent="0.25">
      <c r="A390" s="123">
        <v>39</v>
      </c>
      <c r="B390" s="138" t="s">
        <v>244</v>
      </c>
      <c r="C390" s="106">
        <v>1</v>
      </c>
      <c r="D390" s="162">
        <v>0</v>
      </c>
      <c r="E390" s="67"/>
      <c r="F390" s="17"/>
      <c r="G390" s="17"/>
    </row>
    <row r="391" spans="1:7" x14ac:dyDescent="0.25">
      <c r="A391" s="123">
        <v>40</v>
      </c>
      <c r="B391" s="138" t="s">
        <v>245</v>
      </c>
      <c r="C391" s="106">
        <v>1</v>
      </c>
      <c r="D391" s="162">
        <v>0</v>
      </c>
      <c r="E391" s="67"/>
      <c r="F391" s="17"/>
      <c r="G391" s="17"/>
    </row>
    <row r="392" spans="1:7" x14ac:dyDescent="0.25">
      <c r="A392" s="123">
        <v>41</v>
      </c>
      <c r="B392" s="138" t="s">
        <v>246</v>
      </c>
      <c r="C392" s="106">
        <v>1</v>
      </c>
      <c r="D392" s="162">
        <v>0</v>
      </c>
      <c r="E392" s="67"/>
      <c r="F392" s="17"/>
      <c r="G392" s="17"/>
    </row>
    <row r="393" spans="1:7" x14ac:dyDescent="0.25">
      <c r="A393" s="123">
        <v>42</v>
      </c>
      <c r="B393" s="138" t="s">
        <v>247</v>
      </c>
      <c r="C393" s="106">
        <v>1</v>
      </c>
      <c r="D393" s="162">
        <v>0</v>
      </c>
      <c r="E393" s="67"/>
      <c r="F393" s="17"/>
      <c r="G393" s="17"/>
    </row>
    <row r="394" spans="1:7" x14ac:dyDescent="0.25">
      <c r="A394" s="123">
        <v>43</v>
      </c>
      <c r="B394" s="138" t="s">
        <v>248</v>
      </c>
      <c r="C394" s="106">
        <v>1</v>
      </c>
      <c r="D394" s="162">
        <v>0</v>
      </c>
      <c r="E394" s="67"/>
      <c r="F394" s="17"/>
      <c r="G394" s="17"/>
    </row>
    <row r="395" spans="1:7" x14ac:dyDescent="0.25">
      <c r="A395" s="123">
        <v>44</v>
      </c>
      <c r="B395" s="138" t="s">
        <v>269</v>
      </c>
      <c r="C395" s="108">
        <v>1</v>
      </c>
      <c r="D395" s="162">
        <v>2</v>
      </c>
      <c r="E395" s="67"/>
      <c r="F395" s="17"/>
      <c r="G395" s="17"/>
    </row>
    <row r="396" spans="1:7" x14ac:dyDescent="0.25">
      <c r="A396" s="123">
        <v>45</v>
      </c>
      <c r="B396" s="138" t="s">
        <v>263</v>
      </c>
      <c r="C396" s="108">
        <v>1</v>
      </c>
      <c r="D396" s="162">
        <v>2</v>
      </c>
      <c r="E396" s="67"/>
      <c r="F396" s="17"/>
      <c r="G396" s="17"/>
    </row>
    <row r="397" spans="1:7" x14ac:dyDescent="0.25">
      <c r="A397" s="123">
        <v>46</v>
      </c>
      <c r="B397" s="138" t="s">
        <v>264</v>
      </c>
      <c r="C397" s="108">
        <v>1</v>
      </c>
      <c r="D397" s="162">
        <v>7</v>
      </c>
      <c r="E397" s="67"/>
      <c r="F397" s="17"/>
      <c r="G397" s="17"/>
    </row>
    <row r="398" spans="1:7" x14ac:dyDescent="0.25">
      <c r="A398" s="123">
        <v>47</v>
      </c>
      <c r="B398" s="138" t="s">
        <v>251</v>
      </c>
      <c r="C398" s="108">
        <v>1</v>
      </c>
      <c r="D398" s="162">
        <v>1</v>
      </c>
      <c r="E398" s="67"/>
      <c r="F398" s="17"/>
      <c r="G398" s="17"/>
    </row>
    <row r="399" spans="1:7" x14ac:dyDescent="0.25">
      <c r="A399" s="123">
        <v>48</v>
      </c>
      <c r="B399" s="138" t="s">
        <v>265</v>
      </c>
      <c r="C399" s="108">
        <v>1</v>
      </c>
      <c r="D399" s="162">
        <v>27</v>
      </c>
      <c r="E399" s="67"/>
      <c r="F399" s="17"/>
      <c r="G399" s="17"/>
    </row>
    <row r="400" spans="1:7" x14ac:dyDescent="0.25">
      <c r="A400" s="123">
        <v>49</v>
      </c>
      <c r="B400" s="138" t="s">
        <v>266</v>
      </c>
      <c r="C400" s="108">
        <v>1</v>
      </c>
      <c r="D400" s="162">
        <v>7</v>
      </c>
      <c r="E400" s="67"/>
      <c r="F400" s="17"/>
      <c r="G400" s="17"/>
    </row>
    <row r="401" spans="1:7" x14ac:dyDescent="0.25">
      <c r="A401" s="123">
        <v>50</v>
      </c>
      <c r="B401" s="138" t="s">
        <v>267</v>
      </c>
      <c r="C401" s="108">
        <v>1</v>
      </c>
      <c r="D401" s="162">
        <v>28</v>
      </c>
      <c r="E401" s="67"/>
      <c r="F401" s="17"/>
      <c r="G401" s="17"/>
    </row>
    <row r="402" spans="1:7" x14ac:dyDescent="0.25">
      <c r="A402" s="123">
        <v>51</v>
      </c>
      <c r="B402" s="138" t="s">
        <v>249</v>
      </c>
      <c r="C402" s="108">
        <v>1</v>
      </c>
      <c r="D402" s="162">
        <v>6</v>
      </c>
      <c r="E402" s="67"/>
      <c r="F402" s="17"/>
      <c r="G402" s="17"/>
    </row>
    <row r="403" spans="1:7" x14ac:dyDescent="0.25">
      <c r="A403" s="123">
        <v>52</v>
      </c>
      <c r="B403" s="138" t="s">
        <v>250</v>
      </c>
      <c r="C403" s="108">
        <v>1</v>
      </c>
      <c r="D403" s="162">
        <v>6</v>
      </c>
      <c r="E403" s="67"/>
      <c r="F403" s="17"/>
      <c r="G403" s="17"/>
    </row>
    <row r="404" spans="1:7" x14ac:dyDescent="0.25">
      <c r="A404" s="123">
        <v>53</v>
      </c>
      <c r="B404" s="138" t="s">
        <v>251</v>
      </c>
      <c r="C404" s="108">
        <v>1</v>
      </c>
      <c r="D404" s="162">
        <v>11</v>
      </c>
      <c r="E404" s="67"/>
      <c r="F404" s="17"/>
      <c r="G404" s="17"/>
    </row>
    <row r="405" spans="1:7" x14ac:dyDescent="0.25">
      <c r="A405" s="123">
        <v>54</v>
      </c>
      <c r="B405" s="138" t="s">
        <v>213</v>
      </c>
      <c r="C405" s="108">
        <v>1</v>
      </c>
      <c r="D405" s="162">
        <v>60</v>
      </c>
      <c r="E405" s="67"/>
      <c r="F405" s="17"/>
      <c r="G405" s="17"/>
    </row>
    <row r="406" spans="1:7" x14ac:dyDescent="0.25">
      <c r="A406" s="123">
        <v>55</v>
      </c>
      <c r="B406" s="138" t="s">
        <v>252</v>
      </c>
      <c r="C406" s="108">
        <v>1</v>
      </c>
      <c r="D406" s="162">
        <v>33</v>
      </c>
      <c r="E406" s="67"/>
      <c r="F406" s="17"/>
      <c r="G406" s="17"/>
    </row>
    <row r="407" spans="1:7" x14ac:dyDescent="0.25">
      <c r="A407" s="123">
        <v>56</v>
      </c>
      <c r="B407" s="138" t="s">
        <v>253</v>
      </c>
      <c r="C407" s="107">
        <v>1</v>
      </c>
      <c r="D407" s="162">
        <v>3390</v>
      </c>
      <c r="E407" s="67"/>
      <c r="F407" s="17"/>
      <c r="G407" s="17"/>
    </row>
    <row r="408" spans="1:7" x14ac:dyDescent="0.25">
      <c r="A408" s="123">
        <v>57</v>
      </c>
      <c r="B408" s="138" t="s">
        <v>254</v>
      </c>
      <c r="C408" s="108">
        <v>1</v>
      </c>
      <c r="D408" s="162">
        <v>9</v>
      </c>
      <c r="E408" s="67"/>
      <c r="F408" s="17"/>
      <c r="G408" s="17"/>
    </row>
    <row r="409" spans="1:7" x14ac:dyDescent="0.25">
      <c r="A409" s="123">
        <v>58</v>
      </c>
      <c r="B409" s="138" t="s">
        <v>255</v>
      </c>
      <c r="C409" s="108">
        <v>1</v>
      </c>
      <c r="D409" s="162">
        <v>65</v>
      </c>
      <c r="E409" s="67"/>
      <c r="F409" s="17"/>
      <c r="G409" s="17"/>
    </row>
    <row r="410" spans="1:7" x14ac:dyDescent="0.25">
      <c r="A410" s="123">
        <v>59</v>
      </c>
      <c r="B410" s="138" t="s">
        <v>256</v>
      </c>
      <c r="C410" s="108">
        <v>1</v>
      </c>
      <c r="D410" s="162">
        <v>30</v>
      </c>
      <c r="E410" s="67"/>
      <c r="F410" s="17"/>
      <c r="G410" s="17"/>
    </row>
    <row r="411" spans="1:7" x14ac:dyDescent="0.25">
      <c r="A411" s="123">
        <v>60</v>
      </c>
      <c r="B411" s="138" t="s">
        <v>257</v>
      </c>
      <c r="C411" s="108">
        <v>1</v>
      </c>
      <c r="D411" s="162">
        <v>14</v>
      </c>
      <c r="E411" s="67"/>
      <c r="F411" s="17"/>
      <c r="G411" s="17"/>
    </row>
    <row r="412" spans="1:7" x14ac:dyDescent="0.25">
      <c r="A412" s="123">
        <v>61</v>
      </c>
      <c r="B412" s="138" t="s">
        <v>223</v>
      </c>
      <c r="C412" s="109">
        <v>1</v>
      </c>
      <c r="D412" s="162">
        <v>670</v>
      </c>
      <c r="E412" s="67"/>
      <c r="F412" s="17"/>
      <c r="G412" s="17"/>
    </row>
    <row r="413" spans="1:7" x14ac:dyDescent="0.25">
      <c r="A413" s="123">
        <v>62</v>
      </c>
      <c r="B413" s="138" t="s">
        <v>258</v>
      </c>
      <c r="C413" s="108">
        <v>1</v>
      </c>
      <c r="D413" s="162">
        <v>58</v>
      </c>
      <c r="E413" s="67"/>
      <c r="F413" s="17"/>
      <c r="G413" s="17"/>
    </row>
    <row r="414" spans="1:7" x14ac:dyDescent="0.25">
      <c r="A414" s="123">
        <v>63</v>
      </c>
      <c r="B414" s="138" t="s">
        <v>259</v>
      </c>
      <c r="C414" s="107">
        <v>1</v>
      </c>
      <c r="D414" s="162">
        <v>520</v>
      </c>
      <c r="E414" s="67"/>
      <c r="F414" s="17"/>
      <c r="G414" s="17"/>
    </row>
    <row r="415" spans="1:7" x14ac:dyDescent="0.25">
      <c r="A415" s="123">
        <v>64</v>
      </c>
      <c r="B415" s="138" t="s">
        <v>268</v>
      </c>
      <c r="C415" s="107">
        <v>1</v>
      </c>
      <c r="D415" s="162">
        <v>1200</v>
      </c>
      <c r="E415" s="67"/>
      <c r="F415" s="17"/>
      <c r="G415" s="17"/>
    </row>
    <row r="416" spans="1:7" x14ac:dyDescent="0.25">
      <c r="A416" s="123">
        <v>65</v>
      </c>
      <c r="B416" s="138" t="s">
        <v>260</v>
      </c>
      <c r="C416" s="110" t="s">
        <v>261</v>
      </c>
      <c r="D416" s="162">
        <v>9</v>
      </c>
      <c r="E416" s="67"/>
      <c r="F416" s="17"/>
      <c r="G416" s="17"/>
    </row>
    <row r="417" spans="1:7" x14ac:dyDescent="0.25">
      <c r="A417" s="123">
        <v>66</v>
      </c>
      <c r="B417" s="138" t="s">
        <v>262</v>
      </c>
      <c r="C417" s="108">
        <v>1</v>
      </c>
      <c r="D417" s="162">
        <v>15</v>
      </c>
      <c r="E417" s="67"/>
      <c r="F417" s="17"/>
      <c r="G417" s="17"/>
    </row>
    <row r="418" spans="1:7" ht="105" x14ac:dyDescent="0.25">
      <c r="A418" s="123">
        <v>67</v>
      </c>
      <c r="B418" s="139" t="s">
        <v>406</v>
      </c>
      <c r="C418" s="89">
        <v>100</v>
      </c>
      <c r="D418" s="162">
        <v>49390</v>
      </c>
      <c r="E418" s="67"/>
      <c r="F418" s="17"/>
      <c r="G418" s="17"/>
    </row>
    <row r="419" spans="1:7" ht="75" x14ac:dyDescent="0.25">
      <c r="A419" s="123">
        <v>68</v>
      </c>
      <c r="B419" s="139" t="s">
        <v>270</v>
      </c>
      <c r="C419" s="91">
        <v>1000</v>
      </c>
      <c r="D419" s="162">
        <v>2062.9820000000004</v>
      </c>
      <c r="E419" s="67"/>
      <c r="F419" s="17"/>
      <c r="G419" s="17"/>
    </row>
    <row r="420" spans="1:7" ht="45" x14ac:dyDescent="0.25">
      <c r="A420" s="123">
        <v>69</v>
      </c>
      <c r="B420" s="139" t="s">
        <v>271</v>
      </c>
      <c r="C420" s="91">
        <v>100</v>
      </c>
      <c r="D420" s="162">
        <v>515.74550000000011</v>
      </c>
      <c r="E420" s="67"/>
      <c r="F420" s="17"/>
      <c r="G420" s="17"/>
    </row>
    <row r="421" spans="1:7" ht="30" x14ac:dyDescent="0.25">
      <c r="A421" s="123">
        <v>70</v>
      </c>
      <c r="B421" s="139" t="s">
        <v>22</v>
      </c>
      <c r="C421" s="91">
        <v>100</v>
      </c>
      <c r="D421" s="162">
        <v>745.64550000000008</v>
      </c>
      <c r="E421" s="67"/>
      <c r="F421" s="17"/>
      <c r="G421" s="17"/>
    </row>
    <row r="422" spans="1:7" ht="45" x14ac:dyDescent="0.25">
      <c r="A422" s="123">
        <v>71</v>
      </c>
      <c r="B422" s="139" t="s">
        <v>272</v>
      </c>
      <c r="C422" s="53">
        <v>100</v>
      </c>
      <c r="D422" s="162">
        <v>427.5</v>
      </c>
      <c r="E422" s="67"/>
      <c r="F422" s="17"/>
      <c r="G422" s="17"/>
    </row>
    <row r="423" spans="1:7" ht="30" x14ac:dyDescent="0.25">
      <c r="A423" s="123">
        <v>72</v>
      </c>
      <c r="B423" s="139" t="s">
        <v>273</v>
      </c>
      <c r="C423" s="91">
        <v>100</v>
      </c>
      <c r="D423" s="162">
        <v>1656.5625</v>
      </c>
      <c r="E423" s="67"/>
      <c r="F423" s="17"/>
      <c r="G423" s="17"/>
    </row>
    <row r="424" spans="1:7" ht="30" x14ac:dyDescent="0.25">
      <c r="A424" s="123">
        <v>73</v>
      </c>
      <c r="B424" s="139" t="s">
        <v>274</v>
      </c>
      <c r="C424" s="53">
        <v>100</v>
      </c>
      <c r="D424" s="162">
        <v>6225.46875</v>
      </c>
      <c r="E424" s="67"/>
      <c r="F424" s="17"/>
      <c r="G424" s="17"/>
    </row>
    <row r="425" spans="1:7" ht="150" x14ac:dyDescent="0.25">
      <c r="A425" s="123">
        <v>74</v>
      </c>
      <c r="B425" s="139" t="s">
        <v>275</v>
      </c>
      <c r="C425" s="53">
        <v>1</v>
      </c>
      <c r="D425" s="162">
        <v>6650</v>
      </c>
      <c r="E425" s="67"/>
      <c r="F425" s="17"/>
      <c r="G425" s="17"/>
    </row>
    <row r="426" spans="1:7" ht="45" x14ac:dyDescent="0.25">
      <c r="A426" s="123">
        <v>75</v>
      </c>
      <c r="B426" s="139" t="s">
        <v>276</v>
      </c>
      <c r="C426" s="89">
        <v>1</v>
      </c>
      <c r="D426" s="162">
        <v>14250</v>
      </c>
      <c r="E426" s="67"/>
      <c r="F426" s="17"/>
      <c r="G426" s="17"/>
    </row>
    <row r="427" spans="1:7" ht="60" x14ac:dyDescent="0.25">
      <c r="A427" s="123">
        <v>76</v>
      </c>
      <c r="B427" s="139" t="s">
        <v>277</v>
      </c>
      <c r="C427" s="89">
        <v>1</v>
      </c>
      <c r="D427" s="162">
        <v>28500</v>
      </c>
      <c r="E427" s="67"/>
      <c r="F427" s="17"/>
      <c r="G427" s="17"/>
    </row>
    <row r="428" spans="1:7" ht="22.5" x14ac:dyDescent="0.25">
      <c r="A428" s="144" t="s">
        <v>407</v>
      </c>
      <c r="B428" s="144" t="s">
        <v>408</v>
      </c>
      <c r="C428" s="149"/>
      <c r="D428" s="162"/>
      <c r="E428" s="67"/>
      <c r="F428" s="17"/>
      <c r="G428" s="17"/>
    </row>
    <row r="429" spans="1:7" ht="216.75" x14ac:dyDescent="0.25">
      <c r="A429" s="124">
        <v>1</v>
      </c>
      <c r="B429" s="140" t="s">
        <v>386</v>
      </c>
      <c r="C429" s="37">
        <v>1</v>
      </c>
      <c r="D429" s="162">
        <v>37</v>
      </c>
      <c r="E429" s="67"/>
      <c r="F429" s="17"/>
      <c r="G429" s="17"/>
    </row>
    <row r="430" spans="1:7" ht="267.75" x14ac:dyDescent="0.25">
      <c r="A430" s="124">
        <v>2</v>
      </c>
      <c r="B430" s="129" t="s">
        <v>389</v>
      </c>
      <c r="C430" s="37">
        <v>1</v>
      </c>
      <c r="D430" s="162">
        <v>15</v>
      </c>
      <c r="E430" s="67"/>
      <c r="F430" s="17"/>
      <c r="G430" s="17"/>
    </row>
    <row r="431" spans="1:7" ht="280.5" x14ac:dyDescent="0.25">
      <c r="A431" s="125">
        <v>3</v>
      </c>
      <c r="B431" s="141" t="s">
        <v>338</v>
      </c>
      <c r="C431" s="111">
        <v>1</v>
      </c>
      <c r="D431" s="162">
        <v>6</v>
      </c>
      <c r="E431" s="67"/>
      <c r="F431" s="17"/>
      <c r="G431" s="17"/>
    </row>
    <row r="432" spans="1:7" ht="280.5" x14ac:dyDescent="0.25">
      <c r="A432" s="124">
        <v>4</v>
      </c>
      <c r="B432" s="141" t="s">
        <v>298</v>
      </c>
      <c r="C432" s="37">
        <v>1</v>
      </c>
      <c r="D432" s="162">
        <v>2</v>
      </c>
      <c r="E432" s="67"/>
      <c r="F432" s="17"/>
      <c r="G432" s="17"/>
    </row>
    <row r="433" spans="1:7" ht="306" x14ac:dyDescent="0.25">
      <c r="A433" s="124">
        <v>5</v>
      </c>
      <c r="B433" s="128" t="s">
        <v>388</v>
      </c>
      <c r="C433" s="37">
        <v>1</v>
      </c>
      <c r="D433" s="162">
        <v>8</v>
      </c>
      <c r="E433" s="67"/>
      <c r="F433" s="17"/>
      <c r="G433" s="17"/>
    </row>
    <row r="434" spans="1:7" ht="51" x14ac:dyDescent="0.25">
      <c r="A434" s="124">
        <v>6</v>
      </c>
      <c r="B434" s="141" t="s">
        <v>299</v>
      </c>
      <c r="C434" s="37">
        <v>1</v>
      </c>
      <c r="D434" s="162">
        <v>4</v>
      </c>
      <c r="E434" s="67"/>
      <c r="F434" s="17"/>
      <c r="G434" s="17"/>
    </row>
    <row r="435" spans="1:7" ht="60" x14ac:dyDescent="0.25">
      <c r="A435" s="124">
        <v>7</v>
      </c>
      <c r="B435" s="97" t="s">
        <v>297</v>
      </c>
      <c r="C435" s="37">
        <v>1</v>
      </c>
      <c r="D435" s="162">
        <v>1</v>
      </c>
      <c r="E435" s="67"/>
      <c r="F435" s="17"/>
      <c r="G435" s="17"/>
    </row>
    <row r="436" spans="1:7" ht="45" x14ac:dyDescent="0.25">
      <c r="A436" s="126">
        <v>8</v>
      </c>
      <c r="B436" s="97" t="s">
        <v>390</v>
      </c>
      <c r="C436" s="47" t="s">
        <v>278</v>
      </c>
      <c r="D436" s="162">
        <v>8140</v>
      </c>
      <c r="E436" s="67"/>
      <c r="F436" s="17"/>
      <c r="G436" s="17"/>
    </row>
    <row r="437" spans="1:7" ht="30" x14ac:dyDescent="0.25">
      <c r="A437" s="124">
        <v>9</v>
      </c>
      <c r="B437" s="97" t="s">
        <v>279</v>
      </c>
      <c r="C437" s="37">
        <v>1</v>
      </c>
      <c r="D437" s="162">
        <v>1628</v>
      </c>
      <c r="E437" s="67"/>
      <c r="F437" s="17"/>
      <c r="G437" s="17"/>
    </row>
    <row r="438" spans="1:7" ht="30" x14ac:dyDescent="0.25">
      <c r="A438" s="126">
        <v>10</v>
      </c>
      <c r="B438" s="97" t="s">
        <v>280</v>
      </c>
      <c r="C438" s="57" t="s">
        <v>281</v>
      </c>
      <c r="D438" s="162">
        <v>37</v>
      </c>
      <c r="E438" s="67"/>
      <c r="F438" s="17"/>
      <c r="G438" s="17"/>
    </row>
    <row r="439" spans="1:7" ht="60" x14ac:dyDescent="0.25">
      <c r="A439" s="124">
        <v>11</v>
      </c>
      <c r="B439" s="97" t="s">
        <v>282</v>
      </c>
      <c r="C439" s="47" t="s">
        <v>278</v>
      </c>
      <c r="D439" s="162">
        <v>2590</v>
      </c>
      <c r="E439" s="67"/>
      <c r="F439" s="17"/>
      <c r="G439" s="17"/>
    </row>
    <row r="440" spans="1:7" ht="45" x14ac:dyDescent="0.25">
      <c r="A440" s="126">
        <v>12</v>
      </c>
      <c r="B440" s="97" t="s">
        <v>283</v>
      </c>
      <c r="C440" s="37">
        <v>1</v>
      </c>
      <c r="D440" s="162">
        <v>74</v>
      </c>
      <c r="E440" s="67"/>
      <c r="F440" s="17"/>
      <c r="G440" s="17"/>
    </row>
    <row r="441" spans="1:7" ht="75" x14ac:dyDescent="0.25">
      <c r="A441" s="124">
        <v>13</v>
      </c>
      <c r="B441" s="97" t="s">
        <v>284</v>
      </c>
      <c r="C441" s="47" t="s">
        <v>278</v>
      </c>
      <c r="D441" s="162">
        <v>4440</v>
      </c>
      <c r="E441" s="67"/>
      <c r="F441" s="17"/>
      <c r="G441" s="17"/>
    </row>
    <row r="442" spans="1:7" ht="60" x14ac:dyDescent="0.25">
      <c r="A442" s="126">
        <v>14</v>
      </c>
      <c r="B442" s="97" t="s">
        <v>285</v>
      </c>
      <c r="C442" s="47" t="s">
        <v>278</v>
      </c>
      <c r="D442" s="162">
        <v>740</v>
      </c>
      <c r="E442" s="67"/>
      <c r="F442" s="17"/>
      <c r="G442" s="17"/>
    </row>
    <row r="443" spans="1:7" ht="75" x14ac:dyDescent="0.25">
      <c r="A443" s="124">
        <v>15</v>
      </c>
      <c r="B443" s="97" t="s">
        <v>286</v>
      </c>
      <c r="C443" s="47" t="s">
        <v>278</v>
      </c>
      <c r="D443" s="162">
        <v>370</v>
      </c>
      <c r="E443" s="67"/>
      <c r="F443" s="17"/>
      <c r="G443" s="17"/>
    </row>
    <row r="444" spans="1:7" ht="30" x14ac:dyDescent="0.25">
      <c r="A444" s="126">
        <v>16</v>
      </c>
      <c r="B444" s="97" t="s">
        <v>287</v>
      </c>
      <c r="C444" s="37">
        <v>1</v>
      </c>
      <c r="D444" s="162">
        <v>148</v>
      </c>
      <c r="E444" s="67"/>
      <c r="F444" s="17"/>
      <c r="G444" s="17"/>
    </row>
    <row r="445" spans="1:7" ht="30" x14ac:dyDescent="0.25">
      <c r="A445" s="124">
        <v>17</v>
      </c>
      <c r="B445" s="97" t="s">
        <v>288</v>
      </c>
      <c r="C445" s="47" t="s">
        <v>289</v>
      </c>
      <c r="D445" s="162">
        <v>6520.88</v>
      </c>
      <c r="E445" s="67"/>
      <c r="F445" s="17"/>
      <c r="G445" s="17"/>
    </row>
    <row r="446" spans="1:7" ht="30" x14ac:dyDescent="0.25">
      <c r="A446" s="126">
        <v>18</v>
      </c>
      <c r="B446" s="97" t="s">
        <v>387</v>
      </c>
      <c r="C446" s="47" t="s">
        <v>290</v>
      </c>
      <c r="D446" s="162">
        <v>2664</v>
      </c>
      <c r="E446" s="67"/>
      <c r="F446" s="17"/>
      <c r="G446" s="17"/>
    </row>
    <row r="447" spans="1:7" ht="45" x14ac:dyDescent="0.25">
      <c r="A447" s="124">
        <v>19</v>
      </c>
      <c r="B447" s="97" t="s">
        <v>291</v>
      </c>
      <c r="C447" s="47" t="s">
        <v>278</v>
      </c>
      <c r="D447" s="162">
        <v>1850</v>
      </c>
      <c r="E447" s="67"/>
      <c r="F447" s="17"/>
      <c r="G447" s="17"/>
    </row>
    <row r="448" spans="1:7" ht="60" x14ac:dyDescent="0.25">
      <c r="A448" s="126">
        <v>20</v>
      </c>
      <c r="B448" s="97" t="s">
        <v>292</v>
      </c>
      <c r="C448" s="58">
        <v>1000</v>
      </c>
      <c r="D448" s="162">
        <v>118400</v>
      </c>
      <c r="E448" s="67"/>
      <c r="F448" s="17"/>
      <c r="G448" s="17"/>
    </row>
    <row r="449" spans="1:7" x14ac:dyDescent="0.25">
      <c r="A449" s="124">
        <v>21</v>
      </c>
      <c r="B449" s="97" t="s">
        <v>293</v>
      </c>
      <c r="C449" s="58">
        <v>1000</v>
      </c>
      <c r="D449" s="162">
        <v>118400</v>
      </c>
      <c r="E449" s="67"/>
      <c r="F449" s="17"/>
      <c r="G449" s="17"/>
    </row>
    <row r="450" spans="1:7" ht="75" x14ac:dyDescent="0.25">
      <c r="A450" s="126">
        <v>22</v>
      </c>
      <c r="B450" s="97" t="s">
        <v>294</v>
      </c>
      <c r="C450" s="47" t="s">
        <v>295</v>
      </c>
      <c r="D450" s="162">
        <v>14800</v>
      </c>
      <c r="E450" s="67"/>
      <c r="F450" s="17"/>
      <c r="G450" s="17"/>
    </row>
    <row r="451" spans="1:7" ht="75" x14ac:dyDescent="0.25">
      <c r="A451" s="124">
        <v>23</v>
      </c>
      <c r="B451" s="97" t="s">
        <v>296</v>
      </c>
      <c r="C451" s="47" t="s">
        <v>295</v>
      </c>
      <c r="D451" s="162">
        <v>555</v>
      </c>
      <c r="E451" s="67"/>
      <c r="F451" s="17"/>
      <c r="G451" s="17"/>
    </row>
    <row r="452" spans="1:7" ht="22.5" x14ac:dyDescent="0.25">
      <c r="A452" s="144">
        <v>14</v>
      </c>
      <c r="B452" s="144" t="s">
        <v>409</v>
      </c>
      <c r="C452" s="149"/>
      <c r="D452" s="162"/>
      <c r="E452" s="67"/>
      <c r="F452" s="17"/>
      <c r="G452" s="17"/>
    </row>
    <row r="453" spans="1:7" ht="216.75" x14ac:dyDescent="0.25">
      <c r="A453" s="126">
        <v>1</v>
      </c>
      <c r="B453" s="129" t="s">
        <v>300</v>
      </c>
      <c r="C453" s="37">
        <v>1</v>
      </c>
      <c r="D453" s="162">
        <v>37</v>
      </c>
      <c r="E453" s="67"/>
      <c r="F453" s="17"/>
      <c r="G453" s="17"/>
    </row>
    <row r="454" spans="1:7" ht="216.75" x14ac:dyDescent="0.25">
      <c r="A454" s="126">
        <v>2</v>
      </c>
      <c r="B454" s="129" t="s">
        <v>300</v>
      </c>
      <c r="C454" s="37">
        <v>1</v>
      </c>
      <c r="D454" s="162">
        <v>50</v>
      </c>
      <c r="E454" s="67"/>
      <c r="F454" s="17"/>
      <c r="G454" s="17"/>
    </row>
    <row r="455" spans="1:7" ht="25.5" x14ac:dyDescent="0.25">
      <c r="A455" s="124">
        <v>3</v>
      </c>
      <c r="B455" s="128" t="s">
        <v>339</v>
      </c>
      <c r="C455" s="37">
        <v>1</v>
      </c>
      <c r="D455" s="162">
        <v>1</v>
      </c>
      <c r="E455" s="67"/>
      <c r="F455" s="17"/>
      <c r="G455" s="17"/>
    </row>
    <row r="456" spans="1:7" ht="89.25" x14ac:dyDescent="0.25">
      <c r="A456" s="124">
        <v>4</v>
      </c>
      <c r="B456" s="128" t="s">
        <v>340</v>
      </c>
      <c r="C456" s="37">
        <v>1</v>
      </c>
      <c r="D456" s="162">
        <v>1</v>
      </c>
      <c r="E456" s="67"/>
      <c r="F456" s="17"/>
      <c r="G456" s="17"/>
    </row>
    <row r="457" spans="1:7" ht="76.5" x14ac:dyDescent="0.25">
      <c r="A457" s="124">
        <v>5</v>
      </c>
      <c r="B457" s="128" t="s">
        <v>341</v>
      </c>
      <c r="C457" s="37">
        <v>1</v>
      </c>
      <c r="D457" s="162">
        <v>1</v>
      </c>
      <c r="E457" s="67"/>
      <c r="F457" s="17"/>
      <c r="G457" s="17"/>
    </row>
    <row r="458" spans="1:7" ht="51" x14ac:dyDescent="0.25">
      <c r="A458" s="124">
        <v>6</v>
      </c>
      <c r="B458" s="128" t="s">
        <v>342</v>
      </c>
      <c r="C458" s="37">
        <v>1</v>
      </c>
      <c r="D458" s="162">
        <v>4</v>
      </c>
      <c r="E458" s="67"/>
      <c r="F458" s="17"/>
      <c r="G458" s="17"/>
    </row>
    <row r="459" spans="1:7" ht="102" x14ac:dyDescent="0.25">
      <c r="A459" s="124">
        <v>7</v>
      </c>
      <c r="B459" s="128" t="s">
        <v>343</v>
      </c>
      <c r="C459" s="37">
        <v>1</v>
      </c>
      <c r="D459" s="162">
        <v>2</v>
      </c>
      <c r="E459" s="67"/>
      <c r="F459" s="17"/>
      <c r="G459" s="17"/>
    </row>
    <row r="460" spans="1:7" ht="285.75" x14ac:dyDescent="0.25">
      <c r="A460" s="124">
        <v>8</v>
      </c>
      <c r="B460" s="142" t="s">
        <v>344</v>
      </c>
      <c r="C460" s="37">
        <v>1</v>
      </c>
      <c r="D460" s="162">
        <v>6</v>
      </c>
      <c r="E460" s="67"/>
      <c r="F460" s="17"/>
      <c r="G460" s="17"/>
    </row>
    <row r="461" spans="1:7" x14ac:dyDescent="0.25">
      <c r="A461" s="127">
        <v>9</v>
      </c>
      <c r="B461" s="98" t="s">
        <v>345</v>
      </c>
      <c r="C461" s="41"/>
      <c r="D461" s="162"/>
      <c r="E461" s="67"/>
      <c r="F461" s="17"/>
      <c r="G461" s="17"/>
    </row>
    <row r="462" spans="1:7" x14ac:dyDescent="0.25">
      <c r="A462" s="117" t="s">
        <v>51</v>
      </c>
      <c r="B462" s="92" t="s">
        <v>346</v>
      </c>
      <c r="C462" s="22" t="s">
        <v>347</v>
      </c>
      <c r="D462" s="162">
        <v>1</v>
      </c>
      <c r="E462" s="67"/>
      <c r="F462" s="17"/>
      <c r="G462" s="17"/>
    </row>
    <row r="463" spans="1:7" x14ac:dyDescent="0.25">
      <c r="A463" s="117" t="s">
        <v>53</v>
      </c>
      <c r="B463" s="92" t="s">
        <v>348</v>
      </c>
      <c r="C463" s="22" t="s">
        <v>347</v>
      </c>
      <c r="D463" s="162">
        <v>1</v>
      </c>
      <c r="E463" s="67"/>
      <c r="F463" s="17"/>
      <c r="G463" s="17"/>
    </row>
    <row r="464" spans="1:7" x14ac:dyDescent="0.25">
      <c r="A464" s="117" t="s">
        <v>55</v>
      </c>
      <c r="B464" s="92" t="s">
        <v>349</v>
      </c>
      <c r="C464" s="22" t="s">
        <v>347</v>
      </c>
      <c r="D464" s="162">
        <v>1</v>
      </c>
      <c r="E464" s="67"/>
      <c r="F464" s="17"/>
      <c r="G464" s="17"/>
    </row>
    <row r="465" spans="1:7" x14ac:dyDescent="0.25">
      <c r="A465" s="127">
        <v>10</v>
      </c>
      <c r="B465" s="98" t="s">
        <v>350</v>
      </c>
      <c r="C465" s="41"/>
      <c r="D465" s="162"/>
      <c r="E465" s="67"/>
      <c r="F465" s="17"/>
      <c r="G465" s="17"/>
    </row>
    <row r="466" spans="1:7" x14ac:dyDescent="0.25">
      <c r="A466" s="117" t="s">
        <v>51</v>
      </c>
      <c r="B466" s="92" t="s">
        <v>346</v>
      </c>
      <c r="C466" s="22" t="s">
        <v>347</v>
      </c>
      <c r="D466" s="162">
        <v>1</v>
      </c>
      <c r="E466" s="67"/>
      <c r="F466" s="17"/>
      <c r="G466" s="17"/>
    </row>
    <row r="467" spans="1:7" x14ac:dyDescent="0.25">
      <c r="A467" s="117" t="s">
        <v>53</v>
      </c>
      <c r="B467" s="92" t="s">
        <v>348</v>
      </c>
      <c r="C467" s="22" t="s">
        <v>347</v>
      </c>
      <c r="D467" s="162">
        <v>1</v>
      </c>
      <c r="E467" s="67"/>
      <c r="F467" s="17"/>
      <c r="G467" s="17"/>
    </row>
    <row r="468" spans="1:7" ht="31.5" x14ac:dyDescent="0.25">
      <c r="A468" s="127">
        <v>11</v>
      </c>
      <c r="B468" s="98" t="s">
        <v>351</v>
      </c>
      <c r="C468" s="41"/>
      <c r="D468" s="162"/>
      <c r="E468" s="67"/>
      <c r="F468" s="17"/>
      <c r="G468" s="17"/>
    </row>
    <row r="469" spans="1:7" x14ac:dyDescent="0.25">
      <c r="A469" s="117" t="s">
        <v>51</v>
      </c>
      <c r="B469" s="94" t="s">
        <v>352</v>
      </c>
      <c r="C469" s="22" t="s">
        <v>347</v>
      </c>
      <c r="D469" s="162">
        <v>1</v>
      </c>
      <c r="E469" s="67"/>
      <c r="F469" s="17"/>
      <c r="G469" s="17"/>
    </row>
    <row r="470" spans="1:7" x14ac:dyDescent="0.25">
      <c r="A470" s="117" t="s">
        <v>53</v>
      </c>
      <c r="B470" s="94" t="s">
        <v>348</v>
      </c>
      <c r="C470" s="22" t="s">
        <v>347</v>
      </c>
      <c r="D470" s="162">
        <v>1</v>
      </c>
      <c r="E470" s="67"/>
      <c r="F470" s="17"/>
      <c r="G470" s="17"/>
    </row>
    <row r="471" spans="1:7" x14ac:dyDescent="0.25">
      <c r="A471" s="127">
        <v>12</v>
      </c>
      <c r="B471" s="98" t="s">
        <v>353</v>
      </c>
      <c r="C471" s="41"/>
      <c r="D471" s="162"/>
      <c r="E471" s="67"/>
      <c r="F471" s="17"/>
      <c r="G471" s="17"/>
    </row>
    <row r="472" spans="1:7" x14ac:dyDescent="0.25">
      <c r="A472" s="117" t="s">
        <v>51</v>
      </c>
      <c r="B472" s="94" t="s">
        <v>354</v>
      </c>
      <c r="C472" s="22" t="s">
        <v>347</v>
      </c>
      <c r="D472" s="162">
        <v>5</v>
      </c>
      <c r="E472" s="67"/>
      <c r="F472" s="17"/>
      <c r="G472" s="17"/>
    </row>
    <row r="473" spans="1:7" x14ac:dyDescent="0.25">
      <c r="A473" s="127">
        <v>13</v>
      </c>
      <c r="B473" s="98" t="s">
        <v>355</v>
      </c>
      <c r="C473" s="22" t="s">
        <v>347</v>
      </c>
      <c r="D473" s="162">
        <v>1</v>
      </c>
      <c r="E473" s="67"/>
      <c r="F473" s="17"/>
      <c r="G473" s="17"/>
    </row>
    <row r="474" spans="1:7" x14ac:dyDescent="0.25">
      <c r="A474" s="127">
        <v>14</v>
      </c>
      <c r="B474" s="98" t="s">
        <v>356</v>
      </c>
      <c r="C474" s="22" t="s">
        <v>347</v>
      </c>
      <c r="D474" s="162">
        <v>3</v>
      </c>
      <c r="E474" s="67"/>
      <c r="F474" s="17"/>
      <c r="G474" s="17"/>
    </row>
    <row r="475" spans="1:7" x14ac:dyDescent="0.25">
      <c r="A475" s="127">
        <v>15</v>
      </c>
      <c r="B475" s="98" t="s">
        <v>357</v>
      </c>
      <c r="C475" s="22" t="s">
        <v>347</v>
      </c>
      <c r="D475" s="162">
        <v>1</v>
      </c>
      <c r="E475" s="67"/>
      <c r="F475" s="17"/>
      <c r="G475" s="17"/>
    </row>
    <row r="476" spans="1:7" x14ac:dyDescent="0.25">
      <c r="A476" s="127">
        <v>16</v>
      </c>
      <c r="B476" s="98" t="s">
        <v>358</v>
      </c>
      <c r="C476" s="22"/>
      <c r="D476" s="162"/>
      <c r="E476" s="67"/>
      <c r="F476" s="17"/>
      <c r="G476" s="17"/>
    </row>
    <row r="477" spans="1:7" x14ac:dyDescent="0.25">
      <c r="A477" s="117" t="s">
        <v>51</v>
      </c>
      <c r="B477" s="94" t="s">
        <v>359</v>
      </c>
      <c r="C477" s="22" t="s">
        <v>347</v>
      </c>
      <c r="D477" s="162">
        <v>1</v>
      </c>
      <c r="E477" s="67"/>
      <c r="F477" s="17"/>
      <c r="G477" s="17"/>
    </row>
    <row r="478" spans="1:7" x14ac:dyDescent="0.25">
      <c r="A478" s="117" t="s">
        <v>53</v>
      </c>
      <c r="B478" s="94" t="s">
        <v>360</v>
      </c>
      <c r="C478" s="22" t="s">
        <v>347</v>
      </c>
      <c r="D478" s="162">
        <v>1</v>
      </c>
      <c r="E478" s="67"/>
      <c r="F478" s="17"/>
      <c r="G478" s="17"/>
    </row>
    <row r="479" spans="1:7" x14ac:dyDescent="0.25">
      <c r="A479" s="117" t="s">
        <v>55</v>
      </c>
      <c r="B479" s="94" t="s">
        <v>361</v>
      </c>
      <c r="C479" s="22" t="s">
        <v>347</v>
      </c>
      <c r="D479" s="162">
        <v>1</v>
      </c>
      <c r="E479" s="67"/>
      <c r="F479" s="17"/>
      <c r="G479" s="17"/>
    </row>
    <row r="480" spans="1:7" x14ac:dyDescent="0.25">
      <c r="A480" s="117" t="s">
        <v>362</v>
      </c>
      <c r="B480" s="94" t="s">
        <v>363</v>
      </c>
      <c r="C480" s="22" t="s">
        <v>347</v>
      </c>
      <c r="D480" s="162">
        <v>1</v>
      </c>
      <c r="E480" s="67"/>
      <c r="F480" s="17"/>
      <c r="G480" s="17"/>
    </row>
    <row r="481" spans="1:7" ht="30" x14ac:dyDescent="0.25">
      <c r="A481" s="117" t="s">
        <v>364</v>
      </c>
      <c r="B481" s="94" t="s">
        <v>365</v>
      </c>
      <c r="C481" s="22" t="s">
        <v>347</v>
      </c>
      <c r="D481" s="162">
        <v>1</v>
      </c>
      <c r="E481" s="67"/>
      <c r="F481" s="17"/>
      <c r="G481" s="17"/>
    </row>
  </sheetData>
  <mergeCells count="9">
    <mergeCell ref="A200:A202"/>
    <mergeCell ref="A1:G1"/>
    <mergeCell ref="A2:G2"/>
    <mergeCell ref="A3:A4"/>
    <mergeCell ref="B3:B4"/>
    <mergeCell ref="C3:C4"/>
    <mergeCell ref="D3:D4"/>
    <mergeCell ref="E3:F3"/>
    <mergeCell ref="G3:G4"/>
  </mergeCells>
  <conditionalFormatting sqref="B61:B63">
    <cfRule type="cellIs" dxfId="40" priority="2" operator="equal">
      <formula>0</formula>
    </cfRule>
  </conditionalFormatting>
  <conditionalFormatting sqref="B73">
    <cfRule type="cellIs" dxfId="39" priority="1" operator="equal">
      <formula>0</formula>
    </cfRule>
  </conditionalFormatting>
  <conditionalFormatting sqref="B79:B86">
    <cfRule type="cellIs" dxfId="38" priority="7" operator="equal">
      <formula>0</formula>
    </cfRule>
  </conditionalFormatting>
  <conditionalFormatting sqref="B113">
    <cfRule type="cellIs" dxfId="37" priority="6" operator="equal">
      <formula>0</formula>
    </cfRule>
  </conditionalFormatting>
  <conditionalFormatting sqref="B226">
    <cfRule type="cellIs" dxfId="36" priority="5" operator="equal">
      <formula>0</formula>
    </cfRule>
  </conditionalFormatting>
  <printOptions horizontalCentered="1"/>
  <pageMargins left="7.874015748031496E-2" right="7.874015748031496E-2" top="0.39370078740157483" bottom="0.19685039370078741" header="0" footer="0"/>
  <pageSetup paperSize="9" scale="75" orientation="landscape" verticalDpi="0" r:id="rId1"/>
  <headerFooter>
    <oddFooter>&amp;RPage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E485"/>
  <sheetViews>
    <sheetView view="pageBreakPreview" zoomScale="52" zoomScaleNormal="70" zoomScaleSheetLayoutView="52" workbookViewId="0">
      <pane xSplit="3" ySplit="3" topLeftCell="N59" activePane="bottomRight" state="frozen"/>
      <selection activeCell="C7" sqref="C7"/>
      <selection pane="topRight" activeCell="C7" sqref="C7"/>
      <selection pane="bottomLeft" activeCell="C7" sqref="C7"/>
      <selection pane="bottomRight" activeCell="C7" sqref="C7"/>
    </sheetView>
  </sheetViews>
  <sheetFormatPr defaultColWidth="9.140625" defaultRowHeight="15.75" x14ac:dyDescent="0.25"/>
  <cols>
    <col min="1" max="1" width="5.85546875" style="156" bestFit="1" customWidth="1"/>
    <col min="2" max="2" width="63.7109375" style="160" customWidth="1"/>
    <col min="3" max="3" width="17.7109375" style="7" bestFit="1" customWidth="1"/>
    <col min="4" max="4" width="18.85546875" style="151" customWidth="1"/>
    <col min="5" max="5" width="17.85546875" style="153" customWidth="1"/>
    <col min="6" max="6" width="16.85546875" style="153" bestFit="1" customWidth="1"/>
    <col min="7" max="7" width="17" style="153" customWidth="1"/>
    <col min="8" max="8" width="17.28515625" style="158" bestFit="1" customWidth="1"/>
    <col min="9" max="10" width="17.28515625" style="153" bestFit="1" customWidth="1"/>
    <col min="11" max="13" width="16" style="153" bestFit="1" customWidth="1"/>
    <col min="14" max="14" width="14" style="153" bestFit="1" customWidth="1"/>
    <col min="15" max="16" width="16" style="153" bestFit="1" customWidth="1"/>
    <col min="17" max="17" width="16.7109375" style="153" bestFit="1" customWidth="1"/>
    <col min="18" max="18" width="16" style="153" bestFit="1" customWidth="1"/>
    <col min="19" max="19" width="14.42578125" style="153" customWidth="1"/>
    <col min="20" max="20" width="18.7109375" style="153" customWidth="1"/>
    <col min="21" max="21" width="19.140625" style="153" bestFit="1" customWidth="1"/>
    <col min="22" max="22" width="17.85546875" style="153" customWidth="1"/>
    <col min="23" max="23" width="24.7109375" style="153" customWidth="1"/>
    <col min="24" max="26" width="18.42578125" style="1" bestFit="1" customWidth="1"/>
    <col min="27" max="27" width="16.5703125" style="1" bestFit="1" customWidth="1"/>
    <col min="28" max="28" width="17.28515625" style="1" bestFit="1" customWidth="1"/>
    <col min="29" max="29" width="16.5703125" style="1" bestFit="1" customWidth="1"/>
    <col min="30" max="16384" width="9.140625" style="1"/>
  </cols>
  <sheetData>
    <row r="1" spans="1:23" ht="26.25" x14ac:dyDescent="0.25">
      <c r="A1" s="1035" t="s">
        <v>0</v>
      </c>
      <c r="B1" s="1035"/>
      <c r="C1" s="1035"/>
      <c r="D1" s="1035"/>
      <c r="E1" s="1035"/>
      <c r="F1" s="1035"/>
      <c r="G1" s="1035"/>
      <c r="H1" s="1035"/>
      <c r="I1" s="1035"/>
      <c r="J1" s="1035"/>
      <c r="K1" s="1035"/>
      <c r="L1" s="1035"/>
      <c r="M1" s="1035"/>
      <c r="N1" s="1035"/>
      <c r="O1" s="1035"/>
      <c r="P1" s="1035"/>
      <c r="Q1" s="1035"/>
      <c r="R1" s="1035"/>
      <c r="S1" s="1035"/>
      <c r="T1" s="1035"/>
      <c r="U1" s="1035"/>
      <c r="V1" s="1035"/>
      <c r="W1" s="1035"/>
    </row>
    <row r="2" spans="1:23" ht="21" x14ac:dyDescent="0.25">
      <c r="A2" s="1036" t="s">
        <v>1</v>
      </c>
      <c r="B2" s="1036"/>
      <c r="C2" s="1036"/>
      <c r="D2" s="1036"/>
      <c r="E2" s="1036"/>
      <c r="F2" s="1036"/>
      <c r="G2" s="1036"/>
      <c r="H2" s="1036"/>
      <c r="I2" s="1036"/>
      <c r="J2" s="1036"/>
      <c r="K2" s="1036"/>
      <c r="L2" s="1036"/>
      <c r="M2" s="1036"/>
      <c r="N2" s="1036"/>
      <c r="O2" s="1036"/>
      <c r="P2" s="1036"/>
      <c r="Q2" s="1036"/>
      <c r="R2" s="1036"/>
      <c r="S2" s="1036"/>
      <c r="T2" s="1036"/>
      <c r="U2" s="1036"/>
      <c r="V2" s="1036"/>
      <c r="W2" s="1036"/>
    </row>
    <row r="3" spans="1:23" s="2" customFormat="1" ht="72" x14ac:dyDescent="0.3">
      <c r="A3" s="196" t="s">
        <v>2</v>
      </c>
      <c r="B3" s="396" t="s">
        <v>3</v>
      </c>
      <c r="C3" s="112" t="s">
        <v>4</v>
      </c>
      <c r="D3" s="113" t="s">
        <v>366</v>
      </c>
      <c r="E3" s="113" t="s">
        <v>367</v>
      </c>
      <c r="F3" s="113" t="s">
        <v>368</v>
      </c>
      <c r="G3" s="113" t="s">
        <v>369</v>
      </c>
      <c r="H3" s="113" t="s">
        <v>370</v>
      </c>
      <c r="I3" s="113" t="s">
        <v>371</v>
      </c>
      <c r="J3" s="114" t="s">
        <v>372</v>
      </c>
      <c r="K3" s="113" t="s">
        <v>373</v>
      </c>
      <c r="L3" s="114" t="s">
        <v>374</v>
      </c>
      <c r="M3" s="114" t="s">
        <v>375</v>
      </c>
      <c r="N3" s="113" t="s">
        <v>376</v>
      </c>
      <c r="O3" s="113" t="s">
        <v>377</v>
      </c>
      <c r="P3" s="113" t="s">
        <v>379</v>
      </c>
      <c r="Q3" s="113" t="s">
        <v>382</v>
      </c>
      <c r="R3" s="113" t="s">
        <v>383</v>
      </c>
      <c r="S3" s="113" t="s">
        <v>379</v>
      </c>
      <c r="T3" s="114" t="s">
        <v>400</v>
      </c>
      <c r="U3" s="114" t="s">
        <v>391</v>
      </c>
      <c r="V3" s="114" t="s">
        <v>6</v>
      </c>
      <c r="W3" s="113" t="s">
        <v>7</v>
      </c>
    </row>
    <row r="4" spans="1:23" s="161" customFormat="1" ht="22.5" x14ac:dyDescent="0.45">
      <c r="A4" s="199">
        <v>1</v>
      </c>
      <c r="B4" s="198" t="s">
        <v>394</v>
      </c>
      <c r="C4" s="145"/>
      <c r="D4" s="145"/>
      <c r="E4" s="146"/>
      <c r="F4" s="146"/>
      <c r="G4" s="146"/>
      <c r="H4" s="146"/>
      <c r="I4" s="146"/>
      <c r="J4" s="146"/>
      <c r="K4" s="146"/>
      <c r="L4" s="146"/>
      <c r="M4" s="146"/>
      <c r="N4" s="146"/>
      <c r="O4" s="146"/>
      <c r="P4" s="146"/>
      <c r="Q4" s="146"/>
      <c r="R4" s="146"/>
      <c r="S4" s="146"/>
      <c r="T4" s="146"/>
      <c r="U4" s="146"/>
      <c r="V4" s="146"/>
      <c r="W4" s="146"/>
    </row>
    <row r="5" spans="1:23" ht="75" x14ac:dyDescent="0.25">
      <c r="A5" s="200">
        <v>1</v>
      </c>
      <c r="B5" s="92" t="s">
        <v>8</v>
      </c>
      <c r="C5" s="12">
        <v>1000</v>
      </c>
      <c r="D5" s="33">
        <v>616487.5</v>
      </c>
      <c r="E5" s="173">
        <v>590424.88</v>
      </c>
      <c r="F5" s="13">
        <v>203524.5</v>
      </c>
      <c r="G5" s="13">
        <v>2110200</v>
      </c>
      <c r="H5" s="13">
        <v>15023937.5</v>
      </c>
      <c r="I5" s="13">
        <v>10154747.5</v>
      </c>
      <c r="J5" s="13">
        <v>19380715.75</v>
      </c>
      <c r="K5" s="13">
        <v>4710315</v>
      </c>
      <c r="L5" s="13">
        <v>2187776.7000000002</v>
      </c>
      <c r="M5" s="13">
        <v>1671902.1400000001</v>
      </c>
      <c r="N5" s="13">
        <v>307260.39</v>
      </c>
      <c r="O5" s="13">
        <v>4234073.0999999996</v>
      </c>
      <c r="P5" s="13">
        <v>3676695</v>
      </c>
      <c r="Q5" s="13">
        <v>15402.5</v>
      </c>
      <c r="R5" s="13">
        <v>4410982.0599999996</v>
      </c>
      <c r="S5" s="13"/>
      <c r="T5" s="13"/>
      <c r="U5" s="13">
        <f>SUM(D5:T5)</f>
        <v>69294444.519999996</v>
      </c>
      <c r="V5" s="14">
        <v>4640.7</v>
      </c>
      <c r="W5" s="15">
        <f>V5*U5/C5</f>
        <v>321574728.68396401</v>
      </c>
    </row>
    <row r="6" spans="1:23" ht="30" x14ac:dyDescent="0.25">
      <c r="A6" s="201">
        <v>2</v>
      </c>
      <c r="B6" s="92" t="s">
        <v>9</v>
      </c>
      <c r="C6" s="12">
        <v>1000</v>
      </c>
      <c r="D6" s="33">
        <v>174315</v>
      </c>
      <c r="E6" s="173">
        <v>112011.005</v>
      </c>
      <c r="F6" s="13">
        <v>262075.5</v>
      </c>
      <c r="G6" s="13">
        <v>680530</v>
      </c>
      <c r="H6" s="13">
        <v>2113837.5</v>
      </c>
      <c r="I6" s="13">
        <v>4167935</v>
      </c>
      <c r="J6" s="13">
        <v>5396103.75</v>
      </c>
      <c r="K6" s="13">
        <v>2201861.25</v>
      </c>
      <c r="L6" s="13">
        <v>1607647.35</v>
      </c>
      <c r="M6" s="13">
        <v>1638852.06</v>
      </c>
      <c r="N6" s="13">
        <v>392780.14500000002</v>
      </c>
      <c r="O6" s="13">
        <v>1712983.98</v>
      </c>
      <c r="P6" s="13">
        <v>4402362.5</v>
      </c>
      <c r="Q6" s="13">
        <v>51770</v>
      </c>
      <c r="R6" s="13">
        <v>1949662.13</v>
      </c>
      <c r="S6" s="13"/>
      <c r="T6" s="13"/>
      <c r="U6" s="13">
        <f>SUM(D6:T6)</f>
        <v>26864727.169999998</v>
      </c>
      <c r="V6" s="14">
        <v>940.9</v>
      </c>
      <c r="W6" s="15">
        <f t="shared" ref="W6:W68" si="0">V6*U6/C6</f>
        <v>25277021.794252999</v>
      </c>
    </row>
    <row r="7" spans="1:23" ht="45" x14ac:dyDescent="0.25">
      <c r="A7" s="202">
        <v>3</v>
      </c>
      <c r="B7" s="92" t="s">
        <v>10</v>
      </c>
      <c r="C7" s="104"/>
      <c r="D7" s="33"/>
      <c r="E7" s="13"/>
      <c r="F7" s="13"/>
      <c r="G7" s="13"/>
      <c r="H7" s="71"/>
      <c r="I7" s="13"/>
      <c r="J7" s="13"/>
      <c r="K7" s="13"/>
      <c r="L7" s="13"/>
      <c r="M7" s="13"/>
      <c r="N7" s="13"/>
      <c r="O7" s="13"/>
      <c r="P7" s="13"/>
      <c r="Q7" s="13"/>
      <c r="R7" s="13"/>
      <c r="S7" s="13"/>
      <c r="T7" s="13"/>
      <c r="U7" s="13">
        <v>0</v>
      </c>
      <c r="V7" s="14">
        <v>0</v>
      </c>
      <c r="W7" s="14">
        <v>0</v>
      </c>
    </row>
    <row r="8" spans="1:23" x14ac:dyDescent="0.25">
      <c r="A8" s="116"/>
      <c r="B8" s="92" t="s">
        <v>11</v>
      </c>
      <c r="C8" s="12">
        <v>1000</v>
      </c>
      <c r="D8" s="33">
        <v>20640</v>
      </c>
      <c r="E8" s="173">
        <v>4055.6700000000005</v>
      </c>
      <c r="F8" s="13">
        <v>3727.5</v>
      </c>
      <c r="G8" s="13">
        <v>8217.5000000000036</v>
      </c>
      <c r="H8" s="13">
        <v>12747.499999999998</v>
      </c>
      <c r="I8" s="13">
        <v>100405</v>
      </c>
      <c r="J8" s="13">
        <v>10945.75</v>
      </c>
      <c r="K8" s="13">
        <v>17267.5</v>
      </c>
      <c r="L8" s="13">
        <v>1752.5</v>
      </c>
      <c r="M8" s="13">
        <v>10467.499999999996</v>
      </c>
      <c r="N8" s="13"/>
      <c r="O8" s="13">
        <v>70005.000000000015</v>
      </c>
      <c r="P8" s="13">
        <v>137177.5</v>
      </c>
      <c r="Q8" s="13">
        <v>1360</v>
      </c>
      <c r="R8" s="13">
        <v>147378.57999999999</v>
      </c>
      <c r="S8" s="13"/>
      <c r="T8" s="13"/>
      <c r="U8" s="13">
        <f t="shared" ref="U8:U32" si="1">SUM(D8:T8)</f>
        <v>546147.5</v>
      </c>
      <c r="V8" s="14">
        <v>1073.2</v>
      </c>
      <c r="W8" s="15">
        <f t="shared" si="0"/>
        <v>586125.49699999997</v>
      </c>
    </row>
    <row r="9" spans="1:23" x14ac:dyDescent="0.25">
      <c r="A9" s="116"/>
      <c r="B9" s="92" t="s">
        <v>144</v>
      </c>
      <c r="C9" s="12">
        <v>1000</v>
      </c>
      <c r="D9" s="33"/>
      <c r="E9" s="173">
        <v>4805</v>
      </c>
      <c r="F9" s="13">
        <v>5270</v>
      </c>
      <c r="G9" s="13"/>
      <c r="H9" s="71"/>
      <c r="I9" s="13">
        <v>9912.5</v>
      </c>
      <c r="J9" s="13"/>
      <c r="K9" s="13"/>
      <c r="L9" s="13">
        <v>16955</v>
      </c>
      <c r="M9" s="13">
        <v>23964.999999999996</v>
      </c>
      <c r="N9" s="13"/>
      <c r="O9" s="13">
        <v>29937.499999999982</v>
      </c>
      <c r="P9" s="13">
        <v>898790</v>
      </c>
      <c r="Q9" s="13"/>
      <c r="R9" s="13"/>
      <c r="S9" s="13"/>
      <c r="T9" s="13"/>
      <c r="U9" s="13">
        <f t="shared" si="1"/>
        <v>989635</v>
      </c>
      <c r="V9" s="14">
        <v>1743.95</v>
      </c>
      <c r="W9" s="15">
        <f t="shared" si="0"/>
        <v>1725873.9582499999</v>
      </c>
    </row>
    <row r="10" spans="1:23" x14ac:dyDescent="0.25">
      <c r="A10" s="116"/>
      <c r="B10" s="92" t="s">
        <v>12</v>
      </c>
      <c r="C10" s="12">
        <v>1000</v>
      </c>
      <c r="D10" s="33">
        <v>2970</v>
      </c>
      <c r="E10" s="13"/>
      <c r="F10" s="13"/>
      <c r="G10" s="13"/>
      <c r="H10" s="13">
        <v>5975.0000000000018</v>
      </c>
      <c r="I10" s="13">
        <v>24562.5</v>
      </c>
      <c r="J10" s="13"/>
      <c r="K10" s="13"/>
      <c r="L10" s="13"/>
      <c r="M10" s="13">
        <v>5747.4999999999964</v>
      </c>
      <c r="N10" s="13">
        <v>11732.790000000008</v>
      </c>
      <c r="O10" s="13"/>
      <c r="P10" s="13"/>
      <c r="Q10" s="13"/>
      <c r="R10" s="13">
        <v>224897.5</v>
      </c>
      <c r="S10" s="13"/>
      <c r="T10" s="13"/>
      <c r="U10" s="13">
        <f t="shared" si="1"/>
        <v>275885.29000000004</v>
      </c>
      <c r="V10" s="14">
        <v>2414.6999999999998</v>
      </c>
      <c r="W10" s="15">
        <f t="shared" si="0"/>
        <v>666180.20976300002</v>
      </c>
    </row>
    <row r="11" spans="1:23" x14ac:dyDescent="0.25">
      <c r="A11" s="116"/>
      <c r="B11" s="92" t="s">
        <v>13</v>
      </c>
      <c r="C11" s="12">
        <v>1000</v>
      </c>
      <c r="D11" s="33">
        <v>8792.5</v>
      </c>
      <c r="E11" s="173">
        <v>20505</v>
      </c>
      <c r="F11" s="13"/>
      <c r="G11" s="13"/>
      <c r="H11" s="71"/>
      <c r="I11" s="13">
        <v>33180.000000000007</v>
      </c>
      <c r="J11" s="13"/>
      <c r="K11" s="13"/>
      <c r="L11" s="13"/>
      <c r="M11" s="13"/>
      <c r="N11" s="13"/>
      <c r="O11" s="13"/>
      <c r="P11" s="13"/>
      <c r="Q11" s="13"/>
      <c r="R11" s="13"/>
      <c r="S11" s="13"/>
      <c r="T11" s="13"/>
      <c r="U11" s="13">
        <f t="shared" si="1"/>
        <v>62477.500000000007</v>
      </c>
      <c r="V11" s="14">
        <v>6677.8</v>
      </c>
      <c r="W11" s="15">
        <f t="shared" si="0"/>
        <v>417212.24950000003</v>
      </c>
    </row>
    <row r="12" spans="1:23" x14ac:dyDescent="0.25">
      <c r="A12" s="116"/>
      <c r="B12" s="92" t="s">
        <v>14</v>
      </c>
      <c r="C12" s="12">
        <v>1000</v>
      </c>
      <c r="D12" s="33">
        <v>1215</v>
      </c>
      <c r="E12" s="13"/>
      <c r="F12" s="13"/>
      <c r="G12" s="13"/>
      <c r="H12" s="71"/>
      <c r="I12" s="13">
        <v>79555</v>
      </c>
      <c r="J12" s="13"/>
      <c r="K12" s="13"/>
      <c r="L12" s="13"/>
      <c r="M12" s="13"/>
      <c r="N12" s="13"/>
      <c r="O12" s="13"/>
      <c r="P12" s="13"/>
      <c r="Q12" s="13"/>
      <c r="R12" s="13">
        <v>468525</v>
      </c>
      <c r="S12" s="13"/>
      <c r="T12" s="13"/>
      <c r="U12" s="13">
        <f t="shared" si="1"/>
        <v>549295</v>
      </c>
      <c r="V12" s="14">
        <v>6751.2</v>
      </c>
      <c r="W12" s="15">
        <f t="shared" si="0"/>
        <v>3708400.4040000001</v>
      </c>
    </row>
    <row r="13" spans="1:23" x14ac:dyDescent="0.25">
      <c r="A13" s="116"/>
      <c r="B13" s="92" t="s">
        <v>380</v>
      </c>
      <c r="C13" s="12">
        <v>1000</v>
      </c>
      <c r="D13" s="45"/>
      <c r="E13" s="13"/>
      <c r="F13" s="13"/>
      <c r="G13" s="13">
        <v>58687.5</v>
      </c>
      <c r="H13" s="71"/>
      <c r="I13" s="13"/>
      <c r="J13" s="13"/>
      <c r="K13" s="13"/>
      <c r="L13" s="13"/>
      <c r="M13" s="13"/>
      <c r="N13" s="13"/>
      <c r="O13" s="13"/>
      <c r="P13" s="13">
        <v>496885</v>
      </c>
      <c r="Q13" s="13"/>
      <c r="R13" s="13"/>
      <c r="S13" s="13"/>
      <c r="T13" s="13"/>
      <c r="U13" s="13">
        <f t="shared" si="1"/>
        <v>555572.5</v>
      </c>
      <c r="V13" s="39">
        <v>6751.2</v>
      </c>
      <c r="W13" s="15">
        <f t="shared" si="0"/>
        <v>3750781.0619999999</v>
      </c>
    </row>
    <row r="14" spans="1:23" x14ac:dyDescent="0.25">
      <c r="A14" s="116"/>
      <c r="B14" s="92" t="s">
        <v>15</v>
      </c>
      <c r="C14" s="12">
        <v>1000</v>
      </c>
      <c r="D14" s="33">
        <v>18740</v>
      </c>
      <c r="E14" s="13"/>
      <c r="F14" s="13"/>
      <c r="G14" s="13"/>
      <c r="H14" s="71"/>
      <c r="I14" s="13"/>
      <c r="J14" s="13"/>
      <c r="K14" s="13"/>
      <c r="L14" s="13"/>
      <c r="M14" s="13"/>
      <c r="N14" s="13"/>
      <c r="O14" s="13"/>
      <c r="P14" s="13"/>
      <c r="Q14" s="13"/>
      <c r="R14" s="13"/>
      <c r="S14" s="13"/>
      <c r="T14" s="13"/>
      <c r="U14" s="13">
        <f t="shared" si="1"/>
        <v>18740</v>
      </c>
      <c r="V14" s="14">
        <v>6824.6</v>
      </c>
      <c r="W14" s="15">
        <f t="shared" si="0"/>
        <v>127893.004</v>
      </c>
    </row>
    <row r="15" spans="1:23" x14ac:dyDescent="0.25">
      <c r="A15" s="116"/>
      <c r="B15" s="92" t="s">
        <v>187</v>
      </c>
      <c r="C15" s="12">
        <v>1000</v>
      </c>
      <c r="D15" s="33"/>
      <c r="E15" s="13"/>
      <c r="F15" s="13"/>
      <c r="G15" s="13"/>
      <c r="H15" s="71"/>
      <c r="I15" s="13">
        <v>53390</v>
      </c>
      <c r="J15" s="13"/>
      <c r="K15" s="13"/>
      <c r="L15" s="13"/>
      <c r="M15" s="13"/>
      <c r="N15" s="13"/>
      <c r="O15" s="13"/>
      <c r="P15" s="13"/>
      <c r="Q15" s="13"/>
      <c r="R15" s="13"/>
      <c r="S15" s="13"/>
      <c r="T15" s="13"/>
      <c r="U15" s="13">
        <f t="shared" si="1"/>
        <v>53390</v>
      </c>
      <c r="V15" s="33">
        <v>6971.4</v>
      </c>
      <c r="W15" s="15">
        <f t="shared" si="0"/>
        <v>372203.04599999997</v>
      </c>
    </row>
    <row r="16" spans="1:23" x14ac:dyDescent="0.25">
      <c r="A16" s="116"/>
      <c r="B16" s="92" t="s">
        <v>381</v>
      </c>
      <c r="C16" s="12">
        <v>1000</v>
      </c>
      <c r="D16" s="33"/>
      <c r="E16" s="13"/>
      <c r="F16" s="13"/>
      <c r="G16" s="13">
        <v>75040</v>
      </c>
      <c r="H16" s="71"/>
      <c r="I16" s="13"/>
      <c r="J16" s="13"/>
      <c r="K16" s="13"/>
      <c r="L16" s="13"/>
      <c r="M16" s="13"/>
      <c r="N16" s="13"/>
      <c r="O16" s="13"/>
      <c r="P16" s="13"/>
      <c r="Q16" s="13"/>
      <c r="R16" s="13"/>
      <c r="S16" s="13"/>
      <c r="T16" s="13"/>
      <c r="U16" s="13">
        <f t="shared" si="1"/>
        <v>75040</v>
      </c>
      <c r="V16" s="39">
        <v>6971.4</v>
      </c>
      <c r="W16" s="15">
        <f t="shared" si="0"/>
        <v>523133.85600000003</v>
      </c>
    </row>
    <row r="17" spans="1:23" x14ac:dyDescent="0.25">
      <c r="A17" s="116"/>
      <c r="B17" s="92" t="s">
        <v>145</v>
      </c>
      <c r="C17" s="12">
        <v>1000</v>
      </c>
      <c r="D17" s="33"/>
      <c r="E17" s="173">
        <v>1237.5</v>
      </c>
      <c r="F17" s="13"/>
      <c r="G17" s="13"/>
      <c r="H17" s="71"/>
      <c r="I17" s="13"/>
      <c r="J17" s="13"/>
      <c r="K17" s="13"/>
      <c r="L17" s="13">
        <v>97028.25</v>
      </c>
      <c r="M17" s="13"/>
      <c r="N17" s="13"/>
      <c r="O17" s="13"/>
      <c r="P17" s="13"/>
      <c r="Q17" s="13"/>
      <c r="R17" s="13"/>
      <c r="S17" s="13"/>
      <c r="T17" s="13"/>
      <c r="U17" s="13">
        <f t="shared" si="1"/>
        <v>98265.75</v>
      </c>
      <c r="V17" s="14">
        <v>7044.8</v>
      </c>
      <c r="W17" s="15">
        <f t="shared" si="0"/>
        <v>692262.55560000008</v>
      </c>
    </row>
    <row r="18" spans="1:23" x14ac:dyDescent="0.25">
      <c r="A18" s="116"/>
      <c r="B18" s="92" t="s">
        <v>188</v>
      </c>
      <c r="C18" s="12">
        <v>1000</v>
      </c>
      <c r="D18" s="33"/>
      <c r="E18" s="13"/>
      <c r="F18" s="13"/>
      <c r="G18" s="13"/>
      <c r="H18" s="71"/>
      <c r="I18" s="13">
        <v>187560</v>
      </c>
      <c r="J18" s="13"/>
      <c r="K18" s="13"/>
      <c r="L18" s="13"/>
      <c r="M18" s="13"/>
      <c r="N18" s="13"/>
      <c r="O18" s="13"/>
      <c r="P18" s="13"/>
      <c r="Q18" s="13"/>
      <c r="R18" s="13"/>
      <c r="S18" s="13"/>
      <c r="T18" s="13"/>
      <c r="U18" s="13">
        <f t="shared" si="1"/>
        <v>187560</v>
      </c>
      <c r="V18" s="33">
        <v>7191.6</v>
      </c>
      <c r="W18" s="15">
        <f t="shared" si="0"/>
        <v>1348856.496</v>
      </c>
    </row>
    <row r="19" spans="1:23" x14ac:dyDescent="0.25">
      <c r="A19" s="116"/>
      <c r="B19" s="92" t="s">
        <v>16</v>
      </c>
      <c r="C19" s="12">
        <v>1000</v>
      </c>
      <c r="D19" s="33">
        <v>54772.5</v>
      </c>
      <c r="E19" s="13"/>
      <c r="F19" s="13"/>
      <c r="G19" s="13"/>
      <c r="H19" s="71"/>
      <c r="I19" s="13"/>
      <c r="J19" s="13"/>
      <c r="K19" s="13"/>
      <c r="L19" s="13"/>
      <c r="M19" s="13"/>
      <c r="N19" s="13"/>
      <c r="O19" s="13"/>
      <c r="P19" s="13"/>
      <c r="Q19" s="13"/>
      <c r="R19" s="13"/>
      <c r="S19" s="13"/>
      <c r="T19" s="13"/>
      <c r="U19" s="13">
        <f t="shared" si="1"/>
        <v>54772.5</v>
      </c>
      <c r="V19" s="14">
        <v>7338.4</v>
      </c>
      <c r="W19" s="15">
        <f t="shared" si="0"/>
        <v>401942.51400000002</v>
      </c>
    </row>
    <row r="20" spans="1:23" x14ac:dyDescent="0.25">
      <c r="A20" s="116"/>
      <c r="B20" s="92" t="s">
        <v>146</v>
      </c>
      <c r="C20" s="12">
        <v>1000</v>
      </c>
      <c r="D20" s="33"/>
      <c r="E20" s="173">
        <v>15772.5</v>
      </c>
      <c r="F20" s="13">
        <v>109947.5</v>
      </c>
      <c r="G20" s="13"/>
      <c r="H20" s="71"/>
      <c r="I20" s="13"/>
      <c r="J20" s="13"/>
      <c r="K20" s="13"/>
      <c r="L20" s="13"/>
      <c r="M20" s="13"/>
      <c r="N20" s="13"/>
      <c r="O20" s="13"/>
      <c r="P20" s="13"/>
      <c r="Q20" s="13"/>
      <c r="R20" s="13"/>
      <c r="S20" s="13"/>
      <c r="T20" s="13"/>
      <c r="U20" s="13">
        <f t="shared" si="1"/>
        <v>125720</v>
      </c>
      <c r="V20" s="14">
        <v>7411.8</v>
      </c>
      <c r="W20" s="15">
        <f t="shared" si="0"/>
        <v>931811.49600000004</v>
      </c>
    </row>
    <row r="21" spans="1:23" x14ac:dyDescent="0.25">
      <c r="A21" s="116"/>
      <c r="B21" s="115" t="s">
        <v>156</v>
      </c>
      <c r="C21" s="12">
        <v>1000</v>
      </c>
      <c r="D21" s="33"/>
      <c r="E21" s="13"/>
      <c r="F21" s="13">
        <v>70367.5</v>
      </c>
      <c r="G21" s="13"/>
      <c r="H21" s="71"/>
      <c r="I21" s="13"/>
      <c r="J21" s="13"/>
      <c r="K21" s="13"/>
      <c r="L21" s="13"/>
      <c r="M21" s="13"/>
      <c r="N21" s="13"/>
      <c r="O21" s="13"/>
      <c r="P21" s="13"/>
      <c r="Q21" s="13"/>
      <c r="R21" s="13"/>
      <c r="S21" s="13"/>
      <c r="T21" s="13"/>
      <c r="U21" s="13">
        <f t="shared" si="1"/>
        <v>70367.5</v>
      </c>
      <c r="V21" s="14">
        <v>7558.6</v>
      </c>
      <c r="W21" s="15">
        <f t="shared" si="0"/>
        <v>531879.7855</v>
      </c>
    </row>
    <row r="22" spans="1:23" x14ac:dyDescent="0.25">
      <c r="A22" s="116"/>
      <c r="B22" s="92" t="s">
        <v>147</v>
      </c>
      <c r="C22" s="12">
        <v>1000</v>
      </c>
      <c r="D22" s="33"/>
      <c r="E22" s="173">
        <v>4869.33</v>
      </c>
      <c r="F22" s="13"/>
      <c r="G22" s="13"/>
      <c r="H22" s="71"/>
      <c r="I22" s="13"/>
      <c r="J22" s="13"/>
      <c r="K22" s="13"/>
      <c r="L22" s="13"/>
      <c r="M22" s="13"/>
      <c r="N22" s="13"/>
      <c r="O22" s="13"/>
      <c r="P22" s="13"/>
      <c r="Q22" s="13"/>
      <c r="R22" s="13"/>
      <c r="S22" s="13"/>
      <c r="T22" s="13"/>
      <c r="U22" s="13">
        <f t="shared" si="1"/>
        <v>4869.33</v>
      </c>
      <c r="V22" s="14">
        <v>7934.1</v>
      </c>
      <c r="W22" s="15">
        <f t="shared" si="0"/>
        <v>38633.751153000005</v>
      </c>
    </row>
    <row r="23" spans="1:23" x14ac:dyDescent="0.25">
      <c r="A23" s="203">
        <v>4</v>
      </c>
      <c r="B23" s="115" t="s">
        <v>157</v>
      </c>
      <c r="C23" s="12">
        <v>1000</v>
      </c>
      <c r="D23" s="33"/>
      <c r="E23" s="13"/>
      <c r="F23" s="13"/>
      <c r="G23" s="13"/>
      <c r="H23" s="71"/>
      <c r="I23" s="13"/>
      <c r="J23" s="13"/>
      <c r="K23" s="13"/>
      <c r="L23" s="13"/>
      <c r="M23" s="13"/>
      <c r="N23" s="13"/>
      <c r="O23" s="13"/>
      <c r="P23" s="13"/>
      <c r="Q23" s="13"/>
      <c r="R23" s="13"/>
      <c r="S23" s="13"/>
      <c r="T23" s="13"/>
      <c r="U23" s="13">
        <f t="shared" si="1"/>
        <v>0</v>
      </c>
      <c r="V23" s="13">
        <v>0</v>
      </c>
      <c r="W23" s="13">
        <v>0</v>
      </c>
    </row>
    <row r="24" spans="1:23" x14ac:dyDescent="0.25">
      <c r="A24" s="116"/>
      <c r="B24" s="92" t="s">
        <v>384</v>
      </c>
      <c r="C24" s="12">
        <v>1000</v>
      </c>
      <c r="D24" s="33"/>
      <c r="E24" s="13"/>
      <c r="F24" s="13"/>
      <c r="G24" s="13"/>
      <c r="H24" s="71"/>
      <c r="I24" s="13"/>
      <c r="J24" s="13"/>
      <c r="K24" s="13"/>
      <c r="L24" s="13"/>
      <c r="M24" s="13"/>
      <c r="N24" s="13"/>
      <c r="O24" s="13"/>
      <c r="P24" s="13"/>
      <c r="Q24" s="13"/>
      <c r="R24" s="13">
        <v>140702.28500000003</v>
      </c>
      <c r="S24" s="13"/>
      <c r="T24" s="13"/>
      <c r="U24" s="13">
        <f t="shared" si="1"/>
        <v>140702.28500000003</v>
      </c>
      <c r="V24" s="13">
        <v>10936.05</v>
      </c>
      <c r="W24" s="15">
        <f t="shared" si="0"/>
        <v>1538727.2238742502</v>
      </c>
    </row>
    <row r="25" spans="1:23" x14ac:dyDescent="0.25">
      <c r="A25" s="116"/>
      <c r="B25" s="115" t="s">
        <v>11</v>
      </c>
      <c r="C25" s="12">
        <v>1000</v>
      </c>
      <c r="D25" s="33"/>
      <c r="E25" s="13"/>
      <c r="F25" s="13">
        <v>60633</v>
      </c>
      <c r="G25" s="13"/>
      <c r="H25" s="71"/>
      <c r="I25" s="13"/>
      <c r="J25" s="13"/>
      <c r="K25" s="13"/>
      <c r="L25" s="13"/>
      <c r="M25" s="13"/>
      <c r="N25" s="13"/>
      <c r="O25" s="13"/>
      <c r="P25" s="13">
        <v>1780642.5</v>
      </c>
      <c r="Q25" s="13">
        <v>45770</v>
      </c>
      <c r="R25" s="13"/>
      <c r="S25" s="13"/>
      <c r="T25" s="13"/>
      <c r="U25" s="13">
        <f t="shared" si="1"/>
        <v>1887045.5</v>
      </c>
      <c r="V25" s="14">
        <v>11606.8</v>
      </c>
      <c r="W25" s="15">
        <f t="shared" si="0"/>
        <v>21902559.709399998</v>
      </c>
    </row>
    <row r="26" spans="1:23" x14ac:dyDescent="0.25">
      <c r="A26" s="116"/>
      <c r="B26" s="92" t="s">
        <v>209</v>
      </c>
      <c r="C26" s="12">
        <v>1000</v>
      </c>
      <c r="D26" s="33"/>
      <c r="E26" s="13"/>
      <c r="F26" s="13"/>
      <c r="G26" s="13"/>
      <c r="H26" s="71"/>
      <c r="I26" s="13"/>
      <c r="J26" s="13"/>
      <c r="K26" s="13"/>
      <c r="L26" s="13"/>
      <c r="M26" s="13"/>
      <c r="N26" s="13">
        <v>97969.465000000011</v>
      </c>
      <c r="O26" s="13"/>
      <c r="P26" s="13"/>
      <c r="Q26" s="13"/>
      <c r="R26" s="13"/>
      <c r="S26" s="13"/>
      <c r="T26" s="13"/>
      <c r="U26" s="13">
        <f t="shared" si="1"/>
        <v>97969.465000000011</v>
      </c>
      <c r="V26" s="13">
        <v>12948.3</v>
      </c>
      <c r="W26" s="15">
        <f t="shared" si="0"/>
        <v>1268538.0236595001</v>
      </c>
    </row>
    <row r="27" spans="1:23" x14ac:dyDescent="0.25">
      <c r="A27" s="116"/>
      <c r="B27" s="92" t="s">
        <v>208</v>
      </c>
      <c r="C27" s="12">
        <v>1000</v>
      </c>
      <c r="D27" s="45"/>
      <c r="E27" s="13"/>
      <c r="F27" s="13"/>
      <c r="G27" s="13"/>
      <c r="H27" s="71"/>
      <c r="I27" s="13"/>
      <c r="J27" s="13"/>
      <c r="K27" s="13"/>
      <c r="L27" s="13"/>
      <c r="M27" s="13">
        <v>159193.80000000005</v>
      </c>
      <c r="N27" s="13"/>
      <c r="O27" s="13"/>
      <c r="P27" s="13"/>
      <c r="Q27" s="13"/>
      <c r="R27" s="13"/>
      <c r="S27" s="13"/>
      <c r="T27" s="13"/>
      <c r="U27" s="13">
        <f t="shared" si="1"/>
        <v>159193.80000000005</v>
      </c>
      <c r="V27" s="13">
        <v>18092.2</v>
      </c>
      <c r="W27" s="15">
        <f t="shared" si="0"/>
        <v>2880166.0683600013</v>
      </c>
    </row>
    <row r="28" spans="1:23" ht="30" x14ac:dyDescent="0.25">
      <c r="A28" s="204">
        <v>5</v>
      </c>
      <c r="B28" s="130" t="s">
        <v>418</v>
      </c>
      <c r="C28" s="12">
        <v>1000</v>
      </c>
      <c r="D28" s="45"/>
      <c r="E28" s="13"/>
      <c r="F28" s="13"/>
      <c r="G28" s="13"/>
      <c r="H28" s="71"/>
      <c r="I28" s="13"/>
      <c r="J28" s="13"/>
      <c r="K28" s="13"/>
      <c r="L28" s="13"/>
      <c r="M28" s="13"/>
      <c r="N28" s="13"/>
      <c r="O28" s="13"/>
      <c r="P28" s="13"/>
      <c r="Q28" s="13"/>
      <c r="R28" s="13">
        <v>910707.77524999995</v>
      </c>
      <c r="S28" s="13"/>
      <c r="T28" s="13"/>
      <c r="U28" s="13">
        <f t="shared" si="1"/>
        <v>910707.77524999995</v>
      </c>
      <c r="V28" s="13">
        <v>5266.8</v>
      </c>
      <c r="W28" s="15">
        <f t="shared" si="0"/>
        <v>4796515.7106866995</v>
      </c>
    </row>
    <row r="29" spans="1:23" ht="45" x14ac:dyDescent="0.25">
      <c r="A29" s="205">
        <v>6</v>
      </c>
      <c r="B29" s="92" t="s">
        <v>189</v>
      </c>
      <c r="C29" s="37">
        <v>1</v>
      </c>
      <c r="D29" s="100"/>
      <c r="E29" s="13"/>
      <c r="F29" s="13"/>
      <c r="G29" s="13"/>
      <c r="H29" s="71"/>
      <c r="I29" s="13"/>
      <c r="J29" s="13">
        <v>390</v>
      </c>
      <c r="K29" s="13">
        <v>130</v>
      </c>
      <c r="L29" s="13">
        <v>104</v>
      </c>
      <c r="M29" s="13">
        <v>130</v>
      </c>
      <c r="N29" s="13">
        <v>30</v>
      </c>
      <c r="O29" s="13">
        <v>260</v>
      </c>
      <c r="P29" s="13">
        <v>170</v>
      </c>
      <c r="Q29" s="13">
        <v>40</v>
      </c>
      <c r="R29" s="13"/>
      <c r="S29" s="13"/>
      <c r="T29" s="13"/>
      <c r="U29" s="192">
        <v>1254</v>
      </c>
      <c r="V29" s="39">
        <v>1326.2</v>
      </c>
      <c r="W29" s="15">
        <f t="shared" si="0"/>
        <v>1663054.8</v>
      </c>
    </row>
    <row r="30" spans="1:23" ht="45" x14ac:dyDescent="0.25">
      <c r="A30" s="206">
        <v>7</v>
      </c>
      <c r="B30" s="92" t="s">
        <v>17</v>
      </c>
      <c r="C30" s="18">
        <v>1</v>
      </c>
      <c r="D30" s="33">
        <v>410</v>
      </c>
      <c r="E30" s="173">
        <v>255</v>
      </c>
      <c r="F30" s="13">
        <v>215</v>
      </c>
      <c r="G30" s="13">
        <v>95</v>
      </c>
      <c r="H30" s="13">
        <v>720</v>
      </c>
      <c r="I30" s="13">
        <v>45</v>
      </c>
      <c r="J30" s="13"/>
      <c r="K30" s="13"/>
      <c r="L30" s="13"/>
      <c r="M30" s="13"/>
      <c r="N30" s="13"/>
      <c r="O30" s="13"/>
      <c r="P30" s="13"/>
      <c r="Q30" s="13"/>
      <c r="R30" s="13"/>
      <c r="S30" s="13"/>
      <c r="T30" s="13"/>
      <c r="U30" s="13">
        <f t="shared" si="1"/>
        <v>1740</v>
      </c>
      <c r="V30" s="14">
        <v>1935.4</v>
      </c>
      <c r="W30" s="15">
        <f t="shared" si="0"/>
        <v>3367596</v>
      </c>
    </row>
    <row r="31" spans="1:23" x14ac:dyDescent="0.25">
      <c r="A31" s="207">
        <v>8</v>
      </c>
      <c r="B31" s="131" t="s">
        <v>18</v>
      </c>
      <c r="C31" s="19">
        <v>1000</v>
      </c>
      <c r="D31" s="33">
        <v>315680</v>
      </c>
      <c r="E31" s="173">
        <v>180070</v>
      </c>
      <c r="F31" s="13">
        <v>177000</v>
      </c>
      <c r="G31" s="13">
        <v>460000</v>
      </c>
      <c r="H31" s="13">
        <v>2800000</v>
      </c>
      <c r="I31" s="13">
        <v>1680000</v>
      </c>
      <c r="J31" s="13"/>
      <c r="K31" s="13"/>
      <c r="L31" s="13"/>
      <c r="M31" s="13"/>
      <c r="N31" s="13"/>
      <c r="O31" s="13">
        <v>1272300</v>
      </c>
      <c r="P31" s="13"/>
      <c r="Q31" s="13"/>
      <c r="R31" s="13"/>
      <c r="S31" s="13"/>
      <c r="T31" s="13"/>
      <c r="U31" s="13">
        <f t="shared" si="1"/>
        <v>6885050</v>
      </c>
      <c r="V31" s="14">
        <v>376.2</v>
      </c>
      <c r="W31" s="15">
        <f t="shared" si="0"/>
        <v>2590155.81</v>
      </c>
    </row>
    <row r="32" spans="1:23" ht="30" x14ac:dyDescent="0.25">
      <c r="A32" s="208">
        <v>9</v>
      </c>
      <c r="B32" s="92" t="s">
        <v>327</v>
      </c>
      <c r="C32" s="37">
        <v>1</v>
      </c>
      <c r="D32" s="33"/>
      <c r="E32" s="13"/>
      <c r="F32" s="13"/>
      <c r="G32" s="13"/>
      <c r="H32" s="13"/>
      <c r="I32" s="13"/>
      <c r="J32" s="13"/>
      <c r="K32" s="13"/>
      <c r="L32" s="13"/>
      <c r="M32" s="13"/>
      <c r="N32" s="13"/>
      <c r="O32" s="13">
        <v>5</v>
      </c>
      <c r="P32" s="13"/>
      <c r="Q32" s="13"/>
      <c r="R32" s="13"/>
      <c r="S32" s="13"/>
      <c r="T32" s="13"/>
      <c r="U32" s="13">
        <f t="shared" si="1"/>
        <v>5</v>
      </c>
      <c r="V32" s="13">
        <v>14630</v>
      </c>
      <c r="W32" s="15">
        <f t="shared" si="0"/>
        <v>73150</v>
      </c>
    </row>
    <row r="33" spans="1:23" ht="22.5" x14ac:dyDescent="0.25">
      <c r="A33" s="209">
        <v>2</v>
      </c>
      <c r="B33" s="198" t="s">
        <v>393</v>
      </c>
      <c r="C33" s="88"/>
      <c r="D33" s="88"/>
      <c r="E33" s="88"/>
      <c r="F33" s="88"/>
      <c r="G33" s="88"/>
      <c r="H33" s="88"/>
      <c r="I33" s="88"/>
      <c r="J33" s="88"/>
      <c r="K33" s="88"/>
      <c r="L33" s="88"/>
      <c r="M33" s="88"/>
      <c r="N33" s="88"/>
      <c r="O33" s="88"/>
      <c r="P33" s="88"/>
      <c r="Q33" s="88"/>
      <c r="R33" s="88"/>
      <c r="S33" s="88"/>
      <c r="T33" s="88"/>
      <c r="U33" s="88"/>
      <c r="V33" s="88"/>
      <c r="W33" s="88"/>
    </row>
    <row r="34" spans="1:23" ht="60" x14ac:dyDescent="0.25">
      <c r="A34" s="210">
        <v>1</v>
      </c>
      <c r="B34" s="94" t="s">
        <v>19</v>
      </c>
      <c r="C34" s="12">
        <v>1000</v>
      </c>
      <c r="D34" s="21">
        <v>98</v>
      </c>
      <c r="E34" s="21">
        <v>98</v>
      </c>
      <c r="F34" s="21">
        <v>98</v>
      </c>
      <c r="G34" s="21">
        <v>98</v>
      </c>
      <c r="H34" s="21">
        <v>98</v>
      </c>
      <c r="I34" s="21">
        <v>98</v>
      </c>
      <c r="J34" s="21">
        <v>98</v>
      </c>
      <c r="K34" s="21">
        <v>98</v>
      </c>
      <c r="L34" s="21">
        <v>98</v>
      </c>
      <c r="M34" s="21">
        <v>98</v>
      </c>
      <c r="N34" s="21">
        <v>98</v>
      </c>
      <c r="O34" s="21">
        <v>98</v>
      </c>
      <c r="P34" s="21">
        <v>98</v>
      </c>
      <c r="Q34" s="21">
        <v>49</v>
      </c>
      <c r="R34" s="21">
        <v>294</v>
      </c>
      <c r="S34" s="21"/>
      <c r="T34" s="21"/>
      <c r="U34" s="13">
        <f t="shared" ref="U34:U44" si="2">SUM(D34:T34)</f>
        <v>1617</v>
      </c>
      <c r="V34" s="21">
        <v>15824.15</v>
      </c>
      <c r="W34" s="15">
        <f t="shared" si="0"/>
        <v>25587.650550000002</v>
      </c>
    </row>
    <row r="35" spans="1:23" s="152" customFormat="1" ht="45" x14ac:dyDescent="0.2">
      <c r="A35" s="211">
        <v>2</v>
      </c>
      <c r="B35" s="94" t="s">
        <v>20</v>
      </c>
      <c r="C35" s="12">
        <v>100</v>
      </c>
      <c r="D35" s="25"/>
      <c r="E35" s="14"/>
      <c r="F35" s="14"/>
      <c r="G35" s="14"/>
      <c r="H35" s="14"/>
      <c r="I35" s="14"/>
      <c r="J35" s="14"/>
      <c r="K35" s="14"/>
      <c r="L35" s="14"/>
      <c r="M35" s="14"/>
      <c r="N35" s="14"/>
      <c r="O35" s="14"/>
      <c r="P35" s="14"/>
      <c r="Q35" s="14"/>
      <c r="R35" s="14"/>
      <c r="S35" s="14"/>
      <c r="T35" s="14"/>
      <c r="U35" s="13">
        <f t="shared" si="2"/>
        <v>0</v>
      </c>
      <c r="V35" s="13">
        <v>0</v>
      </c>
      <c r="W35" s="13">
        <v>0</v>
      </c>
    </row>
    <row r="36" spans="1:23" s="152" customFormat="1" ht="15" x14ac:dyDescent="0.2">
      <c r="A36" s="44"/>
      <c r="B36" s="94" t="s">
        <v>21</v>
      </c>
      <c r="C36" s="12">
        <v>100</v>
      </c>
      <c r="D36" s="21">
        <v>24.5</v>
      </c>
      <c r="E36" s="21">
        <v>24.5</v>
      </c>
      <c r="F36" s="21">
        <v>24.5</v>
      </c>
      <c r="G36" s="21">
        <v>24.5</v>
      </c>
      <c r="H36" s="21">
        <v>24.5</v>
      </c>
      <c r="I36" s="21">
        <v>24.5</v>
      </c>
      <c r="J36" s="21">
        <v>24.5</v>
      </c>
      <c r="K36" s="21">
        <v>24.5</v>
      </c>
      <c r="L36" s="21">
        <v>24.5</v>
      </c>
      <c r="M36" s="21">
        <v>24.5</v>
      </c>
      <c r="N36" s="21">
        <v>24.5</v>
      </c>
      <c r="O36" s="21">
        <v>24.5</v>
      </c>
      <c r="P36" s="21">
        <v>24.5</v>
      </c>
      <c r="Q36" s="21">
        <v>12.25</v>
      </c>
      <c r="R36" s="21">
        <v>73.5</v>
      </c>
      <c r="S36" s="21"/>
      <c r="T36" s="21"/>
      <c r="U36" s="13">
        <f t="shared" si="2"/>
        <v>404.25</v>
      </c>
      <c r="V36" s="21">
        <v>34694.300000000003</v>
      </c>
      <c r="W36" s="15">
        <f t="shared" si="0"/>
        <v>140251.70775</v>
      </c>
    </row>
    <row r="37" spans="1:23" s="152" customFormat="1" ht="30" x14ac:dyDescent="0.2">
      <c r="A37" s="212">
        <v>3</v>
      </c>
      <c r="B37" s="94" t="s">
        <v>22</v>
      </c>
      <c r="C37" s="12">
        <v>100</v>
      </c>
      <c r="D37" s="21">
        <v>97.5</v>
      </c>
      <c r="E37" s="21">
        <v>97.5</v>
      </c>
      <c r="F37" s="21">
        <v>97.5</v>
      </c>
      <c r="G37" s="21">
        <v>97.5</v>
      </c>
      <c r="H37" s="21">
        <v>97.5</v>
      </c>
      <c r="I37" s="21">
        <v>97.5</v>
      </c>
      <c r="J37" s="21">
        <v>97.5</v>
      </c>
      <c r="K37" s="21">
        <v>97.5</v>
      </c>
      <c r="L37" s="21">
        <v>97.5</v>
      </c>
      <c r="M37" s="21">
        <v>97.5</v>
      </c>
      <c r="N37" s="21">
        <v>97.5</v>
      </c>
      <c r="O37" s="21">
        <v>97.5</v>
      </c>
      <c r="P37" s="21">
        <v>97.5</v>
      </c>
      <c r="Q37" s="21">
        <v>48.75</v>
      </c>
      <c r="R37" s="21">
        <v>292.5</v>
      </c>
      <c r="S37" s="21"/>
      <c r="T37" s="21"/>
      <c r="U37" s="13">
        <f t="shared" si="2"/>
        <v>1608.75</v>
      </c>
      <c r="V37" s="21">
        <v>32675.95</v>
      </c>
      <c r="W37" s="15">
        <f t="shared" si="0"/>
        <v>525674.34562499996</v>
      </c>
    </row>
    <row r="38" spans="1:23" s="152" customFormat="1" ht="45" x14ac:dyDescent="0.2">
      <c r="A38" s="213">
        <v>4</v>
      </c>
      <c r="B38" s="94" t="s">
        <v>23</v>
      </c>
      <c r="C38" s="19">
        <v>100</v>
      </c>
      <c r="D38" s="21">
        <v>39</v>
      </c>
      <c r="E38" s="21">
        <v>39</v>
      </c>
      <c r="F38" s="21">
        <v>39</v>
      </c>
      <c r="G38" s="21">
        <v>39</v>
      </c>
      <c r="H38" s="21">
        <v>39</v>
      </c>
      <c r="I38" s="21">
        <v>39</v>
      </c>
      <c r="J38" s="21">
        <v>39</v>
      </c>
      <c r="K38" s="21">
        <v>39</v>
      </c>
      <c r="L38" s="21">
        <v>39</v>
      </c>
      <c r="M38" s="21">
        <v>39</v>
      </c>
      <c r="N38" s="21">
        <v>39</v>
      </c>
      <c r="O38" s="21">
        <v>39</v>
      </c>
      <c r="P38" s="21">
        <v>39</v>
      </c>
      <c r="Q38" s="21">
        <v>19.5</v>
      </c>
      <c r="R38" s="21">
        <v>117</v>
      </c>
      <c r="S38" s="21"/>
      <c r="T38" s="21"/>
      <c r="U38" s="13">
        <f t="shared" si="2"/>
        <v>643.5</v>
      </c>
      <c r="V38" s="21">
        <v>11851.7</v>
      </c>
      <c r="W38" s="15">
        <f t="shared" si="0"/>
        <v>76265.689500000008</v>
      </c>
    </row>
    <row r="39" spans="1:23" ht="30" x14ac:dyDescent="0.25">
      <c r="A39" s="214">
        <v>5</v>
      </c>
      <c r="B39" s="94" t="s">
        <v>24</v>
      </c>
      <c r="C39" s="12">
        <v>100</v>
      </c>
      <c r="D39" s="21">
        <v>81.703125</v>
      </c>
      <c r="E39" s="21">
        <v>81.703125</v>
      </c>
      <c r="F39" s="21">
        <v>81.703125</v>
      </c>
      <c r="G39" s="21">
        <v>81.703125</v>
      </c>
      <c r="H39" s="21">
        <v>81.703125</v>
      </c>
      <c r="I39" s="21">
        <v>81.703125</v>
      </c>
      <c r="J39" s="21">
        <v>81.703125</v>
      </c>
      <c r="K39" s="21">
        <v>81.703125</v>
      </c>
      <c r="L39" s="21">
        <v>81.703125</v>
      </c>
      <c r="M39" s="21">
        <v>81.703125</v>
      </c>
      <c r="N39" s="21">
        <v>81.703125</v>
      </c>
      <c r="O39" s="21">
        <v>81.703125</v>
      </c>
      <c r="P39" s="21">
        <v>81.703125</v>
      </c>
      <c r="Q39" s="21">
        <v>40.8515625</v>
      </c>
      <c r="R39" s="21">
        <v>245.109375</v>
      </c>
      <c r="S39" s="21"/>
      <c r="T39" s="21"/>
      <c r="U39" s="13">
        <f t="shared" si="2"/>
        <v>1348.1015625</v>
      </c>
      <c r="V39" s="21">
        <v>37620.6</v>
      </c>
      <c r="W39" s="15">
        <f t="shared" si="0"/>
        <v>507163.89642187499</v>
      </c>
    </row>
    <row r="40" spans="1:23" x14ac:dyDescent="0.25">
      <c r="A40" s="215">
        <v>6</v>
      </c>
      <c r="B40" s="94" t="s">
        <v>25</v>
      </c>
      <c r="C40" s="19">
        <v>100</v>
      </c>
      <c r="D40" s="21">
        <v>230.64999999999998</v>
      </c>
      <c r="E40" s="21">
        <v>230.64999999999998</v>
      </c>
      <c r="F40" s="21">
        <v>230.64999999999998</v>
      </c>
      <c r="G40" s="21">
        <v>230.64999999999998</v>
      </c>
      <c r="H40" s="21">
        <v>230.64999999999998</v>
      </c>
      <c r="I40" s="21">
        <v>230.64999999999998</v>
      </c>
      <c r="J40" s="21">
        <v>230.64999999999998</v>
      </c>
      <c r="K40" s="21">
        <v>230.64999999999998</v>
      </c>
      <c r="L40" s="21">
        <v>230.64999999999998</v>
      </c>
      <c r="M40" s="21">
        <v>230.64999999999998</v>
      </c>
      <c r="N40" s="21">
        <v>230.64999999999998</v>
      </c>
      <c r="O40" s="21">
        <v>230.64999999999998</v>
      </c>
      <c r="P40" s="21">
        <v>230.64999999999998</v>
      </c>
      <c r="Q40" s="21">
        <v>115.32499999999999</v>
      </c>
      <c r="R40" s="21">
        <v>691.94999999999993</v>
      </c>
      <c r="S40" s="21"/>
      <c r="T40" s="21"/>
      <c r="U40" s="13">
        <f t="shared" si="2"/>
        <v>3805.7250000000004</v>
      </c>
      <c r="V40" s="21">
        <v>4334.75</v>
      </c>
      <c r="W40" s="15">
        <f t="shared" si="0"/>
        <v>164968.6644375</v>
      </c>
    </row>
    <row r="41" spans="1:23" ht="45" x14ac:dyDescent="0.25">
      <c r="A41" s="216">
        <v>7</v>
      </c>
      <c r="B41" s="94" t="s">
        <v>26</v>
      </c>
      <c r="C41" s="19">
        <v>100</v>
      </c>
      <c r="D41" s="21">
        <v>230.64999999999998</v>
      </c>
      <c r="E41" s="21">
        <v>230.64999999999998</v>
      </c>
      <c r="F41" s="21">
        <v>230.64999999999998</v>
      </c>
      <c r="G41" s="21">
        <v>230.64999999999998</v>
      </c>
      <c r="H41" s="21">
        <v>230.64999999999998</v>
      </c>
      <c r="I41" s="21">
        <v>230.64999999999998</v>
      </c>
      <c r="J41" s="21">
        <v>230.64999999999998</v>
      </c>
      <c r="K41" s="21">
        <v>230.64999999999998</v>
      </c>
      <c r="L41" s="21">
        <v>230.64999999999998</v>
      </c>
      <c r="M41" s="21">
        <v>230.64999999999998</v>
      </c>
      <c r="N41" s="21">
        <v>230.64999999999998</v>
      </c>
      <c r="O41" s="21">
        <v>230.64999999999998</v>
      </c>
      <c r="P41" s="21">
        <v>230.64999999999998</v>
      </c>
      <c r="Q41" s="21">
        <v>115.32499999999999</v>
      </c>
      <c r="R41" s="21">
        <v>691.94999999999993</v>
      </c>
      <c r="S41" s="21"/>
      <c r="T41" s="21"/>
      <c r="U41" s="13">
        <f t="shared" si="2"/>
        <v>3805.7250000000004</v>
      </c>
      <c r="V41" s="21">
        <v>7379.1</v>
      </c>
      <c r="W41" s="15">
        <f t="shared" si="0"/>
        <v>280828.25347500003</v>
      </c>
    </row>
    <row r="42" spans="1:23" x14ac:dyDescent="0.25">
      <c r="A42" s="217">
        <v>8</v>
      </c>
      <c r="B42" s="94" t="s">
        <v>27</v>
      </c>
      <c r="C42" s="24">
        <v>1</v>
      </c>
      <c r="D42" s="21">
        <v>500</v>
      </c>
      <c r="E42" s="21">
        <v>500</v>
      </c>
      <c r="F42" s="21">
        <v>500</v>
      </c>
      <c r="G42" s="21">
        <v>500</v>
      </c>
      <c r="H42" s="21">
        <v>500</v>
      </c>
      <c r="I42" s="21">
        <v>500</v>
      </c>
      <c r="J42" s="21">
        <v>500</v>
      </c>
      <c r="K42" s="21">
        <v>500</v>
      </c>
      <c r="L42" s="21">
        <v>500</v>
      </c>
      <c r="M42" s="21">
        <v>500</v>
      </c>
      <c r="N42" s="21">
        <v>500</v>
      </c>
      <c r="O42" s="21">
        <v>500</v>
      </c>
      <c r="P42" s="21">
        <v>500</v>
      </c>
      <c r="Q42" s="21">
        <v>250</v>
      </c>
      <c r="R42" s="21">
        <v>1500</v>
      </c>
      <c r="S42" s="21"/>
      <c r="T42" s="21"/>
      <c r="U42" s="13">
        <f t="shared" si="2"/>
        <v>8250</v>
      </c>
      <c r="V42" s="21">
        <v>30.5</v>
      </c>
      <c r="W42" s="15">
        <f t="shared" si="0"/>
        <v>251625</v>
      </c>
    </row>
    <row r="43" spans="1:23" ht="75" x14ac:dyDescent="0.25">
      <c r="A43" s="218">
        <v>9</v>
      </c>
      <c r="B43" s="94" t="s">
        <v>28</v>
      </c>
      <c r="C43" s="17"/>
      <c r="D43" s="17"/>
      <c r="E43" s="17"/>
      <c r="F43" s="17"/>
      <c r="G43" s="17"/>
      <c r="H43" s="17"/>
      <c r="I43" s="17"/>
      <c r="J43" s="17"/>
      <c r="K43" s="17"/>
      <c r="L43" s="17"/>
      <c r="M43" s="17"/>
      <c r="N43" s="17"/>
      <c r="O43" s="17"/>
      <c r="P43" s="17"/>
      <c r="Q43" s="17"/>
      <c r="R43" s="17"/>
      <c r="S43" s="17"/>
      <c r="T43" s="17"/>
      <c r="U43" s="13">
        <f t="shared" si="2"/>
        <v>0</v>
      </c>
      <c r="V43" s="17"/>
      <c r="W43" s="17"/>
    </row>
    <row r="44" spans="1:23" x14ac:dyDescent="0.25">
      <c r="A44" s="117"/>
      <c r="B44" s="94" t="s">
        <v>29</v>
      </c>
      <c r="C44" s="12">
        <v>100</v>
      </c>
      <c r="D44" s="21">
        <v>4.29</v>
      </c>
      <c r="E44" s="21">
        <v>4.29</v>
      </c>
      <c r="F44" s="21">
        <v>4.29</v>
      </c>
      <c r="G44" s="21">
        <v>4.29</v>
      </c>
      <c r="H44" s="21">
        <v>4.29</v>
      </c>
      <c r="I44" s="21">
        <v>4.29</v>
      </c>
      <c r="J44" s="21">
        <v>4.29</v>
      </c>
      <c r="K44" s="21">
        <v>4.29</v>
      </c>
      <c r="L44" s="21">
        <v>4.29</v>
      </c>
      <c r="M44" s="21">
        <v>4.29</v>
      </c>
      <c r="N44" s="21">
        <v>4.29</v>
      </c>
      <c r="O44" s="21">
        <v>4.29</v>
      </c>
      <c r="P44" s="21">
        <v>4.29</v>
      </c>
      <c r="Q44" s="21">
        <v>2.145</v>
      </c>
      <c r="R44" s="21">
        <v>12.870000000000001</v>
      </c>
      <c r="S44" s="21"/>
      <c r="T44" s="21"/>
      <c r="U44" s="13">
        <f t="shared" si="2"/>
        <v>70.784999999999997</v>
      </c>
      <c r="V44" s="21">
        <v>14042.6</v>
      </c>
      <c r="W44" s="15">
        <f t="shared" si="0"/>
        <v>9940.0544100000006</v>
      </c>
    </row>
    <row r="45" spans="1:23" ht="22.5" x14ac:dyDescent="0.25">
      <c r="A45" s="219">
        <v>3</v>
      </c>
      <c r="B45" s="198" t="s">
        <v>395</v>
      </c>
      <c r="C45" s="88"/>
      <c r="D45" s="88"/>
      <c r="E45" s="88"/>
      <c r="F45" s="88"/>
      <c r="G45" s="88"/>
      <c r="H45" s="88"/>
      <c r="I45" s="88"/>
      <c r="J45" s="88"/>
      <c r="K45" s="88"/>
      <c r="L45" s="88"/>
      <c r="M45" s="88"/>
      <c r="N45" s="88"/>
      <c r="O45" s="88"/>
      <c r="P45" s="88"/>
      <c r="Q45" s="88"/>
      <c r="R45" s="88"/>
      <c r="S45" s="88"/>
      <c r="T45" s="88"/>
      <c r="U45" s="88"/>
      <c r="V45" s="88"/>
      <c r="W45" s="88"/>
    </row>
    <row r="46" spans="1:23" s="152" customFormat="1" ht="15" x14ac:dyDescent="0.2">
      <c r="A46" s="220">
        <v>1</v>
      </c>
      <c r="B46" s="132" t="s">
        <v>30</v>
      </c>
      <c r="C46" s="12">
        <v>1</v>
      </c>
      <c r="D46" s="25">
        <v>55.04</v>
      </c>
      <c r="E46" s="14">
        <v>30.96</v>
      </c>
      <c r="F46" s="14">
        <v>30.96</v>
      </c>
      <c r="G46" s="14">
        <v>39.56</v>
      </c>
      <c r="H46" s="14">
        <v>242.52</v>
      </c>
      <c r="I46" s="14">
        <v>146.19999999999999</v>
      </c>
      <c r="J46" s="14">
        <v>67.08</v>
      </c>
      <c r="K46" s="14">
        <v>22.36</v>
      </c>
      <c r="L46" s="14">
        <v>22.36</v>
      </c>
      <c r="M46" s="14">
        <v>22.36</v>
      </c>
      <c r="N46" s="14">
        <v>5.16</v>
      </c>
      <c r="O46" s="14">
        <v>44.72</v>
      </c>
      <c r="P46" s="14">
        <v>29.24</v>
      </c>
      <c r="Q46" s="14">
        <v>6.88</v>
      </c>
      <c r="R46" s="14">
        <v>20.64</v>
      </c>
      <c r="S46" s="14"/>
      <c r="T46" s="14"/>
      <c r="U46" s="13">
        <f t="shared" ref="U46:U53" si="3">SUM(D46:T46)</f>
        <v>786.04000000000008</v>
      </c>
      <c r="V46" s="25">
        <v>546.95000000000005</v>
      </c>
      <c r="W46" s="15">
        <f t="shared" si="0"/>
        <v>429924.5780000001</v>
      </c>
    </row>
    <row r="47" spans="1:23" s="152" customFormat="1" ht="45" x14ac:dyDescent="0.2">
      <c r="A47" s="221">
        <v>2</v>
      </c>
      <c r="B47" s="132" t="s">
        <v>31</v>
      </c>
      <c r="C47" s="26">
        <v>100</v>
      </c>
      <c r="D47" s="25">
        <v>125.76</v>
      </c>
      <c r="E47" s="14">
        <v>70.740000000000009</v>
      </c>
      <c r="F47" s="14">
        <v>70.740000000000009</v>
      </c>
      <c r="G47" s="14">
        <v>90.39</v>
      </c>
      <c r="H47" s="14">
        <v>554.13</v>
      </c>
      <c r="I47" s="14">
        <v>334.05</v>
      </c>
      <c r="J47" s="14">
        <v>153.27000000000001</v>
      </c>
      <c r="K47" s="14">
        <v>51.09</v>
      </c>
      <c r="L47" s="14">
        <v>51.09</v>
      </c>
      <c r="M47" s="14">
        <v>51.09</v>
      </c>
      <c r="N47" s="14">
        <v>11.790000000000001</v>
      </c>
      <c r="O47" s="14">
        <v>102.18</v>
      </c>
      <c r="P47" s="14">
        <v>66.81</v>
      </c>
      <c r="Q47" s="14">
        <v>15.72</v>
      </c>
      <c r="R47" s="14">
        <v>47.160000000000004</v>
      </c>
      <c r="S47" s="14"/>
      <c r="T47" s="14"/>
      <c r="U47" s="13">
        <f t="shared" si="3"/>
        <v>1796.0099999999998</v>
      </c>
      <c r="V47" s="25">
        <v>30006.1</v>
      </c>
      <c r="W47" s="15">
        <f t="shared" si="0"/>
        <v>538912.55660999985</v>
      </c>
    </row>
    <row r="48" spans="1:23" s="152" customFormat="1" ht="15" x14ac:dyDescent="0.2">
      <c r="A48" s="212">
        <v>3</v>
      </c>
      <c r="B48" s="132" t="s">
        <v>32</v>
      </c>
      <c r="C48" s="24">
        <v>1</v>
      </c>
      <c r="D48" s="25">
        <v>32</v>
      </c>
      <c r="E48" s="14">
        <v>18</v>
      </c>
      <c r="F48" s="14">
        <v>18</v>
      </c>
      <c r="G48" s="14">
        <v>23</v>
      </c>
      <c r="H48" s="14">
        <v>141</v>
      </c>
      <c r="I48" s="14">
        <v>85</v>
      </c>
      <c r="J48" s="14">
        <v>39</v>
      </c>
      <c r="K48" s="14">
        <v>13</v>
      </c>
      <c r="L48" s="14">
        <v>13</v>
      </c>
      <c r="M48" s="14">
        <v>13</v>
      </c>
      <c r="N48" s="14">
        <v>3</v>
      </c>
      <c r="O48" s="14">
        <v>26</v>
      </c>
      <c r="P48" s="14">
        <v>17</v>
      </c>
      <c r="Q48" s="14">
        <v>4</v>
      </c>
      <c r="R48" s="14">
        <v>12</v>
      </c>
      <c r="S48" s="14"/>
      <c r="T48" s="14"/>
      <c r="U48" s="13">
        <f t="shared" si="3"/>
        <v>457</v>
      </c>
      <c r="V48" s="25">
        <v>115.4</v>
      </c>
      <c r="W48" s="15">
        <f t="shared" si="0"/>
        <v>52737.8</v>
      </c>
    </row>
    <row r="49" spans="1:23" s="152" customFormat="1" ht="15" x14ac:dyDescent="0.2">
      <c r="A49" s="213">
        <v>4</v>
      </c>
      <c r="B49" s="132" t="s">
        <v>33</v>
      </c>
      <c r="C49" s="27">
        <v>1</v>
      </c>
      <c r="D49" s="25">
        <v>32</v>
      </c>
      <c r="E49" s="14">
        <v>18</v>
      </c>
      <c r="F49" s="14">
        <v>18</v>
      </c>
      <c r="G49" s="14">
        <v>23</v>
      </c>
      <c r="H49" s="14">
        <v>141</v>
      </c>
      <c r="I49" s="14">
        <v>85</v>
      </c>
      <c r="J49" s="14">
        <v>39</v>
      </c>
      <c r="K49" s="14">
        <v>13</v>
      </c>
      <c r="L49" s="14">
        <v>13</v>
      </c>
      <c r="M49" s="14">
        <v>13</v>
      </c>
      <c r="N49" s="14">
        <v>3</v>
      </c>
      <c r="O49" s="14">
        <v>26</v>
      </c>
      <c r="P49" s="14">
        <v>17</v>
      </c>
      <c r="Q49" s="14">
        <v>4</v>
      </c>
      <c r="R49" s="14">
        <v>12</v>
      </c>
      <c r="S49" s="14"/>
      <c r="T49" s="14"/>
      <c r="U49" s="13">
        <f t="shared" si="3"/>
        <v>457</v>
      </c>
      <c r="V49" s="25">
        <v>141.9</v>
      </c>
      <c r="W49" s="15">
        <f t="shared" si="0"/>
        <v>64848.3</v>
      </c>
    </row>
    <row r="50" spans="1:23" s="152" customFormat="1" ht="15" x14ac:dyDescent="0.2">
      <c r="A50" s="222">
        <v>5</v>
      </c>
      <c r="B50" s="132" t="s">
        <v>34</v>
      </c>
      <c r="C50" s="19">
        <v>100</v>
      </c>
      <c r="D50" s="25">
        <v>112</v>
      </c>
      <c r="E50" s="14">
        <v>63</v>
      </c>
      <c r="F50" s="14">
        <v>63</v>
      </c>
      <c r="G50" s="14">
        <v>80.5</v>
      </c>
      <c r="H50" s="14">
        <v>493.5</v>
      </c>
      <c r="I50" s="14">
        <v>297.5</v>
      </c>
      <c r="J50" s="14">
        <v>136.5</v>
      </c>
      <c r="K50" s="14">
        <v>45.5</v>
      </c>
      <c r="L50" s="14">
        <v>45.5</v>
      </c>
      <c r="M50" s="14">
        <v>45.5</v>
      </c>
      <c r="N50" s="14">
        <v>10.5</v>
      </c>
      <c r="O50" s="14">
        <v>91</v>
      </c>
      <c r="P50" s="14">
        <v>59.5</v>
      </c>
      <c r="Q50" s="14">
        <v>14</v>
      </c>
      <c r="R50" s="14">
        <v>42</v>
      </c>
      <c r="S50" s="14"/>
      <c r="T50" s="14"/>
      <c r="U50" s="13">
        <f t="shared" si="3"/>
        <v>1599.5</v>
      </c>
      <c r="V50" s="25">
        <v>4307.55</v>
      </c>
      <c r="W50" s="15">
        <f t="shared" si="0"/>
        <v>68899.26225</v>
      </c>
    </row>
    <row r="51" spans="1:23" s="152" customFormat="1" ht="30" x14ac:dyDescent="0.2">
      <c r="A51" s="223">
        <v>6</v>
      </c>
      <c r="B51" s="132" t="s">
        <v>35</v>
      </c>
      <c r="C51" s="24">
        <v>1</v>
      </c>
      <c r="D51" s="25">
        <v>320</v>
      </c>
      <c r="E51" s="14">
        <v>180</v>
      </c>
      <c r="F51" s="14">
        <v>180</v>
      </c>
      <c r="G51" s="14">
        <v>230</v>
      </c>
      <c r="H51" s="14">
        <v>1410</v>
      </c>
      <c r="I51" s="14">
        <v>850</v>
      </c>
      <c r="J51" s="14">
        <v>390</v>
      </c>
      <c r="K51" s="14">
        <v>130</v>
      </c>
      <c r="L51" s="14">
        <v>130</v>
      </c>
      <c r="M51" s="14">
        <v>130</v>
      </c>
      <c r="N51" s="14">
        <v>30</v>
      </c>
      <c r="O51" s="14">
        <v>260</v>
      </c>
      <c r="P51" s="14">
        <v>170</v>
      </c>
      <c r="Q51" s="14">
        <v>40</v>
      </c>
      <c r="R51" s="14">
        <v>120</v>
      </c>
      <c r="S51" s="14"/>
      <c r="T51" s="14"/>
      <c r="U51" s="13">
        <f t="shared" si="3"/>
        <v>4570</v>
      </c>
      <c r="V51" s="25">
        <v>30.5</v>
      </c>
      <c r="W51" s="15">
        <f t="shared" si="0"/>
        <v>139385</v>
      </c>
    </row>
    <row r="52" spans="1:23" s="152" customFormat="1" ht="75.75" x14ac:dyDescent="0.2">
      <c r="A52" s="224">
        <v>7</v>
      </c>
      <c r="B52" s="132" t="s">
        <v>36</v>
      </c>
      <c r="C52" s="23"/>
      <c r="D52" s="23"/>
      <c r="E52" s="23"/>
      <c r="F52" s="23"/>
      <c r="G52" s="23"/>
      <c r="H52" s="23"/>
      <c r="I52" s="23"/>
      <c r="J52" s="23"/>
      <c r="K52" s="23"/>
      <c r="L52" s="23"/>
      <c r="M52" s="23"/>
      <c r="N52" s="23"/>
      <c r="O52" s="23"/>
      <c r="P52" s="23"/>
      <c r="Q52" s="23"/>
      <c r="R52" s="23"/>
      <c r="S52" s="23"/>
      <c r="T52" s="23"/>
      <c r="U52" s="13">
        <f t="shared" si="3"/>
        <v>0</v>
      </c>
      <c r="V52" s="23"/>
      <c r="W52" s="23"/>
    </row>
    <row r="53" spans="1:23" s="152" customFormat="1" ht="15" x14ac:dyDescent="0.2">
      <c r="A53" s="225" t="s">
        <v>37</v>
      </c>
      <c r="B53" s="94" t="s">
        <v>38</v>
      </c>
      <c r="C53" s="12">
        <v>100</v>
      </c>
      <c r="D53" s="25">
        <v>48.435200000000002</v>
      </c>
      <c r="E53" s="14">
        <v>27.244800000000001</v>
      </c>
      <c r="F53" s="14">
        <v>27.244800000000001</v>
      </c>
      <c r="G53" s="14">
        <v>34.812800000000003</v>
      </c>
      <c r="H53" s="14">
        <v>213.41760000000002</v>
      </c>
      <c r="I53" s="14">
        <v>128.65600000000001</v>
      </c>
      <c r="J53" s="14">
        <v>59.0304</v>
      </c>
      <c r="K53" s="14">
        <v>19.6768</v>
      </c>
      <c r="L53" s="14">
        <v>19.6768</v>
      </c>
      <c r="M53" s="14">
        <v>19.6768</v>
      </c>
      <c r="N53" s="14">
        <v>4.5407999999999999</v>
      </c>
      <c r="O53" s="14">
        <v>39.3536</v>
      </c>
      <c r="P53" s="14">
        <v>25.731200000000001</v>
      </c>
      <c r="Q53" s="14">
        <v>6.0544000000000002</v>
      </c>
      <c r="R53" s="14">
        <v>18.1632</v>
      </c>
      <c r="S53" s="25"/>
      <c r="T53" s="25"/>
      <c r="U53" s="13">
        <f t="shared" si="3"/>
        <v>691.71519999999987</v>
      </c>
      <c r="V53" s="25">
        <v>14042.6</v>
      </c>
      <c r="W53" s="15">
        <f t="shared" si="0"/>
        <v>97134.798675199985</v>
      </c>
    </row>
    <row r="54" spans="1:23" ht="22.5" x14ac:dyDescent="0.25">
      <c r="A54" s="226">
        <v>4</v>
      </c>
      <c r="B54" s="198" t="s">
        <v>378</v>
      </c>
      <c r="C54" s="99"/>
      <c r="D54" s="182"/>
      <c r="E54" s="184"/>
      <c r="F54" s="69"/>
      <c r="G54" s="69"/>
      <c r="H54" s="69"/>
      <c r="I54" s="69"/>
      <c r="J54" s="69"/>
      <c r="K54" s="69"/>
      <c r="L54" s="69"/>
      <c r="M54" s="69"/>
      <c r="N54" s="69"/>
      <c r="O54" s="69"/>
      <c r="P54" s="69"/>
      <c r="Q54" s="69"/>
      <c r="R54" s="69"/>
      <c r="S54" s="69"/>
      <c r="T54" s="69"/>
      <c r="U54" s="88"/>
      <c r="V54" s="88"/>
      <c r="W54" s="88"/>
    </row>
    <row r="55" spans="1:23" s="152" customFormat="1" ht="30" x14ac:dyDescent="0.2">
      <c r="A55" s="220">
        <v>1</v>
      </c>
      <c r="B55" s="94" t="s">
        <v>328</v>
      </c>
      <c r="C55" s="179">
        <v>1000</v>
      </c>
      <c r="D55" s="25"/>
      <c r="E55" s="14"/>
      <c r="F55" s="14"/>
      <c r="G55" s="14"/>
      <c r="H55" s="14"/>
      <c r="I55" s="14"/>
      <c r="J55" s="14"/>
      <c r="K55" s="14"/>
      <c r="L55" s="14"/>
      <c r="M55" s="14"/>
      <c r="N55" s="14"/>
      <c r="O55" s="40">
        <v>245</v>
      </c>
      <c r="P55" s="14"/>
      <c r="Q55" s="14"/>
      <c r="R55" s="14"/>
      <c r="S55" s="14"/>
      <c r="T55" s="14"/>
      <c r="U55" s="13">
        <f>SUM(D55:T55)</f>
        <v>245</v>
      </c>
      <c r="V55" s="25">
        <v>546.95000000000005</v>
      </c>
      <c r="W55" s="15">
        <f t="shared" si="0"/>
        <v>134.00274999999999</v>
      </c>
    </row>
    <row r="56" spans="1:23" s="152" customFormat="1" ht="45" x14ac:dyDescent="0.2">
      <c r="A56" s="221">
        <v>2</v>
      </c>
      <c r="B56" s="94" t="s">
        <v>329</v>
      </c>
      <c r="C56" s="180">
        <v>100</v>
      </c>
      <c r="D56" s="25"/>
      <c r="E56" s="14"/>
      <c r="F56" s="14"/>
      <c r="G56" s="14"/>
      <c r="H56" s="14"/>
      <c r="I56" s="14"/>
      <c r="J56" s="14"/>
      <c r="K56" s="14"/>
      <c r="L56" s="14"/>
      <c r="M56" s="14"/>
      <c r="N56" s="14"/>
      <c r="O56" s="40">
        <v>367.5</v>
      </c>
      <c r="P56" s="14"/>
      <c r="Q56" s="14"/>
      <c r="R56" s="14"/>
      <c r="S56" s="14"/>
      <c r="T56" s="14"/>
      <c r="U56" s="13">
        <f>SUM(D56:T56)</f>
        <v>367.5</v>
      </c>
      <c r="V56" s="25">
        <v>30006.1</v>
      </c>
      <c r="W56" s="15">
        <f t="shared" si="0"/>
        <v>110272.4175</v>
      </c>
    </row>
    <row r="57" spans="1:23" s="152" customFormat="1" ht="75" x14ac:dyDescent="0.2">
      <c r="A57" s="212">
        <v>3</v>
      </c>
      <c r="B57" s="94" t="s">
        <v>330</v>
      </c>
      <c r="C57" s="181">
        <v>1</v>
      </c>
      <c r="D57" s="25"/>
      <c r="E57" s="14"/>
      <c r="F57" s="14"/>
      <c r="G57" s="14"/>
      <c r="H57" s="14"/>
      <c r="I57" s="14"/>
      <c r="J57" s="14"/>
      <c r="K57" s="14"/>
      <c r="L57" s="14"/>
      <c r="M57" s="14"/>
      <c r="N57" s="14"/>
      <c r="O57" s="40">
        <v>560</v>
      </c>
      <c r="P57" s="14"/>
      <c r="Q57" s="14"/>
      <c r="R57" s="14"/>
      <c r="S57" s="14"/>
      <c r="T57" s="14"/>
      <c r="U57" s="13">
        <f>SUM(D57:T57)</f>
        <v>560</v>
      </c>
      <c r="V57" s="25">
        <v>115.4</v>
      </c>
      <c r="W57" s="15">
        <f t="shared" si="0"/>
        <v>64624</v>
      </c>
    </row>
    <row r="58" spans="1:23" s="152" customFormat="1" ht="60" x14ac:dyDescent="0.2">
      <c r="A58" s="213">
        <v>4</v>
      </c>
      <c r="B58" s="94" t="s">
        <v>331</v>
      </c>
      <c r="C58" s="180">
        <v>100</v>
      </c>
      <c r="D58" s="25"/>
      <c r="E58" s="14"/>
      <c r="F58" s="14"/>
      <c r="G58" s="14"/>
      <c r="H58" s="14"/>
      <c r="I58" s="14"/>
      <c r="J58" s="14"/>
      <c r="K58" s="14"/>
      <c r="L58" s="14"/>
      <c r="M58" s="14"/>
      <c r="N58" s="14"/>
      <c r="O58" s="40">
        <v>323.40000000000003</v>
      </c>
      <c r="P58" s="14"/>
      <c r="Q58" s="14"/>
      <c r="R58" s="14"/>
      <c r="S58" s="14"/>
      <c r="T58" s="14"/>
      <c r="U58" s="13">
        <f>SUM(D58:T58)</f>
        <v>323.40000000000003</v>
      </c>
      <c r="V58" s="25">
        <v>141.9</v>
      </c>
      <c r="W58" s="15">
        <f t="shared" si="0"/>
        <v>458.90460000000007</v>
      </c>
    </row>
    <row r="59" spans="1:23" ht="22.5" x14ac:dyDescent="0.25">
      <c r="A59" s="227">
        <v>5</v>
      </c>
      <c r="B59" s="198" t="s">
        <v>396</v>
      </c>
      <c r="C59" s="99"/>
      <c r="D59" s="183"/>
      <c r="E59" s="185"/>
      <c r="F59" s="69"/>
      <c r="G59" s="69"/>
      <c r="H59" s="69"/>
      <c r="I59" s="69"/>
      <c r="J59" s="69"/>
      <c r="K59" s="69"/>
      <c r="L59" s="69"/>
      <c r="M59" s="69"/>
      <c r="N59" s="69"/>
      <c r="O59" s="69"/>
      <c r="P59" s="69"/>
      <c r="Q59" s="69"/>
      <c r="R59" s="69"/>
      <c r="S59" s="69"/>
      <c r="T59" s="69"/>
      <c r="U59" s="88"/>
      <c r="V59" s="88"/>
      <c r="W59" s="88"/>
    </row>
    <row r="60" spans="1:23" x14ac:dyDescent="0.25">
      <c r="A60" s="228">
        <v>1</v>
      </c>
      <c r="B60" s="133" t="s">
        <v>333</v>
      </c>
      <c r="C60" s="177">
        <v>100</v>
      </c>
      <c r="D60" s="101"/>
      <c r="E60" s="9"/>
      <c r="F60" s="9"/>
      <c r="G60" s="9"/>
      <c r="H60" s="9"/>
      <c r="I60" s="9"/>
      <c r="J60" s="9"/>
      <c r="K60" s="9"/>
      <c r="L60" s="9"/>
      <c r="M60" s="9"/>
      <c r="N60" s="9"/>
      <c r="O60" s="167">
        <f>507.9375+511.88</f>
        <v>1019.8175</v>
      </c>
      <c r="P60" s="17"/>
      <c r="Q60" s="167">
        <v>803.25</v>
      </c>
      <c r="R60" s="14"/>
      <c r="S60" s="9"/>
      <c r="T60" s="9"/>
      <c r="U60" s="13">
        <f t="shared" ref="U60:U98" si="4">SUM(D60:T60)</f>
        <v>1823.0675000000001</v>
      </c>
      <c r="V60" s="25">
        <v>2633.4</v>
      </c>
      <c r="W60" s="15">
        <f t="shared" si="0"/>
        <v>48008.659545000002</v>
      </c>
    </row>
    <row r="61" spans="1:23" ht="45" x14ac:dyDescent="0.25">
      <c r="A61" s="229">
        <v>2</v>
      </c>
      <c r="B61" s="133" t="s">
        <v>57</v>
      </c>
      <c r="C61" s="168">
        <v>100</v>
      </c>
      <c r="D61" s="101"/>
      <c r="E61" s="9"/>
      <c r="F61" s="9"/>
      <c r="G61" s="9"/>
      <c r="H61" s="9"/>
      <c r="I61" s="9"/>
      <c r="J61" s="9"/>
      <c r="K61" s="9"/>
      <c r="L61" s="9"/>
      <c r="M61" s="9"/>
      <c r="N61" s="9"/>
      <c r="O61" s="167">
        <f>1155</f>
        <v>1155</v>
      </c>
      <c r="P61" s="17"/>
      <c r="Q61" s="25"/>
      <c r="R61" s="9"/>
      <c r="S61" s="9"/>
      <c r="T61" s="9"/>
      <c r="U61" s="13">
        <f t="shared" si="4"/>
        <v>1155</v>
      </c>
      <c r="V61" s="25">
        <v>4017.8</v>
      </c>
      <c r="W61" s="15">
        <f t="shared" si="0"/>
        <v>46405.59</v>
      </c>
    </row>
    <row r="62" spans="1:23" ht="45" x14ac:dyDescent="0.25">
      <c r="A62" s="230">
        <v>3</v>
      </c>
      <c r="B62" s="133" t="s">
        <v>336</v>
      </c>
      <c r="C62" s="168">
        <v>100</v>
      </c>
      <c r="D62" s="99">
        <v>307</v>
      </c>
      <c r="E62" s="9"/>
      <c r="F62" s="9"/>
      <c r="G62" s="69">
        <v>384</v>
      </c>
      <c r="H62" s="69">
        <v>11823.77</v>
      </c>
      <c r="I62" s="9"/>
      <c r="J62" s="9"/>
      <c r="K62" s="9"/>
      <c r="L62" s="9"/>
      <c r="M62" s="9"/>
      <c r="N62" s="9"/>
      <c r="O62" s="167">
        <f>422.5+403</f>
        <v>825.5</v>
      </c>
      <c r="P62" s="17"/>
      <c r="Q62" s="25"/>
      <c r="R62" s="9"/>
      <c r="S62" s="9"/>
      <c r="T62" s="9"/>
      <c r="U62" s="13">
        <f t="shared" si="4"/>
        <v>13340.27</v>
      </c>
      <c r="V62" s="25">
        <v>27086.400000000001</v>
      </c>
      <c r="W62" s="15">
        <f t="shared" si="0"/>
        <v>3613398.89328</v>
      </c>
    </row>
    <row r="63" spans="1:23" ht="30" x14ac:dyDescent="0.25">
      <c r="A63" s="231">
        <v>4</v>
      </c>
      <c r="B63" s="94" t="s">
        <v>74</v>
      </c>
      <c r="C63" s="168">
        <v>1000</v>
      </c>
      <c r="D63" s="101"/>
      <c r="E63" s="9"/>
      <c r="F63" s="9"/>
      <c r="G63" s="9"/>
      <c r="H63" s="9"/>
      <c r="I63" s="9"/>
      <c r="J63" s="9"/>
      <c r="K63" s="9"/>
      <c r="L63" s="9"/>
      <c r="M63" s="9"/>
      <c r="N63" s="9"/>
      <c r="O63" s="174">
        <f>32500+3274.04</f>
        <v>35774.04</v>
      </c>
      <c r="P63" s="17"/>
      <c r="Q63" s="174">
        <v>8700</v>
      </c>
      <c r="R63" s="14"/>
      <c r="S63" s="9"/>
      <c r="T63" s="9"/>
      <c r="U63" s="192">
        <f t="shared" si="4"/>
        <v>44474.04</v>
      </c>
      <c r="V63" s="14">
        <v>4640.7</v>
      </c>
      <c r="W63" s="15">
        <f t="shared" si="0"/>
        <v>206390.677428</v>
      </c>
    </row>
    <row r="64" spans="1:23" ht="75" x14ac:dyDescent="0.25">
      <c r="A64" s="232">
        <v>5</v>
      </c>
      <c r="B64" s="94" t="s">
        <v>39</v>
      </c>
      <c r="C64" s="168">
        <v>1000</v>
      </c>
      <c r="D64" s="167">
        <v>6406.1200000000063</v>
      </c>
      <c r="E64" s="14"/>
      <c r="F64" s="14"/>
      <c r="G64" s="14"/>
      <c r="H64" s="174">
        <f>1489.6+1776</f>
        <v>3265.6</v>
      </c>
      <c r="I64" s="14"/>
      <c r="J64" s="174">
        <v>91276.01999999996</v>
      </c>
      <c r="K64" s="174">
        <v>36435.200000000041</v>
      </c>
      <c r="L64" s="174">
        <v>29517.97999999997</v>
      </c>
      <c r="M64" s="174">
        <v>21204.327294117251</v>
      </c>
      <c r="N64" s="174">
        <v>11161.160000000029</v>
      </c>
      <c r="O64" s="174">
        <f>2658.1+3274.04</f>
        <v>5932.1399999999994</v>
      </c>
      <c r="P64" s="174">
        <f>19789.77+23091.93</f>
        <v>42881.7</v>
      </c>
      <c r="Q64" s="174">
        <v>6543.0099999999993</v>
      </c>
      <c r="R64" s="14"/>
      <c r="S64" s="14"/>
      <c r="T64" s="13"/>
      <c r="U64" s="13">
        <f t="shared" si="4"/>
        <v>254623.2572941173</v>
      </c>
      <c r="V64" s="14">
        <v>12735.6</v>
      </c>
      <c r="W64" s="15">
        <f t="shared" si="0"/>
        <v>3242779.9555949601</v>
      </c>
    </row>
    <row r="65" spans="1:23" ht="45" x14ac:dyDescent="0.25">
      <c r="A65" s="223">
        <v>6</v>
      </c>
      <c r="B65" s="94" t="s">
        <v>20</v>
      </c>
      <c r="C65" s="12"/>
      <c r="D65" s="25"/>
      <c r="E65" s="14"/>
      <c r="F65" s="14"/>
      <c r="G65" s="14"/>
      <c r="H65" s="14"/>
      <c r="I65" s="14"/>
      <c r="J65" s="14"/>
      <c r="K65" s="14"/>
      <c r="L65" s="14"/>
      <c r="M65" s="14"/>
      <c r="N65" s="14"/>
      <c r="O65" s="14"/>
      <c r="P65" s="67"/>
      <c r="Q65" s="14"/>
      <c r="R65" s="14"/>
      <c r="S65" s="14"/>
      <c r="T65" s="14"/>
      <c r="U65" s="13">
        <f t="shared" si="4"/>
        <v>0</v>
      </c>
      <c r="V65" s="16"/>
      <c r="W65" s="16"/>
    </row>
    <row r="66" spans="1:23" x14ac:dyDescent="0.25">
      <c r="A66" s="44"/>
      <c r="B66" s="94" t="s">
        <v>21</v>
      </c>
      <c r="C66" s="168">
        <v>100</v>
      </c>
      <c r="D66" s="167">
        <v>361</v>
      </c>
      <c r="E66" s="14"/>
      <c r="F66" s="14"/>
      <c r="G66" s="14"/>
      <c r="H66" s="174">
        <f>132+73.5</f>
        <v>205.5</v>
      </c>
      <c r="I66" s="14"/>
      <c r="J66" s="174">
        <v>1441.5</v>
      </c>
      <c r="K66" s="174">
        <v>510</v>
      </c>
      <c r="L66" s="174">
        <v>768</v>
      </c>
      <c r="M66" s="174">
        <v>564.5</v>
      </c>
      <c r="N66" s="174">
        <v>252</v>
      </c>
      <c r="O66" s="174">
        <f>531.56+158</f>
        <v>689.56</v>
      </c>
      <c r="P66" s="174">
        <f>358.89+358.89</f>
        <v>717.78</v>
      </c>
      <c r="Q66" s="174">
        <v>435.94000000000005</v>
      </c>
      <c r="R66" s="14"/>
      <c r="S66" s="14"/>
      <c r="T66" s="13"/>
      <c r="U66" s="13">
        <f t="shared" si="4"/>
        <v>5945.7799999999988</v>
      </c>
      <c r="V66" s="14">
        <v>34694.300000000003</v>
      </c>
      <c r="W66" s="15">
        <f t="shared" si="0"/>
        <v>2062846.7505399999</v>
      </c>
    </row>
    <row r="67" spans="1:23" x14ac:dyDescent="0.25">
      <c r="A67" s="44"/>
      <c r="B67" s="94" t="s">
        <v>107</v>
      </c>
      <c r="C67" s="168">
        <v>100</v>
      </c>
      <c r="D67" s="167">
        <v>157.9</v>
      </c>
      <c r="E67" s="174">
        <v>136.80000000000001</v>
      </c>
      <c r="F67" s="14"/>
      <c r="G67" s="174">
        <v>966.72</v>
      </c>
      <c r="H67" s="174">
        <v>2414.0700000000002</v>
      </c>
      <c r="I67" s="174">
        <v>976.25</v>
      </c>
      <c r="J67" s="14"/>
      <c r="K67" s="14"/>
      <c r="L67" s="14"/>
      <c r="M67" s="14"/>
      <c r="N67" s="14"/>
      <c r="O67" s="14"/>
      <c r="P67" s="174">
        <f>100.31+100.31</f>
        <v>200.62</v>
      </c>
      <c r="Q67" s="14"/>
      <c r="R67" s="14"/>
      <c r="S67" s="14"/>
      <c r="T67" s="13"/>
      <c r="U67" s="192">
        <f t="shared" si="4"/>
        <v>4852.3599999999997</v>
      </c>
      <c r="V67" s="14">
        <v>47135.9</v>
      </c>
      <c r="W67" s="15">
        <f t="shared" si="0"/>
        <v>2287203.55724</v>
      </c>
    </row>
    <row r="68" spans="1:23" ht="90" x14ac:dyDescent="0.25">
      <c r="A68" s="224">
        <v>7</v>
      </c>
      <c r="B68" s="94" t="s">
        <v>40</v>
      </c>
      <c r="C68" s="169">
        <v>100</v>
      </c>
      <c r="D68" s="167">
        <f>12000.72+1992.52</f>
        <v>13993.24</v>
      </c>
      <c r="E68" s="14"/>
      <c r="F68" s="14"/>
      <c r="G68" s="174">
        <v>2080</v>
      </c>
      <c r="H68" s="174">
        <f>4803+61090.96</f>
        <v>65893.959999999992</v>
      </c>
      <c r="I68" s="14"/>
      <c r="J68" s="174">
        <v>71071.979999999967</v>
      </c>
      <c r="K68" s="174">
        <v>26990.400000000012</v>
      </c>
      <c r="L68" s="174">
        <v>29348.939999999984</v>
      </c>
      <c r="M68" s="174">
        <v>22179.123529411605</v>
      </c>
      <c r="N68" s="174">
        <v>10673.280000000015</v>
      </c>
      <c r="O68" s="174">
        <f>27968.8197405425+5932.68</f>
        <v>33901.499740542502</v>
      </c>
      <c r="P68" s="174">
        <f>12287.5941213826+15546.38</f>
        <v>27833.974121382598</v>
      </c>
      <c r="Q68" s="174">
        <v>20607.389095527535</v>
      </c>
      <c r="R68" s="14"/>
      <c r="S68" s="14"/>
      <c r="T68" s="13"/>
      <c r="U68" s="192">
        <f t="shared" si="4"/>
        <v>324573.78648686421</v>
      </c>
      <c r="V68" s="30">
        <v>30376.9</v>
      </c>
      <c r="W68" s="15">
        <f t="shared" si="0"/>
        <v>98595454.547328264</v>
      </c>
    </row>
    <row r="69" spans="1:23" ht="120.75" x14ac:dyDescent="0.25">
      <c r="A69" s="233">
        <v>8</v>
      </c>
      <c r="B69" s="94" t="s">
        <v>41</v>
      </c>
      <c r="C69" s="12"/>
      <c r="D69" s="25"/>
      <c r="E69" s="14"/>
      <c r="F69" s="14"/>
      <c r="G69" s="14"/>
      <c r="H69" s="14"/>
      <c r="I69" s="14"/>
      <c r="J69" s="14"/>
      <c r="K69" s="14"/>
      <c r="L69" s="14"/>
      <c r="M69" s="14"/>
      <c r="N69" s="14"/>
      <c r="O69" s="14"/>
      <c r="P69" s="14"/>
      <c r="Q69" s="14"/>
      <c r="R69" s="14"/>
      <c r="S69" s="14"/>
      <c r="T69" s="35"/>
      <c r="U69" s="13">
        <f t="shared" si="4"/>
        <v>0</v>
      </c>
      <c r="V69" s="16"/>
      <c r="W69" s="16"/>
    </row>
    <row r="70" spans="1:23" ht="75" x14ac:dyDescent="0.25">
      <c r="A70" s="234" t="s">
        <v>42</v>
      </c>
      <c r="B70" s="94" t="s">
        <v>43</v>
      </c>
      <c r="C70" s="168">
        <v>1</v>
      </c>
      <c r="D70" s="167">
        <f>2556.24000000001+499.88</f>
        <v>3056.1200000000099</v>
      </c>
      <c r="E70" s="14"/>
      <c r="F70" s="14"/>
      <c r="G70" s="174">
        <v>520</v>
      </c>
      <c r="H70" s="174">
        <f>1073+13743.27</f>
        <v>14816.27</v>
      </c>
      <c r="I70" s="14"/>
      <c r="J70" s="174">
        <v>17924.659999999996</v>
      </c>
      <c r="K70" s="174">
        <v>6956.8000000000038</v>
      </c>
      <c r="L70" s="174">
        <v>6710.9799999999941</v>
      </c>
      <c r="M70" s="174">
        <v>5135.041176470535</v>
      </c>
      <c r="N70" s="174">
        <v>2549.7600000000048</v>
      </c>
      <c r="O70" s="174">
        <f>6010.66+1345.56</f>
        <v>7356.2199999999993</v>
      </c>
      <c r="P70" s="174">
        <f>2130.79+3157.12</f>
        <v>5287.91</v>
      </c>
      <c r="Q70" s="174">
        <v>4517.97</v>
      </c>
      <c r="R70" s="14"/>
      <c r="S70" s="14"/>
      <c r="T70" s="13"/>
      <c r="U70" s="13">
        <f t="shared" si="4"/>
        <v>74831.731176470537</v>
      </c>
      <c r="V70" s="14">
        <v>817.55</v>
      </c>
      <c r="W70" s="15">
        <f t="shared" ref="W70:W136" si="5">V70*U70/C70</f>
        <v>61178681.823323481</v>
      </c>
    </row>
    <row r="71" spans="1:23" ht="75" x14ac:dyDescent="0.25">
      <c r="A71" s="235" t="s">
        <v>44</v>
      </c>
      <c r="B71" s="94" t="s">
        <v>45</v>
      </c>
      <c r="C71" s="168">
        <v>1</v>
      </c>
      <c r="D71" s="167">
        <v>1444</v>
      </c>
      <c r="E71" s="14"/>
      <c r="F71" s="14"/>
      <c r="G71" s="14" t="s">
        <v>420</v>
      </c>
      <c r="H71" s="174">
        <f>528+192</f>
        <v>720</v>
      </c>
      <c r="I71" s="14"/>
      <c r="J71" s="174">
        <v>5766</v>
      </c>
      <c r="K71" s="174">
        <v>2040</v>
      </c>
      <c r="L71" s="174">
        <v>3072</v>
      </c>
      <c r="M71" s="174">
        <v>2258</v>
      </c>
      <c r="N71" s="174">
        <v>1008</v>
      </c>
      <c r="O71" s="174">
        <f>2797.92+632</f>
        <v>3429.92</v>
      </c>
      <c r="P71" s="174">
        <f>1739.1+1739.1</f>
        <v>3478.2</v>
      </c>
      <c r="Q71" s="174">
        <v>1972.18</v>
      </c>
      <c r="R71" s="14"/>
      <c r="S71" s="14"/>
      <c r="T71" s="13"/>
      <c r="U71" s="13">
        <f t="shared" si="4"/>
        <v>25188.3</v>
      </c>
      <c r="V71" s="14">
        <v>670.5</v>
      </c>
      <c r="W71" s="15">
        <f t="shared" si="5"/>
        <v>16888755.149999999</v>
      </c>
    </row>
    <row r="72" spans="1:23" ht="45" x14ac:dyDescent="0.25">
      <c r="A72" s="236">
        <v>9</v>
      </c>
      <c r="B72" s="134" t="s">
        <v>71</v>
      </c>
      <c r="C72" s="31">
        <v>1</v>
      </c>
      <c r="D72" s="25"/>
      <c r="E72" s="14"/>
      <c r="F72" s="14"/>
      <c r="G72" s="14"/>
      <c r="H72" s="14"/>
      <c r="I72" s="14"/>
      <c r="J72" s="14"/>
      <c r="K72" s="14"/>
      <c r="L72" s="14"/>
      <c r="M72" s="14"/>
      <c r="N72" s="14"/>
      <c r="O72" s="174">
        <v>51.34</v>
      </c>
      <c r="P72" s="67"/>
      <c r="Q72" s="14"/>
      <c r="R72" s="14"/>
      <c r="S72" s="14"/>
      <c r="T72" s="14"/>
      <c r="U72" s="13">
        <f t="shared" si="4"/>
        <v>51.34</v>
      </c>
      <c r="V72" s="14">
        <v>809.4</v>
      </c>
      <c r="W72" s="15">
        <f t="shared" si="5"/>
        <v>41554.596000000005</v>
      </c>
    </row>
    <row r="73" spans="1:23" ht="30" x14ac:dyDescent="0.25">
      <c r="A73" s="237">
        <v>10</v>
      </c>
      <c r="B73" s="94" t="s">
        <v>46</v>
      </c>
      <c r="C73" s="170">
        <v>100</v>
      </c>
      <c r="D73" s="167">
        <v>2739.760000000007</v>
      </c>
      <c r="E73" s="14"/>
      <c r="F73" s="14"/>
      <c r="G73" s="14"/>
      <c r="H73" s="174">
        <f>944</f>
        <v>944</v>
      </c>
      <c r="I73" s="14"/>
      <c r="J73" s="174">
        <v>16855.639999999992</v>
      </c>
      <c r="K73" s="174">
        <v>7707.6000000000076</v>
      </c>
      <c r="L73" s="174">
        <v>6537.2799999999952</v>
      </c>
      <c r="M73" s="174">
        <v>4909.2811764705175</v>
      </c>
      <c r="N73" s="174">
        <v>2884.8000000000065</v>
      </c>
      <c r="O73" s="174">
        <f>2047.1232+1117.92</f>
        <v>3165.0432000000001</v>
      </c>
      <c r="P73" s="174">
        <f>978.1224+1471.48</f>
        <v>2449.6023999999998</v>
      </c>
      <c r="Q73" s="174">
        <v>2183.8119999999999</v>
      </c>
      <c r="R73" s="14"/>
      <c r="S73" s="14"/>
      <c r="T73" s="14"/>
      <c r="U73" s="13">
        <f t="shared" si="4"/>
        <v>50376.818776470529</v>
      </c>
      <c r="V73" s="25">
        <v>1645.1</v>
      </c>
      <c r="W73" s="15">
        <f t="shared" si="5"/>
        <v>828749.04569171672</v>
      </c>
    </row>
    <row r="74" spans="1:23" ht="45" x14ac:dyDescent="0.25">
      <c r="A74" s="238">
        <v>11</v>
      </c>
      <c r="B74" s="94" t="s">
        <v>111</v>
      </c>
      <c r="C74" s="172">
        <v>1</v>
      </c>
      <c r="D74" s="25"/>
      <c r="E74" s="14"/>
      <c r="F74" s="14"/>
      <c r="G74" s="14"/>
      <c r="H74" s="14"/>
      <c r="I74" s="14"/>
      <c r="J74" s="14"/>
      <c r="K74" s="14"/>
      <c r="L74" s="14"/>
      <c r="M74" s="14"/>
      <c r="N74" s="14"/>
      <c r="O74" s="174">
        <v>6</v>
      </c>
      <c r="P74" s="174">
        <f>6+6</f>
        <v>12</v>
      </c>
      <c r="Q74" s="174">
        <v>6</v>
      </c>
      <c r="R74" s="14"/>
      <c r="S74" s="14"/>
      <c r="T74" s="17"/>
      <c r="U74" s="13">
        <f t="shared" si="4"/>
        <v>24</v>
      </c>
      <c r="V74" s="25">
        <v>514.9</v>
      </c>
      <c r="W74" s="15">
        <f t="shared" si="5"/>
        <v>12357.599999999999</v>
      </c>
    </row>
    <row r="75" spans="1:23" s="154" customFormat="1" x14ac:dyDescent="0.25">
      <c r="A75" s="239">
        <v>12</v>
      </c>
      <c r="B75" s="93" t="s">
        <v>87</v>
      </c>
      <c r="C75" s="171">
        <v>1</v>
      </c>
      <c r="D75" s="166">
        <v>12</v>
      </c>
      <c r="E75" s="33"/>
      <c r="F75" s="33"/>
      <c r="G75" s="175">
        <v>6</v>
      </c>
      <c r="H75" s="175">
        <v>30</v>
      </c>
      <c r="I75" s="33"/>
      <c r="J75" s="33"/>
      <c r="K75" s="33"/>
      <c r="L75" s="33"/>
      <c r="M75" s="33"/>
      <c r="N75" s="33"/>
      <c r="O75" s="33"/>
      <c r="P75" s="33"/>
      <c r="Q75" s="33"/>
      <c r="R75" s="33"/>
      <c r="S75" s="33"/>
      <c r="T75" s="13"/>
      <c r="U75" s="192">
        <f t="shared" si="4"/>
        <v>48</v>
      </c>
      <c r="V75" s="33">
        <v>378.75</v>
      </c>
      <c r="W75" s="15">
        <f>V75*U75/C75</f>
        <v>18180</v>
      </c>
    </row>
    <row r="76" spans="1:23" ht="45" x14ac:dyDescent="0.25">
      <c r="A76" s="240">
        <v>13</v>
      </c>
      <c r="B76" s="94" t="s">
        <v>47</v>
      </c>
      <c r="C76" s="172">
        <v>1</v>
      </c>
      <c r="D76" s="167">
        <v>13.5</v>
      </c>
      <c r="E76" s="14"/>
      <c r="F76" s="14"/>
      <c r="G76" s="14"/>
      <c r="H76" s="174">
        <v>6</v>
      </c>
      <c r="I76" s="14"/>
      <c r="J76" s="174">
        <v>60</v>
      </c>
      <c r="K76" s="174">
        <v>22.5</v>
      </c>
      <c r="L76" s="174">
        <v>31.5</v>
      </c>
      <c r="M76" s="174">
        <v>22.5</v>
      </c>
      <c r="N76" s="174">
        <v>13.5</v>
      </c>
      <c r="O76" s="14"/>
      <c r="P76" s="67"/>
      <c r="Q76" s="14"/>
      <c r="R76" s="14"/>
      <c r="S76" s="14"/>
      <c r="T76" s="14"/>
      <c r="U76" s="192">
        <f t="shared" si="4"/>
        <v>169.5</v>
      </c>
      <c r="V76" s="25">
        <v>303.8</v>
      </c>
      <c r="W76" s="15">
        <f t="shared" si="5"/>
        <v>51494.1</v>
      </c>
    </row>
    <row r="77" spans="1:23" ht="105" x14ac:dyDescent="0.25">
      <c r="A77" s="241">
        <v>14</v>
      </c>
      <c r="B77" s="94" t="s">
        <v>164</v>
      </c>
      <c r="C77" s="171">
        <v>1</v>
      </c>
      <c r="D77" s="167">
        <v>96</v>
      </c>
      <c r="E77" s="14"/>
      <c r="F77" s="14"/>
      <c r="G77" s="174">
        <v>48</v>
      </c>
      <c r="H77" s="174">
        <f>48+320</f>
        <v>368</v>
      </c>
      <c r="I77" s="14"/>
      <c r="J77" s="14"/>
      <c r="K77" s="67"/>
      <c r="L77" s="67"/>
      <c r="M77" s="14"/>
      <c r="N77" s="14"/>
      <c r="O77" s="174">
        <v>112</v>
      </c>
      <c r="P77" s="67"/>
      <c r="Q77" s="14"/>
      <c r="R77" s="14"/>
      <c r="S77" s="14"/>
      <c r="T77" s="14"/>
      <c r="U77" s="13">
        <f t="shared" si="4"/>
        <v>624</v>
      </c>
      <c r="V77" s="13">
        <v>2150.35</v>
      </c>
      <c r="W77" s="15">
        <f t="shared" si="5"/>
        <v>1341818.3999999999</v>
      </c>
    </row>
    <row r="78" spans="1:23" s="154" customFormat="1" ht="105" x14ac:dyDescent="0.25">
      <c r="A78" s="242">
        <v>15</v>
      </c>
      <c r="B78" s="133" t="s">
        <v>422</v>
      </c>
      <c r="C78" s="168">
        <v>100</v>
      </c>
      <c r="D78" s="167">
        <v>480</v>
      </c>
      <c r="E78" s="14"/>
      <c r="F78" s="14"/>
      <c r="G78" s="14"/>
      <c r="H78" s="14"/>
      <c r="I78" s="14"/>
      <c r="J78" s="174">
        <v>480</v>
      </c>
      <c r="K78" s="174">
        <v>180</v>
      </c>
      <c r="L78" s="174">
        <v>300</v>
      </c>
      <c r="M78" s="174">
        <v>350</v>
      </c>
      <c r="N78" s="14"/>
      <c r="O78" s="174">
        <v>825</v>
      </c>
      <c r="P78" s="16"/>
      <c r="Q78" s="14"/>
      <c r="R78" s="14"/>
      <c r="S78" s="14"/>
      <c r="T78" s="14"/>
      <c r="U78" s="13">
        <f t="shared" si="4"/>
        <v>2615</v>
      </c>
      <c r="V78" s="14">
        <v>10003.5</v>
      </c>
      <c r="W78" s="15">
        <f t="shared" si="5"/>
        <v>261591.52499999999</v>
      </c>
    </row>
    <row r="79" spans="1:23" s="154" customFormat="1" ht="105" x14ac:dyDescent="0.25">
      <c r="A79" s="243">
        <v>16</v>
      </c>
      <c r="B79" s="133" t="s">
        <v>423</v>
      </c>
      <c r="C79" s="168">
        <v>100</v>
      </c>
      <c r="D79" s="167">
        <v>480</v>
      </c>
      <c r="E79" s="14"/>
      <c r="F79" s="14"/>
      <c r="G79" s="14"/>
      <c r="H79" s="14"/>
      <c r="I79" s="14"/>
      <c r="J79" s="174">
        <v>480</v>
      </c>
      <c r="K79" s="174">
        <v>180</v>
      </c>
      <c r="L79" s="174">
        <v>300</v>
      </c>
      <c r="M79" s="174">
        <v>350</v>
      </c>
      <c r="N79" s="14"/>
      <c r="O79" s="174">
        <v>825</v>
      </c>
      <c r="P79" s="16"/>
      <c r="Q79" s="14"/>
      <c r="R79" s="14"/>
      <c r="S79" s="14"/>
      <c r="T79" s="14"/>
      <c r="U79" s="13">
        <f t="shared" si="4"/>
        <v>2615</v>
      </c>
      <c r="V79" s="14">
        <v>13527.4</v>
      </c>
      <c r="W79" s="15">
        <f t="shared" si="5"/>
        <v>353741.51</v>
      </c>
    </row>
    <row r="80" spans="1:23" s="154" customFormat="1" ht="30" x14ac:dyDescent="0.25">
      <c r="A80" s="244">
        <v>17</v>
      </c>
      <c r="B80" s="133" t="s">
        <v>50</v>
      </c>
      <c r="C80" s="172">
        <v>1</v>
      </c>
      <c r="D80" s="167">
        <v>120</v>
      </c>
      <c r="E80" s="14"/>
      <c r="F80" s="14"/>
      <c r="G80" s="14"/>
      <c r="H80" s="14"/>
      <c r="I80" s="14"/>
      <c r="J80" s="174">
        <v>160</v>
      </c>
      <c r="K80" s="174">
        <v>60</v>
      </c>
      <c r="L80" s="174">
        <v>60</v>
      </c>
      <c r="M80" s="174">
        <v>100</v>
      </c>
      <c r="N80" s="14"/>
      <c r="O80" s="174">
        <v>200</v>
      </c>
      <c r="P80" s="16"/>
      <c r="Q80" s="14"/>
      <c r="R80" s="14"/>
      <c r="S80" s="14"/>
      <c r="T80" s="14"/>
      <c r="U80" s="13">
        <f t="shared" si="4"/>
        <v>700</v>
      </c>
      <c r="V80" s="14">
        <v>64.2</v>
      </c>
      <c r="W80" s="15">
        <f t="shared" si="5"/>
        <v>44940</v>
      </c>
    </row>
    <row r="81" spans="1:24" s="154" customFormat="1" ht="105" x14ac:dyDescent="0.25">
      <c r="A81" s="245">
        <v>18</v>
      </c>
      <c r="B81" s="133" t="s">
        <v>392</v>
      </c>
      <c r="C81" s="19"/>
      <c r="D81" s="14"/>
      <c r="E81" s="14"/>
      <c r="F81" s="14"/>
      <c r="G81" s="14"/>
      <c r="H81" s="14"/>
      <c r="I81" s="14"/>
      <c r="J81" s="14"/>
      <c r="K81" s="16"/>
      <c r="L81" s="16"/>
      <c r="M81" s="14"/>
      <c r="N81" s="14"/>
      <c r="O81" s="14"/>
      <c r="P81" s="14"/>
      <c r="Q81" s="14"/>
      <c r="R81" s="14"/>
      <c r="S81" s="14"/>
      <c r="T81" s="14"/>
      <c r="U81" s="13">
        <f t="shared" si="4"/>
        <v>0</v>
      </c>
      <c r="V81" s="14"/>
      <c r="W81" s="14"/>
    </row>
    <row r="82" spans="1:24" s="154" customFormat="1" ht="45" x14ac:dyDescent="0.25">
      <c r="A82" s="246" t="s">
        <v>51</v>
      </c>
      <c r="B82" s="133" t="s">
        <v>52</v>
      </c>
      <c r="C82" s="170">
        <v>100</v>
      </c>
      <c r="D82" s="167">
        <v>960</v>
      </c>
      <c r="E82" s="25"/>
      <c r="F82" s="25"/>
      <c r="G82" s="25"/>
      <c r="H82" s="73"/>
      <c r="I82" s="25"/>
      <c r="J82" s="167">
        <v>960</v>
      </c>
      <c r="K82" s="167">
        <v>360</v>
      </c>
      <c r="L82" s="167">
        <v>600</v>
      </c>
      <c r="M82" s="167">
        <v>700</v>
      </c>
      <c r="N82" s="25"/>
      <c r="O82" s="167">
        <v>1650</v>
      </c>
      <c r="P82" s="16"/>
      <c r="Q82" s="25"/>
      <c r="R82" s="25"/>
      <c r="S82" s="25"/>
      <c r="T82" s="25"/>
      <c r="U82" s="13">
        <f t="shared" si="4"/>
        <v>5230</v>
      </c>
      <c r="V82" s="25">
        <v>4549.95</v>
      </c>
      <c r="W82" s="15">
        <f t="shared" si="5"/>
        <v>237962.38500000001</v>
      </c>
    </row>
    <row r="83" spans="1:24" s="154" customFormat="1" ht="45" x14ac:dyDescent="0.25">
      <c r="A83" s="247" t="s">
        <v>53</v>
      </c>
      <c r="B83" s="133" t="s">
        <v>54</v>
      </c>
      <c r="C83" s="170">
        <v>100</v>
      </c>
      <c r="D83" s="167">
        <v>960</v>
      </c>
      <c r="E83" s="25"/>
      <c r="F83" s="25"/>
      <c r="G83" s="25"/>
      <c r="H83" s="73"/>
      <c r="I83" s="25"/>
      <c r="J83" s="167">
        <v>960</v>
      </c>
      <c r="K83" s="167">
        <v>360</v>
      </c>
      <c r="L83" s="167">
        <v>600</v>
      </c>
      <c r="M83" s="167">
        <v>700</v>
      </c>
      <c r="N83" s="25"/>
      <c r="O83" s="167">
        <v>1650</v>
      </c>
      <c r="P83" s="16"/>
      <c r="Q83" s="25"/>
      <c r="R83" s="25"/>
      <c r="S83" s="25"/>
      <c r="T83" s="25"/>
      <c r="U83" s="13">
        <f t="shared" si="4"/>
        <v>5230</v>
      </c>
      <c r="V83" s="25">
        <v>2639.45</v>
      </c>
      <c r="W83" s="15">
        <f t="shared" si="5"/>
        <v>138043.23499999999</v>
      </c>
    </row>
    <row r="84" spans="1:24" s="154" customFormat="1" ht="45" x14ac:dyDescent="0.25">
      <c r="A84" s="248" t="s">
        <v>55</v>
      </c>
      <c r="B84" s="133" t="s">
        <v>56</v>
      </c>
      <c r="C84" s="170">
        <v>100</v>
      </c>
      <c r="D84" s="167">
        <v>960</v>
      </c>
      <c r="E84" s="25"/>
      <c r="F84" s="25"/>
      <c r="G84" s="25"/>
      <c r="H84" s="73"/>
      <c r="I84" s="25"/>
      <c r="J84" s="167">
        <v>960</v>
      </c>
      <c r="K84" s="167">
        <v>360</v>
      </c>
      <c r="L84" s="167">
        <v>600</v>
      </c>
      <c r="M84" s="167">
        <v>700</v>
      </c>
      <c r="N84" s="25"/>
      <c r="O84" s="167">
        <v>1650</v>
      </c>
      <c r="P84" s="16"/>
      <c r="Q84" s="25"/>
      <c r="R84" s="25"/>
      <c r="S84" s="25"/>
      <c r="T84" s="25"/>
      <c r="U84" s="13">
        <f t="shared" si="4"/>
        <v>5230</v>
      </c>
      <c r="V84" s="25">
        <v>1960.75</v>
      </c>
      <c r="W84" s="15">
        <f t="shared" si="5"/>
        <v>102547.22500000001</v>
      </c>
    </row>
    <row r="85" spans="1:24" s="154" customFormat="1" ht="45" x14ac:dyDescent="0.25">
      <c r="A85" s="249">
        <v>19</v>
      </c>
      <c r="B85" s="133" t="s">
        <v>57</v>
      </c>
      <c r="C85" s="168">
        <v>100</v>
      </c>
      <c r="D85" s="167">
        <v>960</v>
      </c>
      <c r="E85" s="25"/>
      <c r="F85" s="25"/>
      <c r="G85" s="25"/>
      <c r="H85" s="73"/>
      <c r="I85" s="25"/>
      <c r="J85" s="167">
        <v>960</v>
      </c>
      <c r="K85" s="167">
        <v>360</v>
      </c>
      <c r="L85" s="167">
        <v>600</v>
      </c>
      <c r="M85" s="167">
        <v>600</v>
      </c>
      <c r="N85" s="25"/>
      <c r="O85" s="25"/>
      <c r="P85" s="16"/>
      <c r="Q85" s="25"/>
      <c r="R85" s="25"/>
      <c r="S85" s="25"/>
      <c r="T85" s="25"/>
      <c r="U85" s="13">
        <f t="shared" si="4"/>
        <v>3480</v>
      </c>
      <c r="V85" s="25">
        <v>4017.8</v>
      </c>
      <c r="W85" s="15">
        <f t="shared" si="5"/>
        <v>139819.44</v>
      </c>
    </row>
    <row r="86" spans="1:24" s="154" customFormat="1" ht="30" x14ac:dyDescent="0.25">
      <c r="A86" s="250">
        <v>20</v>
      </c>
      <c r="B86" s="96" t="s">
        <v>419</v>
      </c>
      <c r="C86" s="168">
        <v>1000</v>
      </c>
      <c r="D86" s="167">
        <f>6480+3710</f>
        <v>10190</v>
      </c>
      <c r="E86" s="14"/>
      <c r="F86" s="14"/>
      <c r="G86" s="174">
        <v>8490</v>
      </c>
      <c r="H86" s="174">
        <f>5400+30345</f>
        <v>35745</v>
      </c>
      <c r="I86" s="14"/>
      <c r="J86" s="174">
        <v>9600</v>
      </c>
      <c r="K86" s="174">
        <v>3200</v>
      </c>
      <c r="L86" s="174">
        <v>4000</v>
      </c>
      <c r="M86" s="174">
        <v>6400</v>
      </c>
      <c r="N86" s="14"/>
      <c r="O86" s="174">
        <f>40500+5040</f>
        <v>45540</v>
      </c>
      <c r="P86" s="16"/>
      <c r="Q86" s="14"/>
      <c r="R86" s="14"/>
      <c r="S86" s="14"/>
      <c r="T86" s="14"/>
      <c r="U86" s="13">
        <f t="shared" si="4"/>
        <v>123165</v>
      </c>
      <c r="V86" s="25">
        <v>10533.6</v>
      </c>
      <c r="W86" s="15">
        <f t="shared" si="5"/>
        <v>1297370.844</v>
      </c>
    </row>
    <row r="87" spans="1:24" s="154" customFormat="1" x14ac:dyDescent="0.25">
      <c r="A87" s="251">
        <v>21</v>
      </c>
      <c r="B87" s="94" t="s">
        <v>59</v>
      </c>
      <c r="C87" s="168">
        <v>1000</v>
      </c>
      <c r="D87" s="167">
        <v>6480</v>
      </c>
      <c r="E87" s="14"/>
      <c r="F87" s="14"/>
      <c r="G87" s="14"/>
      <c r="H87" s="174">
        <v>5400</v>
      </c>
      <c r="I87" s="14"/>
      <c r="J87" s="174">
        <v>54239.999999999964</v>
      </c>
      <c r="K87" s="174">
        <v>20960</v>
      </c>
      <c r="L87" s="174">
        <v>30879.999999999891</v>
      </c>
      <c r="M87" s="174">
        <v>24812.800000000025</v>
      </c>
      <c r="N87" s="174">
        <v>11520</v>
      </c>
      <c r="O87" s="174">
        <f>40500+5040</f>
        <v>45540</v>
      </c>
      <c r="P87" s="16"/>
      <c r="Q87" s="14"/>
      <c r="R87" s="14"/>
      <c r="S87" s="14"/>
      <c r="T87" s="14"/>
      <c r="U87" s="13">
        <f t="shared" si="4"/>
        <v>199832.79999999987</v>
      </c>
      <c r="V87" s="13">
        <v>5266.8</v>
      </c>
      <c r="W87" s="15">
        <f t="shared" si="5"/>
        <v>1052479.3910399994</v>
      </c>
    </row>
    <row r="88" spans="1:24" s="154" customFormat="1" ht="75.75" x14ac:dyDescent="0.25">
      <c r="A88" s="252">
        <v>22</v>
      </c>
      <c r="B88" s="94" t="s">
        <v>36</v>
      </c>
      <c r="C88" s="12"/>
      <c r="D88" s="25"/>
      <c r="E88" s="14"/>
      <c r="F88" s="14"/>
      <c r="G88" s="14"/>
      <c r="H88" s="14"/>
      <c r="I88" s="14"/>
      <c r="J88" s="14"/>
      <c r="K88" s="14"/>
      <c r="L88" s="14"/>
      <c r="M88" s="14"/>
      <c r="N88" s="14"/>
      <c r="O88" s="14"/>
      <c r="P88" s="16"/>
      <c r="Q88" s="14"/>
      <c r="R88" s="14"/>
      <c r="S88" s="14"/>
      <c r="T88" s="14"/>
      <c r="U88" s="13">
        <f t="shared" si="4"/>
        <v>0</v>
      </c>
      <c r="V88" s="14"/>
      <c r="W88" s="14"/>
      <c r="X88" s="150"/>
    </row>
    <row r="89" spans="1:24" s="154" customFormat="1" x14ac:dyDescent="0.25">
      <c r="A89" s="253" t="s">
        <v>60</v>
      </c>
      <c r="B89" s="94" t="s">
        <v>61</v>
      </c>
      <c r="C89" s="168">
        <v>100</v>
      </c>
      <c r="D89" s="167">
        <v>346.56</v>
      </c>
      <c r="E89" s="14"/>
      <c r="F89" s="14"/>
      <c r="G89" s="14"/>
      <c r="H89" s="174">
        <v>126.72</v>
      </c>
      <c r="I89" s="14"/>
      <c r="J89" s="174">
        <v>1383.84</v>
      </c>
      <c r="K89" s="174">
        <v>489.59999999999997</v>
      </c>
      <c r="L89" s="174">
        <v>737.28</v>
      </c>
      <c r="M89" s="174">
        <v>541.91999999999996</v>
      </c>
      <c r="N89" s="174">
        <v>241.92</v>
      </c>
      <c r="O89" s="174">
        <v>151.68</v>
      </c>
      <c r="P89" s="16"/>
      <c r="Q89" s="14"/>
      <c r="R89" s="14"/>
      <c r="S89" s="14"/>
      <c r="T89" s="14"/>
      <c r="U89" s="13">
        <f t="shared" si="4"/>
        <v>4019.52</v>
      </c>
      <c r="V89" s="13">
        <v>14042.6</v>
      </c>
      <c r="W89" s="15">
        <f t="shared" si="5"/>
        <v>564445.11551999999</v>
      </c>
    </row>
    <row r="90" spans="1:24" s="154" customFormat="1" x14ac:dyDescent="0.25">
      <c r="A90" s="225" t="s">
        <v>37</v>
      </c>
      <c r="B90" s="94" t="s">
        <v>62</v>
      </c>
      <c r="C90" s="168">
        <v>100</v>
      </c>
      <c r="D90" s="167">
        <v>3360.2016000000044</v>
      </c>
      <c r="E90" s="14"/>
      <c r="F90" s="14"/>
      <c r="G90" s="14"/>
      <c r="H90" s="174">
        <v>1344.84</v>
      </c>
      <c r="I90" s="14"/>
      <c r="J90" s="174">
        <v>19900.154399999996</v>
      </c>
      <c r="K90" s="174">
        <v>7557.3120000000017</v>
      </c>
      <c r="L90" s="174">
        <v>8217.7031999999945</v>
      </c>
      <c r="M90" s="174">
        <v>6210.1545882352493</v>
      </c>
      <c r="N90" s="174">
        <v>2988.518400000004</v>
      </c>
      <c r="O90" s="174">
        <v>1661.15</v>
      </c>
      <c r="P90" s="16"/>
      <c r="Q90" s="14"/>
      <c r="R90" s="14"/>
      <c r="S90" s="14"/>
      <c r="T90" s="14"/>
      <c r="U90" s="13">
        <f t="shared" si="4"/>
        <v>51240.034188235251</v>
      </c>
      <c r="V90" s="13">
        <v>14042.6</v>
      </c>
      <c r="W90" s="15">
        <f t="shared" si="5"/>
        <v>7195433.0409171237</v>
      </c>
    </row>
    <row r="91" spans="1:24" s="154" customFormat="1" x14ac:dyDescent="0.25">
      <c r="A91" s="254" t="s">
        <v>63</v>
      </c>
      <c r="B91" s="94" t="s">
        <v>64</v>
      </c>
      <c r="C91" s="168">
        <v>100</v>
      </c>
      <c r="D91" s="167">
        <v>585.6</v>
      </c>
      <c r="E91" s="14"/>
      <c r="F91" s="14"/>
      <c r="G91" s="14"/>
      <c r="H91" s="72"/>
      <c r="I91" s="14"/>
      <c r="J91" s="174">
        <v>585.6</v>
      </c>
      <c r="K91" s="174">
        <v>219.6</v>
      </c>
      <c r="L91" s="174">
        <v>366</v>
      </c>
      <c r="M91" s="174">
        <v>427</v>
      </c>
      <c r="N91" s="14"/>
      <c r="O91" s="14"/>
      <c r="P91" s="16"/>
      <c r="Q91" s="14"/>
      <c r="R91" s="14"/>
      <c r="S91" s="14"/>
      <c r="T91" s="14"/>
      <c r="U91" s="13">
        <f t="shared" si="4"/>
        <v>2183.8000000000002</v>
      </c>
      <c r="V91" s="13">
        <v>14042.6</v>
      </c>
      <c r="W91" s="15">
        <f t="shared" si="5"/>
        <v>306662.29880000005</v>
      </c>
    </row>
    <row r="92" spans="1:24" s="154" customFormat="1" x14ac:dyDescent="0.25">
      <c r="A92" s="254" t="s">
        <v>63</v>
      </c>
      <c r="B92" s="94" t="s">
        <v>65</v>
      </c>
      <c r="C92" s="168">
        <v>100</v>
      </c>
      <c r="D92" s="167">
        <v>72</v>
      </c>
      <c r="E92" s="14"/>
      <c r="F92" s="14"/>
      <c r="G92" s="14"/>
      <c r="H92" s="72"/>
      <c r="I92" s="14"/>
      <c r="J92" s="174">
        <v>72</v>
      </c>
      <c r="K92" s="174">
        <v>27</v>
      </c>
      <c r="L92" s="174">
        <v>45</v>
      </c>
      <c r="M92" s="174">
        <v>52.5</v>
      </c>
      <c r="N92" s="14"/>
      <c r="O92" s="14"/>
      <c r="P92" s="16"/>
      <c r="Q92" s="14"/>
      <c r="R92" s="14"/>
      <c r="S92" s="14"/>
      <c r="T92" s="14"/>
      <c r="U92" s="13">
        <f t="shared" si="4"/>
        <v>268.5</v>
      </c>
      <c r="V92" s="13">
        <v>14042.6</v>
      </c>
      <c r="W92" s="15">
        <f t="shared" si="5"/>
        <v>37704.381000000001</v>
      </c>
    </row>
    <row r="93" spans="1:24" s="154" customFormat="1" ht="30" x14ac:dyDescent="0.25">
      <c r="A93" s="255">
        <v>23</v>
      </c>
      <c r="B93" s="94" t="s">
        <v>88</v>
      </c>
      <c r="C93" s="170">
        <v>100</v>
      </c>
      <c r="D93" s="175">
        <v>694.5</v>
      </c>
      <c r="E93" s="33">
        <v>848</v>
      </c>
      <c r="F93" s="33"/>
      <c r="G93" s="175">
        <v>3936</v>
      </c>
      <c r="H93" s="175">
        <v>5976</v>
      </c>
      <c r="I93" s="175">
        <v>4140</v>
      </c>
      <c r="J93" s="33"/>
      <c r="K93" s="33"/>
      <c r="L93" s="33"/>
      <c r="M93" s="33"/>
      <c r="N93" s="33"/>
      <c r="O93" s="33"/>
      <c r="P93" s="33"/>
      <c r="Q93" s="33"/>
      <c r="R93" s="33"/>
      <c r="S93" s="33"/>
      <c r="T93" s="33"/>
      <c r="U93" s="13">
        <f t="shared" si="4"/>
        <v>15594.5</v>
      </c>
      <c r="V93" s="25">
        <v>4850.3999999999996</v>
      </c>
      <c r="W93" s="15">
        <f>V93*U93/C93</f>
        <v>756395.62800000003</v>
      </c>
    </row>
    <row r="94" spans="1:24" s="154" customFormat="1" x14ac:dyDescent="0.25">
      <c r="A94" s="256">
        <v>24</v>
      </c>
      <c r="B94" s="93" t="s">
        <v>167</v>
      </c>
      <c r="C94" s="12">
        <v>100</v>
      </c>
      <c r="D94" s="33"/>
      <c r="E94" s="33"/>
      <c r="F94" s="33"/>
      <c r="G94" s="33"/>
      <c r="H94" s="175">
        <v>2100</v>
      </c>
      <c r="I94" s="33"/>
      <c r="J94" s="33"/>
      <c r="K94" s="33"/>
      <c r="L94" s="33"/>
      <c r="M94" s="33"/>
      <c r="N94" s="33"/>
      <c r="O94" s="33"/>
      <c r="P94" s="33"/>
      <c r="Q94" s="33"/>
      <c r="R94" s="33"/>
      <c r="S94" s="33"/>
      <c r="T94" s="33"/>
      <c r="U94" s="13">
        <f t="shared" si="4"/>
        <v>2100</v>
      </c>
      <c r="V94" s="13">
        <v>10003.5</v>
      </c>
      <c r="W94" s="15">
        <f>V94*U94/C94</f>
        <v>210073.5</v>
      </c>
    </row>
    <row r="95" spans="1:24" s="154" customFormat="1" x14ac:dyDescent="0.25">
      <c r="A95" s="257">
        <v>25</v>
      </c>
      <c r="B95" s="93" t="s">
        <v>168</v>
      </c>
      <c r="C95" s="12">
        <v>100</v>
      </c>
      <c r="D95" s="33"/>
      <c r="E95" s="33"/>
      <c r="F95" s="33"/>
      <c r="G95" s="33"/>
      <c r="H95" s="175">
        <v>2100</v>
      </c>
      <c r="I95" s="33"/>
      <c r="J95" s="33"/>
      <c r="K95" s="33"/>
      <c r="L95" s="33"/>
      <c r="M95" s="33"/>
      <c r="N95" s="33"/>
      <c r="O95" s="33"/>
      <c r="P95" s="33"/>
      <c r="Q95" s="33"/>
      <c r="R95" s="33"/>
      <c r="S95" s="33"/>
      <c r="T95" s="33"/>
      <c r="U95" s="13">
        <f t="shared" si="4"/>
        <v>2100</v>
      </c>
      <c r="V95" s="13">
        <v>13527.4</v>
      </c>
      <c r="W95" s="15">
        <f>V95*U95/C95</f>
        <v>284075.40000000002</v>
      </c>
    </row>
    <row r="96" spans="1:24" s="154" customFormat="1" ht="105" x14ac:dyDescent="0.25">
      <c r="A96" s="258">
        <v>26</v>
      </c>
      <c r="B96" s="93" t="s">
        <v>169</v>
      </c>
      <c r="C96" s="19">
        <v>100</v>
      </c>
      <c r="D96" s="33"/>
      <c r="E96" s="33"/>
      <c r="F96" s="33"/>
      <c r="G96" s="33"/>
      <c r="H96" s="175">
        <v>2800</v>
      </c>
      <c r="I96" s="33"/>
      <c r="J96" s="33"/>
      <c r="K96" s="33"/>
      <c r="L96" s="33"/>
      <c r="M96" s="33"/>
      <c r="N96" s="33"/>
      <c r="O96" s="33"/>
      <c r="P96" s="33"/>
      <c r="Q96" s="33"/>
      <c r="R96" s="33"/>
      <c r="S96" s="33"/>
      <c r="T96" s="33"/>
      <c r="U96" s="13">
        <f t="shared" si="4"/>
        <v>2800</v>
      </c>
      <c r="V96" s="40">
        <v>4549.95</v>
      </c>
      <c r="W96" s="15">
        <f>V96*U96/C96</f>
        <v>127398.6</v>
      </c>
    </row>
    <row r="97" spans="1:28" s="154" customFormat="1" ht="45" x14ac:dyDescent="0.25">
      <c r="A97" s="259">
        <v>27</v>
      </c>
      <c r="B97" s="93" t="s">
        <v>165</v>
      </c>
      <c r="C97" s="35" t="s">
        <v>166</v>
      </c>
      <c r="D97" s="33"/>
      <c r="E97" s="33"/>
      <c r="F97" s="33"/>
      <c r="G97" s="33"/>
      <c r="H97" s="175">
        <v>304.64</v>
      </c>
      <c r="I97" s="33"/>
      <c r="J97" s="33"/>
      <c r="K97" s="33"/>
      <c r="L97" s="33"/>
      <c r="M97" s="33"/>
      <c r="N97" s="33"/>
      <c r="O97" s="33"/>
      <c r="P97" s="33"/>
      <c r="Q97" s="33"/>
      <c r="R97" s="33"/>
      <c r="S97" s="33"/>
      <c r="T97" s="33"/>
      <c r="U97" s="13">
        <f t="shared" si="4"/>
        <v>304.64</v>
      </c>
      <c r="V97" s="33">
        <v>72</v>
      </c>
      <c r="W97" s="15">
        <f>V97*U97</f>
        <v>21934.079999999998</v>
      </c>
    </row>
    <row r="98" spans="1:28" s="154" customFormat="1" ht="60" x14ac:dyDescent="0.25">
      <c r="A98" s="260">
        <v>28</v>
      </c>
      <c r="B98" s="94" t="s">
        <v>385</v>
      </c>
      <c r="C98" s="12">
        <v>1</v>
      </c>
      <c r="D98" s="25"/>
      <c r="E98" s="14"/>
      <c r="F98" s="14"/>
      <c r="G98" s="14"/>
      <c r="H98" s="72"/>
      <c r="I98" s="14"/>
      <c r="J98" s="14"/>
      <c r="K98" s="14"/>
      <c r="L98" s="14"/>
      <c r="M98" s="14"/>
      <c r="N98" s="14"/>
      <c r="O98" s="14">
        <v>59.4</v>
      </c>
      <c r="P98" s="16"/>
      <c r="Q98" s="174">
        <v>143.55000000000001</v>
      </c>
      <c r="R98" s="14"/>
      <c r="S98" s="14"/>
      <c r="T98" s="14"/>
      <c r="U98" s="13">
        <f t="shared" si="4"/>
        <v>202.95000000000002</v>
      </c>
      <c r="V98" s="25">
        <v>17752.2</v>
      </c>
      <c r="W98" s="15">
        <f t="shared" si="5"/>
        <v>3602808.99</v>
      </c>
    </row>
    <row r="99" spans="1:28" s="154" customFormat="1" x14ac:dyDescent="0.25">
      <c r="A99" s="261">
        <v>29</v>
      </c>
      <c r="B99" s="136" t="s">
        <v>424</v>
      </c>
      <c r="C99" s="169">
        <v>1</v>
      </c>
      <c r="D99" s="167">
        <v>-82</v>
      </c>
      <c r="E99" s="15"/>
      <c r="F99" s="15"/>
      <c r="G99" s="176">
        <v>-768</v>
      </c>
      <c r="H99" s="176">
        <v>-23647.54</v>
      </c>
      <c r="I99" s="15"/>
      <c r="J99" s="15"/>
      <c r="K99" s="15"/>
      <c r="L99" s="15"/>
      <c r="M99" s="15"/>
      <c r="N99" s="15"/>
      <c r="O99" s="15">
        <f>-1267.5-1209</f>
        <v>-2476.5</v>
      </c>
      <c r="P99" s="15"/>
      <c r="Q99" s="15"/>
      <c r="R99" s="15"/>
      <c r="S99" s="15"/>
      <c r="T99" s="15"/>
      <c r="U99" s="192">
        <f>SUM(D99:T99)</f>
        <v>-26974.04</v>
      </c>
      <c r="V99" s="30">
        <v>170</v>
      </c>
      <c r="W99" s="15">
        <f>V99*U99/C99</f>
        <v>-4585586.8</v>
      </c>
      <c r="AB99" s="187">
        <f>Y100-X100</f>
        <v>6022052.7347514629</v>
      </c>
    </row>
    <row r="100" spans="1:28" s="154" customFormat="1" x14ac:dyDescent="0.25">
      <c r="A100" s="262">
        <v>30</v>
      </c>
      <c r="B100" s="136" t="s">
        <v>425</v>
      </c>
      <c r="C100" s="178">
        <v>100</v>
      </c>
      <c r="D100" s="167"/>
      <c r="E100" s="15"/>
      <c r="F100" s="15"/>
      <c r="G100" s="176"/>
      <c r="H100" s="176"/>
      <c r="I100" s="15"/>
      <c r="J100" s="15"/>
      <c r="K100" s="15"/>
      <c r="L100" s="15"/>
      <c r="M100" s="15"/>
      <c r="N100" s="15"/>
      <c r="O100" s="15">
        <f>-507.94-511.88</f>
        <v>-1019.8199999999999</v>
      </c>
      <c r="P100" s="15"/>
      <c r="Q100" s="15">
        <v>-803.25</v>
      </c>
      <c r="R100" s="15"/>
      <c r="S100" s="15"/>
      <c r="T100" s="15"/>
      <c r="U100" s="192">
        <f>SUM(D100:T100)</f>
        <v>-1823.07</v>
      </c>
      <c r="V100" s="30">
        <v>4100</v>
      </c>
      <c r="W100" s="15">
        <f>V100*U100/C100</f>
        <v>-74745.87</v>
      </c>
      <c r="X100" s="191">
        <f>SUM(W60:W100)</f>
        <v>202539173.26524854</v>
      </c>
      <c r="Y100" s="193">
        <v>208561226</v>
      </c>
      <c r="Z100" s="187">
        <f>Y100-X100</f>
        <v>6022052.7347514629</v>
      </c>
      <c r="AB100" s="187">
        <f>AB99+AC121</f>
        <v>2586219.5552677959</v>
      </c>
    </row>
    <row r="101" spans="1:28" s="154" customFormat="1" ht="22.5" x14ac:dyDescent="0.25">
      <c r="A101" s="263">
        <v>6</v>
      </c>
      <c r="B101" s="198" t="s">
        <v>397</v>
      </c>
      <c r="C101" s="99"/>
      <c r="D101" s="99" t="s">
        <v>421</v>
      </c>
      <c r="E101" s="69"/>
      <c r="F101" s="69"/>
      <c r="G101" s="69"/>
      <c r="H101" s="69"/>
      <c r="I101" s="69"/>
      <c r="J101" s="69"/>
      <c r="K101" s="69"/>
      <c r="L101" s="69"/>
      <c r="M101" s="69"/>
      <c r="N101" s="69"/>
      <c r="O101" s="69"/>
      <c r="P101" s="69"/>
      <c r="Q101" s="69"/>
      <c r="R101" s="69"/>
      <c r="S101" s="69"/>
      <c r="T101" s="69"/>
      <c r="U101" s="88"/>
      <c r="V101" s="88"/>
      <c r="W101" s="88"/>
    </row>
    <row r="102" spans="1:28" s="154" customFormat="1" ht="75" x14ac:dyDescent="0.25">
      <c r="A102" s="220">
        <v>1</v>
      </c>
      <c r="B102" s="94" t="s">
        <v>39</v>
      </c>
      <c r="C102" s="12">
        <v>1000</v>
      </c>
      <c r="D102" s="25">
        <v>1867.645</v>
      </c>
      <c r="E102" s="14"/>
      <c r="F102" s="14"/>
      <c r="G102" s="14">
        <v>1417.9529000000011</v>
      </c>
      <c r="H102" s="72"/>
      <c r="I102" s="14"/>
      <c r="J102" s="14">
        <v>17227.970499999996</v>
      </c>
      <c r="K102" s="46">
        <v>6436.0504000000037</v>
      </c>
      <c r="L102" s="14">
        <v>12395.410299999992</v>
      </c>
      <c r="M102" s="14">
        <v>15395.300699999989</v>
      </c>
      <c r="N102" s="14">
        <v>1949.3305000000028</v>
      </c>
      <c r="O102" s="14"/>
      <c r="P102" s="14"/>
      <c r="Q102" s="14"/>
      <c r="R102" s="14"/>
      <c r="S102" s="14"/>
      <c r="T102" s="14"/>
      <c r="U102" s="13">
        <f t="shared" ref="U102:U119" si="6">SUM(D102:T102)</f>
        <v>56689.660299999981</v>
      </c>
      <c r="V102" s="14">
        <v>12735.6</v>
      </c>
      <c r="W102" s="15">
        <f t="shared" si="5"/>
        <v>721976.83771667979</v>
      </c>
      <c r="X102" s="191">
        <f>SUM(W102:W119)</f>
        <v>109345722.88169438</v>
      </c>
      <c r="Y102" s="154">
        <v>109345724</v>
      </c>
    </row>
    <row r="103" spans="1:28" s="154" customFormat="1" x14ac:dyDescent="0.25">
      <c r="A103" s="221">
        <v>2</v>
      </c>
      <c r="B103" s="94" t="s">
        <v>66</v>
      </c>
      <c r="C103" s="12">
        <v>1000</v>
      </c>
      <c r="D103" s="25">
        <v>1867.645</v>
      </c>
      <c r="E103" s="14"/>
      <c r="F103" s="14"/>
      <c r="G103" s="14">
        <v>1417.9529000000011</v>
      </c>
      <c r="H103" s="72"/>
      <c r="I103" s="14"/>
      <c r="J103" s="14">
        <v>17227.970499999996</v>
      </c>
      <c r="K103" s="46">
        <v>6436.0504000000037</v>
      </c>
      <c r="L103" s="14">
        <v>12395.410299999992</v>
      </c>
      <c r="M103" s="14">
        <v>15395.300699999989</v>
      </c>
      <c r="N103" s="14">
        <v>1949.3305000000028</v>
      </c>
      <c r="O103" s="14"/>
      <c r="P103" s="14"/>
      <c r="Q103" s="14"/>
      <c r="R103" s="14"/>
      <c r="S103" s="14"/>
      <c r="T103" s="14"/>
      <c r="U103" s="13">
        <f t="shared" si="6"/>
        <v>56689.660299999981</v>
      </c>
      <c r="V103" s="14">
        <v>12038.4</v>
      </c>
      <c r="W103" s="15">
        <f t="shared" si="5"/>
        <v>682452.8065555197</v>
      </c>
    </row>
    <row r="104" spans="1:28" s="154" customFormat="1" ht="45" x14ac:dyDescent="0.25">
      <c r="A104" s="212">
        <v>3</v>
      </c>
      <c r="B104" s="94" t="s">
        <v>20</v>
      </c>
      <c r="C104" s="12"/>
      <c r="D104" s="25"/>
      <c r="E104" s="14"/>
      <c r="F104" s="14"/>
      <c r="G104" s="14"/>
      <c r="H104" s="72"/>
      <c r="I104" s="14"/>
      <c r="J104" s="14"/>
      <c r="K104" s="46"/>
      <c r="L104" s="14"/>
      <c r="M104" s="14"/>
      <c r="N104" s="14"/>
      <c r="O104" s="14"/>
      <c r="P104" s="14"/>
      <c r="Q104" s="14"/>
      <c r="R104" s="14"/>
      <c r="S104" s="14"/>
      <c r="T104" s="14"/>
      <c r="U104" s="13">
        <f t="shared" si="6"/>
        <v>0</v>
      </c>
      <c r="V104" s="25"/>
      <c r="W104" s="16"/>
    </row>
    <row r="105" spans="1:28" s="154" customFormat="1" x14ac:dyDescent="0.25">
      <c r="A105" s="234" t="s">
        <v>42</v>
      </c>
      <c r="B105" s="94" t="s">
        <v>67</v>
      </c>
      <c r="C105" s="12">
        <v>100</v>
      </c>
      <c r="D105" s="25">
        <v>257.19499999999999</v>
      </c>
      <c r="E105" s="14"/>
      <c r="F105" s="14"/>
      <c r="G105" s="14">
        <v>140.10249999999999</v>
      </c>
      <c r="H105" s="72"/>
      <c r="I105" s="14"/>
      <c r="J105" s="14">
        <v>1464.4274999999998</v>
      </c>
      <c r="K105" s="46">
        <v>529.73</v>
      </c>
      <c r="L105" s="14">
        <v>1410.7375000000002</v>
      </c>
      <c r="M105" s="14">
        <v>1785.0250000000003</v>
      </c>
      <c r="N105" s="14">
        <v>458.78250000000003</v>
      </c>
      <c r="O105" s="14"/>
      <c r="P105" s="14"/>
      <c r="Q105" s="14"/>
      <c r="R105" s="14"/>
      <c r="S105" s="14"/>
      <c r="T105" s="14"/>
      <c r="U105" s="13">
        <f t="shared" si="6"/>
        <v>6046.0000000000009</v>
      </c>
      <c r="V105" s="14">
        <v>34694.300000000003</v>
      </c>
      <c r="W105" s="15">
        <f t="shared" si="5"/>
        <v>2097617.3780000005</v>
      </c>
    </row>
    <row r="106" spans="1:28" s="154" customFormat="1" x14ac:dyDescent="0.25">
      <c r="A106" s="235" t="s">
        <v>44</v>
      </c>
      <c r="B106" s="94" t="s">
        <v>68</v>
      </c>
      <c r="C106" s="12">
        <v>100</v>
      </c>
      <c r="D106" s="25">
        <v>34</v>
      </c>
      <c r="E106" s="14"/>
      <c r="F106" s="14"/>
      <c r="G106" s="14">
        <v>17</v>
      </c>
      <c r="H106" s="72"/>
      <c r="I106" s="14"/>
      <c r="J106" s="14">
        <v>187</v>
      </c>
      <c r="K106" s="46">
        <v>68</v>
      </c>
      <c r="L106" s="14">
        <v>187</v>
      </c>
      <c r="M106" s="14">
        <v>238</v>
      </c>
      <c r="N106" s="14">
        <v>68</v>
      </c>
      <c r="O106" s="14"/>
      <c r="P106" s="14"/>
      <c r="Q106" s="14"/>
      <c r="R106" s="14"/>
      <c r="S106" s="14"/>
      <c r="T106" s="14"/>
      <c r="U106" s="13">
        <f t="shared" si="6"/>
        <v>799</v>
      </c>
      <c r="V106" s="14">
        <v>47135.9</v>
      </c>
      <c r="W106" s="15">
        <f t="shared" si="5"/>
        <v>376615.84100000001</v>
      </c>
    </row>
    <row r="107" spans="1:28" s="154" customFormat="1" ht="90" x14ac:dyDescent="0.25">
      <c r="A107" s="213">
        <v>4</v>
      </c>
      <c r="B107" s="94" t="s">
        <v>40</v>
      </c>
      <c r="C107" s="32">
        <v>100</v>
      </c>
      <c r="D107" s="25">
        <v>6108.9827999999998</v>
      </c>
      <c r="E107" s="14"/>
      <c r="F107" s="14"/>
      <c r="G107" s="14">
        <v>4515.8106000000043</v>
      </c>
      <c r="H107" s="72"/>
      <c r="I107" s="14"/>
      <c r="J107" s="14">
        <v>44509.403099999989</v>
      </c>
      <c r="K107" s="46">
        <v>16212.101400000005</v>
      </c>
      <c r="L107" s="14">
        <v>35906.236199999992</v>
      </c>
      <c r="M107" s="14">
        <v>45010.326149999994</v>
      </c>
      <c r="N107" s="14">
        <v>9117.4861500000006</v>
      </c>
      <c r="O107" s="14"/>
      <c r="P107" s="14"/>
      <c r="Q107" s="14"/>
      <c r="R107" s="14"/>
      <c r="S107" s="14"/>
      <c r="T107" s="14"/>
      <c r="U107" s="13">
        <f t="shared" si="6"/>
        <v>161380.34639999998</v>
      </c>
      <c r="V107" s="30">
        <v>30376.9</v>
      </c>
      <c r="W107" s="15">
        <f t="shared" si="5"/>
        <v>49022346.4455816</v>
      </c>
    </row>
    <row r="108" spans="1:28" s="154" customFormat="1" ht="120.75" x14ac:dyDescent="0.25">
      <c r="A108" s="222">
        <v>5</v>
      </c>
      <c r="B108" s="94" t="s">
        <v>69</v>
      </c>
      <c r="C108" s="12"/>
      <c r="D108" s="25"/>
      <c r="E108" s="14"/>
      <c r="F108" s="14"/>
      <c r="G108" s="14"/>
      <c r="H108" s="72"/>
      <c r="I108" s="14"/>
      <c r="J108" s="14"/>
      <c r="K108" s="46"/>
      <c r="L108" s="14"/>
      <c r="M108" s="14"/>
      <c r="N108" s="14"/>
      <c r="O108" s="14"/>
      <c r="P108" s="14"/>
      <c r="Q108" s="14"/>
      <c r="R108" s="14"/>
      <c r="S108" s="14"/>
      <c r="T108" s="14"/>
      <c r="U108" s="13">
        <f t="shared" si="6"/>
        <v>0</v>
      </c>
      <c r="V108" s="25"/>
      <c r="W108" s="16"/>
    </row>
    <row r="109" spans="1:28" s="154" customFormat="1" ht="75" x14ac:dyDescent="0.25">
      <c r="A109" s="234" t="s">
        <v>42</v>
      </c>
      <c r="B109" s="94" t="s">
        <v>43</v>
      </c>
      <c r="C109" s="12">
        <v>1</v>
      </c>
      <c r="D109" s="25">
        <v>1266.9126000000001</v>
      </c>
      <c r="E109" s="14"/>
      <c r="F109" s="14"/>
      <c r="G109" s="14">
        <v>1063.0377000000012</v>
      </c>
      <c r="H109" s="72"/>
      <c r="I109" s="14"/>
      <c r="J109" s="14">
        <v>10355.410199999998</v>
      </c>
      <c r="K109" s="46">
        <v>3788.5038000000013</v>
      </c>
      <c r="L109" s="14">
        <v>7756.1378999999961</v>
      </c>
      <c r="M109" s="14">
        <v>9694.2370499999979</v>
      </c>
      <c r="N109" s="14">
        <v>1761.1120500000006</v>
      </c>
      <c r="O109" s="14"/>
      <c r="P109" s="14"/>
      <c r="Q109" s="14"/>
      <c r="R109" s="14"/>
      <c r="S109" s="14"/>
      <c r="T109" s="14"/>
      <c r="U109" s="13">
        <f t="shared" si="6"/>
        <v>35685.351299999995</v>
      </c>
      <c r="V109" s="14">
        <v>817.55</v>
      </c>
      <c r="W109" s="15">
        <f t="shared" si="5"/>
        <v>29174558.955314994</v>
      </c>
    </row>
    <row r="110" spans="1:28" s="154" customFormat="1" ht="75" x14ac:dyDescent="0.25">
      <c r="A110" s="235" t="s">
        <v>44</v>
      </c>
      <c r="B110" s="94" t="s">
        <v>45</v>
      </c>
      <c r="C110" s="12">
        <v>1</v>
      </c>
      <c r="D110" s="25">
        <v>769.41499999999996</v>
      </c>
      <c r="E110" s="14"/>
      <c r="F110" s="14"/>
      <c r="G110" s="14">
        <v>442.23249999999996</v>
      </c>
      <c r="H110" s="72"/>
      <c r="I110" s="14"/>
      <c r="J110" s="14">
        <v>4481.0575000000008</v>
      </c>
      <c r="K110" s="46">
        <v>1615.53</v>
      </c>
      <c r="L110" s="14">
        <v>4212.607500000001</v>
      </c>
      <c r="M110" s="14">
        <v>5309.2050000000017</v>
      </c>
      <c r="N110" s="14">
        <v>1278.0500000000002</v>
      </c>
      <c r="O110" s="14"/>
      <c r="P110" s="14"/>
      <c r="Q110" s="14"/>
      <c r="R110" s="14"/>
      <c r="S110" s="14"/>
      <c r="T110" s="14"/>
      <c r="U110" s="13">
        <f t="shared" si="6"/>
        <v>18108.097500000003</v>
      </c>
      <c r="V110" s="14">
        <v>670.5</v>
      </c>
      <c r="W110" s="15">
        <f t="shared" si="5"/>
        <v>12141479.373750003</v>
      </c>
    </row>
    <row r="111" spans="1:28" s="154" customFormat="1" ht="30" x14ac:dyDescent="0.25">
      <c r="A111" s="223">
        <v>6</v>
      </c>
      <c r="B111" s="94" t="s">
        <v>46</v>
      </c>
      <c r="C111" s="19">
        <v>100</v>
      </c>
      <c r="D111" s="25">
        <v>751.27499999999998</v>
      </c>
      <c r="E111" s="14"/>
      <c r="F111" s="14"/>
      <c r="G111" s="14">
        <v>551.0106000000003</v>
      </c>
      <c r="H111" s="72"/>
      <c r="I111" s="14"/>
      <c r="J111" s="14">
        <v>6197.8769999999977</v>
      </c>
      <c r="K111" s="46">
        <v>2288.865600000001</v>
      </c>
      <c r="L111" s="14">
        <v>4687.729199999997</v>
      </c>
      <c r="M111" s="14">
        <v>5822.749799999995</v>
      </c>
      <c r="N111" s="14">
        <v>986.23980000000086</v>
      </c>
      <c r="O111" s="14"/>
      <c r="P111" s="14"/>
      <c r="Q111" s="14"/>
      <c r="R111" s="14"/>
      <c r="S111" s="14"/>
      <c r="T111" s="14"/>
      <c r="U111" s="13">
        <f t="shared" si="6"/>
        <v>21285.746999999988</v>
      </c>
      <c r="V111" s="25">
        <v>1645.1</v>
      </c>
      <c r="W111" s="15">
        <f t="shared" si="5"/>
        <v>350171.82389699982</v>
      </c>
    </row>
    <row r="112" spans="1:28" s="154" customFormat="1" ht="30" x14ac:dyDescent="0.25">
      <c r="A112" s="224">
        <v>7</v>
      </c>
      <c r="B112" s="94" t="s">
        <v>70</v>
      </c>
      <c r="C112" s="12">
        <v>100</v>
      </c>
      <c r="D112" s="25">
        <v>80</v>
      </c>
      <c r="E112" s="14"/>
      <c r="F112" s="14"/>
      <c r="G112" s="14">
        <v>40</v>
      </c>
      <c r="H112" s="72"/>
      <c r="I112" s="14"/>
      <c r="J112" s="14">
        <v>440</v>
      </c>
      <c r="K112" s="46">
        <v>160</v>
      </c>
      <c r="L112" s="14">
        <v>440</v>
      </c>
      <c r="M112" s="14">
        <v>560</v>
      </c>
      <c r="N112" s="14">
        <v>160</v>
      </c>
      <c r="O112" s="14"/>
      <c r="P112" s="14"/>
      <c r="Q112" s="14"/>
      <c r="R112" s="14"/>
      <c r="S112" s="14"/>
      <c r="T112" s="14"/>
      <c r="U112" s="13">
        <f t="shared" si="6"/>
        <v>1880</v>
      </c>
      <c r="V112" s="25">
        <v>35727</v>
      </c>
      <c r="W112" s="15">
        <f t="shared" si="5"/>
        <v>671667.6</v>
      </c>
    </row>
    <row r="113" spans="1:29" s="154" customFormat="1" ht="45" x14ac:dyDescent="0.25">
      <c r="A113" s="233">
        <v>8</v>
      </c>
      <c r="B113" s="134" t="s">
        <v>71</v>
      </c>
      <c r="C113" s="34">
        <v>1</v>
      </c>
      <c r="D113" s="25">
        <v>189.5</v>
      </c>
      <c r="E113" s="14"/>
      <c r="F113" s="14"/>
      <c r="G113" s="14">
        <v>180.20000000000016</v>
      </c>
      <c r="H113" s="72"/>
      <c r="I113" s="14"/>
      <c r="J113" s="14">
        <v>1425.3799999999997</v>
      </c>
      <c r="K113" s="46">
        <v>518</v>
      </c>
      <c r="L113" s="14">
        <v>1098.7399999999998</v>
      </c>
      <c r="M113" s="14">
        <v>1373.78</v>
      </c>
      <c r="N113" s="14">
        <v>213.57999999999998</v>
      </c>
      <c r="O113" s="14"/>
      <c r="P113" s="14"/>
      <c r="Q113" s="14"/>
      <c r="R113" s="14"/>
      <c r="S113" s="14"/>
      <c r="T113" s="14"/>
      <c r="U113" s="13">
        <f t="shared" si="6"/>
        <v>4999.1799999999994</v>
      </c>
      <c r="V113" s="14">
        <v>809.4</v>
      </c>
      <c r="W113" s="15">
        <f t="shared" si="5"/>
        <v>4046336.2919999994</v>
      </c>
    </row>
    <row r="114" spans="1:29" s="154" customFormat="1" ht="30" x14ac:dyDescent="0.25">
      <c r="A114" s="236">
        <v>9</v>
      </c>
      <c r="B114" s="147" t="s">
        <v>72</v>
      </c>
      <c r="C114" s="34">
        <v>1</v>
      </c>
      <c r="D114" s="25">
        <v>70</v>
      </c>
      <c r="E114" s="14"/>
      <c r="F114" s="14"/>
      <c r="G114" s="14">
        <v>50</v>
      </c>
      <c r="H114" s="72"/>
      <c r="I114" s="14"/>
      <c r="J114" s="14">
        <v>450</v>
      </c>
      <c r="K114" s="46">
        <v>160</v>
      </c>
      <c r="L114" s="14">
        <v>380</v>
      </c>
      <c r="M114" s="14">
        <v>470</v>
      </c>
      <c r="N114" s="14">
        <v>90</v>
      </c>
      <c r="O114" s="14"/>
      <c r="P114" s="14"/>
      <c r="Q114" s="14"/>
      <c r="R114" s="14"/>
      <c r="S114" s="14"/>
      <c r="T114" s="14"/>
      <c r="U114" s="13">
        <f t="shared" si="6"/>
        <v>1670</v>
      </c>
      <c r="V114" s="14">
        <v>1381</v>
      </c>
      <c r="W114" s="15">
        <f t="shared" si="5"/>
        <v>2306270</v>
      </c>
    </row>
    <row r="115" spans="1:29" s="154" customFormat="1" x14ac:dyDescent="0.25">
      <c r="A115" s="237">
        <v>10</v>
      </c>
      <c r="B115" s="95" t="s">
        <v>59</v>
      </c>
      <c r="C115" s="12">
        <v>1000</v>
      </c>
      <c r="D115" s="25">
        <v>4000</v>
      </c>
      <c r="E115" s="14"/>
      <c r="F115" s="14"/>
      <c r="G115" s="14">
        <v>2000</v>
      </c>
      <c r="H115" s="72"/>
      <c r="I115" s="14"/>
      <c r="J115" s="14">
        <v>22000</v>
      </c>
      <c r="K115" s="46">
        <v>8000</v>
      </c>
      <c r="L115" s="14">
        <v>22000</v>
      </c>
      <c r="M115" s="14">
        <v>28000</v>
      </c>
      <c r="N115" s="14">
        <v>8000</v>
      </c>
      <c r="O115" s="14"/>
      <c r="P115" s="14"/>
      <c r="Q115" s="14"/>
      <c r="R115" s="14"/>
      <c r="S115" s="14"/>
      <c r="T115" s="14"/>
      <c r="U115" s="13">
        <f>SUM(D115:T115)</f>
        <v>94000</v>
      </c>
      <c r="V115" s="13">
        <v>5266.8</v>
      </c>
      <c r="W115" s="15">
        <f t="shared" si="5"/>
        <v>495079.2</v>
      </c>
    </row>
    <row r="116" spans="1:29" s="154" customFormat="1" ht="75.75" x14ac:dyDescent="0.25">
      <c r="A116" s="238">
        <v>11</v>
      </c>
      <c r="B116" s="94" t="s">
        <v>36</v>
      </c>
      <c r="C116" s="12"/>
      <c r="D116" s="25"/>
      <c r="E116" s="14"/>
      <c r="F116" s="14"/>
      <c r="G116" s="14"/>
      <c r="H116" s="72"/>
      <c r="I116" s="14"/>
      <c r="J116" s="14"/>
      <c r="K116" s="46"/>
      <c r="L116" s="14"/>
      <c r="M116" s="14"/>
      <c r="N116" s="14"/>
      <c r="O116" s="14"/>
      <c r="P116" s="14"/>
      <c r="Q116" s="14"/>
      <c r="R116" s="14"/>
      <c r="S116" s="14"/>
      <c r="T116" s="14"/>
      <c r="U116" s="13">
        <f t="shared" si="6"/>
        <v>0</v>
      </c>
      <c r="V116" s="16"/>
      <c r="W116" s="16"/>
    </row>
    <row r="117" spans="1:29" s="154" customFormat="1" x14ac:dyDescent="0.25">
      <c r="A117" s="253" t="s">
        <v>60</v>
      </c>
      <c r="B117" s="94" t="s">
        <v>61</v>
      </c>
      <c r="C117" s="12">
        <v>100</v>
      </c>
      <c r="D117" s="25">
        <v>246.90719999999999</v>
      </c>
      <c r="E117" s="14"/>
      <c r="F117" s="14"/>
      <c r="G117" s="14">
        <v>134.49839999999998</v>
      </c>
      <c r="H117" s="72"/>
      <c r="I117" s="14"/>
      <c r="J117" s="14">
        <v>1405.8503999999998</v>
      </c>
      <c r="K117" s="46">
        <v>508.54079999999999</v>
      </c>
      <c r="L117" s="14">
        <v>1354.3080000000002</v>
      </c>
      <c r="M117" s="14">
        <v>1713.6240000000003</v>
      </c>
      <c r="N117" s="14">
        <v>440.43119999999999</v>
      </c>
      <c r="O117" s="14"/>
      <c r="P117" s="14"/>
      <c r="Q117" s="14"/>
      <c r="R117" s="14"/>
      <c r="S117" s="14"/>
      <c r="T117" s="14"/>
      <c r="U117" s="13">
        <f t="shared" si="6"/>
        <v>5804.1600000000008</v>
      </c>
      <c r="V117" s="13">
        <v>14042.6</v>
      </c>
      <c r="W117" s="15">
        <f t="shared" si="5"/>
        <v>815054.97216</v>
      </c>
    </row>
    <row r="118" spans="1:29" s="154" customFormat="1" x14ac:dyDescent="0.25">
      <c r="A118" s="225" t="s">
        <v>37</v>
      </c>
      <c r="B118" s="94" t="s">
        <v>38</v>
      </c>
      <c r="C118" s="12">
        <v>100</v>
      </c>
      <c r="D118" s="25">
        <v>29.92</v>
      </c>
      <c r="E118" s="14"/>
      <c r="F118" s="14"/>
      <c r="G118" s="14">
        <v>14.96</v>
      </c>
      <c r="H118" s="72"/>
      <c r="I118" s="14"/>
      <c r="J118" s="14">
        <v>164.56</v>
      </c>
      <c r="K118" s="46">
        <v>59.84</v>
      </c>
      <c r="L118" s="14">
        <v>164.56</v>
      </c>
      <c r="M118" s="14">
        <v>209.44</v>
      </c>
      <c r="N118" s="14">
        <v>59.84</v>
      </c>
      <c r="O118" s="14"/>
      <c r="P118" s="14"/>
      <c r="Q118" s="14"/>
      <c r="R118" s="14"/>
      <c r="S118" s="14"/>
      <c r="T118" s="14"/>
      <c r="U118" s="13">
        <f t="shared" si="6"/>
        <v>703.12</v>
      </c>
      <c r="V118" s="13">
        <v>14042.6</v>
      </c>
      <c r="W118" s="15">
        <f t="shared" si="5"/>
        <v>98736.329120000009</v>
      </c>
    </row>
    <row r="119" spans="1:29" s="154" customFormat="1" x14ac:dyDescent="0.25">
      <c r="A119" s="254" t="s">
        <v>63</v>
      </c>
      <c r="B119" s="94" t="s">
        <v>73</v>
      </c>
      <c r="C119" s="12">
        <v>100</v>
      </c>
      <c r="D119" s="25">
        <v>1710.5151840000001</v>
      </c>
      <c r="E119" s="14"/>
      <c r="F119" s="14"/>
      <c r="G119" s="14">
        <v>1264.4269680000011</v>
      </c>
      <c r="H119" s="72"/>
      <c r="I119" s="14"/>
      <c r="J119" s="14">
        <v>12462.632867999999</v>
      </c>
      <c r="K119" s="46">
        <v>4539.3883920000007</v>
      </c>
      <c r="L119" s="14">
        <v>10053.746136</v>
      </c>
      <c r="M119" s="14">
        <v>12602.891321999999</v>
      </c>
      <c r="N119" s="14">
        <v>2552.8961220000006</v>
      </c>
      <c r="O119" s="14"/>
      <c r="P119" s="14"/>
      <c r="Q119" s="14"/>
      <c r="R119" s="14"/>
      <c r="S119" s="14"/>
      <c r="T119" s="14"/>
      <c r="U119" s="13">
        <f t="shared" si="6"/>
        <v>45186.496991999993</v>
      </c>
      <c r="V119" s="13">
        <v>14042.6</v>
      </c>
      <c r="W119" s="15">
        <f t="shared" si="5"/>
        <v>6345359.0265985904</v>
      </c>
    </row>
    <row r="120" spans="1:29" s="154" customFormat="1" ht="22.5" x14ac:dyDescent="0.25">
      <c r="A120" s="264">
        <v>7</v>
      </c>
      <c r="B120" s="198" t="s">
        <v>398</v>
      </c>
      <c r="C120" s="88"/>
      <c r="D120" s="88"/>
      <c r="E120" s="88"/>
      <c r="F120" s="88"/>
      <c r="G120" s="88"/>
      <c r="H120" s="88"/>
      <c r="I120" s="88"/>
      <c r="J120" s="88"/>
      <c r="K120" s="88"/>
      <c r="L120" s="88"/>
      <c r="M120" s="88"/>
      <c r="N120" s="88"/>
      <c r="O120" s="88"/>
      <c r="P120" s="88"/>
      <c r="Q120" s="88"/>
      <c r="R120" s="88"/>
      <c r="S120" s="88"/>
      <c r="T120" s="88"/>
      <c r="U120" s="88"/>
      <c r="V120" s="88"/>
      <c r="W120" s="88"/>
    </row>
    <row r="121" spans="1:29" s="154" customFormat="1" ht="30" x14ac:dyDescent="0.25">
      <c r="A121" s="228">
        <v>1</v>
      </c>
      <c r="B121" s="94" t="s">
        <v>158</v>
      </c>
      <c r="C121" s="12">
        <v>100</v>
      </c>
      <c r="D121" s="101"/>
      <c r="E121" s="9"/>
      <c r="F121" s="9"/>
      <c r="G121" s="174">
        <v>93240</v>
      </c>
      <c r="H121" s="70"/>
      <c r="I121" s="9"/>
      <c r="J121" s="9"/>
      <c r="K121" s="9"/>
      <c r="L121" s="9"/>
      <c r="M121" s="9"/>
      <c r="N121" s="9"/>
      <c r="O121" s="9"/>
      <c r="P121" s="9"/>
      <c r="Q121" s="9"/>
      <c r="R121" s="9"/>
      <c r="S121" s="9"/>
      <c r="T121" s="9"/>
      <c r="U121" s="13">
        <f t="shared" ref="U121:U136" si="7">SUM(D121:T121)</f>
        <v>93240</v>
      </c>
      <c r="V121" s="25">
        <v>3762</v>
      </c>
      <c r="W121" s="15">
        <f t="shared" si="5"/>
        <v>3507688.8</v>
      </c>
      <c r="X121" s="193">
        <v>89611262</v>
      </c>
      <c r="Y121" s="191">
        <f>SUM(W121:W136)</f>
        <v>93047095.179483667</v>
      </c>
      <c r="Z121" s="187">
        <f>Y121-X121</f>
        <v>3435833.179483667</v>
      </c>
      <c r="AC121" s="187">
        <f>X121-Y121</f>
        <v>-3435833.179483667</v>
      </c>
    </row>
    <row r="122" spans="1:29" s="154" customFormat="1" ht="30" x14ac:dyDescent="0.25">
      <c r="A122" s="221">
        <v>2</v>
      </c>
      <c r="B122" s="94" t="s">
        <v>74</v>
      </c>
      <c r="C122" s="12">
        <v>1000</v>
      </c>
      <c r="D122" s="167">
        <v>476.44</v>
      </c>
      <c r="E122" s="174">
        <v>355.5</v>
      </c>
      <c r="F122" s="174">
        <v>312.56</v>
      </c>
      <c r="G122" s="174">
        <v>129745.5</v>
      </c>
      <c r="H122" s="174">
        <v>275894.18</v>
      </c>
      <c r="I122" s="14"/>
      <c r="J122" s="174">
        <v>10137.189999999999</v>
      </c>
      <c r="K122" s="174">
        <v>269.25</v>
      </c>
      <c r="L122" s="174">
        <v>6208.72</v>
      </c>
      <c r="M122" s="174">
        <v>6208.72</v>
      </c>
      <c r="N122" s="174">
        <v>148.5</v>
      </c>
      <c r="O122" s="174">
        <v>967.12999999999988</v>
      </c>
      <c r="P122" s="174">
        <f>967.13+967.13</f>
        <v>1934.26</v>
      </c>
      <c r="Q122" s="174">
        <v>2700.32</v>
      </c>
      <c r="R122" s="14"/>
      <c r="S122" s="14"/>
      <c r="T122" s="14"/>
      <c r="U122" s="13">
        <f t="shared" si="7"/>
        <v>435358.26999999996</v>
      </c>
      <c r="V122" s="14">
        <v>4640.7</v>
      </c>
      <c r="W122" s="15">
        <f t="shared" si="5"/>
        <v>2020367.1235889997</v>
      </c>
    </row>
    <row r="123" spans="1:29" s="154" customFormat="1" ht="30" x14ac:dyDescent="0.25">
      <c r="A123" s="265">
        <v>3</v>
      </c>
      <c r="B123" s="94" t="s">
        <v>159</v>
      </c>
      <c r="C123" s="12">
        <v>100</v>
      </c>
      <c r="D123" s="25"/>
      <c r="E123" s="14"/>
      <c r="F123" s="14"/>
      <c r="G123" s="174">
        <v>126000</v>
      </c>
      <c r="H123" s="72"/>
      <c r="I123" s="14"/>
      <c r="J123" s="14"/>
      <c r="K123" s="14"/>
      <c r="L123" s="14"/>
      <c r="M123" s="14"/>
      <c r="N123" s="14"/>
      <c r="O123" s="14"/>
      <c r="P123" s="14"/>
      <c r="Q123" s="14"/>
      <c r="R123" s="14"/>
      <c r="S123" s="14"/>
      <c r="T123" s="14"/>
      <c r="U123" s="13">
        <f t="shared" si="7"/>
        <v>126000</v>
      </c>
      <c r="V123" s="25">
        <v>4743.75</v>
      </c>
      <c r="W123" s="15">
        <f t="shared" si="5"/>
        <v>5977125</v>
      </c>
      <c r="AA123" s="187">
        <f>Z121+Z100</f>
        <v>9457885.91423513</v>
      </c>
    </row>
    <row r="124" spans="1:29" s="154" customFormat="1" ht="30" x14ac:dyDescent="0.25">
      <c r="A124" s="266">
        <v>4</v>
      </c>
      <c r="B124" s="94" t="s">
        <v>75</v>
      </c>
      <c r="C124" s="12">
        <v>100</v>
      </c>
      <c r="D124" s="167">
        <v>476.44</v>
      </c>
      <c r="E124" s="174">
        <v>355.5</v>
      </c>
      <c r="F124" s="174">
        <v>312.56</v>
      </c>
      <c r="G124" s="174">
        <v>3745.5</v>
      </c>
      <c r="H124" s="174">
        <v>10945.44</v>
      </c>
      <c r="I124" s="14"/>
      <c r="J124" s="174">
        <v>10137.189999999999</v>
      </c>
      <c r="K124" s="174">
        <v>269.25</v>
      </c>
      <c r="L124" s="174">
        <v>6208.72</v>
      </c>
      <c r="M124" s="174">
        <v>6208.72</v>
      </c>
      <c r="N124" s="174">
        <v>148.5</v>
      </c>
      <c r="O124" s="174">
        <v>967.12999999999988</v>
      </c>
      <c r="P124" s="174">
        <f>5141.14+967.13+967.13</f>
        <v>7075.4000000000005</v>
      </c>
      <c r="Q124" s="174">
        <v>2700.32</v>
      </c>
      <c r="R124" s="14"/>
      <c r="S124" s="14"/>
      <c r="T124" s="14"/>
      <c r="U124" s="13">
        <f t="shared" si="7"/>
        <v>49550.67</v>
      </c>
      <c r="V124" s="25">
        <v>6849</v>
      </c>
      <c r="W124" s="15">
        <f t="shared" si="5"/>
        <v>3393725.3882999998</v>
      </c>
    </row>
    <row r="125" spans="1:29" s="154" customFormat="1" x14ac:dyDescent="0.25">
      <c r="A125" s="222">
        <v>5</v>
      </c>
      <c r="B125" s="131" t="s">
        <v>76</v>
      </c>
      <c r="C125" s="19">
        <v>100</v>
      </c>
      <c r="D125" s="167">
        <v>735.36749999999995</v>
      </c>
      <c r="E125" s="174">
        <v>681.66000000000008</v>
      </c>
      <c r="F125" s="174">
        <v>525.12249999999995</v>
      </c>
      <c r="G125" s="174">
        <v>72754.37000000001</v>
      </c>
      <c r="H125" s="174">
        <v>6058.7160000000003</v>
      </c>
      <c r="I125" s="14"/>
      <c r="J125" s="174">
        <v>3737.0541800000001</v>
      </c>
      <c r="K125" s="174">
        <v>480.69</v>
      </c>
      <c r="L125" s="174">
        <v>2589.8832000000002</v>
      </c>
      <c r="M125" s="174">
        <v>3457.1106</v>
      </c>
      <c r="N125" s="174">
        <v>422.73</v>
      </c>
      <c r="O125" s="174">
        <v>614.72448000000009</v>
      </c>
      <c r="P125" s="174">
        <f>594.5328+594.53</f>
        <v>1189.0627999999999</v>
      </c>
      <c r="Q125" s="174">
        <v>785.33279999999991</v>
      </c>
      <c r="R125" s="14"/>
      <c r="S125" s="14"/>
      <c r="T125" s="14"/>
      <c r="U125" s="13">
        <f t="shared" si="7"/>
        <v>94031.824060000014</v>
      </c>
      <c r="V125" s="25">
        <v>2265.1</v>
      </c>
      <c r="W125" s="15">
        <f t="shared" si="5"/>
        <v>2129914.8467830601</v>
      </c>
    </row>
    <row r="126" spans="1:29" s="154" customFormat="1" x14ac:dyDescent="0.25">
      <c r="A126" s="223">
        <v>6</v>
      </c>
      <c r="B126" s="131" t="s">
        <v>77</v>
      </c>
      <c r="C126" s="19">
        <v>100</v>
      </c>
      <c r="D126" s="167">
        <v>130.5</v>
      </c>
      <c r="E126" s="174">
        <v>126</v>
      </c>
      <c r="F126" s="174">
        <v>129.5</v>
      </c>
      <c r="G126" s="174">
        <v>12167</v>
      </c>
      <c r="H126" s="174">
        <v>594.66</v>
      </c>
      <c r="I126" s="14"/>
      <c r="J126" s="174">
        <v>631.16</v>
      </c>
      <c r="K126" s="174">
        <v>126</v>
      </c>
      <c r="L126" s="174">
        <v>524.66</v>
      </c>
      <c r="M126" s="174">
        <v>524.66</v>
      </c>
      <c r="N126" s="174">
        <v>126</v>
      </c>
      <c r="O126" s="174">
        <v>96</v>
      </c>
      <c r="P126" s="174">
        <f>96+96</f>
        <v>192</v>
      </c>
      <c r="Q126" s="174">
        <v>136</v>
      </c>
      <c r="R126" s="14"/>
      <c r="S126" s="14"/>
      <c r="T126" s="14"/>
      <c r="U126" s="13">
        <f t="shared" si="7"/>
        <v>15504.14</v>
      </c>
      <c r="V126" s="25">
        <v>1660.5</v>
      </c>
      <c r="W126" s="15">
        <f t="shared" si="5"/>
        <v>257446.24469999998</v>
      </c>
    </row>
    <row r="127" spans="1:29" s="154" customFormat="1" x14ac:dyDescent="0.25">
      <c r="A127" s="267">
        <v>7</v>
      </c>
      <c r="B127" s="94" t="s">
        <v>78</v>
      </c>
      <c r="C127" s="12">
        <v>100</v>
      </c>
      <c r="D127" s="167">
        <v>242.67</v>
      </c>
      <c r="E127" s="174">
        <v>224.94</v>
      </c>
      <c r="F127" s="174">
        <v>173.29</v>
      </c>
      <c r="G127" s="174">
        <v>24008.94</v>
      </c>
      <c r="H127" s="174">
        <v>2001.64428</v>
      </c>
      <c r="I127" s="14"/>
      <c r="J127" s="174">
        <v>1233.5999999999999</v>
      </c>
      <c r="K127" s="174">
        <v>158.63</v>
      </c>
      <c r="L127" s="174">
        <v>854.71</v>
      </c>
      <c r="M127" s="174">
        <v>1140.8899999999999</v>
      </c>
      <c r="N127" s="174">
        <v>139.5</v>
      </c>
      <c r="O127" s="174">
        <v>202.85907840000004</v>
      </c>
      <c r="P127" s="174">
        <f>812.42+196.2+196.2</f>
        <v>1204.82</v>
      </c>
      <c r="Q127" s="174">
        <v>259.15982400000001</v>
      </c>
      <c r="R127" s="14"/>
      <c r="S127" s="14"/>
      <c r="T127" s="14"/>
      <c r="U127" s="13">
        <f t="shared" si="7"/>
        <v>31845.653182399998</v>
      </c>
      <c r="V127" s="25">
        <v>18564.099999999999</v>
      </c>
      <c r="W127" s="15">
        <f t="shared" si="5"/>
        <v>5911858.9024339179</v>
      </c>
    </row>
    <row r="128" spans="1:29" s="154" customFormat="1" x14ac:dyDescent="0.25">
      <c r="A128" s="268">
        <v>8</v>
      </c>
      <c r="B128" s="94" t="s">
        <v>79</v>
      </c>
      <c r="C128" s="12">
        <v>100</v>
      </c>
      <c r="D128" s="167">
        <v>242.67</v>
      </c>
      <c r="E128" s="174">
        <v>224.94</v>
      </c>
      <c r="F128" s="174">
        <v>173.29</v>
      </c>
      <c r="G128" s="174">
        <v>24008.94</v>
      </c>
      <c r="H128" s="174">
        <v>2001.64428</v>
      </c>
      <c r="I128" s="14"/>
      <c r="J128" s="174">
        <v>1233.5999999999999</v>
      </c>
      <c r="K128" s="174">
        <v>158.63</v>
      </c>
      <c r="L128" s="174">
        <v>854.71</v>
      </c>
      <c r="M128" s="174">
        <v>1140.8899999999999</v>
      </c>
      <c r="N128" s="174">
        <v>139.5</v>
      </c>
      <c r="O128" s="174">
        <v>202.85907840000004</v>
      </c>
      <c r="P128" s="174">
        <f>812.42+196.2+196.2</f>
        <v>1204.82</v>
      </c>
      <c r="Q128" s="174">
        <v>259.15982400000001</v>
      </c>
      <c r="R128" s="14"/>
      <c r="S128" s="14"/>
      <c r="T128" s="14"/>
      <c r="U128" s="13">
        <f t="shared" si="7"/>
        <v>31845.653182399998</v>
      </c>
      <c r="V128" s="25">
        <v>18564.099999999999</v>
      </c>
      <c r="W128" s="15">
        <f t="shared" si="5"/>
        <v>5911858.9024339179</v>
      </c>
    </row>
    <row r="129" spans="1:26" s="154" customFormat="1" x14ac:dyDescent="0.25">
      <c r="A129" s="269">
        <v>9</v>
      </c>
      <c r="B129" s="94" t="s">
        <v>80</v>
      </c>
      <c r="C129" s="12">
        <v>100</v>
      </c>
      <c r="D129" s="167">
        <v>43.07</v>
      </c>
      <c r="E129" s="174">
        <v>41.58</v>
      </c>
      <c r="F129" s="174">
        <v>42.739999999999995</v>
      </c>
      <c r="G129" s="174">
        <v>4015.11</v>
      </c>
      <c r="H129" s="174">
        <v>196.4178</v>
      </c>
      <c r="I129" s="14"/>
      <c r="J129" s="174">
        <v>208.28</v>
      </c>
      <c r="K129" s="174">
        <v>41.58</v>
      </c>
      <c r="L129" s="174">
        <v>173.14</v>
      </c>
      <c r="M129" s="174">
        <v>173.14</v>
      </c>
      <c r="N129" s="174">
        <v>41.58</v>
      </c>
      <c r="O129" s="174">
        <v>31.68</v>
      </c>
      <c r="P129" s="174">
        <f>147.4+31.68+31.68</f>
        <v>210.76000000000002</v>
      </c>
      <c r="Q129" s="174">
        <v>54.33120000000001</v>
      </c>
      <c r="R129" s="14"/>
      <c r="S129" s="14"/>
      <c r="T129" s="14"/>
      <c r="U129" s="13">
        <f t="shared" si="7"/>
        <v>5273.4090000000006</v>
      </c>
      <c r="V129" s="25">
        <v>18017.599999999999</v>
      </c>
      <c r="W129" s="15">
        <f t="shared" si="5"/>
        <v>950141.73998399999</v>
      </c>
    </row>
    <row r="130" spans="1:26" s="154" customFormat="1" x14ac:dyDescent="0.25">
      <c r="A130" s="270">
        <v>10</v>
      </c>
      <c r="B130" s="94" t="s">
        <v>81</v>
      </c>
      <c r="C130" s="12">
        <v>100</v>
      </c>
      <c r="D130" s="167">
        <v>43.07</v>
      </c>
      <c r="E130" s="174">
        <v>41.58</v>
      </c>
      <c r="F130" s="174">
        <v>42.739999999999995</v>
      </c>
      <c r="G130" s="174">
        <v>4015.11</v>
      </c>
      <c r="H130" s="174">
        <v>196.4178</v>
      </c>
      <c r="I130" s="14"/>
      <c r="J130" s="174">
        <v>208.28</v>
      </c>
      <c r="K130" s="174">
        <v>41.58</v>
      </c>
      <c r="L130" s="174">
        <v>173.14</v>
      </c>
      <c r="M130" s="174">
        <v>173.14</v>
      </c>
      <c r="N130" s="174">
        <v>41.58</v>
      </c>
      <c r="O130" s="174">
        <v>31.68</v>
      </c>
      <c r="P130" s="174">
        <f>147.4+31.68+31.68</f>
        <v>210.76000000000002</v>
      </c>
      <c r="Q130" s="174">
        <v>54.33120000000001</v>
      </c>
      <c r="R130" s="25"/>
      <c r="S130" s="14"/>
      <c r="T130" s="14"/>
      <c r="U130" s="13">
        <f t="shared" si="7"/>
        <v>5273.4090000000006</v>
      </c>
      <c r="V130" s="25">
        <v>18017.599999999999</v>
      </c>
      <c r="W130" s="15">
        <f t="shared" si="5"/>
        <v>950141.73998399999</v>
      </c>
    </row>
    <row r="131" spans="1:26" s="154" customFormat="1" x14ac:dyDescent="0.25">
      <c r="A131" s="271">
        <v>11</v>
      </c>
      <c r="B131" s="94" t="s">
        <v>82</v>
      </c>
      <c r="C131" s="12">
        <v>100</v>
      </c>
      <c r="D131" s="167">
        <v>735.37</v>
      </c>
      <c r="E131" s="174">
        <v>681.66000000000008</v>
      </c>
      <c r="F131" s="174">
        <v>525.12</v>
      </c>
      <c r="G131" s="174">
        <v>72754.37000000001</v>
      </c>
      <c r="H131" s="174">
        <v>6058.72</v>
      </c>
      <c r="I131" s="14"/>
      <c r="J131" s="174">
        <v>3738.19</v>
      </c>
      <c r="K131" s="174">
        <v>480.69</v>
      </c>
      <c r="L131" s="174">
        <v>2590.02</v>
      </c>
      <c r="M131" s="174">
        <v>3457.25</v>
      </c>
      <c r="N131" s="174">
        <v>422.73</v>
      </c>
      <c r="O131" s="174">
        <v>614.72448000000009</v>
      </c>
      <c r="P131" s="174">
        <f>2461.88+594.53+594.53</f>
        <v>3650.9399999999996</v>
      </c>
      <c r="Q131" s="174">
        <v>785.33279999999991</v>
      </c>
      <c r="R131" s="25"/>
      <c r="S131" s="14"/>
      <c r="T131" s="14"/>
      <c r="U131" s="13">
        <f t="shared" si="7"/>
        <v>96495.11728000002</v>
      </c>
      <c r="V131" s="25">
        <v>11511</v>
      </c>
      <c r="W131" s="15">
        <f t="shared" si="5"/>
        <v>11107552.950100804</v>
      </c>
    </row>
    <row r="132" spans="1:26" s="154" customFormat="1" x14ac:dyDescent="0.25">
      <c r="A132" s="272">
        <v>12</v>
      </c>
      <c r="B132" s="94" t="s">
        <v>83</v>
      </c>
      <c r="C132" s="12">
        <v>100</v>
      </c>
      <c r="D132" s="167">
        <v>130.5</v>
      </c>
      <c r="E132" s="174">
        <v>126</v>
      </c>
      <c r="F132" s="174">
        <v>129.5</v>
      </c>
      <c r="G132" s="174">
        <v>12167</v>
      </c>
      <c r="H132" s="174">
        <v>594.66</v>
      </c>
      <c r="I132" s="14"/>
      <c r="J132" s="174">
        <v>631.16</v>
      </c>
      <c r="K132" s="174">
        <v>126</v>
      </c>
      <c r="L132" s="174">
        <v>173.14</v>
      </c>
      <c r="M132" s="174">
        <v>173.14</v>
      </c>
      <c r="N132" s="174">
        <v>126</v>
      </c>
      <c r="O132" s="174">
        <v>96</v>
      </c>
      <c r="P132" s="174">
        <f>446.68+96+96</f>
        <v>638.68000000000006</v>
      </c>
      <c r="Q132" s="174">
        <v>164.64</v>
      </c>
      <c r="R132" s="14"/>
      <c r="S132" s="14"/>
      <c r="T132" s="14"/>
      <c r="U132" s="13">
        <f t="shared" si="7"/>
        <v>15276.419999999998</v>
      </c>
      <c r="V132" s="25">
        <v>10570.5</v>
      </c>
      <c r="W132" s="15">
        <f t="shared" si="5"/>
        <v>1614793.9760999999</v>
      </c>
    </row>
    <row r="133" spans="1:26" s="154" customFormat="1" ht="60" x14ac:dyDescent="0.25">
      <c r="A133" s="273">
        <v>13</v>
      </c>
      <c r="B133" s="135" t="s">
        <v>84</v>
      </c>
      <c r="C133" s="12">
        <v>100</v>
      </c>
      <c r="D133" s="167">
        <v>1682.2379999999998</v>
      </c>
      <c r="E133" s="174">
        <v>1449.117</v>
      </c>
      <c r="F133" s="174">
        <v>1207.5</v>
      </c>
      <c r="G133" s="174">
        <v>152322.06900000002</v>
      </c>
      <c r="H133" s="174">
        <v>47639.451745000006</v>
      </c>
      <c r="I133" s="14"/>
      <c r="J133" s="174">
        <v>33005.504368000002</v>
      </c>
      <c r="K133" s="174">
        <v>1091.5155</v>
      </c>
      <c r="L133" s="174">
        <v>20947.183421999998</v>
      </c>
      <c r="M133" s="174">
        <v>21997.199982000006</v>
      </c>
      <c r="N133" s="174">
        <v>858.95100000000002</v>
      </c>
      <c r="O133" s="174">
        <v>11198.249675999999</v>
      </c>
      <c r="P133" s="174">
        <f>36777.2+5817.78+6679.9</f>
        <v>49274.879999999997</v>
      </c>
      <c r="Q133" s="174">
        <v>10655.627760000001</v>
      </c>
      <c r="R133" s="14"/>
      <c r="S133" s="14"/>
      <c r="T133" s="14"/>
      <c r="U133" s="13">
        <f t="shared" si="7"/>
        <v>353329.48745300004</v>
      </c>
      <c r="V133" s="25">
        <v>14042.6</v>
      </c>
      <c r="W133" s="15">
        <f t="shared" si="5"/>
        <v>49616646.605074987</v>
      </c>
    </row>
    <row r="134" spans="1:26" s="154" customFormat="1" x14ac:dyDescent="0.25">
      <c r="A134" s="274">
        <v>14</v>
      </c>
      <c r="B134" s="131" t="s">
        <v>334</v>
      </c>
      <c r="C134" s="12"/>
      <c r="D134" s="12"/>
      <c r="E134" s="12"/>
      <c r="F134" s="12"/>
      <c r="G134" s="12"/>
      <c r="H134" s="12"/>
      <c r="I134" s="12"/>
      <c r="J134" s="12"/>
      <c r="K134" s="12"/>
      <c r="L134" s="12"/>
      <c r="M134" s="12"/>
      <c r="N134" s="12"/>
      <c r="O134" s="12"/>
      <c r="P134" s="12"/>
      <c r="Q134" s="12"/>
      <c r="R134" s="12"/>
      <c r="S134" s="12"/>
      <c r="T134" s="12"/>
      <c r="U134" s="13">
        <f t="shared" si="7"/>
        <v>0</v>
      </c>
      <c r="V134" s="12"/>
      <c r="W134" s="12"/>
    </row>
    <row r="135" spans="1:26" s="154" customFormat="1" x14ac:dyDescent="0.25">
      <c r="A135" s="118"/>
      <c r="B135" s="131" t="s">
        <v>337</v>
      </c>
      <c r="C135" s="29">
        <v>1</v>
      </c>
      <c r="D135" s="25"/>
      <c r="E135" s="14"/>
      <c r="F135" s="14"/>
      <c r="G135" s="14"/>
      <c r="H135" s="14"/>
      <c r="I135" s="14"/>
      <c r="J135" s="14"/>
      <c r="K135" s="14"/>
      <c r="L135" s="14"/>
      <c r="M135" s="14"/>
      <c r="N135" s="14"/>
      <c r="O135" s="14">
        <v>1267.5</v>
      </c>
      <c r="P135" s="14"/>
      <c r="Q135" s="14"/>
      <c r="R135" s="14"/>
      <c r="S135" s="14"/>
      <c r="T135" s="14"/>
      <c r="U135" s="13">
        <f t="shared" si="7"/>
        <v>1267.5</v>
      </c>
      <c r="V135" s="25">
        <v>-170</v>
      </c>
      <c r="W135" s="15">
        <f t="shared" si="5"/>
        <v>-215475</v>
      </c>
    </row>
    <row r="136" spans="1:26" s="154" customFormat="1" x14ac:dyDescent="0.25">
      <c r="A136" s="118"/>
      <c r="B136" s="131" t="s">
        <v>335</v>
      </c>
      <c r="C136" s="12">
        <v>100</v>
      </c>
      <c r="D136" s="25"/>
      <c r="E136" s="14"/>
      <c r="F136" s="14"/>
      <c r="G136" s="14"/>
      <c r="H136" s="14"/>
      <c r="I136" s="14"/>
      <c r="J136" s="14"/>
      <c r="K136" s="14"/>
      <c r="L136" s="14"/>
      <c r="M136" s="14"/>
      <c r="N136" s="14"/>
      <c r="O136" s="14">
        <v>507.94</v>
      </c>
      <c r="P136" s="14"/>
      <c r="Q136" s="14">
        <v>803.25</v>
      </c>
      <c r="R136" s="14">
        <v>803.25</v>
      </c>
      <c r="S136" s="14"/>
      <c r="T136" s="14"/>
      <c r="U136" s="13">
        <f t="shared" si="7"/>
        <v>2114.44</v>
      </c>
      <c r="V136" s="25">
        <v>-4100</v>
      </c>
      <c r="W136" s="15">
        <f t="shared" si="5"/>
        <v>-86692.04</v>
      </c>
    </row>
    <row r="137" spans="1:26" s="154" customFormat="1" ht="22.5" x14ac:dyDescent="0.25">
      <c r="A137" s="275">
        <v>8</v>
      </c>
      <c r="B137" s="198" t="s">
        <v>399</v>
      </c>
      <c r="C137" s="99"/>
      <c r="D137" s="99"/>
      <c r="E137" s="69"/>
      <c r="F137" s="69"/>
      <c r="G137" s="69"/>
      <c r="H137" s="69"/>
      <c r="I137" s="69"/>
      <c r="J137" s="69"/>
      <c r="K137" s="69"/>
      <c r="L137" s="69"/>
      <c r="M137" s="69"/>
      <c r="N137" s="69"/>
      <c r="O137" s="69"/>
      <c r="P137" s="69"/>
      <c r="Q137" s="69"/>
      <c r="R137" s="69"/>
      <c r="S137" s="69"/>
      <c r="T137" s="69"/>
      <c r="U137" s="88"/>
      <c r="V137" s="88"/>
      <c r="W137" s="88"/>
      <c r="X137" s="191">
        <f>SUM(W138:W196)</f>
        <v>50492539.985678636</v>
      </c>
      <c r="Y137" s="195">
        <f>1364663*37</f>
        <v>50492531</v>
      </c>
    </row>
    <row r="138" spans="1:26" s="154" customFormat="1" ht="75" x14ac:dyDescent="0.25">
      <c r="A138" s="220">
        <v>1</v>
      </c>
      <c r="B138" s="94" t="s">
        <v>90</v>
      </c>
      <c r="C138" s="12">
        <v>1000</v>
      </c>
      <c r="D138" s="25">
        <v>2179.5676332792</v>
      </c>
      <c r="E138" s="14">
        <v>1089.7838166396</v>
      </c>
      <c r="F138" s="14"/>
      <c r="G138" s="14">
        <v>3814.2433582386002</v>
      </c>
      <c r="H138" s="14">
        <v>2724.4595415989997</v>
      </c>
      <c r="I138" s="14"/>
      <c r="J138" s="14">
        <v>6538.7028998375999</v>
      </c>
      <c r="K138" s="14">
        <v>544.8919083198</v>
      </c>
      <c r="L138" s="14"/>
      <c r="M138" s="14"/>
      <c r="N138" s="14">
        <v>544.8919083198</v>
      </c>
      <c r="O138" s="14"/>
      <c r="P138" s="14">
        <v>2724.4595415989997</v>
      </c>
      <c r="Q138" s="14"/>
      <c r="R138" s="14"/>
      <c r="S138" s="14"/>
      <c r="T138" s="14"/>
      <c r="U138" s="13">
        <f t="shared" ref="U138:U196" si="8">SUM(D138:T138)</f>
        <v>20161.000607832604</v>
      </c>
      <c r="V138" s="14">
        <v>15824.15</v>
      </c>
      <c r="W138" s="15">
        <f t="shared" ref="W138:W201" si="9">V138*U138/C138</f>
        <v>319030.6977684343</v>
      </c>
      <c r="X138" s="187">
        <f>K138*37</f>
        <v>20161.000607832601</v>
      </c>
      <c r="Y138" s="187">
        <f>U138-X138</f>
        <v>0</v>
      </c>
      <c r="Z138" s="191">
        <f>SUM(W138:W196)</f>
        <v>50492539.985678636</v>
      </c>
    </row>
    <row r="139" spans="1:26" s="154" customFormat="1" ht="105" x14ac:dyDescent="0.25">
      <c r="A139" s="221">
        <v>2</v>
      </c>
      <c r="B139" s="135" t="s">
        <v>91</v>
      </c>
      <c r="C139" s="19">
        <v>1</v>
      </c>
      <c r="D139" s="25">
        <v>2034</v>
      </c>
      <c r="E139" s="14">
        <v>1017</v>
      </c>
      <c r="F139" s="14"/>
      <c r="G139" s="14">
        <v>3559.5</v>
      </c>
      <c r="H139" s="14">
        <v>2542.5</v>
      </c>
      <c r="I139" s="14"/>
      <c r="J139" s="14">
        <v>6102</v>
      </c>
      <c r="K139" s="14">
        <v>508.5</v>
      </c>
      <c r="L139" s="14"/>
      <c r="M139" s="14"/>
      <c r="N139" s="14">
        <v>508.5</v>
      </c>
      <c r="O139" s="14"/>
      <c r="P139" s="14">
        <v>2542.5</v>
      </c>
      <c r="Q139" s="14"/>
      <c r="R139" s="14"/>
      <c r="S139" s="14"/>
      <c r="T139" s="14"/>
      <c r="U139" s="13">
        <f t="shared" si="8"/>
        <v>18814.5</v>
      </c>
      <c r="V139" s="25">
        <v>12.55</v>
      </c>
      <c r="W139" s="15">
        <f t="shared" si="9"/>
        <v>236121.97500000001</v>
      </c>
      <c r="X139" s="187">
        <f t="shared" ref="X139:X196" si="10">K139*37</f>
        <v>18814.5</v>
      </c>
      <c r="Y139" s="187">
        <f t="shared" ref="Y139:Y196" si="11">U139-X139</f>
        <v>0</v>
      </c>
    </row>
    <row r="140" spans="1:26" s="154" customFormat="1" ht="45" x14ac:dyDescent="0.25">
      <c r="A140" s="212">
        <v>3</v>
      </c>
      <c r="B140" s="94" t="s">
        <v>20</v>
      </c>
      <c r="C140" s="16"/>
      <c r="D140" s="16"/>
      <c r="E140" s="16"/>
      <c r="F140" s="16"/>
      <c r="G140" s="16"/>
      <c r="H140" s="16"/>
      <c r="I140" s="16"/>
      <c r="J140" s="16"/>
      <c r="K140" s="16"/>
      <c r="L140" s="16"/>
      <c r="M140" s="16"/>
      <c r="N140" s="16"/>
      <c r="O140" s="16"/>
      <c r="P140" s="16"/>
      <c r="Q140" s="16"/>
      <c r="R140" s="16"/>
      <c r="S140" s="16"/>
      <c r="T140" s="16"/>
      <c r="U140" s="13">
        <f t="shared" si="8"/>
        <v>0</v>
      </c>
      <c r="V140" s="16"/>
      <c r="W140" s="16"/>
      <c r="X140" s="187">
        <f t="shared" si="10"/>
        <v>0</v>
      </c>
      <c r="Y140" s="187">
        <f t="shared" si="11"/>
        <v>0</v>
      </c>
    </row>
    <row r="141" spans="1:26" s="154" customFormat="1" x14ac:dyDescent="0.25">
      <c r="A141" s="234" t="s">
        <v>42</v>
      </c>
      <c r="B141" s="94" t="s">
        <v>67</v>
      </c>
      <c r="C141" s="12">
        <v>100</v>
      </c>
      <c r="D141" s="25">
        <v>422.44977729920004</v>
      </c>
      <c r="E141" s="14">
        <v>211.22488864960002</v>
      </c>
      <c r="F141" s="14"/>
      <c r="G141" s="14">
        <v>739.28711027360009</v>
      </c>
      <c r="H141" s="14">
        <v>528.06222162400002</v>
      </c>
      <c r="I141" s="14"/>
      <c r="J141" s="14">
        <v>1267.3493318976002</v>
      </c>
      <c r="K141" s="14">
        <v>105.61244432480001</v>
      </c>
      <c r="L141" s="14"/>
      <c r="M141" s="14"/>
      <c r="N141" s="14">
        <v>105.61244432480001</v>
      </c>
      <c r="O141" s="14"/>
      <c r="P141" s="14">
        <v>528.06222162400002</v>
      </c>
      <c r="Q141" s="14"/>
      <c r="R141" s="14"/>
      <c r="S141" s="14"/>
      <c r="T141" s="14"/>
      <c r="U141" s="13">
        <f t="shared" si="8"/>
        <v>3907.6604400176002</v>
      </c>
      <c r="V141" s="14">
        <v>34694.300000000003</v>
      </c>
      <c r="W141" s="15">
        <f t="shared" si="9"/>
        <v>1355735.4360410264</v>
      </c>
      <c r="X141" s="187">
        <f t="shared" si="10"/>
        <v>3907.6604400176002</v>
      </c>
      <c r="Y141" s="187">
        <f t="shared" si="11"/>
        <v>0</v>
      </c>
    </row>
    <row r="142" spans="1:26" s="154" customFormat="1" ht="30" x14ac:dyDescent="0.25">
      <c r="A142" s="213">
        <v>4</v>
      </c>
      <c r="B142" s="94" t="s">
        <v>22</v>
      </c>
      <c r="C142" s="12">
        <v>100</v>
      </c>
      <c r="D142" s="25">
        <v>1260.1600000000001</v>
      </c>
      <c r="E142" s="14">
        <v>630.08000000000004</v>
      </c>
      <c r="F142" s="14"/>
      <c r="G142" s="14">
        <v>2205.2800000000002</v>
      </c>
      <c r="H142" s="14">
        <v>1575.2</v>
      </c>
      <c r="I142" s="14"/>
      <c r="J142" s="14">
        <v>3780.4800000000005</v>
      </c>
      <c r="K142" s="14">
        <v>315.04000000000002</v>
      </c>
      <c r="L142" s="14"/>
      <c r="M142" s="14"/>
      <c r="N142" s="14">
        <v>315.04000000000002</v>
      </c>
      <c r="O142" s="14"/>
      <c r="P142" s="14">
        <v>1575.2</v>
      </c>
      <c r="Q142" s="14"/>
      <c r="R142" s="14"/>
      <c r="S142" s="14"/>
      <c r="T142" s="14"/>
      <c r="U142" s="13">
        <f t="shared" si="8"/>
        <v>11656.480000000003</v>
      </c>
      <c r="V142" s="14">
        <v>32675.95</v>
      </c>
      <c r="W142" s="15">
        <f t="shared" si="9"/>
        <v>3808865.5765600014</v>
      </c>
      <c r="X142" s="187">
        <f t="shared" si="10"/>
        <v>11656.480000000001</v>
      </c>
      <c r="Y142" s="187">
        <f t="shared" si="11"/>
        <v>0</v>
      </c>
    </row>
    <row r="143" spans="1:26" s="154" customFormat="1" ht="60" x14ac:dyDescent="0.25">
      <c r="A143" s="222">
        <v>5</v>
      </c>
      <c r="B143" s="94" t="s">
        <v>92</v>
      </c>
      <c r="C143" s="19">
        <v>100</v>
      </c>
      <c r="D143" s="25">
        <v>258</v>
      </c>
      <c r="E143" s="14">
        <v>129</v>
      </c>
      <c r="F143" s="14"/>
      <c r="G143" s="14">
        <v>451.5</v>
      </c>
      <c r="H143" s="14">
        <v>322.5</v>
      </c>
      <c r="I143" s="14"/>
      <c r="J143" s="14">
        <v>774</v>
      </c>
      <c r="K143" s="14">
        <v>64.5</v>
      </c>
      <c r="L143" s="14"/>
      <c r="M143" s="14"/>
      <c r="N143" s="14">
        <v>64.5</v>
      </c>
      <c r="O143" s="14"/>
      <c r="P143" s="14">
        <v>322.5</v>
      </c>
      <c r="Q143" s="14"/>
      <c r="R143" s="14"/>
      <c r="S143" s="14"/>
      <c r="T143" s="14"/>
      <c r="U143" s="13">
        <f t="shared" si="8"/>
        <v>2386.5</v>
      </c>
      <c r="V143" s="14">
        <v>11460.2</v>
      </c>
      <c r="W143" s="15">
        <f t="shared" si="9"/>
        <v>273497.67300000001</v>
      </c>
      <c r="X143" s="187">
        <f t="shared" si="10"/>
        <v>2386.5</v>
      </c>
      <c r="Y143" s="187">
        <f t="shared" si="11"/>
        <v>0</v>
      </c>
    </row>
    <row r="144" spans="1:26" s="154" customFormat="1" ht="60" x14ac:dyDescent="0.25">
      <c r="A144" s="223">
        <v>6</v>
      </c>
      <c r="B144" s="94" t="s">
        <v>93</v>
      </c>
      <c r="C144" s="19">
        <v>100</v>
      </c>
      <c r="D144" s="25">
        <v>480</v>
      </c>
      <c r="E144" s="14">
        <v>240</v>
      </c>
      <c r="F144" s="14"/>
      <c r="G144" s="14">
        <v>840</v>
      </c>
      <c r="H144" s="14">
        <v>600</v>
      </c>
      <c r="I144" s="14"/>
      <c r="J144" s="14">
        <v>1440</v>
      </c>
      <c r="K144" s="14">
        <v>120</v>
      </c>
      <c r="L144" s="14"/>
      <c r="M144" s="14"/>
      <c r="N144" s="14">
        <v>120</v>
      </c>
      <c r="O144" s="14"/>
      <c r="P144" s="14">
        <v>600</v>
      </c>
      <c r="Q144" s="14"/>
      <c r="R144" s="14"/>
      <c r="S144" s="14"/>
      <c r="T144" s="14"/>
      <c r="U144" s="13">
        <f t="shared" si="8"/>
        <v>4440</v>
      </c>
      <c r="V144" s="14">
        <v>7607.35</v>
      </c>
      <c r="W144" s="15">
        <f t="shared" si="9"/>
        <v>337766.34</v>
      </c>
      <c r="X144" s="187">
        <f t="shared" si="10"/>
        <v>4440</v>
      </c>
      <c r="Y144" s="187">
        <f t="shared" si="11"/>
        <v>0</v>
      </c>
    </row>
    <row r="145" spans="1:25" s="154" customFormat="1" ht="30" x14ac:dyDescent="0.25">
      <c r="A145" s="224">
        <v>7</v>
      </c>
      <c r="B145" s="94" t="s">
        <v>94</v>
      </c>
      <c r="C145" s="12">
        <v>1000</v>
      </c>
      <c r="D145" s="25">
        <v>600</v>
      </c>
      <c r="E145" s="14">
        <v>300</v>
      </c>
      <c r="F145" s="14"/>
      <c r="G145" s="14">
        <v>1050</v>
      </c>
      <c r="H145" s="14">
        <v>750</v>
      </c>
      <c r="I145" s="14"/>
      <c r="J145" s="14">
        <v>1800</v>
      </c>
      <c r="K145" s="14">
        <v>150</v>
      </c>
      <c r="L145" s="14"/>
      <c r="M145" s="14"/>
      <c r="N145" s="14">
        <v>150</v>
      </c>
      <c r="O145" s="14"/>
      <c r="P145" s="14">
        <v>750</v>
      </c>
      <c r="Q145" s="14"/>
      <c r="R145" s="14"/>
      <c r="S145" s="14"/>
      <c r="T145" s="14"/>
      <c r="U145" s="13">
        <f t="shared" si="8"/>
        <v>5550</v>
      </c>
      <c r="V145" s="14">
        <v>7547.75</v>
      </c>
      <c r="W145" s="15">
        <f t="shared" si="9"/>
        <v>41890.012499999997</v>
      </c>
      <c r="X145" s="187">
        <f t="shared" si="10"/>
        <v>5550</v>
      </c>
      <c r="Y145" s="187">
        <f t="shared" si="11"/>
        <v>0</v>
      </c>
    </row>
    <row r="146" spans="1:25" s="154" customFormat="1" ht="30" x14ac:dyDescent="0.25">
      <c r="A146" s="233">
        <v>8</v>
      </c>
      <c r="B146" s="94" t="s">
        <v>95</v>
      </c>
      <c r="C146" s="12">
        <v>100</v>
      </c>
      <c r="D146" s="25">
        <v>1163.5999999999999</v>
      </c>
      <c r="E146" s="14">
        <v>581.79999999999995</v>
      </c>
      <c r="F146" s="14"/>
      <c r="G146" s="14">
        <v>2036.2999999999997</v>
      </c>
      <c r="H146" s="14">
        <v>1454.5</v>
      </c>
      <c r="I146" s="14"/>
      <c r="J146" s="14">
        <v>3490.7999999999997</v>
      </c>
      <c r="K146" s="14">
        <v>290.89999999999998</v>
      </c>
      <c r="L146" s="14"/>
      <c r="M146" s="14"/>
      <c r="N146" s="14">
        <v>290.89999999999998</v>
      </c>
      <c r="O146" s="14"/>
      <c r="P146" s="14">
        <v>1454.5</v>
      </c>
      <c r="Q146" s="14"/>
      <c r="R146" s="14"/>
      <c r="S146" s="14"/>
      <c r="T146" s="14"/>
      <c r="U146" s="13">
        <f t="shared" si="8"/>
        <v>10763.3</v>
      </c>
      <c r="V146" s="14">
        <v>35830.6</v>
      </c>
      <c r="W146" s="15">
        <f t="shared" si="9"/>
        <v>3856554.9697999996</v>
      </c>
      <c r="X146" s="187">
        <f t="shared" si="10"/>
        <v>10763.3</v>
      </c>
      <c r="Y146" s="187">
        <f t="shared" si="11"/>
        <v>0</v>
      </c>
    </row>
    <row r="147" spans="1:25" s="154" customFormat="1" ht="120.75" x14ac:dyDescent="0.25">
      <c r="A147" s="236">
        <v>9</v>
      </c>
      <c r="B147" s="94" t="s">
        <v>41</v>
      </c>
      <c r="C147" s="20"/>
      <c r="D147" s="25"/>
      <c r="E147" s="14"/>
      <c r="F147" s="14"/>
      <c r="G147" s="14"/>
      <c r="H147" s="14"/>
      <c r="I147" s="14"/>
      <c r="J147" s="14">
        <v>0</v>
      </c>
      <c r="K147" s="14"/>
      <c r="L147" s="14"/>
      <c r="M147" s="14"/>
      <c r="N147" s="14"/>
      <c r="O147" s="14"/>
      <c r="P147" s="14">
        <v>0</v>
      </c>
      <c r="Q147" s="14"/>
      <c r="R147" s="14"/>
      <c r="S147" s="14"/>
      <c r="T147" s="14"/>
      <c r="U147" s="13">
        <f t="shared" si="8"/>
        <v>0</v>
      </c>
      <c r="V147" s="13">
        <f>SUM(E147:U147)</f>
        <v>0</v>
      </c>
      <c r="W147" s="13">
        <f>SUM(F147:V147)</f>
        <v>0</v>
      </c>
      <c r="X147" s="187">
        <f t="shared" si="10"/>
        <v>0</v>
      </c>
      <c r="Y147" s="187">
        <f t="shared" si="11"/>
        <v>0</v>
      </c>
    </row>
    <row r="148" spans="1:25" s="154" customFormat="1" ht="75" x14ac:dyDescent="0.25">
      <c r="A148" s="234" t="s">
        <v>42</v>
      </c>
      <c r="B148" s="94" t="s">
        <v>96</v>
      </c>
      <c r="C148" s="12">
        <v>1</v>
      </c>
      <c r="D148" s="25">
        <v>616.66319999999996</v>
      </c>
      <c r="E148" s="14">
        <v>308.33159999999998</v>
      </c>
      <c r="F148" s="14"/>
      <c r="G148" s="14">
        <v>1079.1605999999999</v>
      </c>
      <c r="H148" s="14">
        <v>770.82899999999995</v>
      </c>
      <c r="I148" s="14"/>
      <c r="J148" s="14">
        <v>1849.9895999999999</v>
      </c>
      <c r="K148" s="14">
        <v>154.16579999999999</v>
      </c>
      <c r="L148" s="14"/>
      <c r="M148" s="14"/>
      <c r="N148" s="14">
        <v>154.16579999999999</v>
      </c>
      <c r="O148" s="14"/>
      <c r="P148" s="14">
        <v>770.82899999999995</v>
      </c>
      <c r="Q148" s="14"/>
      <c r="R148" s="14"/>
      <c r="S148" s="14"/>
      <c r="T148" s="14"/>
      <c r="U148" s="13">
        <f t="shared" si="8"/>
        <v>5704.1345999999994</v>
      </c>
      <c r="V148" s="14">
        <v>741.85</v>
      </c>
      <c r="W148" s="15">
        <f t="shared" si="9"/>
        <v>4231612.2530100001</v>
      </c>
      <c r="X148" s="187">
        <f t="shared" si="10"/>
        <v>5704.1345999999994</v>
      </c>
      <c r="Y148" s="187">
        <f t="shared" si="11"/>
        <v>0</v>
      </c>
    </row>
    <row r="149" spans="1:25" s="154" customFormat="1" ht="75" x14ac:dyDescent="0.25">
      <c r="A149" s="235" t="s">
        <v>44</v>
      </c>
      <c r="B149" s="94" t="s">
        <v>97</v>
      </c>
      <c r="C149" s="12">
        <v>1</v>
      </c>
      <c r="D149" s="25">
        <v>73.631249999999994</v>
      </c>
      <c r="E149" s="14">
        <v>36.815624999999997</v>
      </c>
      <c r="F149" s="14"/>
      <c r="G149" s="14">
        <v>128.85468749999998</v>
      </c>
      <c r="H149" s="14">
        <v>92.0390625</v>
      </c>
      <c r="I149" s="14"/>
      <c r="J149" s="14">
        <v>220.89374999999998</v>
      </c>
      <c r="K149" s="14">
        <v>18.407812499999999</v>
      </c>
      <c r="L149" s="14"/>
      <c r="M149" s="14"/>
      <c r="N149" s="14">
        <v>18.407812499999999</v>
      </c>
      <c r="O149" s="14"/>
      <c r="P149" s="14">
        <v>92.0390625</v>
      </c>
      <c r="Q149" s="14"/>
      <c r="R149" s="14"/>
      <c r="S149" s="14"/>
      <c r="T149" s="14"/>
      <c r="U149" s="13">
        <f t="shared" si="8"/>
        <v>681.08906249999995</v>
      </c>
      <c r="V149" s="14">
        <v>595</v>
      </c>
      <c r="W149" s="15">
        <f t="shared" si="9"/>
        <v>405247.9921875</v>
      </c>
      <c r="X149" s="187">
        <f t="shared" si="10"/>
        <v>681.08906249999995</v>
      </c>
      <c r="Y149" s="187">
        <f t="shared" si="11"/>
        <v>0</v>
      </c>
    </row>
    <row r="150" spans="1:25" s="154" customFormat="1" ht="90" x14ac:dyDescent="0.25">
      <c r="A150" s="276">
        <v>10</v>
      </c>
      <c r="B150" s="94" t="s">
        <v>98</v>
      </c>
      <c r="C150" s="29">
        <v>100</v>
      </c>
      <c r="D150" s="25">
        <v>4141.7667000000001</v>
      </c>
      <c r="E150" s="14">
        <v>2070.8833500000001</v>
      </c>
      <c r="F150" s="14"/>
      <c r="G150" s="14">
        <v>7248.0917250000002</v>
      </c>
      <c r="H150" s="14">
        <v>5177.2083750000002</v>
      </c>
      <c r="I150" s="14"/>
      <c r="J150" s="14">
        <v>12425.3001</v>
      </c>
      <c r="K150" s="14">
        <v>1035.441675</v>
      </c>
      <c r="L150" s="14"/>
      <c r="M150" s="14"/>
      <c r="N150" s="14">
        <v>1035.441675</v>
      </c>
      <c r="O150" s="14"/>
      <c r="P150" s="14">
        <v>5177.2083750000002</v>
      </c>
      <c r="Q150" s="14"/>
      <c r="R150" s="14"/>
      <c r="S150" s="14"/>
      <c r="T150" s="14"/>
      <c r="U150" s="13">
        <f t="shared" si="8"/>
        <v>38311.341975000003</v>
      </c>
      <c r="V150" s="14">
        <v>30376.9</v>
      </c>
      <c r="W150" s="15">
        <f t="shared" si="9"/>
        <v>11637798.040403776</v>
      </c>
      <c r="X150" s="187">
        <f t="shared" si="10"/>
        <v>38311.341975000003</v>
      </c>
      <c r="Y150" s="187">
        <f t="shared" si="11"/>
        <v>0</v>
      </c>
    </row>
    <row r="151" spans="1:25" s="154" customFormat="1" ht="180" x14ac:dyDescent="0.25">
      <c r="A151" s="238">
        <v>11</v>
      </c>
      <c r="B151" s="94" t="s">
        <v>99</v>
      </c>
      <c r="C151" s="19">
        <v>1</v>
      </c>
      <c r="D151" s="25">
        <v>128</v>
      </c>
      <c r="E151" s="14">
        <v>64</v>
      </c>
      <c r="F151" s="14"/>
      <c r="G151" s="14">
        <v>224</v>
      </c>
      <c r="H151" s="14">
        <v>160</v>
      </c>
      <c r="I151" s="14"/>
      <c r="J151" s="14">
        <v>384</v>
      </c>
      <c r="K151" s="14">
        <v>32</v>
      </c>
      <c r="L151" s="14"/>
      <c r="M151" s="14"/>
      <c r="N151" s="14">
        <v>32</v>
      </c>
      <c r="O151" s="14"/>
      <c r="P151" s="14">
        <v>160</v>
      </c>
      <c r="Q151" s="14"/>
      <c r="R151" s="14"/>
      <c r="S151" s="14"/>
      <c r="T151" s="14"/>
      <c r="U151" s="13">
        <f t="shared" si="8"/>
        <v>1184</v>
      </c>
      <c r="V151" s="14">
        <v>2180.6999999999998</v>
      </c>
      <c r="W151" s="15">
        <f t="shared" si="9"/>
        <v>2581948.7999999998</v>
      </c>
      <c r="X151" s="187">
        <f t="shared" si="10"/>
        <v>1184</v>
      </c>
      <c r="Y151" s="187">
        <f t="shared" si="11"/>
        <v>0</v>
      </c>
    </row>
    <row r="152" spans="1:25" s="154" customFormat="1" ht="60" x14ac:dyDescent="0.25">
      <c r="A152" s="277">
        <v>12</v>
      </c>
      <c r="B152" s="94" t="s">
        <v>100</v>
      </c>
      <c r="C152" s="19">
        <v>1</v>
      </c>
      <c r="D152" s="25">
        <v>160</v>
      </c>
      <c r="E152" s="14">
        <v>80</v>
      </c>
      <c r="F152" s="14"/>
      <c r="G152" s="14">
        <v>280</v>
      </c>
      <c r="H152" s="14">
        <v>200</v>
      </c>
      <c r="I152" s="14"/>
      <c r="J152" s="14">
        <v>480</v>
      </c>
      <c r="K152" s="14">
        <v>40</v>
      </c>
      <c r="L152" s="14"/>
      <c r="M152" s="14"/>
      <c r="N152" s="14">
        <v>40</v>
      </c>
      <c r="O152" s="14"/>
      <c r="P152" s="14">
        <v>200</v>
      </c>
      <c r="Q152" s="14"/>
      <c r="R152" s="14"/>
      <c r="S152" s="14"/>
      <c r="T152" s="14"/>
      <c r="U152" s="13">
        <f t="shared" si="8"/>
        <v>1480</v>
      </c>
      <c r="V152" s="14">
        <v>457.1</v>
      </c>
      <c r="W152" s="15">
        <f t="shared" si="9"/>
        <v>676508</v>
      </c>
      <c r="X152" s="187">
        <f t="shared" si="10"/>
        <v>1480</v>
      </c>
      <c r="Y152" s="187">
        <f t="shared" si="11"/>
        <v>0</v>
      </c>
    </row>
    <row r="153" spans="1:25" s="154" customFormat="1" ht="45" x14ac:dyDescent="0.25">
      <c r="A153" s="240">
        <v>13</v>
      </c>
      <c r="B153" s="94" t="s">
        <v>101</v>
      </c>
      <c r="C153" s="19">
        <v>1</v>
      </c>
      <c r="D153" s="25">
        <v>196</v>
      </c>
      <c r="E153" s="14">
        <v>98</v>
      </c>
      <c r="F153" s="14"/>
      <c r="G153" s="14">
        <v>343</v>
      </c>
      <c r="H153" s="14">
        <v>245</v>
      </c>
      <c r="I153" s="14"/>
      <c r="J153" s="14">
        <v>588</v>
      </c>
      <c r="K153" s="14">
        <v>49</v>
      </c>
      <c r="L153" s="14"/>
      <c r="M153" s="14"/>
      <c r="N153" s="14">
        <v>49</v>
      </c>
      <c r="O153" s="14"/>
      <c r="P153" s="14">
        <v>245</v>
      </c>
      <c r="Q153" s="14"/>
      <c r="R153" s="14"/>
      <c r="S153" s="14"/>
      <c r="T153" s="14"/>
      <c r="U153" s="13">
        <f t="shared" si="8"/>
        <v>1813</v>
      </c>
      <c r="V153" s="14">
        <v>2767</v>
      </c>
      <c r="W153" s="15">
        <f t="shared" si="9"/>
        <v>5016571</v>
      </c>
      <c r="X153" s="187">
        <f t="shared" si="10"/>
        <v>1813</v>
      </c>
      <c r="Y153" s="187">
        <f t="shared" si="11"/>
        <v>0</v>
      </c>
    </row>
    <row r="154" spans="1:25" s="154" customFormat="1" ht="75" x14ac:dyDescent="0.25">
      <c r="A154" s="241">
        <v>14</v>
      </c>
      <c r="B154" s="94" t="s">
        <v>102</v>
      </c>
      <c r="C154" s="19">
        <v>100</v>
      </c>
      <c r="D154" s="25">
        <v>382.25</v>
      </c>
      <c r="E154" s="14">
        <v>191.125</v>
      </c>
      <c r="F154" s="14"/>
      <c r="G154" s="14">
        <v>668.9375</v>
      </c>
      <c r="H154" s="14">
        <v>477.8125</v>
      </c>
      <c r="I154" s="14"/>
      <c r="J154" s="14">
        <v>1146.75</v>
      </c>
      <c r="K154" s="14">
        <v>95.5625</v>
      </c>
      <c r="L154" s="14"/>
      <c r="M154" s="14"/>
      <c r="N154" s="14">
        <v>95.5625</v>
      </c>
      <c r="O154" s="14"/>
      <c r="P154" s="14">
        <v>477.8125</v>
      </c>
      <c r="Q154" s="14"/>
      <c r="R154" s="14"/>
      <c r="S154" s="14"/>
      <c r="T154" s="14"/>
      <c r="U154" s="13">
        <f t="shared" si="8"/>
        <v>3535.8125</v>
      </c>
      <c r="V154" s="14">
        <v>13179.6</v>
      </c>
      <c r="W154" s="15">
        <f t="shared" si="9"/>
        <v>466005.94425000006</v>
      </c>
      <c r="X154" s="187">
        <f t="shared" si="10"/>
        <v>3535.8125</v>
      </c>
      <c r="Y154" s="187">
        <f t="shared" si="11"/>
        <v>0</v>
      </c>
    </row>
    <row r="155" spans="1:25" s="154" customFormat="1" ht="30" x14ac:dyDescent="0.25">
      <c r="A155" s="242">
        <v>15</v>
      </c>
      <c r="B155" s="94" t="s">
        <v>103</v>
      </c>
      <c r="C155" s="19">
        <v>1</v>
      </c>
      <c r="D155" s="25">
        <v>398.25</v>
      </c>
      <c r="E155" s="14">
        <v>199.125</v>
      </c>
      <c r="F155" s="14"/>
      <c r="G155" s="14">
        <v>696.9375</v>
      </c>
      <c r="H155" s="14">
        <v>497.8125</v>
      </c>
      <c r="I155" s="14"/>
      <c r="J155" s="14">
        <v>1194.75</v>
      </c>
      <c r="K155" s="14">
        <v>99.5625</v>
      </c>
      <c r="L155" s="14"/>
      <c r="M155" s="14"/>
      <c r="N155" s="14">
        <v>99.5625</v>
      </c>
      <c r="O155" s="14"/>
      <c r="P155" s="14">
        <v>497.8125</v>
      </c>
      <c r="Q155" s="14"/>
      <c r="R155" s="14"/>
      <c r="S155" s="14"/>
      <c r="T155" s="14"/>
      <c r="U155" s="13">
        <f t="shared" si="8"/>
        <v>3683.8125</v>
      </c>
      <c r="V155" s="14">
        <v>11</v>
      </c>
      <c r="W155" s="15">
        <f t="shared" si="9"/>
        <v>40521.9375</v>
      </c>
      <c r="X155" s="187">
        <f t="shared" si="10"/>
        <v>3683.8125</v>
      </c>
      <c r="Y155" s="187">
        <f t="shared" si="11"/>
        <v>0</v>
      </c>
    </row>
    <row r="156" spans="1:25" s="154" customFormat="1" x14ac:dyDescent="0.25">
      <c r="A156" s="243">
        <v>16</v>
      </c>
      <c r="B156" s="94" t="s">
        <v>104</v>
      </c>
      <c r="C156" s="12">
        <v>100</v>
      </c>
      <c r="D156" s="25">
        <v>163.75</v>
      </c>
      <c r="E156" s="14">
        <v>81.875</v>
      </c>
      <c r="F156" s="14"/>
      <c r="G156" s="14">
        <v>286.5625</v>
      </c>
      <c r="H156" s="14">
        <v>204.6875</v>
      </c>
      <c r="I156" s="14"/>
      <c r="J156" s="14">
        <v>491.25</v>
      </c>
      <c r="K156" s="14">
        <v>40.9375</v>
      </c>
      <c r="L156" s="14"/>
      <c r="M156" s="14"/>
      <c r="N156" s="14">
        <v>40.9375</v>
      </c>
      <c r="O156" s="14"/>
      <c r="P156" s="14">
        <v>204.6875</v>
      </c>
      <c r="Q156" s="14"/>
      <c r="R156" s="14"/>
      <c r="S156" s="14"/>
      <c r="T156" s="14"/>
      <c r="U156" s="13">
        <f t="shared" si="8"/>
        <v>1514.6875</v>
      </c>
      <c r="V156" s="25">
        <v>3987</v>
      </c>
      <c r="W156" s="15">
        <f t="shared" si="9"/>
        <v>60390.590624999997</v>
      </c>
      <c r="X156" s="187">
        <f t="shared" si="10"/>
        <v>1514.6875</v>
      </c>
      <c r="Y156" s="187">
        <f t="shared" si="11"/>
        <v>0</v>
      </c>
    </row>
    <row r="157" spans="1:25" s="154" customFormat="1" ht="45" x14ac:dyDescent="0.25">
      <c r="A157" s="244">
        <v>17</v>
      </c>
      <c r="B157" s="94" t="s">
        <v>105</v>
      </c>
      <c r="C157" s="12">
        <v>100</v>
      </c>
      <c r="D157" s="25">
        <v>195.75</v>
      </c>
      <c r="E157" s="14">
        <v>97.875</v>
      </c>
      <c r="F157" s="14"/>
      <c r="G157" s="14">
        <v>342.5625</v>
      </c>
      <c r="H157" s="14">
        <v>244.6875</v>
      </c>
      <c r="I157" s="14"/>
      <c r="J157" s="14">
        <v>587.25</v>
      </c>
      <c r="K157" s="14">
        <v>48.9375</v>
      </c>
      <c r="L157" s="14"/>
      <c r="M157" s="14"/>
      <c r="N157" s="14">
        <v>48.9375</v>
      </c>
      <c r="O157" s="14"/>
      <c r="P157" s="14">
        <v>244.6875</v>
      </c>
      <c r="Q157" s="14"/>
      <c r="R157" s="14"/>
      <c r="S157" s="14"/>
      <c r="T157" s="14"/>
      <c r="U157" s="13">
        <f t="shared" si="8"/>
        <v>1810.6875</v>
      </c>
      <c r="V157" s="25">
        <v>12801.2</v>
      </c>
      <c r="W157" s="15">
        <f t="shared" si="9"/>
        <v>231789.72825000004</v>
      </c>
      <c r="X157" s="187">
        <f t="shared" si="10"/>
        <v>1810.6875</v>
      </c>
      <c r="Y157" s="187">
        <f t="shared" si="11"/>
        <v>0</v>
      </c>
    </row>
    <row r="158" spans="1:25" s="154" customFormat="1" ht="45" x14ac:dyDescent="0.25">
      <c r="A158" s="245">
        <v>18</v>
      </c>
      <c r="B158" s="92" t="s">
        <v>106</v>
      </c>
      <c r="C158" s="20"/>
      <c r="D158" s="20"/>
      <c r="E158" s="20"/>
      <c r="F158" s="20"/>
      <c r="G158" s="20"/>
      <c r="H158" s="20"/>
      <c r="I158" s="20"/>
      <c r="J158" s="20"/>
      <c r="K158" s="20"/>
      <c r="L158" s="20"/>
      <c r="M158" s="20"/>
      <c r="N158" s="20"/>
      <c r="O158" s="20"/>
      <c r="P158" s="20"/>
      <c r="Q158" s="20"/>
      <c r="R158" s="20"/>
      <c r="S158" s="20"/>
      <c r="T158" s="20"/>
      <c r="U158" s="13">
        <f t="shared" si="8"/>
        <v>0</v>
      </c>
      <c r="V158" s="20"/>
      <c r="W158" s="20"/>
      <c r="X158" s="187">
        <f t="shared" si="10"/>
        <v>0</v>
      </c>
      <c r="Y158" s="187">
        <f t="shared" si="11"/>
        <v>0</v>
      </c>
    </row>
    <row r="159" spans="1:25" s="154" customFormat="1" x14ac:dyDescent="0.25">
      <c r="A159" s="44"/>
      <c r="B159" s="92" t="s">
        <v>107</v>
      </c>
      <c r="C159" s="12">
        <v>100</v>
      </c>
      <c r="D159" s="25">
        <v>183.44</v>
      </c>
      <c r="E159" s="14">
        <v>91.72</v>
      </c>
      <c r="F159" s="14"/>
      <c r="G159" s="14">
        <v>321.02</v>
      </c>
      <c r="H159" s="14">
        <v>229.3</v>
      </c>
      <c r="I159" s="14"/>
      <c r="J159" s="14">
        <v>550.31999999999994</v>
      </c>
      <c r="K159" s="14">
        <v>45.86</v>
      </c>
      <c r="L159" s="14"/>
      <c r="M159" s="14"/>
      <c r="N159" s="14">
        <v>45.86</v>
      </c>
      <c r="O159" s="14"/>
      <c r="P159" s="14">
        <v>229.3</v>
      </c>
      <c r="Q159" s="14"/>
      <c r="R159" s="14"/>
      <c r="S159" s="14"/>
      <c r="T159" s="14"/>
      <c r="U159" s="13">
        <f t="shared" si="8"/>
        <v>1696.8199999999997</v>
      </c>
      <c r="V159" s="14">
        <v>47135.9</v>
      </c>
      <c r="W159" s="15">
        <f t="shared" si="9"/>
        <v>799811.37837999989</v>
      </c>
      <c r="X159" s="187">
        <f t="shared" si="10"/>
        <v>1696.82</v>
      </c>
      <c r="Y159" s="187">
        <f t="shared" si="11"/>
        <v>0</v>
      </c>
    </row>
    <row r="160" spans="1:25" s="154" customFormat="1" ht="30" x14ac:dyDescent="0.25">
      <c r="A160" s="249">
        <v>19</v>
      </c>
      <c r="B160" s="94" t="s">
        <v>108</v>
      </c>
      <c r="C160" s="19">
        <v>100</v>
      </c>
      <c r="D160" s="25">
        <v>2273.2200000000003</v>
      </c>
      <c r="E160" s="14">
        <v>1136.6100000000001</v>
      </c>
      <c r="F160" s="14"/>
      <c r="G160" s="14">
        <v>3978.1350000000002</v>
      </c>
      <c r="H160" s="14">
        <v>2841.5250000000005</v>
      </c>
      <c r="I160" s="14"/>
      <c r="J160" s="14">
        <v>6819.6600000000008</v>
      </c>
      <c r="K160" s="14">
        <v>568.30500000000006</v>
      </c>
      <c r="L160" s="14"/>
      <c r="M160" s="14"/>
      <c r="N160" s="14">
        <v>568.30500000000006</v>
      </c>
      <c r="O160" s="14"/>
      <c r="P160" s="14">
        <v>2841.5250000000005</v>
      </c>
      <c r="Q160" s="14"/>
      <c r="R160" s="14"/>
      <c r="S160" s="14"/>
      <c r="T160" s="14"/>
      <c r="U160" s="13">
        <f t="shared" si="8"/>
        <v>21027.285000000003</v>
      </c>
      <c r="V160" s="25">
        <v>4614.1000000000004</v>
      </c>
      <c r="W160" s="15">
        <f t="shared" si="9"/>
        <v>970219.95718500018</v>
      </c>
      <c r="X160" s="187">
        <f t="shared" si="10"/>
        <v>21027.285000000003</v>
      </c>
      <c r="Y160" s="187">
        <f t="shared" si="11"/>
        <v>0</v>
      </c>
    </row>
    <row r="161" spans="1:25" s="154" customFormat="1" ht="45" x14ac:dyDescent="0.25">
      <c r="A161" s="278">
        <v>20</v>
      </c>
      <c r="B161" s="94" t="s">
        <v>109</v>
      </c>
      <c r="C161" s="19">
        <v>100</v>
      </c>
      <c r="D161" s="25">
        <v>458.08</v>
      </c>
      <c r="E161" s="14">
        <v>229.04</v>
      </c>
      <c r="F161" s="14"/>
      <c r="G161" s="14">
        <v>801.64</v>
      </c>
      <c r="H161" s="14">
        <v>572.6</v>
      </c>
      <c r="I161" s="14"/>
      <c r="J161" s="14">
        <v>1374.24</v>
      </c>
      <c r="K161" s="14">
        <v>114.52</v>
      </c>
      <c r="L161" s="14"/>
      <c r="M161" s="14"/>
      <c r="N161" s="14">
        <v>114.52</v>
      </c>
      <c r="O161" s="14"/>
      <c r="P161" s="14">
        <v>572.6</v>
      </c>
      <c r="Q161" s="14"/>
      <c r="R161" s="14"/>
      <c r="S161" s="14"/>
      <c r="T161" s="14"/>
      <c r="U161" s="13">
        <f t="shared" si="8"/>
        <v>4237.2400000000007</v>
      </c>
      <c r="V161" s="25">
        <v>5264.65</v>
      </c>
      <c r="W161" s="15">
        <f t="shared" si="9"/>
        <v>223075.85566000003</v>
      </c>
      <c r="X161" s="187">
        <f t="shared" si="10"/>
        <v>4237.24</v>
      </c>
      <c r="Y161" s="187">
        <f t="shared" si="11"/>
        <v>0</v>
      </c>
    </row>
    <row r="162" spans="1:25" s="154" customFormat="1" ht="60" x14ac:dyDescent="0.25">
      <c r="A162" s="251">
        <v>21</v>
      </c>
      <c r="B162" s="94" t="s">
        <v>110</v>
      </c>
      <c r="C162" s="19">
        <v>100</v>
      </c>
      <c r="D162" s="25">
        <v>1959.5</v>
      </c>
      <c r="E162" s="14">
        <v>979.75</v>
      </c>
      <c r="F162" s="14"/>
      <c r="G162" s="14">
        <v>3429.125</v>
      </c>
      <c r="H162" s="14">
        <v>2449.375</v>
      </c>
      <c r="I162" s="14"/>
      <c r="J162" s="14">
        <v>5878.5</v>
      </c>
      <c r="K162" s="14">
        <v>489.875</v>
      </c>
      <c r="L162" s="14"/>
      <c r="M162" s="14"/>
      <c r="N162" s="14">
        <v>489.875</v>
      </c>
      <c r="O162" s="14"/>
      <c r="P162" s="14">
        <v>2449.375</v>
      </c>
      <c r="Q162" s="14"/>
      <c r="R162" s="14"/>
      <c r="S162" s="14"/>
      <c r="T162" s="14"/>
      <c r="U162" s="13">
        <f t="shared" si="8"/>
        <v>18125.375</v>
      </c>
      <c r="V162" s="25">
        <v>5012.6499999999996</v>
      </c>
      <c r="W162" s="15">
        <f t="shared" si="9"/>
        <v>908561.60993749986</v>
      </c>
      <c r="X162" s="187">
        <f t="shared" si="10"/>
        <v>18125.375</v>
      </c>
      <c r="Y162" s="187">
        <f t="shared" si="11"/>
        <v>0</v>
      </c>
    </row>
    <row r="163" spans="1:25" s="154" customFormat="1" ht="45" x14ac:dyDescent="0.25">
      <c r="A163" s="252">
        <v>22</v>
      </c>
      <c r="B163" s="94" t="s">
        <v>111</v>
      </c>
      <c r="C163" s="36">
        <v>1</v>
      </c>
      <c r="D163" s="25">
        <v>52</v>
      </c>
      <c r="E163" s="14">
        <v>26</v>
      </c>
      <c r="F163" s="14"/>
      <c r="G163" s="14">
        <v>91</v>
      </c>
      <c r="H163" s="14">
        <v>65</v>
      </c>
      <c r="I163" s="14"/>
      <c r="J163" s="14">
        <v>156</v>
      </c>
      <c r="K163" s="14">
        <v>13</v>
      </c>
      <c r="L163" s="14"/>
      <c r="M163" s="14"/>
      <c r="N163" s="14">
        <v>13</v>
      </c>
      <c r="O163" s="14"/>
      <c r="P163" s="14">
        <v>65</v>
      </c>
      <c r="Q163" s="14"/>
      <c r="R163" s="14"/>
      <c r="S163" s="14"/>
      <c r="T163" s="14"/>
      <c r="U163" s="13">
        <f t="shared" si="8"/>
        <v>481</v>
      </c>
      <c r="V163" s="25">
        <v>514.9</v>
      </c>
      <c r="W163" s="15">
        <f t="shared" si="9"/>
        <v>247666.9</v>
      </c>
      <c r="X163" s="187">
        <f t="shared" si="10"/>
        <v>481</v>
      </c>
      <c r="Y163" s="187">
        <f t="shared" si="11"/>
        <v>0</v>
      </c>
    </row>
    <row r="164" spans="1:25" s="154" customFormat="1" ht="30" x14ac:dyDescent="0.25">
      <c r="A164" s="279">
        <v>23</v>
      </c>
      <c r="B164" s="94" t="s">
        <v>112</v>
      </c>
      <c r="C164" s="37">
        <v>1</v>
      </c>
      <c r="D164" s="25">
        <v>8</v>
      </c>
      <c r="E164" s="14">
        <v>4</v>
      </c>
      <c r="F164" s="14"/>
      <c r="G164" s="14">
        <v>14</v>
      </c>
      <c r="H164" s="14">
        <v>10</v>
      </c>
      <c r="I164" s="14"/>
      <c r="J164" s="14">
        <v>24</v>
      </c>
      <c r="K164" s="14">
        <v>2</v>
      </c>
      <c r="L164" s="14"/>
      <c r="M164" s="14"/>
      <c r="N164" s="14">
        <v>2</v>
      </c>
      <c r="O164" s="14"/>
      <c r="P164" s="14">
        <v>10</v>
      </c>
      <c r="Q164" s="14"/>
      <c r="R164" s="14"/>
      <c r="S164" s="14"/>
      <c r="T164" s="14"/>
      <c r="U164" s="13">
        <f t="shared" si="8"/>
        <v>74</v>
      </c>
      <c r="V164" s="25">
        <v>849.7</v>
      </c>
      <c r="W164" s="15">
        <f t="shared" si="9"/>
        <v>62877.8</v>
      </c>
      <c r="X164" s="187">
        <f t="shared" si="10"/>
        <v>74</v>
      </c>
      <c r="Y164" s="187">
        <f t="shared" si="11"/>
        <v>0</v>
      </c>
    </row>
    <row r="165" spans="1:25" s="154" customFormat="1" x14ac:dyDescent="0.25">
      <c r="A165" s="280">
        <v>24</v>
      </c>
      <c r="B165" s="94" t="s">
        <v>113</v>
      </c>
      <c r="C165" s="37">
        <v>1</v>
      </c>
      <c r="D165" s="25">
        <v>4</v>
      </c>
      <c r="E165" s="14">
        <v>2</v>
      </c>
      <c r="F165" s="14"/>
      <c r="G165" s="14">
        <v>7</v>
      </c>
      <c r="H165" s="14">
        <v>5</v>
      </c>
      <c r="I165" s="14"/>
      <c r="J165" s="14">
        <v>12</v>
      </c>
      <c r="K165" s="14">
        <v>1</v>
      </c>
      <c r="L165" s="14"/>
      <c r="M165" s="14"/>
      <c r="N165" s="14">
        <v>1</v>
      </c>
      <c r="O165" s="14"/>
      <c r="P165" s="14">
        <v>5</v>
      </c>
      <c r="Q165" s="14"/>
      <c r="R165" s="14"/>
      <c r="S165" s="14"/>
      <c r="T165" s="14"/>
      <c r="U165" s="13">
        <f t="shared" si="8"/>
        <v>37</v>
      </c>
      <c r="V165" s="25">
        <v>1159.6500000000001</v>
      </c>
      <c r="W165" s="15">
        <f t="shared" si="9"/>
        <v>42907.05</v>
      </c>
      <c r="X165" s="187">
        <f t="shared" si="10"/>
        <v>37</v>
      </c>
      <c r="Y165" s="187">
        <f t="shared" si="11"/>
        <v>0</v>
      </c>
    </row>
    <row r="166" spans="1:25" s="154" customFormat="1" x14ac:dyDescent="0.25">
      <c r="A166" s="281">
        <v>25</v>
      </c>
      <c r="B166" s="94" t="s">
        <v>114</v>
      </c>
      <c r="C166" s="19">
        <v>100</v>
      </c>
      <c r="D166" s="25">
        <v>2041.08</v>
      </c>
      <c r="E166" s="14">
        <v>1020.54</v>
      </c>
      <c r="F166" s="14"/>
      <c r="G166" s="14">
        <v>3571.89</v>
      </c>
      <c r="H166" s="14">
        <v>2551.35</v>
      </c>
      <c r="I166" s="14"/>
      <c r="J166" s="14">
        <v>6123.24</v>
      </c>
      <c r="K166" s="14">
        <v>510.27</v>
      </c>
      <c r="L166" s="14"/>
      <c r="M166" s="14"/>
      <c r="N166" s="14">
        <v>510.27</v>
      </c>
      <c r="O166" s="14"/>
      <c r="P166" s="14">
        <v>2551.35</v>
      </c>
      <c r="Q166" s="14"/>
      <c r="R166" s="14"/>
      <c r="S166" s="14"/>
      <c r="T166" s="14"/>
      <c r="U166" s="13">
        <f t="shared" si="8"/>
        <v>18879.990000000002</v>
      </c>
      <c r="V166" s="25">
        <v>1548.2</v>
      </c>
      <c r="W166" s="15">
        <f t="shared" si="9"/>
        <v>292300.00518000004</v>
      </c>
      <c r="X166" s="187">
        <f t="shared" si="10"/>
        <v>18879.989999999998</v>
      </c>
      <c r="Y166" s="187">
        <f t="shared" si="11"/>
        <v>0</v>
      </c>
    </row>
    <row r="167" spans="1:25" s="154" customFormat="1" ht="45" x14ac:dyDescent="0.25">
      <c r="A167" s="282">
        <v>26</v>
      </c>
      <c r="B167" s="94" t="s">
        <v>115</v>
      </c>
      <c r="C167" s="19">
        <v>100</v>
      </c>
      <c r="D167" s="25">
        <v>690.22</v>
      </c>
      <c r="E167" s="14">
        <v>345.11</v>
      </c>
      <c r="F167" s="14"/>
      <c r="G167" s="14">
        <v>1207.885</v>
      </c>
      <c r="H167" s="14">
        <v>862.77500000000009</v>
      </c>
      <c r="I167" s="14"/>
      <c r="J167" s="14">
        <v>2070.66</v>
      </c>
      <c r="K167" s="14">
        <v>172.55500000000001</v>
      </c>
      <c r="L167" s="14"/>
      <c r="M167" s="14"/>
      <c r="N167" s="14">
        <v>172.55500000000001</v>
      </c>
      <c r="O167" s="14"/>
      <c r="P167" s="14">
        <v>862.77500000000009</v>
      </c>
      <c r="Q167" s="14"/>
      <c r="R167" s="14"/>
      <c r="S167" s="14"/>
      <c r="T167" s="14"/>
      <c r="U167" s="13">
        <f t="shared" si="8"/>
        <v>6384.5349999999999</v>
      </c>
      <c r="V167" s="25">
        <v>7379.1</v>
      </c>
      <c r="W167" s="15">
        <f t="shared" si="9"/>
        <v>471121.22218500002</v>
      </c>
      <c r="X167" s="187">
        <f t="shared" si="10"/>
        <v>6384.5349999999999</v>
      </c>
      <c r="Y167" s="187">
        <f t="shared" si="11"/>
        <v>0</v>
      </c>
    </row>
    <row r="168" spans="1:25" s="154" customFormat="1" ht="30" x14ac:dyDescent="0.25">
      <c r="A168" s="283">
        <v>27</v>
      </c>
      <c r="B168" s="94" t="s">
        <v>116</v>
      </c>
      <c r="C168" s="19">
        <v>100</v>
      </c>
      <c r="D168" s="25">
        <v>356</v>
      </c>
      <c r="E168" s="14">
        <v>178</v>
      </c>
      <c r="F168" s="14"/>
      <c r="G168" s="14">
        <v>623</v>
      </c>
      <c r="H168" s="14">
        <v>445</v>
      </c>
      <c r="I168" s="14"/>
      <c r="J168" s="14">
        <v>1068</v>
      </c>
      <c r="K168" s="14">
        <v>89</v>
      </c>
      <c r="L168" s="14"/>
      <c r="M168" s="14"/>
      <c r="N168" s="14">
        <v>89</v>
      </c>
      <c r="O168" s="14"/>
      <c r="P168" s="14">
        <v>445</v>
      </c>
      <c r="Q168" s="14"/>
      <c r="R168" s="14"/>
      <c r="S168" s="14"/>
      <c r="T168" s="14"/>
      <c r="U168" s="13">
        <f t="shared" si="8"/>
        <v>3293</v>
      </c>
      <c r="V168" s="25">
        <v>3052.4</v>
      </c>
      <c r="W168" s="15">
        <f t="shared" si="9"/>
        <v>100515.53200000001</v>
      </c>
      <c r="X168" s="187">
        <f t="shared" si="10"/>
        <v>3293</v>
      </c>
      <c r="Y168" s="187">
        <f t="shared" si="11"/>
        <v>0</v>
      </c>
    </row>
    <row r="169" spans="1:25" s="154" customFormat="1" ht="60" x14ac:dyDescent="0.25">
      <c r="A169" s="260">
        <v>28</v>
      </c>
      <c r="B169" s="92" t="s">
        <v>117</v>
      </c>
      <c r="C169" s="29">
        <v>100</v>
      </c>
      <c r="D169" s="25">
        <v>1339.834890683117</v>
      </c>
      <c r="E169" s="14">
        <v>669.9174453415585</v>
      </c>
      <c r="F169" s="14"/>
      <c r="G169" s="14">
        <v>2344.711058695455</v>
      </c>
      <c r="H169" s="14">
        <v>1674.7936133538963</v>
      </c>
      <c r="I169" s="14"/>
      <c r="J169" s="14">
        <v>4019.504672049351</v>
      </c>
      <c r="K169" s="14">
        <v>334.95872267077925</v>
      </c>
      <c r="L169" s="14"/>
      <c r="M169" s="14"/>
      <c r="N169" s="14">
        <v>334.95872267077925</v>
      </c>
      <c r="O169" s="14"/>
      <c r="P169" s="14">
        <v>1674.7936133538963</v>
      </c>
      <c r="Q169" s="14"/>
      <c r="R169" s="14"/>
      <c r="S169" s="14"/>
      <c r="T169" s="14"/>
      <c r="U169" s="13">
        <f t="shared" si="8"/>
        <v>12393.472738818833</v>
      </c>
      <c r="V169" s="14">
        <v>37098.85</v>
      </c>
      <c r="W169" s="15">
        <f t="shared" si="9"/>
        <v>4597835.8611652907</v>
      </c>
      <c r="X169" s="187">
        <f t="shared" si="10"/>
        <v>12393.472738818833</v>
      </c>
      <c r="Y169" s="187">
        <f t="shared" si="11"/>
        <v>0</v>
      </c>
    </row>
    <row r="170" spans="1:25" s="154" customFormat="1" ht="45" x14ac:dyDescent="0.25">
      <c r="A170" s="284">
        <v>29</v>
      </c>
      <c r="B170" s="94" t="s">
        <v>118</v>
      </c>
      <c r="C170" s="20"/>
      <c r="D170" s="20"/>
      <c r="E170" s="20"/>
      <c r="F170" s="20"/>
      <c r="G170" s="20"/>
      <c r="H170" s="20"/>
      <c r="I170" s="20"/>
      <c r="J170" s="20"/>
      <c r="K170" s="20"/>
      <c r="L170" s="20"/>
      <c r="M170" s="20"/>
      <c r="N170" s="20"/>
      <c r="O170" s="20"/>
      <c r="P170" s="20"/>
      <c r="Q170" s="20"/>
      <c r="R170" s="20"/>
      <c r="S170" s="20"/>
      <c r="T170" s="20"/>
      <c r="U170" s="13">
        <f t="shared" si="8"/>
        <v>0</v>
      </c>
      <c r="V170" s="20"/>
      <c r="W170" s="20"/>
      <c r="X170" s="187">
        <f t="shared" si="10"/>
        <v>0</v>
      </c>
      <c r="Y170" s="187">
        <f t="shared" si="11"/>
        <v>0</v>
      </c>
    </row>
    <row r="171" spans="1:25" s="154" customFormat="1" x14ac:dyDescent="0.25">
      <c r="A171" s="234" t="s">
        <v>42</v>
      </c>
      <c r="B171" s="94" t="s">
        <v>119</v>
      </c>
      <c r="C171" s="36">
        <v>1</v>
      </c>
      <c r="D171" s="25">
        <v>240</v>
      </c>
      <c r="E171" s="14">
        <v>120</v>
      </c>
      <c r="F171" s="25"/>
      <c r="G171" s="14">
        <v>420</v>
      </c>
      <c r="H171" s="14">
        <v>300</v>
      </c>
      <c r="I171" s="25"/>
      <c r="J171" s="14">
        <v>720</v>
      </c>
      <c r="K171" s="14">
        <v>60</v>
      </c>
      <c r="L171" s="25"/>
      <c r="M171" s="25"/>
      <c r="N171" s="14">
        <v>60</v>
      </c>
      <c r="O171" s="25"/>
      <c r="P171" s="14">
        <v>300</v>
      </c>
      <c r="Q171" s="25"/>
      <c r="R171" s="25"/>
      <c r="S171" s="25"/>
      <c r="T171" s="25"/>
      <c r="U171" s="13">
        <f t="shared" si="8"/>
        <v>2220</v>
      </c>
      <c r="V171" s="25">
        <v>112.25</v>
      </c>
      <c r="W171" s="15">
        <f t="shared" si="9"/>
        <v>249195</v>
      </c>
      <c r="X171" s="187">
        <f t="shared" si="10"/>
        <v>2220</v>
      </c>
      <c r="Y171" s="187">
        <f t="shared" si="11"/>
        <v>0</v>
      </c>
    </row>
    <row r="172" spans="1:25" s="154" customFormat="1" x14ac:dyDescent="0.25">
      <c r="A172" s="235" t="s">
        <v>44</v>
      </c>
      <c r="B172" s="94" t="s">
        <v>120</v>
      </c>
      <c r="C172" s="36">
        <v>1</v>
      </c>
      <c r="D172" s="25">
        <v>120</v>
      </c>
      <c r="E172" s="14">
        <v>60</v>
      </c>
      <c r="F172" s="25"/>
      <c r="G172" s="14">
        <v>210</v>
      </c>
      <c r="H172" s="14">
        <v>150</v>
      </c>
      <c r="I172" s="25"/>
      <c r="J172" s="14">
        <v>360</v>
      </c>
      <c r="K172" s="14">
        <v>30</v>
      </c>
      <c r="L172" s="25"/>
      <c r="M172" s="25"/>
      <c r="N172" s="14">
        <v>30</v>
      </c>
      <c r="O172" s="25"/>
      <c r="P172" s="14">
        <v>150</v>
      </c>
      <c r="Q172" s="25"/>
      <c r="R172" s="25"/>
      <c r="S172" s="25"/>
      <c r="T172" s="25"/>
      <c r="U172" s="13">
        <f t="shared" si="8"/>
        <v>1110</v>
      </c>
      <c r="V172" s="25">
        <v>133.6</v>
      </c>
      <c r="W172" s="15">
        <f t="shared" si="9"/>
        <v>148296</v>
      </c>
      <c r="X172" s="187">
        <f t="shared" si="10"/>
        <v>1110</v>
      </c>
      <c r="Y172" s="187">
        <f t="shared" si="11"/>
        <v>0</v>
      </c>
    </row>
    <row r="173" spans="1:25" s="154" customFormat="1" x14ac:dyDescent="0.25">
      <c r="A173" s="285" t="s">
        <v>121</v>
      </c>
      <c r="B173" s="94" t="s">
        <v>122</v>
      </c>
      <c r="C173" s="36">
        <v>1</v>
      </c>
      <c r="D173" s="25">
        <v>60</v>
      </c>
      <c r="E173" s="14">
        <v>30</v>
      </c>
      <c r="F173" s="25"/>
      <c r="G173" s="14">
        <v>105</v>
      </c>
      <c r="H173" s="14">
        <v>75</v>
      </c>
      <c r="I173" s="25"/>
      <c r="J173" s="14">
        <v>180</v>
      </c>
      <c r="K173" s="14">
        <v>15</v>
      </c>
      <c r="L173" s="25"/>
      <c r="M173" s="25"/>
      <c r="N173" s="14">
        <v>15</v>
      </c>
      <c r="O173" s="25"/>
      <c r="P173" s="14">
        <v>75</v>
      </c>
      <c r="Q173" s="25"/>
      <c r="R173" s="25"/>
      <c r="S173" s="25"/>
      <c r="T173" s="25"/>
      <c r="U173" s="13">
        <f t="shared" si="8"/>
        <v>555</v>
      </c>
      <c r="V173" s="25">
        <v>231.55</v>
      </c>
      <c r="W173" s="15">
        <f t="shared" si="9"/>
        <v>128510.25</v>
      </c>
      <c r="X173" s="187">
        <f t="shared" si="10"/>
        <v>555</v>
      </c>
      <c r="Y173" s="187">
        <f t="shared" si="11"/>
        <v>0</v>
      </c>
    </row>
    <row r="174" spans="1:25" s="154" customFormat="1" ht="75" x14ac:dyDescent="0.25">
      <c r="A174" s="286">
        <v>30</v>
      </c>
      <c r="B174" s="94" t="s">
        <v>123</v>
      </c>
      <c r="C174" s="20"/>
      <c r="D174" s="20"/>
      <c r="E174" s="20"/>
      <c r="F174" s="20"/>
      <c r="G174" s="20"/>
      <c r="H174" s="20"/>
      <c r="I174" s="20"/>
      <c r="J174" s="20"/>
      <c r="K174" s="20"/>
      <c r="L174" s="20"/>
      <c r="M174" s="20"/>
      <c r="N174" s="20"/>
      <c r="O174" s="20"/>
      <c r="P174" s="20"/>
      <c r="Q174" s="20"/>
      <c r="R174" s="20"/>
      <c r="S174" s="20"/>
      <c r="T174" s="20"/>
      <c r="U174" s="13">
        <f t="shared" si="8"/>
        <v>0</v>
      </c>
      <c r="V174" s="20"/>
      <c r="W174" s="20"/>
      <c r="X174" s="187">
        <f t="shared" si="10"/>
        <v>0</v>
      </c>
      <c r="Y174" s="187">
        <f t="shared" si="11"/>
        <v>0</v>
      </c>
    </row>
    <row r="175" spans="1:25" s="154" customFormat="1" x14ac:dyDescent="0.25">
      <c r="A175" s="234" t="s">
        <v>42</v>
      </c>
      <c r="B175" s="94" t="s">
        <v>124</v>
      </c>
      <c r="C175" s="36">
        <v>1</v>
      </c>
      <c r="D175" s="25">
        <v>720</v>
      </c>
      <c r="E175" s="14">
        <v>360</v>
      </c>
      <c r="F175" s="25"/>
      <c r="G175" s="14">
        <v>1260</v>
      </c>
      <c r="H175" s="14">
        <v>900</v>
      </c>
      <c r="I175" s="25"/>
      <c r="J175" s="14">
        <v>2160</v>
      </c>
      <c r="K175" s="14">
        <v>180</v>
      </c>
      <c r="L175" s="25"/>
      <c r="M175" s="25"/>
      <c r="N175" s="14">
        <v>180</v>
      </c>
      <c r="O175" s="25"/>
      <c r="P175" s="14">
        <v>900</v>
      </c>
      <c r="Q175" s="25"/>
      <c r="R175" s="25"/>
      <c r="S175" s="25"/>
      <c r="T175" s="25"/>
      <c r="U175" s="13">
        <f t="shared" si="8"/>
        <v>6660</v>
      </c>
      <c r="V175" s="25">
        <v>35.700000000000003</v>
      </c>
      <c r="W175" s="15">
        <f t="shared" si="9"/>
        <v>237762.00000000003</v>
      </c>
      <c r="X175" s="187">
        <f t="shared" si="10"/>
        <v>6660</v>
      </c>
      <c r="Y175" s="187">
        <f t="shared" si="11"/>
        <v>0</v>
      </c>
    </row>
    <row r="176" spans="1:25" s="154" customFormat="1" x14ac:dyDescent="0.25">
      <c r="A176" s="235" t="s">
        <v>44</v>
      </c>
      <c r="B176" s="94" t="s">
        <v>125</v>
      </c>
      <c r="C176" s="36">
        <v>1</v>
      </c>
      <c r="D176" s="25">
        <v>240</v>
      </c>
      <c r="E176" s="14">
        <v>120</v>
      </c>
      <c r="F176" s="25"/>
      <c r="G176" s="14">
        <v>420</v>
      </c>
      <c r="H176" s="14">
        <v>300</v>
      </c>
      <c r="I176" s="25"/>
      <c r="J176" s="14">
        <v>720</v>
      </c>
      <c r="K176" s="14">
        <v>60</v>
      </c>
      <c r="L176" s="25"/>
      <c r="M176" s="25"/>
      <c r="N176" s="14">
        <v>60</v>
      </c>
      <c r="O176" s="25"/>
      <c r="P176" s="14">
        <v>300</v>
      </c>
      <c r="Q176" s="25"/>
      <c r="R176" s="25"/>
      <c r="S176" s="25"/>
      <c r="T176" s="25"/>
      <c r="U176" s="13">
        <f t="shared" si="8"/>
        <v>2220</v>
      </c>
      <c r="V176" s="25">
        <v>56.3</v>
      </c>
      <c r="W176" s="15">
        <f t="shared" si="9"/>
        <v>124986</v>
      </c>
      <c r="X176" s="187">
        <f t="shared" si="10"/>
        <v>2220</v>
      </c>
      <c r="Y176" s="187">
        <f t="shared" si="11"/>
        <v>0</v>
      </c>
    </row>
    <row r="177" spans="1:25" s="154" customFormat="1" ht="75" x14ac:dyDescent="0.25">
      <c r="A177" s="287">
        <v>31</v>
      </c>
      <c r="B177" s="94" t="s">
        <v>126</v>
      </c>
      <c r="C177" s="36">
        <v>1</v>
      </c>
      <c r="D177" s="25">
        <v>160</v>
      </c>
      <c r="E177" s="14">
        <v>80</v>
      </c>
      <c r="F177" s="25"/>
      <c r="G177" s="14">
        <v>280</v>
      </c>
      <c r="H177" s="14">
        <v>200</v>
      </c>
      <c r="I177" s="25"/>
      <c r="J177" s="14">
        <v>480</v>
      </c>
      <c r="K177" s="14">
        <v>40</v>
      </c>
      <c r="L177" s="25"/>
      <c r="M177" s="25"/>
      <c r="N177" s="14">
        <v>40</v>
      </c>
      <c r="O177" s="25"/>
      <c r="P177" s="14">
        <v>200</v>
      </c>
      <c r="Q177" s="25"/>
      <c r="R177" s="25"/>
      <c r="S177" s="25"/>
      <c r="T177" s="25"/>
      <c r="U177" s="13">
        <f t="shared" si="8"/>
        <v>1480</v>
      </c>
      <c r="V177" s="25">
        <v>237.65</v>
      </c>
      <c r="W177" s="15">
        <f t="shared" si="9"/>
        <v>351722</v>
      </c>
      <c r="X177" s="187">
        <f t="shared" si="10"/>
        <v>1480</v>
      </c>
      <c r="Y177" s="187">
        <f t="shared" si="11"/>
        <v>0</v>
      </c>
    </row>
    <row r="178" spans="1:25" s="154" customFormat="1" ht="60" x14ac:dyDescent="0.25">
      <c r="A178" s="288">
        <v>32</v>
      </c>
      <c r="B178" s="94" t="s">
        <v>127</v>
      </c>
      <c r="C178" s="20"/>
      <c r="D178" s="20"/>
      <c r="E178" s="20"/>
      <c r="F178" s="20"/>
      <c r="G178" s="20"/>
      <c r="H178" s="20"/>
      <c r="I178" s="20"/>
      <c r="J178" s="20"/>
      <c r="K178" s="20"/>
      <c r="L178" s="20"/>
      <c r="M178" s="20"/>
      <c r="N178" s="20"/>
      <c r="O178" s="20"/>
      <c r="P178" s="20"/>
      <c r="Q178" s="20"/>
      <c r="R178" s="20"/>
      <c r="S178" s="20"/>
      <c r="T178" s="20"/>
      <c r="U178" s="13">
        <f t="shared" si="8"/>
        <v>0</v>
      </c>
      <c r="V178" s="20"/>
      <c r="W178" s="20"/>
      <c r="X178" s="187">
        <f t="shared" si="10"/>
        <v>0</v>
      </c>
      <c r="Y178" s="187">
        <f t="shared" si="11"/>
        <v>0</v>
      </c>
    </row>
    <row r="179" spans="1:25" s="154" customFormat="1" x14ac:dyDescent="0.25">
      <c r="A179" s="234" t="s">
        <v>42</v>
      </c>
      <c r="B179" s="94" t="s">
        <v>128</v>
      </c>
      <c r="C179" s="38">
        <v>1</v>
      </c>
      <c r="D179" s="25">
        <v>4</v>
      </c>
      <c r="E179" s="14">
        <v>2</v>
      </c>
      <c r="F179" s="25"/>
      <c r="G179" s="14">
        <v>7</v>
      </c>
      <c r="H179" s="14">
        <v>5</v>
      </c>
      <c r="I179" s="25"/>
      <c r="J179" s="14">
        <v>12</v>
      </c>
      <c r="K179" s="14">
        <v>1</v>
      </c>
      <c r="L179" s="25"/>
      <c r="M179" s="25"/>
      <c r="N179" s="14">
        <v>1</v>
      </c>
      <c r="O179" s="25"/>
      <c r="P179" s="14">
        <v>5</v>
      </c>
      <c r="Q179" s="25"/>
      <c r="R179" s="25"/>
      <c r="S179" s="25"/>
      <c r="T179" s="25"/>
      <c r="U179" s="13">
        <f t="shared" si="8"/>
        <v>37</v>
      </c>
      <c r="V179" s="25">
        <v>382.3</v>
      </c>
      <c r="W179" s="15">
        <f t="shared" si="9"/>
        <v>14145.1</v>
      </c>
      <c r="X179" s="187">
        <f t="shared" si="10"/>
        <v>37</v>
      </c>
      <c r="Y179" s="187">
        <f t="shared" si="11"/>
        <v>0</v>
      </c>
    </row>
    <row r="180" spans="1:25" s="154" customFormat="1" x14ac:dyDescent="0.25">
      <c r="A180" s="235" t="s">
        <v>44</v>
      </c>
      <c r="B180" s="94" t="s">
        <v>129</v>
      </c>
      <c r="C180" s="38">
        <v>1</v>
      </c>
      <c r="D180" s="25">
        <v>4</v>
      </c>
      <c r="E180" s="14">
        <v>2</v>
      </c>
      <c r="F180" s="25"/>
      <c r="G180" s="14">
        <v>7</v>
      </c>
      <c r="H180" s="14">
        <v>5</v>
      </c>
      <c r="I180" s="25"/>
      <c r="J180" s="14">
        <v>12</v>
      </c>
      <c r="K180" s="14">
        <v>1</v>
      </c>
      <c r="L180" s="25"/>
      <c r="M180" s="25"/>
      <c r="N180" s="14">
        <v>1</v>
      </c>
      <c r="O180" s="25"/>
      <c r="P180" s="14">
        <v>5</v>
      </c>
      <c r="Q180" s="25"/>
      <c r="R180" s="25"/>
      <c r="S180" s="25"/>
      <c r="T180" s="25"/>
      <c r="U180" s="13">
        <f t="shared" si="8"/>
        <v>37</v>
      </c>
      <c r="V180" s="25">
        <v>522.75</v>
      </c>
      <c r="W180" s="15">
        <f t="shared" si="9"/>
        <v>19341.75</v>
      </c>
      <c r="X180" s="187">
        <f t="shared" si="10"/>
        <v>37</v>
      </c>
      <c r="Y180" s="187">
        <f t="shared" si="11"/>
        <v>0</v>
      </c>
    </row>
    <row r="181" spans="1:25" s="154" customFormat="1" x14ac:dyDescent="0.25">
      <c r="A181" s="285" t="s">
        <v>121</v>
      </c>
      <c r="B181" s="94" t="s">
        <v>130</v>
      </c>
      <c r="C181" s="38">
        <v>1</v>
      </c>
      <c r="D181" s="25">
        <v>4</v>
      </c>
      <c r="E181" s="14">
        <v>2</v>
      </c>
      <c r="F181" s="25"/>
      <c r="G181" s="14">
        <v>7</v>
      </c>
      <c r="H181" s="14">
        <v>5</v>
      </c>
      <c r="I181" s="25"/>
      <c r="J181" s="14">
        <v>12</v>
      </c>
      <c r="K181" s="14">
        <v>1</v>
      </c>
      <c r="L181" s="25"/>
      <c r="M181" s="25"/>
      <c r="N181" s="14">
        <v>1</v>
      </c>
      <c r="O181" s="25"/>
      <c r="P181" s="14">
        <v>5</v>
      </c>
      <c r="Q181" s="25"/>
      <c r="R181" s="25"/>
      <c r="S181" s="25"/>
      <c r="T181" s="25"/>
      <c r="U181" s="13">
        <f t="shared" si="8"/>
        <v>37</v>
      </c>
      <c r="V181" s="25">
        <v>668.8</v>
      </c>
      <c r="W181" s="15">
        <f t="shared" si="9"/>
        <v>24745.599999999999</v>
      </c>
      <c r="X181" s="187">
        <f t="shared" si="10"/>
        <v>37</v>
      </c>
      <c r="Y181" s="187">
        <f t="shared" si="11"/>
        <v>0</v>
      </c>
    </row>
    <row r="182" spans="1:25" s="154" customFormat="1" ht="30" x14ac:dyDescent="0.25">
      <c r="A182" s="289">
        <v>33</v>
      </c>
      <c r="B182" s="94" t="s">
        <v>131</v>
      </c>
      <c r="C182" s="38">
        <v>1</v>
      </c>
      <c r="D182" s="25">
        <v>80</v>
      </c>
      <c r="E182" s="14">
        <v>40</v>
      </c>
      <c r="F182" s="25"/>
      <c r="G182" s="14">
        <v>140</v>
      </c>
      <c r="H182" s="14">
        <v>100</v>
      </c>
      <c r="I182" s="25"/>
      <c r="J182" s="14">
        <v>240</v>
      </c>
      <c r="K182" s="14">
        <v>20</v>
      </c>
      <c r="L182" s="25"/>
      <c r="M182" s="25"/>
      <c r="N182" s="14">
        <v>20</v>
      </c>
      <c r="O182" s="25"/>
      <c r="P182" s="14">
        <v>100</v>
      </c>
      <c r="Q182" s="25"/>
      <c r="R182" s="25"/>
      <c r="S182" s="25"/>
      <c r="T182" s="25"/>
      <c r="U182" s="13">
        <f t="shared" si="8"/>
        <v>740</v>
      </c>
      <c r="V182" s="25">
        <v>102.7</v>
      </c>
      <c r="W182" s="15">
        <f t="shared" si="9"/>
        <v>75998</v>
      </c>
      <c r="X182" s="187">
        <f t="shared" si="10"/>
        <v>740</v>
      </c>
      <c r="Y182" s="187">
        <f t="shared" si="11"/>
        <v>0</v>
      </c>
    </row>
    <row r="183" spans="1:25" s="154" customFormat="1" x14ac:dyDescent="0.25">
      <c r="A183" s="290">
        <v>34</v>
      </c>
      <c r="B183" s="94" t="s">
        <v>132</v>
      </c>
      <c r="C183" s="38">
        <v>1</v>
      </c>
      <c r="D183" s="25">
        <v>16</v>
      </c>
      <c r="E183" s="14">
        <v>8</v>
      </c>
      <c r="F183" s="25"/>
      <c r="G183" s="14">
        <v>28</v>
      </c>
      <c r="H183" s="14">
        <v>20</v>
      </c>
      <c r="I183" s="25"/>
      <c r="J183" s="14">
        <v>48</v>
      </c>
      <c r="K183" s="14">
        <v>4</v>
      </c>
      <c r="L183" s="25"/>
      <c r="M183" s="25"/>
      <c r="N183" s="14">
        <v>4</v>
      </c>
      <c r="O183" s="25"/>
      <c r="P183" s="14">
        <v>20</v>
      </c>
      <c r="Q183" s="25"/>
      <c r="R183" s="25"/>
      <c r="S183" s="25"/>
      <c r="T183" s="25"/>
      <c r="U183" s="13">
        <f t="shared" si="8"/>
        <v>148</v>
      </c>
      <c r="V183" s="25">
        <v>96.3</v>
      </c>
      <c r="W183" s="15">
        <f t="shared" si="9"/>
        <v>14252.4</v>
      </c>
      <c r="X183" s="187">
        <f t="shared" si="10"/>
        <v>148</v>
      </c>
      <c r="Y183" s="187">
        <f t="shared" si="11"/>
        <v>0</v>
      </c>
    </row>
    <row r="184" spans="1:25" s="154" customFormat="1" x14ac:dyDescent="0.25">
      <c r="A184" s="291">
        <v>35</v>
      </c>
      <c r="B184" s="94" t="s">
        <v>133</v>
      </c>
      <c r="C184" s="38">
        <v>1</v>
      </c>
      <c r="D184" s="25">
        <v>8</v>
      </c>
      <c r="E184" s="14">
        <v>4</v>
      </c>
      <c r="F184" s="25"/>
      <c r="G184" s="14">
        <v>14</v>
      </c>
      <c r="H184" s="14">
        <v>10</v>
      </c>
      <c r="I184" s="25"/>
      <c r="J184" s="14">
        <v>24</v>
      </c>
      <c r="K184" s="14">
        <v>2</v>
      </c>
      <c r="L184" s="25"/>
      <c r="M184" s="25"/>
      <c r="N184" s="14">
        <v>2</v>
      </c>
      <c r="O184" s="25"/>
      <c r="P184" s="14">
        <v>10</v>
      </c>
      <c r="Q184" s="25"/>
      <c r="R184" s="25"/>
      <c r="S184" s="25"/>
      <c r="T184" s="25"/>
      <c r="U184" s="13">
        <f t="shared" si="8"/>
        <v>74</v>
      </c>
      <c r="V184" s="25">
        <v>204.7</v>
      </c>
      <c r="W184" s="15">
        <f t="shared" si="9"/>
        <v>15147.8</v>
      </c>
      <c r="X184" s="187">
        <f t="shared" si="10"/>
        <v>74</v>
      </c>
      <c r="Y184" s="187">
        <f t="shared" si="11"/>
        <v>0</v>
      </c>
    </row>
    <row r="185" spans="1:25" s="154" customFormat="1" ht="45" x14ac:dyDescent="0.25">
      <c r="A185" s="292">
        <v>36</v>
      </c>
      <c r="B185" s="94" t="s">
        <v>134</v>
      </c>
      <c r="C185" s="38">
        <v>1</v>
      </c>
      <c r="D185" s="25">
        <v>4</v>
      </c>
      <c r="E185" s="14">
        <v>2</v>
      </c>
      <c r="F185" s="25"/>
      <c r="G185" s="14">
        <v>7</v>
      </c>
      <c r="H185" s="14">
        <v>5</v>
      </c>
      <c r="I185" s="25"/>
      <c r="J185" s="14">
        <v>12</v>
      </c>
      <c r="K185" s="14">
        <v>1</v>
      </c>
      <c r="L185" s="25"/>
      <c r="M185" s="25"/>
      <c r="N185" s="14">
        <v>1</v>
      </c>
      <c r="O185" s="25"/>
      <c r="P185" s="14">
        <v>5</v>
      </c>
      <c r="Q185" s="25"/>
      <c r="R185" s="25"/>
      <c r="S185" s="25"/>
      <c r="T185" s="25"/>
      <c r="U185" s="13">
        <f t="shared" si="8"/>
        <v>37</v>
      </c>
      <c r="V185" s="25">
        <v>213.1</v>
      </c>
      <c r="W185" s="15">
        <f t="shared" si="9"/>
        <v>7884.7</v>
      </c>
      <c r="X185" s="187">
        <f t="shared" si="10"/>
        <v>37</v>
      </c>
      <c r="Y185" s="187">
        <f t="shared" si="11"/>
        <v>0</v>
      </c>
    </row>
    <row r="186" spans="1:25" s="154" customFormat="1" ht="150" x14ac:dyDescent="0.25">
      <c r="A186" s="293">
        <v>37</v>
      </c>
      <c r="B186" s="94" t="s">
        <v>135</v>
      </c>
      <c r="C186" s="37">
        <v>1</v>
      </c>
      <c r="D186" s="25">
        <v>4</v>
      </c>
      <c r="E186" s="14">
        <v>2</v>
      </c>
      <c r="F186" s="25"/>
      <c r="G186" s="14">
        <v>7</v>
      </c>
      <c r="H186" s="14">
        <v>5</v>
      </c>
      <c r="I186" s="25"/>
      <c r="J186" s="14">
        <v>12</v>
      </c>
      <c r="K186" s="14">
        <v>1</v>
      </c>
      <c r="L186" s="25"/>
      <c r="M186" s="25"/>
      <c r="N186" s="14">
        <v>1</v>
      </c>
      <c r="O186" s="25"/>
      <c r="P186" s="14">
        <v>5</v>
      </c>
      <c r="Q186" s="25"/>
      <c r="R186" s="25"/>
      <c r="S186" s="25"/>
      <c r="T186" s="25"/>
      <c r="U186" s="13">
        <f t="shared" si="8"/>
        <v>37</v>
      </c>
      <c r="V186" s="25">
        <v>24422.65</v>
      </c>
      <c r="W186" s="15">
        <f t="shared" si="9"/>
        <v>903638.05</v>
      </c>
      <c r="X186" s="187">
        <f t="shared" si="10"/>
        <v>37</v>
      </c>
      <c r="Y186" s="187">
        <f t="shared" si="11"/>
        <v>0</v>
      </c>
    </row>
    <row r="187" spans="1:25" s="154" customFormat="1" ht="90" x14ac:dyDescent="0.25">
      <c r="A187" s="294">
        <v>38</v>
      </c>
      <c r="B187" s="94" t="s">
        <v>136</v>
      </c>
      <c r="C187" s="37">
        <v>1</v>
      </c>
      <c r="D187" s="25">
        <v>24</v>
      </c>
      <c r="E187" s="14">
        <v>12</v>
      </c>
      <c r="F187" s="25"/>
      <c r="G187" s="14">
        <v>42</v>
      </c>
      <c r="H187" s="14">
        <v>30</v>
      </c>
      <c r="I187" s="25"/>
      <c r="J187" s="14">
        <v>72</v>
      </c>
      <c r="K187" s="14">
        <v>6</v>
      </c>
      <c r="L187" s="25"/>
      <c r="M187" s="25"/>
      <c r="N187" s="14">
        <v>6</v>
      </c>
      <c r="O187" s="25"/>
      <c r="P187" s="14">
        <v>30</v>
      </c>
      <c r="Q187" s="25"/>
      <c r="R187" s="25"/>
      <c r="S187" s="25"/>
      <c r="T187" s="25"/>
      <c r="U187" s="13">
        <f t="shared" si="8"/>
        <v>222</v>
      </c>
      <c r="V187" s="25">
        <v>1453.75</v>
      </c>
      <c r="W187" s="15">
        <f t="shared" si="9"/>
        <v>322732.5</v>
      </c>
      <c r="X187" s="187">
        <f t="shared" si="10"/>
        <v>222</v>
      </c>
      <c r="Y187" s="187">
        <f t="shared" si="11"/>
        <v>0</v>
      </c>
    </row>
    <row r="188" spans="1:25" ht="135" x14ac:dyDescent="0.25">
      <c r="A188" s="295">
        <v>39</v>
      </c>
      <c r="B188" s="94" t="s">
        <v>137</v>
      </c>
      <c r="C188" s="37">
        <v>1</v>
      </c>
      <c r="D188" s="25">
        <v>8</v>
      </c>
      <c r="E188" s="14">
        <v>4</v>
      </c>
      <c r="F188" s="25"/>
      <c r="G188" s="14">
        <v>14</v>
      </c>
      <c r="H188" s="14">
        <v>10</v>
      </c>
      <c r="I188" s="25"/>
      <c r="J188" s="14">
        <v>24</v>
      </c>
      <c r="K188" s="14">
        <v>2</v>
      </c>
      <c r="L188" s="25"/>
      <c r="M188" s="25"/>
      <c r="N188" s="14">
        <v>2</v>
      </c>
      <c r="O188" s="25"/>
      <c r="P188" s="14">
        <v>10</v>
      </c>
      <c r="Q188" s="25"/>
      <c r="R188" s="25"/>
      <c r="S188" s="25"/>
      <c r="T188" s="25"/>
      <c r="U188" s="13">
        <f t="shared" si="8"/>
        <v>74</v>
      </c>
      <c r="V188" s="25">
        <v>13796.3</v>
      </c>
      <c r="W188" s="15">
        <f t="shared" si="9"/>
        <v>1020926.2</v>
      </c>
      <c r="X188" s="187">
        <f t="shared" si="10"/>
        <v>74</v>
      </c>
      <c r="Y188" s="187">
        <f t="shared" si="11"/>
        <v>0</v>
      </c>
    </row>
    <row r="189" spans="1:25" ht="150" x14ac:dyDescent="0.25">
      <c r="A189" s="296">
        <v>40</v>
      </c>
      <c r="B189" s="94" t="s">
        <v>138</v>
      </c>
      <c r="C189" s="37">
        <v>1</v>
      </c>
      <c r="D189" s="25">
        <v>4</v>
      </c>
      <c r="E189" s="14">
        <v>2</v>
      </c>
      <c r="F189" s="25"/>
      <c r="G189" s="14">
        <v>7</v>
      </c>
      <c r="H189" s="14">
        <v>5</v>
      </c>
      <c r="I189" s="25"/>
      <c r="J189" s="14">
        <v>12</v>
      </c>
      <c r="K189" s="14">
        <v>1</v>
      </c>
      <c r="L189" s="25"/>
      <c r="M189" s="25"/>
      <c r="N189" s="14">
        <v>1</v>
      </c>
      <c r="O189" s="25"/>
      <c r="P189" s="14">
        <v>5</v>
      </c>
      <c r="Q189" s="25"/>
      <c r="R189" s="25"/>
      <c r="S189" s="25"/>
      <c r="T189" s="25"/>
      <c r="U189" s="13">
        <f t="shared" si="8"/>
        <v>37</v>
      </c>
      <c r="V189" s="25">
        <v>19859.400000000001</v>
      </c>
      <c r="W189" s="15">
        <f t="shared" si="9"/>
        <v>734797.8</v>
      </c>
      <c r="X189" s="187">
        <f t="shared" si="10"/>
        <v>37</v>
      </c>
      <c r="Y189" s="187">
        <f t="shared" si="11"/>
        <v>0</v>
      </c>
    </row>
    <row r="190" spans="1:25" ht="60" x14ac:dyDescent="0.25">
      <c r="A190" s="297">
        <v>41</v>
      </c>
      <c r="B190" s="94" t="s">
        <v>139</v>
      </c>
      <c r="C190" s="37">
        <v>1</v>
      </c>
      <c r="D190" s="25">
        <v>12</v>
      </c>
      <c r="E190" s="14">
        <v>6</v>
      </c>
      <c r="F190" s="25"/>
      <c r="G190" s="14">
        <v>21</v>
      </c>
      <c r="H190" s="14">
        <v>15</v>
      </c>
      <c r="I190" s="25"/>
      <c r="J190" s="14">
        <v>36</v>
      </c>
      <c r="K190" s="14">
        <v>3</v>
      </c>
      <c r="L190" s="25"/>
      <c r="M190" s="25"/>
      <c r="N190" s="14">
        <v>3</v>
      </c>
      <c r="O190" s="25"/>
      <c r="P190" s="14">
        <v>15</v>
      </c>
      <c r="Q190" s="25"/>
      <c r="R190" s="25"/>
      <c r="S190" s="25"/>
      <c r="T190" s="25"/>
      <c r="U190" s="13">
        <f t="shared" si="8"/>
        <v>111</v>
      </c>
      <c r="V190" s="25">
        <v>1995.3</v>
      </c>
      <c r="W190" s="15">
        <f t="shared" si="9"/>
        <v>221478.3</v>
      </c>
      <c r="X190" s="187">
        <f t="shared" si="10"/>
        <v>111</v>
      </c>
      <c r="Y190" s="187">
        <f t="shared" si="11"/>
        <v>0</v>
      </c>
    </row>
    <row r="191" spans="1:25" ht="30" x14ac:dyDescent="0.25">
      <c r="A191" s="298">
        <v>42</v>
      </c>
      <c r="B191" s="94" t="s">
        <v>140</v>
      </c>
      <c r="C191" s="37">
        <v>1</v>
      </c>
      <c r="D191" s="25">
        <v>12</v>
      </c>
      <c r="E191" s="14">
        <v>6</v>
      </c>
      <c r="F191" s="25"/>
      <c r="G191" s="14">
        <v>21</v>
      </c>
      <c r="H191" s="14">
        <v>15</v>
      </c>
      <c r="I191" s="25"/>
      <c r="J191" s="14">
        <v>36</v>
      </c>
      <c r="K191" s="14">
        <v>3</v>
      </c>
      <c r="L191" s="25"/>
      <c r="M191" s="25"/>
      <c r="N191" s="14">
        <v>3</v>
      </c>
      <c r="O191" s="25"/>
      <c r="P191" s="14">
        <v>15</v>
      </c>
      <c r="Q191" s="25"/>
      <c r="R191" s="25"/>
      <c r="S191" s="25"/>
      <c r="T191" s="25"/>
      <c r="U191" s="13">
        <f t="shared" si="8"/>
        <v>111</v>
      </c>
      <c r="V191" s="25">
        <v>178.75</v>
      </c>
      <c r="W191" s="15">
        <f t="shared" si="9"/>
        <v>19841.25</v>
      </c>
      <c r="X191" s="187">
        <f t="shared" si="10"/>
        <v>111</v>
      </c>
      <c r="Y191" s="187">
        <f t="shared" si="11"/>
        <v>0</v>
      </c>
    </row>
    <row r="192" spans="1:25" ht="75.75" x14ac:dyDescent="0.25">
      <c r="A192" s="299">
        <v>43</v>
      </c>
      <c r="B192" s="94" t="s">
        <v>36</v>
      </c>
      <c r="C192" s="22"/>
      <c r="D192" s="22"/>
      <c r="E192" s="22"/>
      <c r="F192" s="22"/>
      <c r="G192" s="22"/>
      <c r="H192" s="22"/>
      <c r="I192" s="22"/>
      <c r="J192" s="22"/>
      <c r="K192" s="22"/>
      <c r="L192" s="22"/>
      <c r="M192" s="22"/>
      <c r="N192" s="22"/>
      <c r="O192" s="22"/>
      <c r="P192" s="22"/>
      <c r="Q192" s="22"/>
      <c r="R192" s="22"/>
      <c r="S192" s="22"/>
      <c r="T192" s="22"/>
      <c r="U192" s="13">
        <f t="shared" si="8"/>
        <v>0</v>
      </c>
      <c r="V192" s="22"/>
      <c r="W192" s="22"/>
      <c r="X192" s="187">
        <f t="shared" si="10"/>
        <v>0</v>
      </c>
      <c r="Y192" s="187">
        <f t="shared" si="11"/>
        <v>0</v>
      </c>
    </row>
    <row r="193" spans="1:26" x14ac:dyDescent="0.25">
      <c r="A193" s="253" t="s">
        <v>60</v>
      </c>
      <c r="B193" s="94" t="s">
        <v>61</v>
      </c>
      <c r="C193" s="12">
        <v>100</v>
      </c>
      <c r="D193" s="25">
        <v>405.551786207232</v>
      </c>
      <c r="E193" s="14">
        <v>202.775893103616</v>
      </c>
      <c r="F193" s="14"/>
      <c r="G193" s="14">
        <v>709.715625862656</v>
      </c>
      <c r="H193" s="14">
        <v>506.93973275904</v>
      </c>
      <c r="I193" s="14"/>
      <c r="J193" s="14">
        <v>1216.655358621696</v>
      </c>
      <c r="K193" s="14">
        <v>101.387946551808</v>
      </c>
      <c r="L193" s="14"/>
      <c r="M193" s="14"/>
      <c r="N193" s="14">
        <v>101.387946551808</v>
      </c>
      <c r="O193" s="14"/>
      <c r="P193" s="14">
        <v>506.93973275904</v>
      </c>
      <c r="Q193" s="14"/>
      <c r="R193" s="14"/>
      <c r="S193" s="14"/>
      <c r="T193" s="14"/>
      <c r="U193" s="13">
        <f t="shared" si="8"/>
        <v>3751.354022416896</v>
      </c>
      <c r="V193" s="13">
        <v>14042.6</v>
      </c>
      <c r="W193" s="15">
        <f t="shared" si="9"/>
        <v>526787.63995191501</v>
      </c>
      <c r="X193" s="187">
        <f t="shared" si="10"/>
        <v>3751.354022416896</v>
      </c>
      <c r="Y193" s="187">
        <f t="shared" si="11"/>
        <v>0</v>
      </c>
    </row>
    <row r="194" spans="1:26" x14ac:dyDescent="0.25">
      <c r="A194" s="225" t="s">
        <v>37</v>
      </c>
      <c r="B194" s="94" t="s">
        <v>38</v>
      </c>
      <c r="C194" s="12">
        <v>100</v>
      </c>
      <c r="D194" s="25">
        <v>161.4272</v>
      </c>
      <c r="E194" s="14">
        <v>80.7136</v>
      </c>
      <c r="F194" s="14"/>
      <c r="G194" s="14">
        <v>282.49759999999998</v>
      </c>
      <c r="H194" s="14">
        <v>201.78399999999999</v>
      </c>
      <c r="I194" s="14"/>
      <c r="J194" s="14">
        <v>484.28160000000003</v>
      </c>
      <c r="K194" s="14">
        <v>40.3568</v>
      </c>
      <c r="L194" s="14"/>
      <c r="M194" s="14"/>
      <c r="N194" s="14">
        <v>40.3568</v>
      </c>
      <c r="O194" s="14"/>
      <c r="P194" s="14">
        <v>201.78399999999999</v>
      </c>
      <c r="Q194" s="14"/>
      <c r="R194" s="14"/>
      <c r="S194" s="14"/>
      <c r="T194" s="14"/>
      <c r="U194" s="13">
        <f t="shared" si="8"/>
        <v>1493.2016000000003</v>
      </c>
      <c r="V194" s="13">
        <v>14042.6</v>
      </c>
      <c r="W194" s="15">
        <f t="shared" si="9"/>
        <v>209684.32788160004</v>
      </c>
      <c r="X194" s="187">
        <f t="shared" si="10"/>
        <v>1493.2016000000001</v>
      </c>
      <c r="Y194" s="187">
        <f t="shared" si="11"/>
        <v>0</v>
      </c>
    </row>
    <row r="195" spans="1:26" x14ac:dyDescent="0.25">
      <c r="A195" s="254" t="s">
        <v>63</v>
      </c>
      <c r="B195" s="94" t="s">
        <v>141</v>
      </c>
      <c r="C195" s="12">
        <v>100</v>
      </c>
      <c r="D195" s="25">
        <v>607.45911599999999</v>
      </c>
      <c r="E195" s="14">
        <v>303.729558</v>
      </c>
      <c r="F195" s="14"/>
      <c r="G195" s="14">
        <v>1063.053453</v>
      </c>
      <c r="H195" s="14">
        <v>759.32389499999999</v>
      </c>
      <c r="I195" s="14"/>
      <c r="J195" s="14">
        <v>1822.377348</v>
      </c>
      <c r="K195" s="14">
        <v>151.864779</v>
      </c>
      <c r="L195" s="14"/>
      <c r="M195" s="14"/>
      <c r="N195" s="14">
        <v>151.864779</v>
      </c>
      <c r="O195" s="14"/>
      <c r="P195" s="14">
        <v>759.32389499999999</v>
      </c>
      <c r="Q195" s="14"/>
      <c r="R195" s="14"/>
      <c r="S195" s="14"/>
      <c r="T195" s="14"/>
      <c r="U195" s="13">
        <f t="shared" si="8"/>
        <v>5618.9968229999995</v>
      </c>
      <c r="V195" s="13">
        <v>14042.6</v>
      </c>
      <c r="W195" s="15">
        <f t="shared" si="9"/>
        <v>789053.24786659796</v>
      </c>
      <c r="X195" s="187">
        <f t="shared" si="10"/>
        <v>5618.9968229999995</v>
      </c>
      <c r="Y195" s="187">
        <f t="shared" si="11"/>
        <v>0</v>
      </c>
    </row>
    <row r="196" spans="1:26" x14ac:dyDescent="0.25">
      <c r="A196" s="300" t="s">
        <v>142</v>
      </c>
      <c r="B196" s="94" t="s">
        <v>143</v>
      </c>
      <c r="C196" s="12">
        <v>100</v>
      </c>
      <c r="D196" s="25">
        <v>28.38</v>
      </c>
      <c r="E196" s="14">
        <v>14.19</v>
      </c>
      <c r="F196" s="14"/>
      <c r="G196" s="14">
        <v>49.664999999999999</v>
      </c>
      <c r="H196" s="14">
        <v>35.475000000000001</v>
      </c>
      <c r="I196" s="14"/>
      <c r="J196" s="14">
        <v>85.14</v>
      </c>
      <c r="K196" s="14">
        <v>7.0949999999999998</v>
      </c>
      <c r="L196" s="14"/>
      <c r="M196" s="14"/>
      <c r="N196" s="14">
        <v>7.0949999999999998</v>
      </c>
      <c r="O196" s="14"/>
      <c r="P196" s="14">
        <v>35.475000000000001</v>
      </c>
      <c r="Q196" s="14"/>
      <c r="R196" s="14"/>
      <c r="S196" s="14"/>
      <c r="T196" s="14"/>
      <c r="U196" s="13">
        <f t="shared" si="8"/>
        <v>262.51500000000004</v>
      </c>
      <c r="V196" s="13">
        <v>14042.6</v>
      </c>
      <c r="W196" s="15">
        <f t="shared" si="9"/>
        <v>36863.931390000012</v>
      </c>
      <c r="X196" s="187">
        <f t="shared" si="10"/>
        <v>262.51499999999999</v>
      </c>
      <c r="Y196" s="187">
        <f t="shared" si="11"/>
        <v>0</v>
      </c>
    </row>
    <row r="197" spans="1:26" s="154" customFormat="1" ht="22.5" x14ac:dyDescent="0.25">
      <c r="A197" s="301">
        <v>9</v>
      </c>
      <c r="B197" s="198" t="s">
        <v>401</v>
      </c>
      <c r="C197" s="99"/>
      <c r="D197" s="99"/>
      <c r="E197" s="99"/>
      <c r="F197" s="99"/>
      <c r="G197" s="99"/>
      <c r="H197" s="99"/>
      <c r="I197" s="99"/>
      <c r="J197" s="99"/>
      <c r="K197" s="99"/>
      <c r="L197" s="99"/>
      <c r="M197" s="99"/>
      <c r="N197" s="99"/>
      <c r="O197" s="99"/>
      <c r="P197" s="99"/>
      <c r="Q197" s="99"/>
      <c r="R197" s="99"/>
      <c r="S197" s="99"/>
      <c r="T197" s="99"/>
      <c r="U197" s="99"/>
      <c r="V197" s="99"/>
      <c r="W197" s="99"/>
    </row>
    <row r="198" spans="1:26" s="154" customFormat="1" ht="75" x14ac:dyDescent="0.25">
      <c r="A198" s="220">
        <v>1</v>
      </c>
      <c r="B198" s="94" t="s">
        <v>39</v>
      </c>
      <c r="C198" s="12">
        <v>1000</v>
      </c>
      <c r="D198" s="25"/>
      <c r="E198" s="14"/>
      <c r="F198" s="14"/>
      <c r="G198" s="14"/>
      <c r="H198" s="72">
        <v>60639.351906000011</v>
      </c>
      <c r="I198" s="14"/>
      <c r="J198" s="14">
        <v>44596.765778000001</v>
      </c>
      <c r="K198" s="14"/>
      <c r="L198" s="14">
        <v>25000.750577999999</v>
      </c>
      <c r="M198" s="14">
        <v>21403.790700999998</v>
      </c>
      <c r="N198" s="14"/>
      <c r="O198" s="14"/>
      <c r="P198" s="14">
        <v>125135.84964100001</v>
      </c>
      <c r="Q198" s="14"/>
      <c r="R198" s="14"/>
      <c r="S198" s="14"/>
      <c r="T198" s="14"/>
      <c r="U198" s="13">
        <f t="shared" ref="U198:U253" si="12">SUM(D198:T198)</f>
        <v>276776.50860399997</v>
      </c>
      <c r="V198" s="14">
        <v>12735.6</v>
      </c>
      <c r="W198" s="15">
        <f t="shared" si="9"/>
        <v>3524914.9029771024</v>
      </c>
      <c r="X198" s="191">
        <f>SUM(W198:W253)</f>
        <v>216927882.8210291</v>
      </c>
      <c r="Z198" s="193">
        <v>63826446.624435835</v>
      </c>
    </row>
    <row r="199" spans="1:26" s="154" customFormat="1" x14ac:dyDescent="0.25">
      <c r="A199" s="221">
        <v>2</v>
      </c>
      <c r="B199" s="94" t="s">
        <v>66</v>
      </c>
      <c r="C199" s="12">
        <v>1000</v>
      </c>
      <c r="D199" s="25"/>
      <c r="E199" s="14"/>
      <c r="F199" s="14"/>
      <c r="G199" s="14"/>
      <c r="H199" s="72">
        <v>60639.351906000011</v>
      </c>
      <c r="I199" s="14"/>
      <c r="J199" s="14">
        <v>44596.765778000001</v>
      </c>
      <c r="K199" s="14"/>
      <c r="L199" s="14">
        <v>25000.750577999999</v>
      </c>
      <c r="M199" s="14">
        <v>21403.790700999998</v>
      </c>
      <c r="N199" s="14"/>
      <c r="O199" s="14"/>
      <c r="P199" s="14">
        <v>125135.84964100001</v>
      </c>
      <c r="Q199" s="14"/>
      <c r="R199" s="14"/>
      <c r="S199" s="14"/>
      <c r="T199" s="14"/>
      <c r="U199" s="13">
        <f t="shared" si="12"/>
        <v>276776.50860399997</v>
      </c>
      <c r="V199" s="14">
        <v>12038.4</v>
      </c>
      <c r="W199" s="15">
        <f t="shared" si="9"/>
        <v>3331946.3211783934</v>
      </c>
      <c r="Z199" s="193">
        <v>36383456.567040272</v>
      </c>
    </row>
    <row r="200" spans="1:26" s="154" customFormat="1" ht="45" x14ac:dyDescent="0.25">
      <c r="A200" s="1045">
        <v>3</v>
      </c>
      <c r="B200" s="94" t="s">
        <v>20</v>
      </c>
      <c r="C200" s="20"/>
      <c r="D200" s="20"/>
      <c r="E200" s="20"/>
      <c r="F200" s="20"/>
      <c r="G200" s="20"/>
      <c r="H200" s="20"/>
      <c r="I200" s="20"/>
      <c r="J200" s="20"/>
      <c r="K200" s="20"/>
      <c r="L200" s="20"/>
      <c r="M200" s="20"/>
      <c r="N200" s="20"/>
      <c r="O200" s="20"/>
      <c r="P200" s="20"/>
      <c r="Q200" s="20"/>
      <c r="R200" s="20"/>
      <c r="S200" s="20"/>
      <c r="T200" s="20"/>
      <c r="U200" s="13">
        <f t="shared" si="12"/>
        <v>0</v>
      </c>
      <c r="V200" s="20"/>
      <c r="W200" s="20"/>
      <c r="Z200" s="193">
        <v>23384765.316310335</v>
      </c>
    </row>
    <row r="201" spans="1:26" s="154" customFormat="1" x14ac:dyDescent="0.25">
      <c r="A201" s="988"/>
      <c r="B201" s="94" t="s">
        <v>21</v>
      </c>
      <c r="C201" s="12">
        <v>100</v>
      </c>
      <c r="D201" s="25"/>
      <c r="E201" s="14"/>
      <c r="F201" s="14"/>
      <c r="G201" s="14"/>
      <c r="H201" s="72">
        <v>2087.743125</v>
      </c>
      <c r="I201" s="14"/>
      <c r="J201" s="14">
        <v>971.790975</v>
      </c>
      <c r="K201" s="14"/>
      <c r="L201" s="14">
        <v>733.66772500000002</v>
      </c>
      <c r="M201" s="14">
        <v>736.12622500000009</v>
      </c>
      <c r="N201" s="14"/>
      <c r="O201" s="14"/>
      <c r="P201" s="14">
        <v>1808.1333250000002</v>
      </c>
      <c r="Q201" s="14"/>
      <c r="R201" s="14"/>
      <c r="S201" s="14"/>
      <c r="T201" s="14"/>
      <c r="U201" s="13">
        <f t="shared" si="12"/>
        <v>6337.4613750000008</v>
      </c>
      <c r="V201" s="14">
        <v>34694.300000000003</v>
      </c>
      <c r="W201" s="15">
        <f t="shared" si="9"/>
        <v>2198737.8618266257</v>
      </c>
      <c r="Z201" s="193">
        <v>23362466.852632541</v>
      </c>
    </row>
    <row r="202" spans="1:26" s="154" customFormat="1" x14ac:dyDescent="0.25">
      <c r="A202" s="989"/>
      <c r="B202" s="94" t="s">
        <v>107</v>
      </c>
      <c r="C202" s="12">
        <v>100</v>
      </c>
      <c r="D202" s="25"/>
      <c r="E202" s="14"/>
      <c r="F202" s="14"/>
      <c r="G202" s="14"/>
      <c r="H202" s="72">
        <v>1164.376</v>
      </c>
      <c r="I202" s="14"/>
      <c r="J202" s="14">
        <v>501.67600000000004</v>
      </c>
      <c r="K202" s="14"/>
      <c r="L202" s="14">
        <v>432.53600000000006</v>
      </c>
      <c r="M202" s="14">
        <v>432.53600000000006</v>
      </c>
      <c r="N202" s="14"/>
      <c r="O202" s="14"/>
      <c r="P202" s="14">
        <v>577.89599999999996</v>
      </c>
      <c r="Q202" s="14"/>
      <c r="R202" s="14"/>
      <c r="S202" s="14"/>
      <c r="T202" s="14"/>
      <c r="U202" s="13">
        <f t="shared" si="12"/>
        <v>3109.0200000000004</v>
      </c>
      <c r="V202" s="14">
        <v>47135.9</v>
      </c>
      <c r="W202" s="15">
        <f t="shared" ref="W202:W265" si="13">V202*U202/C202</f>
        <v>1465464.5581800002</v>
      </c>
      <c r="Z202" s="194">
        <v>69970747</v>
      </c>
    </row>
    <row r="203" spans="1:26" s="154" customFormat="1" ht="90" x14ac:dyDescent="0.25">
      <c r="A203" s="213">
        <v>4</v>
      </c>
      <c r="B203" s="94" t="s">
        <v>170</v>
      </c>
      <c r="C203" s="29">
        <v>100</v>
      </c>
      <c r="D203" s="25"/>
      <c r="E203" s="14"/>
      <c r="F203" s="14"/>
      <c r="G203" s="14"/>
      <c r="H203" s="72">
        <v>117054.46856250001</v>
      </c>
      <c r="I203" s="14"/>
      <c r="J203" s="14">
        <v>63787.433850000016</v>
      </c>
      <c r="K203" s="14"/>
      <c r="L203" s="14">
        <v>40723.133175000003</v>
      </c>
      <c r="M203" s="14">
        <v>40760.528174999999</v>
      </c>
      <c r="N203" s="14"/>
      <c r="O203" s="14"/>
      <c r="P203" s="14">
        <v>129118.00590000002</v>
      </c>
      <c r="Q203" s="14"/>
      <c r="R203" s="14"/>
      <c r="S203" s="14"/>
      <c r="T203" s="14"/>
      <c r="U203" s="13">
        <f t="shared" si="12"/>
        <v>391443.56966250006</v>
      </c>
      <c r="V203" s="30">
        <v>30376.9</v>
      </c>
      <c r="W203" s="15">
        <f t="shared" si="13"/>
        <v>118908421.71280798</v>
      </c>
      <c r="Z203" s="191">
        <f>SUM(Z198:Z202)</f>
        <v>216927882.36041898</v>
      </c>
    </row>
    <row r="204" spans="1:26" s="154" customFormat="1" ht="120.75" x14ac:dyDescent="0.25">
      <c r="A204" s="222">
        <v>5</v>
      </c>
      <c r="B204" s="94" t="s">
        <v>41</v>
      </c>
      <c r="C204" s="20"/>
      <c r="D204" s="20"/>
      <c r="E204" s="20"/>
      <c r="F204" s="20"/>
      <c r="G204" s="20"/>
      <c r="H204" s="20"/>
      <c r="I204" s="20"/>
      <c r="J204" s="20"/>
      <c r="K204" s="20"/>
      <c r="L204" s="20"/>
      <c r="M204" s="20"/>
      <c r="N204" s="20"/>
      <c r="O204" s="20"/>
      <c r="P204" s="20"/>
      <c r="Q204" s="20"/>
      <c r="R204" s="20"/>
      <c r="S204" s="20"/>
      <c r="T204" s="20"/>
      <c r="U204" s="13">
        <f t="shared" si="12"/>
        <v>0</v>
      </c>
      <c r="V204" s="20"/>
      <c r="W204" s="20"/>
    </row>
    <row r="205" spans="1:26" s="154" customFormat="1" ht="60" x14ac:dyDescent="0.25">
      <c r="A205" s="44"/>
      <c r="B205" s="94" t="s">
        <v>161</v>
      </c>
      <c r="C205" s="12">
        <v>1</v>
      </c>
      <c r="D205" s="25"/>
      <c r="E205" s="14"/>
      <c r="F205" s="14"/>
      <c r="G205" s="14"/>
      <c r="H205" s="72">
        <v>16160.050625000002</v>
      </c>
      <c r="I205" s="14"/>
      <c r="J205" s="14">
        <v>9101.6800000000039</v>
      </c>
      <c r="K205" s="14"/>
      <c r="L205" s="14">
        <v>5753.3425000000007</v>
      </c>
      <c r="M205" s="14">
        <v>5794.4625000000005</v>
      </c>
      <c r="N205" s="14"/>
      <c r="O205" s="14"/>
      <c r="P205" s="14">
        <v>18946.310000000005</v>
      </c>
      <c r="Q205" s="14"/>
      <c r="R205" s="14"/>
      <c r="S205" s="14"/>
      <c r="T205" s="14"/>
      <c r="U205" s="13">
        <f t="shared" si="12"/>
        <v>55755.845625000009</v>
      </c>
      <c r="V205" s="14">
        <v>817.55</v>
      </c>
      <c r="W205" s="15">
        <f t="shared" si="13"/>
        <v>45583191.590718754</v>
      </c>
    </row>
    <row r="206" spans="1:26" s="154" customFormat="1" ht="60" x14ac:dyDescent="0.25">
      <c r="A206" s="44"/>
      <c r="B206" s="94" t="s">
        <v>402</v>
      </c>
      <c r="C206" s="12">
        <v>1</v>
      </c>
      <c r="D206" s="25"/>
      <c r="E206" s="14"/>
      <c r="F206" s="14"/>
      <c r="G206" s="14"/>
      <c r="H206" s="72">
        <v>9852.0535</v>
      </c>
      <c r="I206" s="14"/>
      <c r="J206" s="14">
        <v>5073.3052999999991</v>
      </c>
      <c r="K206" s="14"/>
      <c r="L206" s="14">
        <v>3296.2426499999997</v>
      </c>
      <c r="M206" s="14">
        <v>3263.4326499999997</v>
      </c>
      <c r="N206" s="14"/>
      <c r="O206" s="14"/>
      <c r="P206" s="14">
        <v>9746.5802000000003</v>
      </c>
      <c r="Q206" s="14"/>
      <c r="R206" s="14"/>
      <c r="S206" s="14"/>
      <c r="T206" s="14"/>
      <c r="U206" s="13">
        <f t="shared" si="12"/>
        <v>31231.614299999997</v>
      </c>
      <c r="V206" s="14">
        <v>670.5</v>
      </c>
      <c r="W206" s="15">
        <f t="shared" si="13"/>
        <v>20940797.388149999</v>
      </c>
    </row>
    <row r="207" spans="1:26" s="154" customFormat="1" ht="30" x14ac:dyDescent="0.25">
      <c r="A207" s="223">
        <v>6</v>
      </c>
      <c r="B207" s="94" t="s">
        <v>46</v>
      </c>
      <c r="C207" s="19">
        <v>100</v>
      </c>
      <c r="D207" s="25"/>
      <c r="E207" s="14"/>
      <c r="F207" s="14"/>
      <c r="G207" s="14"/>
      <c r="H207" s="72">
        <v>6041.9129999999996</v>
      </c>
      <c r="I207" s="14"/>
      <c r="J207" s="14">
        <v>5294.2214000000004</v>
      </c>
      <c r="K207" s="14"/>
      <c r="L207" s="14">
        <v>3466.0362</v>
      </c>
      <c r="M207" s="14">
        <v>3489.5021999999999</v>
      </c>
      <c r="N207" s="14"/>
      <c r="O207" s="14"/>
      <c r="P207" s="14">
        <v>9774.5750000000007</v>
      </c>
      <c r="Q207" s="14"/>
      <c r="R207" s="14"/>
      <c r="S207" s="14"/>
      <c r="T207" s="14"/>
      <c r="U207" s="13">
        <f t="shared" si="12"/>
        <v>28066.247800000001</v>
      </c>
      <c r="V207" s="25">
        <v>1645.1</v>
      </c>
      <c r="W207" s="15">
        <f t="shared" si="13"/>
        <v>461717.84255779994</v>
      </c>
    </row>
    <row r="208" spans="1:26" s="154" customFormat="1" ht="75" x14ac:dyDescent="0.25">
      <c r="A208" s="224">
        <v>7</v>
      </c>
      <c r="B208" s="94" t="s">
        <v>171</v>
      </c>
      <c r="C208" s="19">
        <v>100</v>
      </c>
      <c r="D208" s="25"/>
      <c r="E208" s="14"/>
      <c r="F208" s="14"/>
      <c r="G208" s="14"/>
      <c r="H208" s="72">
        <v>1758.1539000000002</v>
      </c>
      <c r="I208" s="14"/>
      <c r="J208" s="14">
        <v>997.5381000000001</v>
      </c>
      <c r="K208" s="14"/>
      <c r="L208" s="14">
        <v>648.78250000000003</v>
      </c>
      <c r="M208" s="14">
        <v>648.78250000000003</v>
      </c>
      <c r="N208" s="14"/>
      <c r="O208" s="14"/>
      <c r="P208" s="14">
        <v>1394.2756000000002</v>
      </c>
      <c r="Q208" s="14"/>
      <c r="R208" s="14"/>
      <c r="S208" s="14"/>
      <c r="T208" s="14"/>
      <c r="U208" s="13">
        <f t="shared" si="12"/>
        <v>5447.5326000000005</v>
      </c>
      <c r="V208" s="14">
        <v>13179.6</v>
      </c>
      <c r="W208" s="15">
        <f t="shared" si="13"/>
        <v>717963.00654960005</v>
      </c>
    </row>
    <row r="209" spans="1:23" s="154" customFormat="1" ht="30" x14ac:dyDescent="0.25">
      <c r="A209" s="233">
        <v>8</v>
      </c>
      <c r="B209" s="94" t="s">
        <v>103</v>
      </c>
      <c r="C209" s="19">
        <v>1</v>
      </c>
      <c r="D209" s="25"/>
      <c r="E209" s="14"/>
      <c r="F209" s="14"/>
      <c r="G209" s="14"/>
      <c r="H209" s="72">
        <v>1758.1539000000002</v>
      </c>
      <c r="I209" s="14"/>
      <c r="J209" s="14">
        <v>997.5381000000001</v>
      </c>
      <c r="K209" s="14"/>
      <c r="L209" s="14">
        <v>648.78250000000003</v>
      </c>
      <c r="M209" s="14">
        <v>648.78250000000003</v>
      </c>
      <c r="N209" s="14"/>
      <c r="O209" s="14"/>
      <c r="P209" s="14">
        <v>1394.2756000000002</v>
      </c>
      <c r="Q209" s="14"/>
      <c r="R209" s="14"/>
      <c r="S209" s="14"/>
      <c r="T209" s="14"/>
      <c r="U209" s="13">
        <f t="shared" si="12"/>
        <v>5447.5326000000005</v>
      </c>
      <c r="V209" s="14">
        <v>11</v>
      </c>
      <c r="W209" s="15">
        <f t="shared" si="13"/>
        <v>59922.858600000007</v>
      </c>
    </row>
    <row r="210" spans="1:23" s="154" customFormat="1" ht="45" x14ac:dyDescent="0.25">
      <c r="A210" s="236">
        <v>9</v>
      </c>
      <c r="B210" s="94" t="s">
        <v>111</v>
      </c>
      <c r="C210" s="36">
        <v>1</v>
      </c>
      <c r="D210" s="25"/>
      <c r="E210" s="14"/>
      <c r="F210" s="14"/>
      <c r="G210" s="14"/>
      <c r="H210" s="72">
        <v>144</v>
      </c>
      <c r="I210" s="14"/>
      <c r="J210" s="14">
        <v>111</v>
      </c>
      <c r="K210" s="14"/>
      <c r="L210" s="14">
        <v>46</v>
      </c>
      <c r="M210" s="14">
        <v>46</v>
      </c>
      <c r="N210" s="14"/>
      <c r="O210" s="14"/>
      <c r="P210" s="14">
        <v>282</v>
      </c>
      <c r="Q210" s="14"/>
      <c r="R210" s="14"/>
      <c r="S210" s="14"/>
      <c r="T210" s="14"/>
      <c r="U210" s="13">
        <f t="shared" si="12"/>
        <v>629</v>
      </c>
      <c r="V210" s="25">
        <v>514.9</v>
      </c>
      <c r="W210" s="15">
        <f t="shared" si="13"/>
        <v>323872.09999999998</v>
      </c>
    </row>
    <row r="211" spans="1:23" s="154" customFormat="1" ht="30" x14ac:dyDescent="0.25">
      <c r="A211" s="237">
        <v>10</v>
      </c>
      <c r="B211" s="94" t="s">
        <v>112</v>
      </c>
      <c r="C211" s="37">
        <v>1</v>
      </c>
      <c r="D211" s="25"/>
      <c r="E211" s="14"/>
      <c r="F211" s="14"/>
      <c r="G211" s="14"/>
      <c r="H211" s="72">
        <v>12</v>
      </c>
      <c r="I211" s="14"/>
      <c r="J211" s="14">
        <v>6</v>
      </c>
      <c r="K211" s="14"/>
      <c r="L211" s="14">
        <v>4</v>
      </c>
      <c r="M211" s="14">
        <v>4</v>
      </c>
      <c r="N211" s="14"/>
      <c r="O211" s="14"/>
      <c r="P211" s="14">
        <v>12</v>
      </c>
      <c r="Q211" s="14"/>
      <c r="R211" s="14"/>
      <c r="S211" s="14"/>
      <c r="T211" s="14"/>
      <c r="U211" s="13">
        <f t="shared" si="12"/>
        <v>38</v>
      </c>
      <c r="V211" s="25">
        <v>849.7</v>
      </c>
      <c r="W211" s="15">
        <f t="shared" si="13"/>
        <v>32288.600000000002</v>
      </c>
    </row>
    <row r="212" spans="1:23" s="154" customFormat="1" x14ac:dyDescent="0.25">
      <c r="A212" s="238">
        <v>11</v>
      </c>
      <c r="B212" s="94" t="s">
        <v>113</v>
      </c>
      <c r="C212" s="37">
        <v>1</v>
      </c>
      <c r="D212" s="25"/>
      <c r="E212" s="14"/>
      <c r="F212" s="14"/>
      <c r="G212" s="14"/>
      <c r="H212" s="72">
        <v>6</v>
      </c>
      <c r="I212" s="14"/>
      <c r="J212" s="14">
        <v>6</v>
      </c>
      <c r="K212" s="14"/>
      <c r="L212" s="14">
        <v>4</v>
      </c>
      <c r="M212" s="14">
        <v>4</v>
      </c>
      <c r="N212" s="14"/>
      <c r="O212" s="14"/>
      <c r="P212" s="14">
        <v>6</v>
      </c>
      <c r="Q212" s="14"/>
      <c r="R212" s="14"/>
      <c r="S212" s="14"/>
      <c r="T212" s="14"/>
      <c r="U212" s="13">
        <f t="shared" si="12"/>
        <v>26</v>
      </c>
      <c r="V212" s="25">
        <v>1159.6500000000001</v>
      </c>
      <c r="W212" s="15">
        <f t="shared" si="13"/>
        <v>30150.9</v>
      </c>
    </row>
    <row r="213" spans="1:23" s="154" customFormat="1" ht="180" x14ac:dyDescent="0.25">
      <c r="A213" s="277">
        <v>12</v>
      </c>
      <c r="B213" s="94" t="s">
        <v>172</v>
      </c>
      <c r="C213" s="22">
        <v>1</v>
      </c>
      <c r="D213" s="25"/>
      <c r="E213" s="14"/>
      <c r="F213" s="14"/>
      <c r="G213" s="14"/>
      <c r="H213" s="72">
        <v>607.91999999999996</v>
      </c>
      <c r="I213" s="14"/>
      <c r="J213" s="14">
        <v>367.92</v>
      </c>
      <c r="K213" s="14"/>
      <c r="L213" s="14">
        <v>271.92</v>
      </c>
      <c r="M213" s="14">
        <v>271.92</v>
      </c>
      <c r="N213" s="14"/>
      <c r="O213" s="14"/>
      <c r="P213" s="14">
        <v>463.92</v>
      </c>
      <c r="Q213" s="14"/>
      <c r="R213" s="14"/>
      <c r="S213" s="14"/>
      <c r="T213" s="14"/>
      <c r="U213" s="13">
        <f t="shared" si="12"/>
        <v>1983.6000000000001</v>
      </c>
      <c r="V213" s="14">
        <v>2180.6999999999998</v>
      </c>
      <c r="W213" s="15">
        <f t="shared" si="13"/>
        <v>4325636.5199999996</v>
      </c>
    </row>
    <row r="214" spans="1:23" s="154" customFormat="1" ht="45" x14ac:dyDescent="0.25">
      <c r="A214" s="240">
        <v>13</v>
      </c>
      <c r="B214" s="94" t="s">
        <v>173</v>
      </c>
      <c r="C214" s="19">
        <v>1</v>
      </c>
      <c r="D214" s="25"/>
      <c r="E214" s="14"/>
      <c r="F214" s="14"/>
      <c r="G214" s="14"/>
      <c r="H214" s="72">
        <v>196</v>
      </c>
      <c r="I214" s="14"/>
      <c r="J214" s="14">
        <v>176</v>
      </c>
      <c r="K214" s="14"/>
      <c r="L214" s="14">
        <v>176</v>
      </c>
      <c r="M214" s="14">
        <v>176</v>
      </c>
      <c r="N214" s="14"/>
      <c r="O214" s="14"/>
      <c r="P214" s="14">
        <v>184</v>
      </c>
      <c r="Q214" s="14"/>
      <c r="R214" s="14"/>
      <c r="S214" s="14"/>
      <c r="T214" s="14"/>
      <c r="U214" s="13">
        <f t="shared" si="12"/>
        <v>908</v>
      </c>
      <c r="V214" s="14">
        <v>2767</v>
      </c>
      <c r="W214" s="15">
        <f t="shared" si="13"/>
        <v>2512436</v>
      </c>
    </row>
    <row r="215" spans="1:23" s="154" customFormat="1" x14ac:dyDescent="0.25">
      <c r="A215" s="241">
        <v>14</v>
      </c>
      <c r="B215" s="94" t="s">
        <v>174</v>
      </c>
      <c r="C215" s="19">
        <v>100</v>
      </c>
      <c r="D215" s="25"/>
      <c r="E215" s="14"/>
      <c r="F215" s="14"/>
      <c r="G215" s="14"/>
      <c r="H215" s="72">
        <v>5921.9459999999999</v>
      </c>
      <c r="I215" s="14"/>
      <c r="J215" s="14">
        <v>3581.6040000000003</v>
      </c>
      <c r="K215" s="14"/>
      <c r="L215" s="14">
        <v>2528.6009999999997</v>
      </c>
      <c r="M215" s="14">
        <v>2528.6009999999997</v>
      </c>
      <c r="N215" s="14"/>
      <c r="O215" s="14"/>
      <c r="P215" s="14">
        <v>4838.8949999999995</v>
      </c>
      <c r="Q215" s="14"/>
      <c r="R215" s="14"/>
      <c r="S215" s="14"/>
      <c r="T215" s="14"/>
      <c r="U215" s="13">
        <f t="shared" si="12"/>
        <v>19399.646999999997</v>
      </c>
      <c r="V215" s="25">
        <v>1212.3499999999999</v>
      </c>
      <c r="W215" s="15">
        <f t="shared" si="13"/>
        <v>235191.62040449996</v>
      </c>
    </row>
    <row r="216" spans="1:23" s="154" customFormat="1" ht="45" x14ac:dyDescent="0.25">
      <c r="A216" s="242">
        <v>15</v>
      </c>
      <c r="B216" s="94" t="s">
        <v>115</v>
      </c>
      <c r="C216" s="19">
        <v>100</v>
      </c>
      <c r="D216" s="25"/>
      <c r="E216" s="14"/>
      <c r="F216" s="14"/>
      <c r="G216" s="14"/>
      <c r="H216" s="72">
        <v>5354.9950000000008</v>
      </c>
      <c r="I216" s="14"/>
      <c r="J216" s="14">
        <v>3896.5079999999998</v>
      </c>
      <c r="K216" s="14"/>
      <c r="L216" s="14">
        <v>2362.2509999999997</v>
      </c>
      <c r="M216" s="14">
        <v>2362.2509999999997</v>
      </c>
      <c r="N216" s="14"/>
      <c r="O216" s="14"/>
      <c r="P216" s="14">
        <v>6169.194300000001</v>
      </c>
      <c r="Q216" s="14"/>
      <c r="R216" s="14"/>
      <c r="S216" s="14"/>
      <c r="T216" s="14"/>
      <c r="U216" s="13">
        <f t="shared" si="12"/>
        <v>20145.1993</v>
      </c>
      <c r="V216" s="25">
        <v>7379.1</v>
      </c>
      <c r="W216" s="15">
        <f t="shared" si="13"/>
        <v>1486534.4015463002</v>
      </c>
    </row>
    <row r="217" spans="1:23" s="154" customFormat="1" ht="30" x14ac:dyDescent="0.25">
      <c r="A217" s="243">
        <v>16</v>
      </c>
      <c r="B217" s="94" t="s">
        <v>116</v>
      </c>
      <c r="C217" s="19">
        <v>100</v>
      </c>
      <c r="D217" s="25"/>
      <c r="E217" s="14"/>
      <c r="F217" s="14"/>
      <c r="G217" s="14"/>
      <c r="H217" s="72">
        <v>356</v>
      </c>
      <c r="I217" s="14"/>
      <c r="J217" s="14">
        <v>336</v>
      </c>
      <c r="K217" s="14"/>
      <c r="L217" s="14">
        <v>168</v>
      </c>
      <c r="M217" s="14">
        <v>168</v>
      </c>
      <c r="N217" s="14"/>
      <c r="O217" s="14"/>
      <c r="P217" s="14">
        <v>344</v>
      </c>
      <c r="Q217" s="14"/>
      <c r="R217" s="14"/>
      <c r="S217" s="14"/>
      <c r="T217" s="14"/>
      <c r="U217" s="13">
        <f t="shared" si="12"/>
        <v>1372</v>
      </c>
      <c r="V217" s="25">
        <v>3052.4</v>
      </c>
      <c r="W217" s="15">
        <f t="shared" si="13"/>
        <v>41878.928</v>
      </c>
    </row>
    <row r="218" spans="1:23" s="154" customFormat="1" ht="45" x14ac:dyDescent="0.25">
      <c r="A218" s="244">
        <v>17</v>
      </c>
      <c r="B218" s="94" t="s">
        <v>175</v>
      </c>
      <c r="C218" s="37">
        <v>1</v>
      </c>
      <c r="D218" s="25"/>
      <c r="E218" s="14"/>
      <c r="F218" s="14"/>
      <c r="G218" s="14"/>
      <c r="H218" s="72">
        <v>99</v>
      </c>
      <c r="I218" s="14"/>
      <c r="J218" s="14">
        <v>64</v>
      </c>
      <c r="K218" s="14"/>
      <c r="L218" s="14">
        <v>28</v>
      </c>
      <c r="M218" s="14">
        <v>28</v>
      </c>
      <c r="N218" s="14"/>
      <c r="O218" s="14"/>
      <c r="P218" s="14">
        <v>150</v>
      </c>
      <c r="Q218" s="14"/>
      <c r="R218" s="14"/>
      <c r="S218" s="14"/>
      <c r="T218" s="14"/>
      <c r="U218" s="13">
        <f t="shared" si="12"/>
        <v>369</v>
      </c>
      <c r="V218" s="25">
        <v>680.75</v>
      </c>
      <c r="W218" s="15">
        <f t="shared" si="13"/>
        <v>251196.75</v>
      </c>
    </row>
    <row r="219" spans="1:23" s="154" customFormat="1" ht="75" x14ac:dyDescent="0.25">
      <c r="A219" s="245">
        <v>18</v>
      </c>
      <c r="B219" s="94" t="s">
        <v>190</v>
      </c>
      <c r="C219" s="36">
        <v>1</v>
      </c>
      <c r="D219" s="25"/>
      <c r="E219" s="14"/>
      <c r="F219" s="14"/>
      <c r="G219" s="14"/>
      <c r="H219" s="72"/>
      <c r="I219" s="14"/>
      <c r="J219" s="14">
        <v>71.86</v>
      </c>
      <c r="K219" s="14"/>
      <c r="L219" s="14"/>
      <c r="M219" s="16"/>
      <c r="N219" s="14"/>
      <c r="O219" s="14"/>
      <c r="P219" s="14">
        <v>40</v>
      </c>
      <c r="Q219" s="14"/>
      <c r="R219" s="14"/>
      <c r="S219" s="14"/>
      <c r="T219" s="14"/>
      <c r="U219" s="13">
        <f t="shared" si="12"/>
        <v>111.86</v>
      </c>
      <c r="V219" s="25">
        <v>1125.2</v>
      </c>
      <c r="W219" s="15">
        <f t="shared" si="13"/>
        <v>125864.872</v>
      </c>
    </row>
    <row r="220" spans="1:23" s="154" customFormat="1" x14ac:dyDescent="0.25">
      <c r="A220" s="249">
        <v>19</v>
      </c>
      <c r="B220" s="94" t="s">
        <v>176</v>
      </c>
      <c r="C220" s="19">
        <v>1</v>
      </c>
      <c r="D220" s="25"/>
      <c r="E220" s="14"/>
      <c r="F220" s="14"/>
      <c r="G220" s="14"/>
      <c r="H220" s="72">
        <v>1368</v>
      </c>
      <c r="I220" s="14"/>
      <c r="J220" s="14">
        <v>368</v>
      </c>
      <c r="K220" s="14"/>
      <c r="L220" s="14">
        <v>184</v>
      </c>
      <c r="M220" s="14">
        <v>184</v>
      </c>
      <c r="N220" s="14"/>
      <c r="O220" s="14"/>
      <c r="P220" s="14">
        <v>696</v>
      </c>
      <c r="Q220" s="14"/>
      <c r="R220" s="14"/>
      <c r="S220" s="14"/>
      <c r="T220" s="14"/>
      <c r="U220" s="13">
        <f t="shared" si="12"/>
        <v>2800</v>
      </c>
      <c r="V220" s="25">
        <v>603</v>
      </c>
      <c r="W220" s="15">
        <f t="shared" si="13"/>
        <v>1688400</v>
      </c>
    </row>
    <row r="221" spans="1:23" s="154" customFormat="1" ht="75" x14ac:dyDescent="0.25">
      <c r="A221" s="278">
        <v>20</v>
      </c>
      <c r="B221" s="94" t="s">
        <v>177</v>
      </c>
      <c r="C221" s="19">
        <v>1</v>
      </c>
      <c r="D221" s="25"/>
      <c r="E221" s="14"/>
      <c r="F221" s="14"/>
      <c r="G221" s="14"/>
      <c r="H221" s="72">
        <v>2738.75</v>
      </c>
      <c r="I221" s="14"/>
      <c r="J221" s="14">
        <v>1682.7508000000003</v>
      </c>
      <c r="K221" s="14"/>
      <c r="L221" s="14">
        <v>1417.6664000000001</v>
      </c>
      <c r="M221" s="14">
        <v>1417.6664000000001</v>
      </c>
      <c r="N221" s="14"/>
      <c r="O221" s="14"/>
      <c r="P221" s="14">
        <v>2220.2250000000004</v>
      </c>
      <c r="Q221" s="14"/>
      <c r="R221" s="14"/>
      <c r="S221" s="14"/>
      <c r="T221" s="14"/>
      <c r="U221" s="13">
        <f t="shared" si="12"/>
        <v>9477.0586000000003</v>
      </c>
      <c r="V221" s="25">
        <v>205.4</v>
      </c>
      <c r="W221" s="15">
        <f t="shared" si="13"/>
        <v>1946587.8364400002</v>
      </c>
    </row>
    <row r="222" spans="1:23" s="154" customFormat="1" ht="30" x14ac:dyDescent="0.25">
      <c r="A222" s="251">
        <v>21</v>
      </c>
      <c r="B222" s="94" t="s">
        <v>178</v>
      </c>
      <c r="C222" s="12">
        <v>100</v>
      </c>
      <c r="D222" s="25"/>
      <c r="E222" s="14"/>
      <c r="F222" s="14"/>
      <c r="G222" s="14"/>
      <c r="H222" s="72">
        <v>738.42</v>
      </c>
      <c r="I222" s="14"/>
      <c r="J222" s="14">
        <v>418.97</v>
      </c>
      <c r="K222" s="14"/>
      <c r="L222" s="14">
        <v>272.49</v>
      </c>
      <c r="M222" s="14">
        <v>272.49</v>
      </c>
      <c r="N222" s="14"/>
      <c r="O222" s="14"/>
      <c r="P222" s="14">
        <v>585.6</v>
      </c>
      <c r="Q222" s="14"/>
      <c r="R222" s="14"/>
      <c r="S222" s="14"/>
      <c r="T222" s="14"/>
      <c r="U222" s="13">
        <f t="shared" si="12"/>
        <v>2287.9699999999998</v>
      </c>
      <c r="V222" s="25">
        <v>18017.599999999999</v>
      </c>
      <c r="W222" s="15">
        <f t="shared" si="13"/>
        <v>412237.2827199999</v>
      </c>
    </row>
    <row r="223" spans="1:23" s="154" customFormat="1" ht="75" x14ac:dyDescent="0.25">
      <c r="A223" s="252">
        <v>22</v>
      </c>
      <c r="B223" s="94" t="s">
        <v>179</v>
      </c>
      <c r="C223" s="19">
        <v>100</v>
      </c>
      <c r="D223" s="25"/>
      <c r="E223" s="25"/>
      <c r="F223" s="25"/>
      <c r="G223" s="25"/>
      <c r="H223" s="73">
        <v>1758.1539000000002</v>
      </c>
      <c r="I223" s="25"/>
      <c r="J223" s="25">
        <v>997.5381000000001</v>
      </c>
      <c r="K223" s="25"/>
      <c r="L223" s="25">
        <v>648.78250000000003</v>
      </c>
      <c r="M223" s="25">
        <v>648.78250000000003</v>
      </c>
      <c r="N223" s="25"/>
      <c r="O223" s="25"/>
      <c r="P223" s="25">
        <v>1394.2756000000002</v>
      </c>
      <c r="Q223" s="25"/>
      <c r="R223" s="25"/>
      <c r="S223" s="25"/>
      <c r="T223" s="25"/>
      <c r="U223" s="13">
        <f t="shared" si="12"/>
        <v>5447.5326000000005</v>
      </c>
      <c r="V223" s="25">
        <v>29658.5</v>
      </c>
      <c r="W223" s="15">
        <f t="shared" si="13"/>
        <v>1615656.4561709999</v>
      </c>
    </row>
    <row r="224" spans="1:23" s="154" customFormat="1" ht="75" x14ac:dyDescent="0.25">
      <c r="A224" s="279">
        <v>23</v>
      </c>
      <c r="B224" s="94" t="s">
        <v>180</v>
      </c>
      <c r="C224" s="19">
        <v>100</v>
      </c>
      <c r="D224" s="25"/>
      <c r="E224" s="25"/>
      <c r="F224" s="25"/>
      <c r="G224" s="25"/>
      <c r="H224" s="73">
        <v>112.84</v>
      </c>
      <c r="I224" s="25"/>
      <c r="J224" s="25">
        <v>72.099999999999994</v>
      </c>
      <c r="K224" s="25"/>
      <c r="L224" s="25">
        <v>53.42</v>
      </c>
      <c r="M224" s="25">
        <v>53.42</v>
      </c>
      <c r="N224" s="25"/>
      <c r="O224" s="25"/>
      <c r="P224" s="25">
        <v>93.350000000000009</v>
      </c>
      <c r="Q224" s="25"/>
      <c r="R224" s="25"/>
      <c r="S224" s="25"/>
      <c r="T224" s="25"/>
      <c r="U224" s="13">
        <f t="shared" si="12"/>
        <v>385.13000000000005</v>
      </c>
      <c r="V224" s="25">
        <v>19146.849999999999</v>
      </c>
      <c r="W224" s="15">
        <f t="shared" si="13"/>
        <v>73740.263405000005</v>
      </c>
    </row>
    <row r="225" spans="1:23" s="154" customFormat="1" ht="45" x14ac:dyDescent="0.25">
      <c r="A225" s="280">
        <v>24</v>
      </c>
      <c r="B225" s="94" t="s">
        <v>181</v>
      </c>
      <c r="C225" s="36">
        <v>1</v>
      </c>
      <c r="D225" s="25"/>
      <c r="E225" s="25"/>
      <c r="F225" s="25"/>
      <c r="G225" s="25"/>
      <c r="H225" s="73">
        <v>900.26</v>
      </c>
      <c r="I225" s="25"/>
      <c r="J225" s="25">
        <v>519.15</v>
      </c>
      <c r="K225" s="25"/>
      <c r="L225" s="25">
        <v>389.75</v>
      </c>
      <c r="M225" s="25">
        <v>389.75</v>
      </c>
      <c r="N225" s="25"/>
      <c r="O225" s="25"/>
      <c r="P225" s="25">
        <v>723.40000000000009</v>
      </c>
      <c r="Q225" s="25"/>
      <c r="R225" s="25"/>
      <c r="S225" s="25"/>
      <c r="T225" s="25"/>
      <c r="U225" s="13">
        <f t="shared" si="12"/>
        <v>2922.31</v>
      </c>
      <c r="V225" s="25">
        <v>39.6</v>
      </c>
      <c r="W225" s="15">
        <f t="shared" si="13"/>
        <v>115723.476</v>
      </c>
    </row>
    <row r="226" spans="1:23" s="154" customFormat="1" ht="45" x14ac:dyDescent="0.25">
      <c r="A226" s="281">
        <v>25</v>
      </c>
      <c r="B226" s="134" t="s">
        <v>71</v>
      </c>
      <c r="C226" s="36">
        <v>1</v>
      </c>
      <c r="D226" s="25"/>
      <c r="E226" s="14"/>
      <c r="F226" s="14"/>
      <c r="G226" s="14"/>
      <c r="H226" s="72">
        <v>473.5</v>
      </c>
      <c r="I226" s="14"/>
      <c r="J226" s="14">
        <v>236.66</v>
      </c>
      <c r="K226" s="14"/>
      <c r="L226" s="14">
        <v>173.29</v>
      </c>
      <c r="M226" s="14">
        <v>176.57</v>
      </c>
      <c r="N226" s="14"/>
      <c r="O226" s="14"/>
      <c r="P226" s="14">
        <v>312.94</v>
      </c>
      <c r="Q226" s="14"/>
      <c r="R226" s="14"/>
      <c r="S226" s="14"/>
      <c r="T226" s="14"/>
      <c r="U226" s="13">
        <f t="shared" si="12"/>
        <v>1372.96</v>
      </c>
      <c r="V226" s="14">
        <v>809.4</v>
      </c>
      <c r="W226" s="15">
        <f t="shared" si="13"/>
        <v>1111273.824</v>
      </c>
    </row>
    <row r="227" spans="1:23" s="154" customFormat="1" ht="45" x14ac:dyDescent="0.25">
      <c r="A227" s="282">
        <v>26</v>
      </c>
      <c r="B227" s="94" t="s">
        <v>118</v>
      </c>
      <c r="C227" s="20"/>
      <c r="D227" s="20"/>
      <c r="E227" s="20"/>
      <c r="F227" s="20"/>
      <c r="G227" s="20"/>
      <c r="H227" s="20"/>
      <c r="I227" s="20"/>
      <c r="J227" s="20"/>
      <c r="K227" s="20"/>
      <c r="L227" s="20"/>
      <c r="M227" s="20"/>
      <c r="N227" s="20"/>
      <c r="O227" s="20"/>
      <c r="P227" s="20"/>
      <c r="Q227" s="20"/>
      <c r="R227" s="20"/>
      <c r="S227" s="20"/>
      <c r="T227" s="20"/>
      <c r="U227" s="13">
        <f t="shared" si="12"/>
        <v>0</v>
      </c>
      <c r="V227" s="20"/>
      <c r="W227" s="20"/>
    </row>
    <row r="228" spans="1:23" s="154" customFormat="1" x14ac:dyDescent="0.25">
      <c r="A228" s="44"/>
      <c r="B228" s="94" t="s">
        <v>148</v>
      </c>
      <c r="C228" s="36">
        <v>1</v>
      </c>
      <c r="D228" s="25"/>
      <c r="E228" s="14"/>
      <c r="F228" s="14"/>
      <c r="G228" s="14"/>
      <c r="H228" s="72">
        <v>500</v>
      </c>
      <c r="I228" s="14"/>
      <c r="J228" s="14">
        <v>150</v>
      </c>
      <c r="K228" s="14"/>
      <c r="L228" s="14">
        <v>100</v>
      </c>
      <c r="M228" s="14">
        <v>100</v>
      </c>
      <c r="N228" s="14"/>
      <c r="O228" s="14"/>
      <c r="P228" s="14">
        <v>350</v>
      </c>
      <c r="Q228" s="14"/>
      <c r="R228" s="14"/>
      <c r="S228" s="14"/>
      <c r="T228" s="14"/>
      <c r="U228" s="13">
        <f t="shared" si="12"/>
        <v>1200</v>
      </c>
      <c r="V228" s="25">
        <v>112.25</v>
      </c>
      <c r="W228" s="15">
        <f t="shared" si="13"/>
        <v>134700</v>
      </c>
    </row>
    <row r="229" spans="1:23" s="154" customFormat="1" x14ac:dyDescent="0.25">
      <c r="A229" s="44"/>
      <c r="B229" s="94" t="s">
        <v>149</v>
      </c>
      <c r="C229" s="36">
        <v>1</v>
      </c>
      <c r="D229" s="25"/>
      <c r="E229" s="14"/>
      <c r="F229" s="14"/>
      <c r="G229" s="14"/>
      <c r="H229" s="72">
        <v>300</v>
      </c>
      <c r="I229" s="14"/>
      <c r="J229" s="14">
        <v>150</v>
      </c>
      <c r="K229" s="14"/>
      <c r="L229" s="14">
        <v>100</v>
      </c>
      <c r="M229" s="14">
        <v>100</v>
      </c>
      <c r="N229" s="14"/>
      <c r="O229" s="14"/>
      <c r="P229" s="14">
        <v>250</v>
      </c>
      <c r="Q229" s="14"/>
      <c r="R229" s="14"/>
      <c r="S229" s="14"/>
      <c r="T229" s="14"/>
      <c r="U229" s="13">
        <f t="shared" si="12"/>
        <v>900</v>
      </c>
      <c r="V229" s="25">
        <v>133.6</v>
      </c>
      <c r="W229" s="15">
        <f t="shared" si="13"/>
        <v>120240</v>
      </c>
    </row>
    <row r="230" spans="1:23" s="154" customFormat="1" ht="75" x14ac:dyDescent="0.25">
      <c r="A230" s="283">
        <v>27</v>
      </c>
      <c r="B230" s="94" t="s">
        <v>123</v>
      </c>
      <c r="C230" s="20"/>
      <c r="D230" s="20"/>
      <c r="E230" s="20"/>
      <c r="F230" s="20"/>
      <c r="G230" s="20"/>
      <c r="H230" s="20"/>
      <c r="I230" s="20"/>
      <c r="J230" s="20"/>
      <c r="K230" s="20"/>
      <c r="L230" s="20"/>
      <c r="M230" s="20"/>
      <c r="N230" s="20"/>
      <c r="O230" s="20"/>
      <c r="P230" s="20"/>
      <c r="Q230" s="20"/>
      <c r="R230" s="20"/>
      <c r="S230" s="20"/>
      <c r="T230" s="20"/>
      <c r="U230" s="13">
        <f t="shared" si="12"/>
        <v>0</v>
      </c>
      <c r="V230" s="20"/>
      <c r="W230" s="20"/>
    </row>
    <row r="231" spans="1:23" s="154" customFormat="1" x14ac:dyDescent="0.25">
      <c r="A231" s="44"/>
      <c r="B231" s="94" t="s">
        <v>150</v>
      </c>
      <c r="C231" s="36">
        <v>1</v>
      </c>
      <c r="D231" s="25"/>
      <c r="E231" s="14"/>
      <c r="F231" s="14"/>
      <c r="G231" s="14"/>
      <c r="H231" s="72">
        <v>1000</v>
      </c>
      <c r="I231" s="14"/>
      <c r="J231" s="14">
        <v>500</v>
      </c>
      <c r="K231" s="14"/>
      <c r="L231" s="14">
        <v>250</v>
      </c>
      <c r="M231" s="14">
        <v>250</v>
      </c>
      <c r="N231" s="14"/>
      <c r="O231" s="14"/>
      <c r="P231" s="14">
        <v>1000</v>
      </c>
      <c r="Q231" s="14"/>
      <c r="R231" s="14"/>
      <c r="S231" s="14"/>
      <c r="T231" s="14"/>
      <c r="U231" s="13">
        <f t="shared" si="12"/>
        <v>3000</v>
      </c>
      <c r="V231" s="25">
        <v>35.700000000000003</v>
      </c>
      <c r="W231" s="15">
        <f t="shared" si="13"/>
        <v>107100.00000000001</v>
      </c>
    </row>
    <row r="232" spans="1:23" s="154" customFormat="1" x14ac:dyDescent="0.25">
      <c r="A232" s="44"/>
      <c r="B232" s="94" t="s">
        <v>151</v>
      </c>
      <c r="C232" s="36">
        <v>1</v>
      </c>
      <c r="D232" s="25"/>
      <c r="E232" s="14"/>
      <c r="F232" s="14"/>
      <c r="G232" s="14"/>
      <c r="H232" s="72">
        <v>500</v>
      </c>
      <c r="I232" s="14"/>
      <c r="J232" s="14">
        <v>300</v>
      </c>
      <c r="K232" s="14"/>
      <c r="L232" s="14">
        <v>200</v>
      </c>
      <c r="M232" s="14">
        <v>200</v>
      </c>
      <c r="N232" s="14"/>
      <c r="O232" s="14"/>
      <c r="P232" s="14">
        <v>500</v>
      </c>
      <c r="Q232" s="14"/>
      <c r="R232" s="14"/>
      <c r="S232" s="14"/>
      <c r="T232" s="14"/>
      <c r="U232" s="13">
        <f t="shared" si="12"/>
        <v>1700</v>
      </c>
      <c r="V232" s="25">
        <v>56.3</v>
      </c>
      <c r="W232" s="15">
        <f t="shared" si="13"/>
        <v>95710</v>
      </c>
    </row>
    <row r="233" spans="1:23" s="154" customFormat="1" ht="60" x14ac:dyDescent="0.25">
      <c r="A233" s="260">
        <v>28</v>
      </c>
      <c r="B233" s="94" t="s">
        <v>127</v>
      </c>
      <c r="C233" s="20"/>
      <c r="D233" s="20"/>
      <c r="E233" s="20"/>
      <c r="F233" s="20"/>
      <c r="G233" s="20"/>
      <c r="H233" s="20"/>
      <c r="I233" s="20"/>
      <c r="J233" s="20"/>
      <c r="K233" s="20"/>
      <c r="L233" s="20"/>
      <c r="M233" s="20"/>
      <c r="N233" s="20"/>
      <c r="O233" s="20"/>
      <c r="P233" s="20"/>
      <c r="Q233" s="20"/>
      <c r="R233" s="20"/>
      <c r="S233" s="20"/>
      <c r="T233" s="20"/>
      <c r="U233" s="13">
        <f t="shared" si="12"/>
        <v>0</v>
      </c>
      <c r="V233" s="20"/>
      <c r="W233" s="20"/>
    </row>
    <row r="234" spans="1:23" s="154" customFormat="1" x14ac:dyDescent="0.25">
      <c r="A234" s="44"/>
      <c r="B234" s="94" t="s">
        <v>153</v>
      </c>
      <c r="C234" s="38">
        <v>1</v>
      </c>
      <c r="D234" s="25"/>
      <c r="E234" s="14"/>
      <c r="F234" s="14"/>
      <c r="G234" s="14"/>
      <c r="H234" s="72">
        <v>10</v>
      </c>
      <c r="I234" s="14"/>
      <c r="J234" s="14">
        <v>5</v>
      </c>
      <c r="K234" s="14"/>
      <c r="L234" s="14">
        <v>3</v>
      </c>
      <c r="M234" s="14">
        <v>3</v>
      </c>
      <c r="N234" s="14"/>
      <c r="O234" s="14"/>
      <c r="P234" s="14">
        <v>10</v>
      </c>
      <c r="Q234" s="14"/>
      <c r="R234" s="14"/>
      <c r="S234" s="14"/>
      <c r="T234" s="14"/>
      <c r="U234" s="13">
        <f t="shared" si="12"/>
        <v>31</v>
      </c>
      <c r="V234" s="25">
        <v>522.75</v>
      </c>
      <c r="W234" s="15">
        <f t="shared" si="13"/>
        <v>16205.25</v>
      </c>
    </row>
    <row r="235" spans="1:23" s="154" customFormat="1" x14ac:dyDescent="0.25">
      <c r="A235" s="284">
        <v>29</v>
      </c>
      <c r="B235" s="94" t="s">
        <v>182</v>
      </c>
      <c r="C235" s="38">
        <v>1</v>
      </c>
      <c r="D235" s="25"/>
      <c r="E235" s="14"/>
      <c r="F235" s="14"/>
      <c r="G235" s="14"/>
      <c r="H235" s="72">
        <v>50</v>
      </c>
      <c r="I235" s="14"/>
      <c r="J235" s="14">
        <v>35</v>
      </c>
      <c r="K235" s="14"/>
      <c r="L235" s="14">
        <v>20</v>
      </c>
      <c r="M235" s="14">
        <v>20</v>
      </c>
      <c r="N235" s="14"/>
      <c r="O235" s="14"/>
      <c r="P235" s="14">
        <v>50</v>
      </c>
      <c r="Q235" s="14"/>
      <c r="R235" s="14"/>
      <c r="S235" s="14"/>
      <c r="T235" s="14"/>
      <c r="U235" s="13">
        <f t="shared" si="12"/>
        <v>175</v>
      </c>
      <c r="V235" s="25">
        <v>102.7</v>
      </c>
      <c r="W235" s="15">
        <f t="shared" si="13"/>
        <v>17972.5</v>
      </c>
    </row>
    <row r="236" spans="1:23" s="154" customFormat="1" ht="30" x14ac:dyDescent="0.25">
      <c r="A236" s="286">
        <v>30</v>
      </c>
      <c r="B236" s="94" t="s">
        <v>183</v>
      </c>
      <c r="C236" s="38">
        <v>1</v>
      </c>
      <c r="D236" s="25"/>
      <c r="E236" s="14"/>
      <c r="F236" s="14"/>
      <c r="G236" s="14"/>
      <c r="H236" s="72">
        <v>15</v>
      </c>
      <c r="I236" s="14"/>
      <c r="J236" s="14">
        <v>10</v>
      </c>
      <c r="K236" s="14"/>
      <c r="L236" s="14">
        <v>5</v>
      </c>
      <c r="M236" s="14">
        <v>5</v>
      </c>
      <c r="N236" s="14"/>
      <c r="O236" s="14"/>
      <c r="P236" s="14">
        <v>15</v>
      </c>
      <c r="Q236" s="14"/>
      <c r="R236" s="14"/>
      <c r="S236" s="14"/>
      <c r="T236" s="14"/>
      <c r="U236" s="13">
        <f t="shared" si="12"/>
        <v>50</v>
      </c>
      <c r="V236" s="25">
        <v>178.75</v>
      </c>
      <c r="W236" s="15">
        <f t="shared" si="13"/>
        <v>8937.5</v>
      </c>
    </row>
    <row r="237" spans="1:23" s="154" customFormat="1" x14ac:dyDescent="0.25">
      <c r="A237" s="287">
        <v>31</v>
      </c>
      <c r="B237" s="94" t="s">
        <v>132</v>
      </c>
      <c r="C237" s="38">
        <v>1</v>
      </c>
      <c r="D237" s="25"/>
      <c r="E237" s="14"/>
      <c r="F237" s="14"/>
      <c r="G237" s="14"/>
      <c r="H237" s="72">
        <v>15</v>
      </c>
      <c r="I237" s="14"/>
      <c r="J237" s="14">
        <v>10</v>
      </c>
      <c r="K237" s="14"/>
      <c r="L237" s="14">
        <v>5</v>
      </c>
      <c r="M237" s="14">
        <v>5</v>
      </c>
      <c r="N237" s="14"/>
      <c r="O237" s="14"/>
      <c r="P237" s="14">
        <v>15</v>
      </c>
      <c r="Q237" s="14"/>
      <c r="R237" s="14"/>
      <c r="S237" s="14"/>
      <c r="T237" s="14"/>
      <c r="U237" s="13">
        <f t="shared" si="12"/>
        <v>50</v>
      </c>
      <c r="V237" s="25">
        <v>96.3</v>
      </c>
      <c r="W237" s="15">
        <f t="shared" si="13"/>
        <v>4815</v>
      </c>
    </row>
    <row r="238" spans="1:23" s="154" customFormat="1" ht="90.75" x14ac:dyDescent="0.25">
      <c r="A238" s="288">
        <v>32</v>
      </c>
      <c r="B238" s="94" t="s">
        <v>184</v>
      </c>
      <c r="C238" s="37">
        <v>1</v>
      </c>
      <c r="D238" s="25"/>
      <c r="E238" s="14"/>
      <c r="F238" s="14"/>
      <c r="G238" s="14"/>
      <c r="H238" s="72">
        <v>1</v>
      </c>
      <c r="I238" s="14"/>
      <c r="J238" s="14">
        <v>1</v>
      </c>
      <c r="K238" s="14"/>
      <c r="L238" s="14">
        <v>1</v>
      </c>
      <c r="M238" s="14">
        <v>1</v>
      </c>
      <c r="N238" s="14"/>
      <c r="O238" s="14"/>
      <c r="P238" s="14">
        <v>1</v>
      </c>
      <c r="Q238" s="14"/>
      <c r="R238" s="14"/>
      <c r="S238" s="14"/>
      <c r="T238" s="14"/>
      <c r="U238" s="13">
        <f t="shared" si="12"/>
        <v>5</v>
      </c>
      <c r="V238" s="25">
        <v>5616.25</v>
      </c>
      <c r="W238" s="15">
        <f t="shared" si="13"/>
        <v>28081.25</v>
      </c>
    </row>
    <row r="239" spans="1:23" s="154" customFormat="1" ht="90.75" x14ac:dyDescent="0.25">
      <c r="A239" s="289">
        <v>33</v>
      </c>
      <c r="B239" s="94" t="s">
        <v>185</v>
      </c>
      <c r="C239" s="37">
        <v>1</v>
      </c>
      <c r="D239" s="25"/>
      <c r="E239" s="14"/>
      <c r="F239" s="14"/>
      <c r="G239" s="14"/>
      <c r="H239" s="72">
        <v>10</v>
      </c>
      <c r="I239" s="14"/>
      <c r="J239" s="14">
        <v>5</v>
      </c>
      <c r="K239" s="14"/>
      <c r="L239" s="14">
        <v>2</v>
      </c>
      <c r="M239" s="14">
        <v>2</v>
      </c>
      <c r="N239" s="14"/>
      <c r="O239" s="14"/>
      <c r="P239" s="14">
        <v>10</v>
      </c>
      <c r="Q239" s="14"/>
      <c r="R239" s="14"/>
      <c r="S239" s="14"/>
      <c r="T239" s="14"/>
      <c r="U239" s="13">
        <f t="shared" si="12"/>
        <v>29</v>
      </c>
      <c r="V239" s="25">
        <v>1453.75</v>
      </c>
      <c r="W239" s="15">
        <f t="shared" si="13"/>
        <v>42158.75</v>
      </c>
    </row>
    <row r="240" spans="1:23" s="154" customFormat="1" ht="60" x14ac:dyDescent="0.25">
      <c r="A240" s="290">
        <v>34</v>
      </c>
      <c r="B240" s="94" t="s">
        <v>186</v>
      </c>
      <c r="C240" s="38">
        <v>1</v>
      </c>
      <c r="D240" s="25"/>
      <c r="E240" s="14"/>
      <c r="F240" s="14"/>
      <c r="G240" s="14"/>
      <c r="H240" s="72">
        <v>10</v>
      </c>
      <c r="I240" s="14"/>
      <c r="J240" s="14">
        <v>6</v>
      </c>
      <c r="K240" s="14"/>
      <c r="L240" s="14">
        <v>4</v>
      </c>
      <c r="M240" s="14">
        <v>4</v>
      </c>
      <c r="N240" s="14"/>
      <c r="O240" s="14"/>
      <c r="P240" s="14">
        <v>10</v>
      </c>
      <c r="Q240" s="14"/>
      <c r="R240" s="14"/>
      <c r="S240" s="14"/>
      <c r="T240" s="14"/>
      <c r="U240" s="13">
        <f t="shared" si="12"/>
        <v>34</v>
      </c>
      <c r="V240" s="25">
        <v>11398.45</v>
      </c>
      <c r="W240" s="15">
        <f t="shared" si="13"/>
        <v>387547.30000000005</v>
      </c>
    </row>
    <row r="241" spans="1:25" s="154" customFormat="1" ht="60" x14ac:dyDescent="0.25">
      <c r="A241" s="291">
        <v>35</v>
      </c>
      <c r="B241" s="94" t="s">
        <v>139</v>
      </c>
      <c r="C241" s="37">
        <v>1</v>
      </c>
      <c r="D241" s="25"/>
      <c r="E241" s="14"/>
      <c r="F241" s="14"/>
      <c r="G241" s="14"/>
      <c r="H241" s="72">
        <v>15</v>
      </c>
      <c r="I241" s="14"/>
      <c r="J241" s="14">
        <v>10</v>
      </c>
      <c r="K241" s="14"/>
      <c r="L241" s="14">
        <v>5</v>
      </c>
      <c r="M241" s="14">
        <v>5</v>
      </c>
      <c r="N241" s="14"/>
      <c r="O241" s="14"/>
      <c r="P241" s="14">
        <v>15</v>
      </c>
      <c r="Q241" s="14"/>
      <c r="R241" s="14"/>
      <c r="S241" s="14"/>
      <c r="T241" s="14"/>
      <c r="U241" s="13">
        <f t="shared" si="12"/>
        <v>50</v>
      </c>
      <c r="V241" s="25">
        <v>1995.3</v>
      </c>
      <c r="W241" s="15">
        <f t="shared" si="13"/>
        <v>99765</v>
      </c>
    </row>
    <row r="242" spans="1:25" s="154" customFormat="1" x14ac:dyDescent="0.25">
      <c r="A242" s="44"/>
      <c r="B242" s="137" t="s">
        <v>193</v>
      </c>
      <c r="C242" s="42"/>
      <c r="D242" s="42"/>
      <c r="E242" s="42"/>
      <c r="F242" s="42"/>
      <c r="G242" s="42"/>
      <c r="H242" s="42"/>
      <c r="I242" s="42"/>
      <c r="J242" s="42"/>
      <c r="K242" s="42"/>
      <c r="L242" s="42"/>
      <c r="M242" s="42"/>
      <c r="N242" s="42"/>
      <c r="O242" s="42"/>
      <c r="P242" s="42"/>
      <c r="Q242" s="42"/>
      <c r="R242" s="42"/>
      <c r="S242" s="42"/>
      <c r="T242" s="42"/>
      <c r="U242" s="13">
        <f t="shared" si="12"/>
        <v>0</v>
      </c>
      <c r="V242" s="42"/>
      <c r="W242" s="42"/>
    </row>
    <row r="243" spans="1:25" s="154" customFormat="1" ht="30" x14ac:dyDescent="0.25">
      <c r="A243" s="302">
        <v>36</v>
      </c>
      <c r="B243" s="96" t="s">
        <v>58</v>
      </c>
      <c r="C243" s="12">
        <v>1000</v>
      </c>
      <c r="D243" s="102"/>
      <c r="E243" s="14"/>
      <c r="F243" s="14"/>
      <c r="G243" s="14"/>
      <c r="H243" s="72"/>
      <c r="I243" s="14"/>
      <c r="J243" s="14">
        <v>34138.375</v>
      </c>
      <c r="K243" s="14"/>
      <c r="L243" s="14">
        <v>10698.490000000002</v>
      </c>
      <c r="M243" s="14">
        <v>14034.924999999999</v>
      </c>
      <c r="N243" s="14"/>
      <c r="O243" s="14"/>
      <c r="P243" s="14"/>
      <c r="Q243" s="14"/>
      <c r="R243" s="14"/>
      <c r="S243" s="14"/>
      <c r="T243" s="14"/>
      <c r="U243" s="13">
        <f t="shared" si="12"/>
        <v>58871.790000000008</v>
      </c>
      <c r="V243" s="25">
        <v>10533.6</v>
      </c>
      <c r="W243" s="15">
        <f t="shared" si="13"/>
        <v>620131.88714400004</v>
      </c>
    </row>
    <row r="244" spans="1:25" s="154" customFormat="1" ht="60" x14ac:dyDescent="0.25">
      <c r="A244" s="303">
        <v>37</v>
      </c>
      <c r="B244" s="96" t="s">
        <v>194</v>
      </c>
      <c r="C244" s="12">
        <v>1000</v>
      </c>
      <c r="D244" s="102"/>
      <c r="E244" s="14"/>
      <c r="F244" s="14"/>
      <c r="G244" s="14"/>
      <c r="H244" s="72"/>
      <c r="I244" s="14"/>
      <c r="J244" s="14">
        <v>34138.375</v>
      </c>
      <c r="K244" s="14"/>
      <c r="L244" s="14">
        <v>10698.490000000002</v>
      </c>
      <c r="M244" s="14">
        <v>14034.924999999999</v>
      </c>
      <c r="N244" s="14"/>
      <c r="O244" s="14"/>
      <c r="P244" s="14"/>
      <c r="Q244" s="14"/>
      <c r="R244" s="14"/>
      <c r="S244" s="14"/>
      <c r="T244" s="14"/>
      <c r="U244" s="13">
        <f t="shared" si="12"/>
        <v>58871.790000000008</v>
      </c>
      <c r="V244" s="25">
        <v>1437.5</v>
      </c>
      <c r="W244" s="15">
        <f t="shared" si="13"/>
        <v>84628.19812500001</v>
      </c>
    </row>
    <row r="245" spans="1:25" s="154" customFormat="1" ht="60" x14ac:dyDescent="0.25">
      <c r="A245" s="304">
        <v>38</v>
      </c>
      <c r="B245" s="96" t="s">
        <v>195</v>
      </c>
      <c r="C245" s="12">
        <v>1000</v>
      </c>
      <c r="D245" s="102"/>
      <c r="E245" s="14"/>
      <c r="F245" s="14"/>
      <c r="G245" s="14"/>
      <c r="H245" s="72"/>
      <c r="I245" s="14"/>
      <c r="J245" s="14">
        <v>5910.3</v>
      </c>
      <c r="K245" s="14"/>
      <c r="L245" s="14">
        <v>4319.8550000000005</v>
      </c>
      <c r="M245" s="14">
        <v>4319.8550000000005</v>
      </c>
      <c r="N245" s="14"/>
      <c r="O245" s="14"/>
      <c r="P245" s="14"/>
      <c r="Q245" s="14"/>
      <c r="R245" s="14"/>
      <c r="S245" s="14"/>
      <c r="T245" s="14"/>
      <c r="U245" s="13">
        <f t="shared" si="12"/>
        <v>14550.010000000002</v>
      </c>
      <c r="V245" s="25">
        <v>5033.7</v>
      </c>
      <c r="W245" s="15">
        <f t="shared" si="13"/>
        <v>73240.385337000014</v>
      </c>
    </row>
    <row r="246" spans="1:25" s="154" customFormat="1" x14ac:dyDescent="0.25">
      <c r="A246" s="120"/>
      <c r="B246" s="96" t="s">
        <v>196</v>
      </c>
      <c r="C246" s="43"/>
      <c r="D246" s="43"/>
      <c r="E246" s="43"/>
      <c r="F246" s="43"/>
      <c r="G246" s="43"/>
      <c r="H246" s="43"/>
      <c r="I246" s="43"/>
      <c r="J246" s="43"/>
      <c r="K246" s="43"/>
      <c r="L246" s="43"/>
      <c r="M246" s="43"/>
      <c r="N246" s="43"/>
      <c r="O246" s="43"/>
      <c r="P246" s="43"/>
      <c r="Q246" s="43"/>
      <c r="R246" s="43"/>
      <c r="S246" s="43"/>
      <c r="T246" s="43"/>
      <c r="U246" s="13">
        <f t="shared" si="12"/>
        <v>0</v>
      </c>
      <c r="V246" s="43"/>
      <c r="W246" s="43"/>
    </row>
    <row r="247" spans="1:25" s="154" customFormat="1" x14ac:dyDescent="0.25">
      <c r="A247" s="120"/>
      <c r="B247" s="96" t="s">
        <v>197</v>
      </c>
      <c r="C247" s="19">
        <v>100</v>
      </c>
      <c r="D247" s="102"/>
      <c r="E247" s="13"/>
      <c r="F247" s="13"/>
      <c r="G247" s="13"/>
      <c r="H247" s="71"/>
      <c r="I247" s="13"/>
      <c r="J247" s="13">
        <v>1100</v>
      </c>
      <c r="K247" s="13"/>
      <c r="L247" s="13">
        <v>700</v>
      </c>
      <c r="M247" s="13">
        <v>700</v>
      </c>
      <c r="N247" s="13"/>
      <c r="O247" s="13"/>
      <c r="P247" s="13"/>
      <c r="Q247" s="13"/>
      <c r="R247" s="13"/>
      <c r="S247" s="13"/>
      <c r="T247" s="13"/>
      <c r="U247" s="13">
        <f t="shared" si="12"/>
        <v>2500</v>
      </c>
      <c r="V247" s="14">
        <v>6512.05</v>
      </c>
      <c r="W247" s="15">
        <f t="shared" si="13"/>
        <v>162801.25</v>
      </c>
    </row>
    <row r="248" spans="1:25" s="154" customFormat="1" x14ac:dyDescent="0.25">
      <c r="A248" s="120"/>
      <c r="B248" s="96" t="s">
        <v>198</v>
      </c>
      <c r="C248" s="19">
        <v>100</v>
      </c>
      <c r="D248" s="102"/>
      <c r="E248" s="13"/>
      <c r="F248" s="13"/>
      <c r="G248" s="13"/>
      <c r="H248" s="71"/>
      <c r="I248" s="13"/>
      <c r="J248" s="13">
        <v>1540</v>
      </c>
      <c r="K248" s="13"/>
      <c r="L248" s="13">
        <v>1168</v>
      </c>
      <c r="M248" s="13">
        <v>1168</v>
      </c>
      <c r="N248" s="13"/>
      <c r="O248" s="13"/>
      <c r="P248" s="13"/>
      <c r="Q248" s="13"/>
      <c r="R248" s="13"/>
      <c r="S248" s="13"/>
      <c r="T248" s="13"/>
      <c r="U248" s="13">
        <f t="shared" si="12"/>
        <v>3876</v>
      </c>
      <c r="V248" s="14">
        <v>7363.45</v>
      </c>
      <c r="W248" s="15">
        <f t="shared" si="13"/>
        <v>285407.32199999999</v>
      </c>
    </row>
    <row r="249" spans="1:25" s="154" customFormat="1" ht="30" x14ac:dyDescent="0.25">
      <c r="A249" s="305">
        <v>39</v>
      </c>
      <c r="B249" s="96" t="s">
        <v>199</v>
      </c>
      <c r="C249" s="43"/>
      <c r="D249" s="43"/>
      <c r="E249" s="43"/>
      <c r="F249" s="43"/>
      <c r="G249" s="43"/>
      <c r="H249" s="43"/>
      <c r="I249" s="43"/>
      <c r="J249" s="43"/>
      <c r="K249" s="43"/>
      <c r="L249" s="43"/>
      <c r="M249" s="43"/>
      <c r="N249" s="43"/>
      <c r="O249" s="43"/>
      <c r="P249" s="43"/>
      <c r="Q249" s="43"/>
      <c r="R249" s="43"/>
      <c r="S249" s="43"/>
      <c r="T249" s="43"/>
      <c r="U249" s="13">
        <f t="shared" si="12"/>
        <v>0</v>
      </c>
      <c r="V249" s="43"/>
      <c r="W249" s="43"/>
    </row>
    <row r="250" spans="1:25" s="154" customFormat="1" x14ac:dyDescent="0.25">
      <c r="A250" s="120"/>
      <c r="B250" s="96" t="s">
        <v>200</v>
      </c>
      <c r="C250" s="12">
        <v>100</v>
      </c>
      <c r="D250" s="102"/>
      <c r="E250" s="14"/>
      <c r="F250" s="14"/>
      <c r="G250" s="14"/>
      <c r="H250" s="72"/>
      <c r="I250" s="14"/>
      <c r="J250" s="14">
        <v>376.75</v>
      </c>
      <c r="K250" s="14"/>
      <c r="L250" s="14">
        <v>239.75</v>
      </c>
      <c r="M250" s="14">
        <v>239.75</v>
      </c>
      <c r="N250" s="14"/>
      <c r="O250" s="14"/>
      <c r="P250" s="14"/>
      <c r="Q250" s="14"/>
      <c r="R250" s="14"/>
      <c r="S250" s="14"/>
      <c r="T250" s="14"/>
      <c r="U250" s="13">
        <f t="shared" si="12"/>
        <v>856.25</v>
      </c>
      <c r="V250" s="13">
        <v>49016.9</v>
      </c>
      <c r="W250" s="15">
        <f t="shared" si="13"/>
        <v>419707.20624999999</v>
      </c>
    </row>
    <row r="251" spans="1:25" s="154" customFormat="1" x14ac:dyDescent="0.25">
      <c r="A251" s="120"/>
      <c r="B251" s="96" t="s">
        <v>201</v>
      </c>
      <c r="C251" s="12">
        <v>100</v>
      </c>
      <c r="D251" s="102"/>
      <c r="E251" s="14"/>
      <c r="F251" s="14"/>
      <c r="G251" s="14"/>
      <c r="H251" s="72"/>
      <c r="I251" s="14"/>
      <c r="J251" s="14">
        <v>527.45000000000005</v>
      </c>
      <c r="K251" s="14"/>
      <c r="L251" s="14">
        <v>400.04</v>
      </c>
      <c r="M251" s="14">
        <v>400.04</v>
      </c>
      <c r="N251" s="14"/>
      <c r="O251" s="14"/>
      <c r="P251" s="14"/>
      <c r="Q251" s="14"/>
      <c r="R251" s="14"/>
      <c r="S251" s="14"/>
      <c r="T251" s="14"/>
      <c r="U251" s="13">
        <f t="shared" si="12"/>
        <v>1327.53</v>
      </c>
      <c r="V251" s="13">
        <v>51301.8</v>
      </c>
      <c r="W251" s="15">
        <f t="shared" si="13"/>
        <v>681046.78554000007</v>
      </c>
    </row>
    <row r="252" spans="1:25" s="154" customFormat="1" ht="30" x14ac:dyDescent="0.25">
      <c r="A252" s="306">
        <v>40</v>
      </c>
      <c r="B252" s="96" t="s">
        <v>202</v>
      </c>
      <c r="C252" s="36">
        <v>1</v>
      </c>
      <c r="D252" s="102"/>
      <c r="E252" s="14"/>
      <c r="F252" s="14"/>
      <c r="G252" s="14"/>
      <c r="H252" s="72"/>
      <c r="I252" s="14"/>
      <c r="J252" s="14">
        <v>264</v>
      </c>
      <c r="K252" s="14"/>
      <c r="L252" s="14">
        <v>186.8</v>
      </c>
      <c r="M252" s="14">
        <v>186.8</v>
      </c>
      <c r="N252" s="14"/>
      <c r="O252" s="14"/>
      <c r="P252" s="14"/>
      <c r="Q252" s="14"/>
      <c r="R252" s="14"/>
      <c r="S252" s="14"/>
      <c r="T252" s="14"/>
      <c r="U252" s="13">
        <f t="shared" si="12"/>
        <v>637.6</v>
      </c>
      <c r="V252" s="14">
        <v>17.3</v>
      </c>
      <c r="W252" s="15">
        <f t="shared" si="13"/>
        <v>11030.480000000001</v>
      </c>
    </row>
    <row r="253" spans="1:25" s="154" customFormat="1" ht="30" x14ac:dyDescent="0.25">
      <c r="A253" s="307">
        <v>41</v>
      </c>
      <c r="B253" s="96" t="s">
        <v>203</v>
      </c>
      <c r="C253" s="19">
        <v>100</v>
      </c>
      <c r="D253" s="102"/>
      <c r="E253" s="14"/>
      <c r="F253" s="14"/>
      <c r="G253" s="14"/>
      <c r="H253" s="72"/>
      <c r="I253" s="14"/>
      <c r="J253" s="14">
        <v>132</v>
      </c>
      <c r="K253" s="14"/>
      <c r="L253" s="14">
        <v>93.4</v>
      </c>
      <c r="M253" s="14">
        <v>93.4</v>
      </c>
      <c r="N253" s="14"/>
      <c r="O253" s="14"/>
      <c r="P253" s="14"/>
      <c r="Q253" s="14"/>
      <c r="R253" s="14"/>
      <c r="S253" s="14"/>
      <c r="T253" s="14"/>
      <c r="U253" s="13">
        <f t="shared" si="12"/>
        <v>318.8</v>
      </c>
      <c r="V253" s="25">
        <v>1539.8</v>
      </c>
      <c r="W253" s="15">
        <f t="shared" si="13"/>
        <v>4908.8823999999995</v>
      </c>
    </row>
    <row r="254" spans="1:25" s="154" customFormat="1" ht="22.5" x14ac:dyDescent="0.25">
      <c r="A254" s="308">
        <v>10</v>
      </c>
      <c r="B254" s="198" t="s">
        <v>403</v>
      </c>
      <c r="C254" s="99"/>
      <c r="D254" s="99"/>
      <c r="E254" s="99"/>
      <c r="F254" s="99"/>
      <c r="G254" s="99"/>
      <c r="H254" s="99"/>
      <c r="I254" s="99"/>
      <c r="J254" s="99"/>
      <c r="K254" s="99"/>
      <c r="L254" s="99"/>
      <c r="M254" s="99"/>
      <c r="N254" s="99"/>
      <c r="O254" s="99"/>
      <c r="P254" s="99"/>
      <c r="Q254" s="99"/>
      <c r="R254" s="99"/>
      <c r="S254" s="99"/>
      <c r="T254" s="99"/>
      <c r="U254" s="99"/>
      <c r="V254" s="99"/>
      <c r="W254" s="99"/>
    </row>
    <row r="255" spans="1:25" s="154" customFormat="1" ht="75.75" x14ac:dyDescent="0.25">
      <c r="A255" s="220">
        <v>1</v>
      </c>
      <c r="B255" s="94" t="s">
        <v>204</v>
      </c>
      <c r="C255" s="12">
        <v>1000</v>
      </c>
      <c r="D255" s="25"/>
      <c r="E255" s="14"/>
      <c r="F255" s="14"/>
      <c r="G255" s="14"/>
      <c r="H255" s="72"/>
      <c r="I255" s="14"/>
      <c r="J255" s="14">
        <v>14140.759900000003</v>
      </c>
      <c r="K255" s="14">
        <v>3514.6564000000008</v>
      </c>
      <c r="L255" s="14">
        <v>12209.000500000002</v>
      </c>
      <c r="M255" s="14">
        <v>11890.325300000002</v>
      </c>
      <c r="N255" s="14">
        <v>4728.6509999999998</v>
      </c>
      <c r="O255" s="14"/>
      <c r="P255" s="14"/>
      <c r="Q255" s="14"/>
      <c r="R255" s="14"/>
      <c r="S255" s="14"/>
      <c r="T255" s="14"/>
      <c r="U255" s="13">
        <f t="shared" ref="U255:U269" si="14">SUM(D255:T255)</f>
        <v>46483.393100000008</v>
      </c>
      <c r="V255" s="14">
        <v>15824.15</v>
      </c>
      <c r="W255" s="15">
        <f t="shared" si="13"/>
        <v>735560.18492336513</v>
      </c>
      <c r="X255" s="191">
        <f>SUM(W255:W270)</f>
        <v>31715323.406500399</v>
      </c>
      <c r="Y255" s="154">
        <v>31715324</v>
      </c>
    </row>
    <row r="256" spans="1:25" s="154" customFormat="1" ht="45" x14ac:dyDescent="0.25">
      <c r="A256" s="211">
        <v>2</v>
      </c>
      <c r="B256" s="92" t="s">
        <v>106</v>
      </c>
      <c r="C256" s="11"/>
      <c r="D256" s="11"/>
      <c r="E256" s="11"/>
      <c r="F256" s="11"/>
      <c r="G256" s="11"/>
      <c r="H256" s="11"/>
      <c r="I256" s="11"/>
      <c r="J256" s="11"/>
      <c r="K256" s="11"/>
      <c r="L256" s="11"/>
      <c r="M256" s="11"/>
      <c r="N256" s="11"/>
      <c r="O256" s="11"/>
      <c r="P256" s="11"/>
      <c r="Q256" s="11"/>
      <c r="R256" s="11"/>
      <c r="S256" s="11"/>
      <c r="T256" s="11"/>
      <c r="U256" s="13">
        <f t="shared" si="14"/>
        <v>0</v>
      </c>
      <c r="V256" s="11"/>
      <c r="W256" s="11"/>
      <c r="X256" s="187">
        <f>Y255-X255</f>
        <v>0.59349960088729858</v>
      </c>
    </row>
    <row r="257" spans="1:24" s="154" customFormat="1" x14ac:dyDescent="0.25">
      <c r="A257" s="44"/>
      <c r="B257" s="92" t="s">
        <v>21</v>
      </c>
      <c r="C257" s="12">
        <v>100</v>
      </c>
      <c r="D257" s="25"/>
      <c r="E257" s="14"/>
      <c r="F257" s="14"/>
      <c r="G257" s="14"/>
      <c r="H257" s="72"/>
      <c r="I257" s="14"/>
      <c r="J257" s="14">
        <v>1744.5219</v>
      </c>
      <c r="K257" s="14">
        <v>463.38600000000008</v>
      </c>
      <c r="L257" s="14">
        <v>1730.8731</v>
      </c>
      <c r="M257" s="14">
        <v>1730.8731</v>
      </c>
      <c r="N257" s="14">
        <v>695.07900000000018</v>
      </c>
      <c r="O257" s="14"/>
      <c r="P257" s="14"/>
      <c r="Q257" s="14"/>
      <c r="R257" s="14"/>
      <c r="S257" s="14"/>
      <c r="T257" s="14"/>
      <c r="U257" s="13">
        <f t="shared" si="14"/>
        <v>6364.7330999999995</v>
      </c>
      <c r="V257" s="14">
        <v>34694.300000000003</v>
      </c>
      <c r="W257" s="15">
        <f t="shared" si="13"/>
        <v>2208199.5959132998</v>
      </c>
    </row>
    <row r="258" spans="1:24" s="154" customFormat="1" x14ac:dyDescent="0.25">
      <c r="A258" s="44"/>
      <c r="B258" s="92" t="s">
        <v>107</v>
      </c>
      <c r="C258" s="12">
        <v>100</v>
      </c>
      <c r="D258" s="25"/>
      <c r="E258" s="14"/>
      <c r="F258" s="14"/>
      <c r="G258" s="14"/>
      <c r="H258" s="72"/>
      <c r="I258" s="14"/>
      <c r="J258" s="14">
        <v>180.36562499999994</v>
      </c>
      <c r="K258" s="14">
        <v>48.097499999999997</v>
      </c>
      <c r="L258" s="14">
        <v>180.36562499999994</v>
      </c>
      <c r="M258" s="14">
        <v>180.36562499999994</v>
      </c>
      <c r="N258" s="14">
        <v>72.146249999999995</v>
      </c>
      <c r="O258" s="14"/>
      <c r="P258" s="14"/>
      <c r="Q258" s="14"/>
      <c r="R258" s="14"/>
      <c r="S258" s="14"/>
      <c r="T258" s="14"/>
      <c r="U258" s="13">
        <f t="shared" si="14"/>
        <v>661.34062499999982</v>
      </c>
      <c r="V258" s="14">
        <v>47135.9</v>
      </c>
      <c r="W258" s="15">
        <f t="shared" si="13"/>
        <v>311728.85565937491</v>
      </c>
    </row>
    <row r="259" spans="1:24" s="154" customFormat="1" ht="30" x14ac:dyDescent="0.25">
      <c r="A259" s="212">
        <v>3</v>
      </c>
      <c r="B259" s="94" t="s">
        <v>70</v>
      </c>
      <c r="C259" s="12">
        <v>100</v>
      </c>
      <c r="D259" s="25"/>
      <c r="E259" s="14"/>
      <c r="F259" s="14"/>
      <c r="G259" s="14"/>
      <c r="H259" s="72"/>
      <c r="I259" s="14"/>
      <c r="J259" s="14">
        <v>2798.8875000000007</v>
      </c>
      <c r="K259" s="14">
        <v>746.37</v>
      </c>
      <c r="L259" s="14">
        <v>2798.8875000000007</v>
      </c>
      <c r="M259" s="14">
        <v>2798.8875000000007</v>
      </c>
      <c r="N259" s="14">
        <v>1119.5550000000001</v>
      </c>
      <c r="O259" s="14"/>
      <c r="P259" s="14"/>
      <c r="Q259" s="14"/>
      <c r="R259" s="14"/>
      <c r="S259" s="14"/>
      <c r="T259" s="14"/>
      <c r="U259" s="13">
        <f t="shared" si="14"/>
        <v>10262.587500000001</v>
      </c>
      <c r="V259" s="14">
        <v>35727</v>
      </c>
      <c r="W259" s="15">
        <f t="shared" si="13"/>
        <v>3666514.6361250007</v>
      </c>
    </row>
    <row r="260" spans="1:24" s="154" customFormat="1" ht="120" x14ac:dyDescent="0.25">
      <c r="A260" s="213">
        <v>4</v>
      </c>
      <c r="B260" s="94" t="s">
        <v>85</v>
      </c>
      <c r="C260" s="20"/>
      <c r="D260" s="20"/>
      <c r="E260" s="20"/>
      <c r="F260" s="20"/>
      <c r="G260" s="20"/>
      <c r="H260" s="20"/>
      <c r="I260" s="20"/>
      <c r="J260" s="20"/>
      <c r="K260" s="20"/>
      <c r="L260" s="20"/>
      <c r="M260" s="20"/>
      <c r="N260" s="20"/>
      <c r="O260" s="20"/>
      <c r="P260" s="20"/>
      <c r="Q260" s="20"/>
      <c r="R260" s="20"/>
      <c r="S260" s="20"/>
      <c r="T260" s="20"/>
      <c r="U260" s="13">
        <f t="shared" si="14"/>
        <v>0</v>
      </c>
      <c r="V260" s="20"/>
      <c r="W260" s="20"/>
    </row>
    <row r="261" spans="1:24" s="154" customFormat="1" ht="75" x14ac:dyDescent="0.25">
      <c r="A261" s="122"/>
      <c r="B261" s="94" t="s">
        <v>86</v>
      </c>
      <c r="C261" s="12">
        <v>1</v>
      </c>
      <c r="D261" s="25"/>
      <c r="E261" s="14"/>
      <c r="F261" s="14"/>
      <c r="G261" s="14"/>
      <c r="H261" s="72"/>
      <c r="I261" s="14"/>
      <c r="J261" s="14">
        <v>2377.125</v>
      </c>
      <c r="K261" s="14">
        <v>625.5</v>
      </c>
      <c r="L261" s="14">
        <v>2314.125</v>
      </c>
      <c r="M261" s="14">
        <v>2314.125</v>
      </c>
      <c r="N261" s="14">
        <v>938.25</v>
      </c>
      <c r="O261" s="14"/>
      <c r="P261" s="14"/>
      <c r="Q261" s="14"/>
      <c r="R261" s="14"/>
      <c r="S261" s="14"/>
      <c r="T261" s="14"/>
      <c r="U261" s="13">
        <f t="shared" si="14"/>
        <v>8569.125</v>
      </c>
      <c r="V261" s="14">
        <v>817.55</v>
      </c>
      <c r="W261" s="15">
        <f t="shared" si="13"/>
        <v>7005688.1437499998</v>
      </c>
    </row>
    <row r="262" spans="1:24" s="154" customFormat="1" ht="75" x14ac:dyDescent="0.25">
      <c r="A262" s="122"/>
      <c r="B262" s="94" t="s">
        <v>160</v>
      </c>
      <c r="C262" s="12">
        <v>1</v>
      </c>
      <c r="D262" s="25"/>
      <c r="E262" s="14"/>
      <c r="F262" s="14"/>
      <c r="G262" s="14"/>
      <c r="H262" s="72"/>
      <c r="I262" s="14"/>
      <c r="J262" s="14">
        <v>823.5</v>
      </c>
      <c r="K262" s="14">
        <v>216</v>
      </c>
      <c r="L262" s="14">
        <v>796.5</v>
      </c>
      <c r="M262" s="14">
        <v>796.5</v>
      </c>
      <c r="N262" s="14">
        <v>324</v>
      </c>
      <c r="O262" s="14"/>
      <c r="P262" s="14"/>
      <c r="Q262" s="14"/>
      <c r="R262" s="14"/>
      <c r="S262" s="14"/>
      <c r="T262" s="14"/>
      <c r="U262" s="13">
        <f t="shared" si="14"/>
        <v>2956.5</v>
      </c>
      <c r="V262" s="14">
        <v>670.5</v>
      </c>
      <c r="W262" s="15">
        <f t="shared" si="13"/>
        <v>1982333.25</v>
      </c>
    </row>
    <row r="263" spans="1:24" s="154" customFormat="1" ht="90" x14ac:dyDescent="0.25">
      <c r="A263" s="309">
        <v>5</v>
      </c>
      <c r="B263" s="94" t="s">
        <v>205</v>
      </c>
      <c r="C263" s="29">
        <v>100</v>
      </c>
      <c r="D263" s="25"/>
      <c r="E263" s="14"/>
      <c r="F263" s="14"/>
      <c r="G263" s="14"/>
      <c r="H263" s="72"/>
      <c r="I263" s="14"/>
      <c r="J263" s="14">
        <v>9601.875</v>
      </c>
      <c r="K263" s="14">
        <v>2524.5</v>
      </c>
      <c r="L263" s="14">
        <v>9331.875</v>
      </c>
      <c r="M263" s="14">
        <v>9331.875</v>
      </c>
      <c r="N263" s="14">
        <v>3786.75</v>
      </c>
      <c r="O263" s="14"/>
      <c r="P263" s="14"/>
      <c r="Q263" s="14"/>
      <c r="R263" s="14"/>
      <c r="S263" s="14"/>
      <c r="T263" s="14"/>
      <c r="U263" s="13">
        <f t="shared" si="14"/>
        <v>34576.875</v>
      </c>
      <c r="V263" s="30">
        <v>30376.9</v>
      </c>
      <c r="W263" s="15">
        <f t="shared" si="13"/>
        <v>10503382.741875</v>
      </c>
    </row>
    <row r="264" spans="1:24" s="154" customFormat="1" ht="30" x14ac:dyDescent="0.25">
      <c r="A264" s="223">
        <v>6</v>
      </c>
      <c r="B264" s="131" t="s">
        <v>206</v>
      </c>
      <c r="C264" s="12">
        <v>100</v>
      </c>
      <c r="D264" s="25"/>
      <c r="E264" s="14"/>
      <c r="F264" s="14"/>
      <c r="G264" s="14"/>
      <c r="H264" s="72"/>
      <c r="I264" s="14"/>
      <c r="J264" s="14">
        <v>4464.8392000000003</v>
      </c>
      <c r="K264" s="14">
        <v>949.98720000000037</v>
      </c>
      <c r="L264" s="14">
        <v>2649.9022000000004</v>
      </c>
      <c r="M264" s="14">
        <v>2331.2270000000012</v>
      </c>
      <c r="N264" s="14">
        <v>881.64719999999977</v>
      </c>
      <c r="O264" s="14"/>
      <c r="P264" s="14"/>
      <c r="Q264" s="14"/>
      <c r="R264" s="14"/>
      <c r="S264" s="14"/>
      <c r="T264" s="14"/>
      <c r="U264" s="13">
        <f t="shared" si="14"/>
        <v>11277.602800000002</v>
      </c>
      <c r="V264" s="25">
        <v>6849</v>
      </c>
      <c r="W264" s="15">
        <f t="shared" si="13"/>
        <v>772403.01577200007</v>
      </c>
    </row>
    <row r="265" spans="1:24" s="154" customFormat="1" x14ac:dyDescent="0.25">
      <c r="A265" s="224">
        <v>7</v>
      </c>
      <c r="B265" s="94" t="s">
        <v>59</v>
      </c>
      <c r="C265" s="12">
        <v>1000</v>
      </c>
      <c r="D265" s="25"/>
      <c r="E265" s="14"/>
      <c r="F265" s="14"/>
      <c r="G265" s="14"/>
      <c r="H265" s="72"/>
      <c r="I265" s="14"/>
      <c r="J265" s="14">
        <v>4880</v>
      </c>
      <c r="K265" s="14">
        <v>1280</v>
      </c>
      <c r="L265" s="14">
        <v>4720</v>
      </c>
      <c r="M265" s="14">
        <v>4720</v>
      </c>
      <c r="N265" s="14">
        <v>1920</v>
      </c>
      <c r="O265" s="14"/>
      <c r="P265" s="14"/>
      <c r="Q265" s="14"/>
      <c r="R265" s="14"/>
      <c r="S265" s="14"/>
      <c r="T265" s="14"/>
      <c r="U265" s="13">
        <f t="shared" si="14"/>
        <v>17520</v>
      </c>
      <c r="V265" s="13">
        <v>5266.8</v>
      </c>
      <c r="W265" s="15">
        <f t="shared" si="13"/>
        <v>92274.335999999996</v>
      </c>
    </row>
    <row r="266" spans="1:24" s="154" customFormat="1" ht="75.75" x14ac:dyDescent="0.25">
      <c r="A266" s="233">
        <v>8</v>
      </c>
      <c r="B266" s="94" t="s">
        <v>36</v>
      </c>
      <c r="C266" s="22"/>
      <c r="D266" s="22"/>
      <c r="E266" s="22"/>
      <c r="F266" s="22"/>
      <c r="G266" s="22"/>
      <c r="H266" s="22"/>
      <c r="I266" s="22"/>
      <c r="J266" s="22"/>
      <c r="K266" s="22"/>
      <c r="L266" s="22"/>
      <c r="M266" s="22"/>
      <c r="N266" s="22"/>
      <c r="O266" s="22"/>
      <c r="P266" s="22"/>
      <c r="Q266" s="22"/>
      <c r="R266" s="22"/>
      <c r="S266" s="22"/>
      <c r="T266" s="22"/>
      <c r="U266" s="13">
        <f t="shared" si="14"/>
        <v>0</v>
      </c>
      <c r="V266" s="22"/>
      <c r="W266" s="22"/>
    </row>
    <row r="267" spans="1:24" s="154" customFormat="1" x14ac:dyDescent="0.25">
      <c r="A267" s="253" t="s">
        <v>60</v>
      </c>
      <c r="B267" s="94" t="s">
        <v>61</v>
      </c>
      <c r="C267" s="12">
        <v>100</v>
      </c>
      <c r="D267" s="25"/>
      <c r="E267" s="14"/>
      <c r="F267" s="14"/>
      <c r="G267" s="14"/>
      <c r="H267" s="72"/>
      <c r="I267" s="14"/>
      <c r="J267" s="14">
        <v>1674.7410239999999</v>
      </c>
      <c r="K267" s="14">
        <v>444.85056000000009</v>
      </c>
      <c r="L267" s="14">
        <v>1661.6381759999999</v>
      </c>
      <c r="M267" s="14">
        <v>1661.6381759999999</v>
      </c>
      <c r="N267" s="14">
        <v>667.27584000000013</v>
      </c>
      <c r="O267" s="14"/>
      <c r="P267" s="14"/>
      <c r="Q267" s="14"/>
      <c r="R267" s="14"/>
      <c r="S267" s="14"/>
      <c r="T267" s="14"/>
      <c r="U267" s="13">
        <f t="shared" si="14"/>
        <v>6110.1437759999999</v>
      </c>
      <c r="V267" s="13">
        <v>14042.6</v>
      </c>
      <c r="W267" s="15">
        <f t="shared" ref="W267:W330" si="15">V267*U267/C267</f>
        <v>858023.04988857592</v>
      </c>
    </row>
    <row r="268" spans="1:24" s="154" customFormat="1" x14ac:dyDescent="0.25">
      <c r="A268" s="253" t="s">
        <v>60</v>
      </c>
      <c r="B268" s="94" t="s">
        <v>38</v>
      </c>
      <c r="C268" s="12">
        <v>100</v>
      </c>
      <c r="D268" s="25"/>
      <c r="E268" s="14"/>
      <c r="F268" s="14"/>
      <c r="G268" s="14"/>
      <c r="H268" s="72"/>
      <c r="I268" s="14"/>
      <c r="J268" s="14">
        <v>158.72174999999996</v>
      </c>
      <c r="K268" s="14">
        <v>42.325799999999994</v>
      </c>
      <c r="L268" s="14">
        <v>158.72174999999996</v>
      </c>
      <c r="M268" s="14">
        <v>158.72174999999996</v>
      </c>
      <c r="N268" s="14">
        <v>63.488699999999994</v>
      </c>
      <c r="O268" s="14"/>
      <c r="P268" s="14"/>
      <c r="Q268" s="14"/>
      <c r="R268" s="14"/>
      <c r="S268" s="14"/>
      <c r="T268" s="14"/>
      <c r="U268" s="13">
        <f t="shared" si="14"/>
        <v>581.97974999999985</v>
      </c>
      <c r="V268" s="13">
        <v>14042.6</v>
      </c>
      <c r="W268" s="15">
        <f t="shared" si="15"/>
        <v>81725.088373499981</v>
      </c>
    </row>
    <row r="269" spans="1:24" s="154" customFormat="1" x14ac:dyDescent="0.25">
      <c r="A269" s="225" t="s">
        <v>37</v>
      </c>
      <c r="B269" s="94" t="s">
        <v>62</v>
      </c>
      <c r="C269" s="12">
        <v>100</v>
      </c>
      <c r="D269" s="25"/>
      <c r="E269" s="14"/>
      <c r="F269" s="14"/>
      <c r="G269" s="14"/>
      <c r="H269" s="72"/>
      <c r="I269" s="14"/>
      <c r="J269" s="14">
        <v>2688.5250000000001</v>
      </c>
      <c r="K269" s="14">
        <v>706.86</v>
      </c>
      <c r="L269" s="14">
        <v>2612.9249999999997</v>
      </c>
      <c r="M269" s="14">
        <v>2612.9249999999997</v>
      </c>
      <c r="N269" s="14">
        <v>1060.29</v>
      </c>
      <c r="O269" s="14"/>
      <c r="P269" s="14"/>
      <c r="Q269" s="14"/>
      <c r="R269" s="14"/>
      <c r="S269" s="14"/>
      <c r="T269" s="14"/>
      <c r="U269" s="13">
        <f t="shared" si="14"/>
        <v>9681.5249999999978</v>
      </c>
      <c r="V269" s="13">
        <v>14042.6</v>
      </c>
      <c r="W269" s="15">
        <f t="shared" si="15"/>
        <v>1359537.8296499997</v>
      </c>
    </row>
    <row r="270" spans="1:24" s="154" customFormat="1" x14ac:dyDescent="0.25">
      <c r="A270" s="254" t="s">
        <v>63</v>
      </c>
      <c r="B270" s="94" t="s">
        <v>207</v>
      </c>
      <c r="C270" s="12">
        <v>100</v>
      </c>
      <c r="D270" s="25"/>
      <c r="E270" s="14"/>
      <c r="F270" s="14"/>
      <c r="G270" s="14"/>
      <c r="H270" s="72"/>
      <c r="I270" s="14"/>
      <c r="J270" s="14">
        <v>6027.5329200000006</v>
      </c>
      <c r="K270" s="14">
        <v>1282.4827200000007</v>
      </c>
      <c r="L270" s="14">
        <v>3577.3679700000007</v>
      </c>
      <c r="M270" s="14">
        <v>3147.1564500000018</v>
      </c>
      <c r="N270" s="14">
        <v>1190.2237199999997</v>
      </c>
      <c r="O270" s="14"/>
      <c r="P270" s="14"/>
      <c r="Q270" s="14"/>
      <c r="R270" s="14"/>
      <c r="S270" s="14"/>
      <c r="T270" s="14"/>
      <c r="U270" s="13">
        <f>SUM(D270:T270)</f>
        <v>15224.763780000005</v>
      </c>
      <c r="V270" s="13">
        <v>14042.6</v>
      </c>
      <c r="W270" s="15">
        <f t="shared" si="15"/>
        <v>2137952.6785702808</v>
      </c>
    </row>
    <row r="271" spans="1:24" ht="22.5" x14ac:dyDescent="0.25">
      <c r="A271" s="310">
        <v>11</v>
      </c>
      <c r="B271" s="198" t="s">
        <v>404</v>
      </c>
      <c r="C271" s="99"/>
      <c r="D271" s="99"/>
      <c r="E271" s="99"/>
      <c r="F271" s="99"/>
      <c r="G271" s="99"/>
      <c r="H271" s="99"/>
      <c r="I271" s="99"/>
      <c r="J271" s="99"/>
      <c r="K271" s="99"/>
      <c r="L271" s="99"/>
      <c r="M271" s="99"/>
      <c r="N271" s="99"/>
      <c r="O271" s="99"/>
      <c r="P271" s="99"/>
      <c r="Q271" s="99"/>
      <c r="R271" s="99"/>
      <c r="S271" s="99"/>
      <c r="T271" s="99"/>
      <c r="U271" s="99"/>
      <c r="V271" s="99"/>
      <c r="W271" s="99"/>
    </row>
    <row r="272" spans="1:24" ht="75.75" x14ac:dyDescent="0.25">
      <c r="A272" s="220">
        <v>1</v>
      </c>
      <c r="B272" s="94" t="s">
        <v>301</v>
      </c>
      <c r="C272" s="12">
        <v>1000</v>
      </c>
      <c r="D272" s="25">
        <v>72531.663749999992</v>
      </c>
      <c r="E272" s="25"/>
      <c r="F272" s="25"/>
      <c r="G272" s="25"/>
      <c r="H272" s="73"/>
      <c r="I272" s="25"/>
      <c r="J272" s="25"/>
      <c r="K272" s="25"/>
      <c r="L272" s="25"/>
      <c r="M272" s="25"/>
      <c r="N272" s="25"/>
      <c r="O272" s="25"/>
      <c r="P272" s="25"/>
      <c r="Q272" s="25"/>
      <c r="R272" s="25"/>
      <c r="S272" s="25"/>
      <c r="T272" s="25"/>
      <c r="U272" s="13">
        <f t="shared" ref="U272:U335" si="16">SUM(D272:T272)</f>
        <v>72531.663749999992</v>
      </c>
      <c r="V272" s="14">
        <v>15824.15</v>
      </c>
      <c r="W272" s="15">
        <f t="shared" si="15"/>
        <v>1147751.9269295624</v>
      </c>
      <c r="X272" s="186">
        <f>SUM(W272:W350)</f>
        <v>157218842.13167644</v>
      </c>
    </row>
    <row r="273" spans="1:23" x14ac:dyDescent="0.25">
      <c r="A273" s="221">
        <v>2</v>
      </c>
      <c r="B273" s="94" t="s">
        <v>302</v>
      </c>
      <c r="C273" s="19">
        <v>1</v>
      </c>
      <c r="D273" s="25">
        <v>88776.1875</v>
      </c>
      <c r="E273" s="25"/>
      <c r="F273" s="25"/>
      <c r="G273" s="25"/>
      <c r="H273" s="73"/>
      <c r="I273" s="25"/>
      <c r="J273" s="25"/>
      <c r="K273" s="25"/>
      <c r="L273" s="25"/>
      <c r="M273" s="25"/>
      <c r="N273" s="25"/>
      <c r="O273" s="25"/>
      <c r="P273" s="25"/>
      <c r="Q273" s="25"/>
      <c r="R273" s="25"/>
      <c r="S273" s="25"/>
      <c r="T273" s="25"/>
      <c r="U273" s="13">
        <f t="shared" si="16"/>
        <v>88776.1875</v>
      </c>
      <c r="V273" s="25">
        <v>12.55</v>
      </c>
      <c r="W273" s="15">
        <f t="shared" si="15"/>
        <v>1114141.153125</v>
      </c>
    </row>
    <row r="274" spans="1:23" ht="45" x14ac:dyDescent="0.25">
      <c r="A274" s="212">
        <v>3</v>
      </c>
      <c r="B274" s="94" t="s">
        <v>20</v>
      </c>
      <c r="C274" s="22"/>
      <c r="D274" s="22"/>
      <c r="E274" s="22"/>
      <c r="F274" s="22"/>
      <c r="G274" s="22"/>
      <c r="H274" s="22"/>
      <c r="I274" s="22"/>
      <c r="J274" s="22"/>
      <c r="K274" s="22"/>
      <c r="L274" s="22"/>
      <c r="M274" s="22"/>
      <c r="N274" s="22"/>
      <c r="O274" s="22"/>
      <c r="P274" s="22"/>
      <c r="Q274" s="22"/>
      <c r="R274" s="22"/>
      <c r="S274" s="22"/>
      <c r="T274" s="22"/>
      <c r="U274" s="13">
        <f t="shared" si="16"/>
        <v>0</v>
      </c>
      <c r="V274" s="22"/>
      <c r="W274" s="22"/>
    </row>
    <row r="275" spans="1:23" x14ac:dyDescent="0.25">
      <c r="A275" s="44"/>
      <c r="B275" s="94" t="s">
        <v>21</v>
      </c>
      <c r="C275" s="12">
        <v>100</v>
      </c>
      <c r="D275" s="25">
        <v>11548.92375</v>
      </c>
      <c r="E275" s="14"/>
      <c r="F275" s="14"/>
      <c r="G275" s="14"/>
      <c r="H275" s="72"/>
      <c r="I275" s="14"/>
      <c r="J275" s="14"/>
      <c r="K275" s="14"/>
      <c r="L275" s="14"/>
      <c r="M275" s="14"/>
      <c r="N275" s="14"/>
      <c r="O275" s="14"/>
      <c r="P275" s="14"/>
      <c r="Q275" s="14"/>
      <c r="R275" s="14"/>
      <c r="S275" s="14"/>
      <c r="T275" s="14"/>
      <c r="U275" s="13">
        <f t="shared" si="16"/>
        <v>11548.92375</v>
      </c>
      <c r="V275" s="14">
        <v>34694.300000000003</v>
      </c>
      <c r="W275" s="15">
        <f t="shared" si="15"/>
        <v>4006818.2525962503</v>
      </c>
    </row>
    <row r="276" spans="1:23" ht="30" x14ac:dyDescent="0.25">
      <c r="A276" s="213">
        <v>4</v>
      </c>
      <c r="B276" s="94" t="s">
        <v>22</v>
      </c>
      <c r="C276" s="12">
        <v>100</v>
      </c>
      <c r="D276" s="25">
        <v>44360.679999999993</v>
      </c>
      <c r="E276" s="14"/>
      <c r="F276" s="14"/>
      <c r="G276" s="14"/>
      <c r="H276" s="72"/>
      <c r="I276" s="14"/>
      <c r="J276" s="14"/>
      <c r="K276" s="14"/>
      <c r="L276" s="14"/>
      <c r="M276" s="14"/>
      <c r="N276" s="14"/>
      <c r="O276" s="14"/>
      <c r="P276" s="14"/>
      <c r="Q276" s="14"/>
      <c r="R276" s="14"/>
      <c r="S276" s="14"/>
      <c r="T276" s="14"/>
      <c r="U276" s="13">
        <f t="shared" si="16"/>
        <v>44360.679999999993</v>
      </c>
      <c r="V276" s="14">
        <v>32675.95</v>
      </c>
      <c r="W276" s="15">
        <f t="shared" si="15"/>
        <v>14495273.616459999</v>
      </c>
    </row>
    <row r="277" spans="1:23" ht="60" x14ac:dyDescent="0.25">
      <c r="A277" s="222">
        <v>5</v>
      </c>
      <c r="B277" s="94" t="s">
        <v>92</v>
      </c>
      <c r="C277" s="19">
        <v>100</v>
      </c>
      <c r="D277" s="25">
        <v>8834.109375</v>
      </c>
      <c r="E277" s="14"/>
      <c r="F277" s="14"/>
      <c r="G277" s="14"/>
      <c r="H277" s="72"/>
      <c r="I277" s="14"/>
      <c r="J277" s="14"/>
      <c r="K277" s="14"/>
      <c r="L277" s="14"/>
      <c r="M277" s="14"/>
      <c r="N277" s="14"/>
      <c r="O277" s="14"/>
      <c r="P277" s="14"/>
      <c r="Q277" s="14"/>
      <c r="R277" s="14"/>
      <c r="S277" s="14"/>
      <c r="T277" s="14"/>
      <c r="U277" s="13">
        <f t="shared" si="16"/>
        <v>8834.109375</v>
      </c>
      <c r="V277" s="14">
        <v>11460.2</v>
      </c>
      <c r="W277" s="15">
        <f t="shared" si="15"/>
        <v>1012406.6025937501</v>
      </c>
    </row>
    <row r="278" spans="1:23" ht="60" x14ac:dyDescent="0.25">
      <c r="A278" s="223">
        <v>6</v>
      </c>
      <c r="B278" s="94" t="s">
        <v>93</v>
      </c>
      <c r="C278" s="19">
        <v>100</v>
      </c>
      <c r="D278" s="25">
        <v>8771.49</v>
      </c>
      <c r="E278" s="14"/>
      <c r="F278" s="14"/>
      <c r="G278" s="14"/>
      <c r="H278" s="72"/>
      <c r="I278" s="14"/>
      <c r="J278" s="14"/>
      <c r="K278" s="14"/>
      <c r="L278" s="14"/>
      <c r="M278" s="14"/>
      <c r="N278" s="14"/>
      <c r="O278" s="14"/>
      <c r="P278" s="14"/>
      <c r="Q278" s="14"/>
      <c r="R278" s="14"/>
      <c r="S278" s="14"/>
      <c r="T278" s="14"/>
      <c r="U278" s="13">
        <f t="shared" si="16"/>
        <v>8771.49</v>
      </c>
      <c r="V278" s="14">
        <v>7607.35</v>
      </c>
      <c r="W278" s="15">
        <f t="shared" si="15"/>
        <v>667277.94451499998</v>
      </c>
    </row>
    <row r="279" spans="1:23" ht="30" x14ac:dyDescent="0.25">
      <c r="A279" s="224">
        <v>7</v>
      </c>
      <c r="B279" s="94" t="s">
        <v>94</v>
      </c>
      <c r="C279" s="12">
        <v>1000</v>
      </c>
      <c r="D279" s="25">
        <v>31674.37</v>
      </c>
      <c r="E279" s="14"/>
      <c r="F279" s="14"/>
      <c r="G279" s="14"/>
      <c r="H279" s="72"/>
      <c r="I279" s="14"/>
      <c r="J279" s="14"/>
      <c r="K279" s="14"/>
      <c r="L279" s="14"/>
      <c r="M279" s="14"/>
      <c r="N279" s="14"/>
      <c r="O279" s="14"/>
      <c r="P279" s="14"/>
      <c r="Q279" s="14"/>
      <c r="R279" s="14"/>
      <c r="S279" s="14"/>
      <c r="T279" s="14"/>
      <c r="U279" s="13">
        <f t="shared" si="16"/>
        <v>31674.37</v>
      </c>
      <c r="V279" s="14">
        <v>7547.75</v>
      </c>
      <c r="W279" s="15">
        <f t="shared" si="15"/>
        <v>239070.22616749999</v>
      </c>
    </row>
    <row r="280" spans="1:23" ht="30" x14ac:dyDescent="0.25">
      <c r="A280" s="233">
        <v>8</v>
      </c>
      <c r="B280" s="94" t="s">
        <v>303</v>
      </c>
      <c r="C280" s="12">
        <v>100</v>
      </c>
      <c r="D280" s="25">
        <v>47794.11</v>
      </c>
      <c r="E280" s="14"/>
      <c r="F280" s="14"/>
      <c r="G280" s="14"/>
      <c r="H280" s="72"/>
      <c r="I280" s="14"/>
      <c r="J280" s="14"/>
      <c r="K280" s="14"/>
      <c r="L280" s="14"/>
      <c r="M280" s="14"/>
      <c r="N280" s="14"/>
      <c r="O280" s="14"/>
      <c r="P280" s="14"/>
      <c r="Q280" s="14"/>
      <c r="R280" s="14"/>
      <c r="S280" s="14"/>
      <c r="T280" s="14"/>
      <c r="U280" s="13">
        <f t="shared" si="16"/>
        <v>47794.11</v>
      </c>
      <c r="V280" s="14">
        <v>35830.6</v>
      </c>
      <c r="W280" s="15">
        <f t="shared" si="15"/>
        <v>17124916.377659999</v>
      </c>
    </row>
    <row r="281" spans="1:23" s="154" customFormat="1" ht="195.75" x14ac:dyDescent="0.25">
      <c r="A281" s="311">
        <v>9</v>
      </c>
      <c r="B281" s="94" t="s">
        <v>304</v>
      </c>
      <c r="C281" s="12">
        <v>1</v>
      </c>
      <c r="D281" s="25">
        <v>21724.43</v>
      </c>
      <c r="E281" s="14"/>
      <c r="F281" s="14"/>
      <c r="G281" s="14"/>
      <c r="H281" s="72"/>
      <c r="I281" s="14"/>
      <c r="J281" s="14"/>
      <c r="K281" s="14"/>
      <c r="L281" s="14"/>
      <c r="M281" s="14"/>
      <c r="N281" s="14"/>
      <c r="O281" s="14"/>
      <c r="P281" s="14"/>
      <c r="Q281" s="14"/>
      <c r="R281" s="14"/>
      <c r="S281" s="14"/>
      <c r="T281" s="14"/>
      <c r="U281" s="13">
        <f t="shared" si="16"/>
        <v>21724.43</v>
      </c>
      <c r="V281" s="14">
        <v>741.85</v>
      </c>
      <c r="W281" s="15">
        <f t="shared" si="15"/>
        <v>16116268.395500001</v>
      </c>
    </row>
    <row r="282" spans="1:23" s="154" customFormat="1" ht="90" x14ac:dyDescent="0.25">
      <c r="A282" s="276">
        <v>10</v>
      </c>
      <c r="B282" s="94" t="s">
        <v>98</v>
      </c>
      <c r="C282" s="29">
        <v>100</v>
      </c>
      <c r="D282" s="25">
        <v>65173.289999999994</v>
      </c>
      <c r="E282" s="14"/>
      <c r="F282" s="14"/>
      <c r="G282" s="14"/>
      <c r="H282" s="72"/>
      <c r="I282" s="14"/>
      <c r="J282" s="14"/>
      <c r="K282" s="14"/>
      <c r="L282" s="14"/>
      <c r="M282" s="14"/>
      <c r="N282" s="14"/>
      <c r="O282" s="14"/>
      <c r="P282" s="14"/>
      <c r="Q282" s="14"/>
      <c r="R282" s="14"/>
      <c r="S282" s="14"/>
      <c r="T282" s="14"/>
      <c r="U282" s="13">
        <f t="shared" si="16"/>
        <v>65173.289999999994</v>
      </c>
      <c r="V282" s="14">
        <v>30376.9</v>
      </c>
      <c r="W282" s="15">
        <f t="shared" si="15"/>
        <v>19797625.130009998</v>
      </c>
    </row>
    <row r="283" spans="1:23" s="154" customFormat="1" ht="180" x14ac:dyDescent="0.25">
      <c r="A283" s="238">
        <v>11</v>
      </c>
      <c r="B283" s="94" t="s">
        <v>99</v>
      </c>
      <c r="C283" s="19">
        <v>1</v>
      </c>
      <c r="D283" s="25">
        <v>3276</v>
      </c>
      <c r="E283" s="14"/>
      <c r="F283" s="14"/>
      <c r="G283" s="14"/>
      <c r="H283" s="72"/>
      <c r="I283" s="14"/>
      <c r="J283" s="14"/>
      <c r="K283" s="14"/>
      <c r="L283" s="14"/>
      <c r="M283" s="14"/>
      <c r="N283" s="14"/>
      <c r="O283" s="14"/>
      <c r="P283" s="14"/>
      <c r="Q283" s="14"/>
      <c r="R283" s="14"/>
      <c r="S283" s="14"/>
      <c r="T283" s="14"/>
      <c r="U283" s="13">
        <f t="shared" si="16"/>
        <v>3276</v>
      </c>
      <c r="V283" s="14">
        <v>2180.6999999999998</v>
      </c>
      <c r="W283" s="15">
        <f t="shared" si="15"/>
        <v>7143973.1999999993</v>
      </c>
    </row>
    <row r="284" spans="1:23" s="154" customFormat="1" ht="60" x14ac:dyDescent="0.25">
      <c r="A284" s="277">
        <v>12</v>
      </c>
      <c r="B284" s="94" t="s">
        <v>100</v>
      </c>
      <c r="C284" s="19">
        <v>1</v>
      </c>
      <c r="D284" s="25">
        <v>3822</v>
      </c>
      <c r="E284" s="14"/>
      <c r="F284" s="14"/>
      <c r="G284" s="14"/>
      <c r="H284" s="72"/>
      <c r="I284" s="14"/>
      <c r="J284" s="14"/>
      <c r="K284" s="14"/>
      <c r="L284" s="14"/>
      <c r="M284" s="14"/>
      <c r="N284" s="14"/>
      <c r="O284" s="14"/>
      <c r="P284" s="14"/>
      <c r="Q284" s="14"/>
      <c r="R284" s="14"/>
      <c r="S284" s="14"/>
      <c r="T284" s="14"/>
      <c r="U284" s="13">
        <f t="shared" si="16"/>
        <v>3822</v>
      </c>
      <c r="V284" s="14">
        <v>457.1</v>
      </c>
      <c r="W284" s="15">
        <f t="shared" si="15"/>
        <v>1747036.2000000002</v>
      </c>
    </row>
    <row r="285" spans="1:23" s="154" customFormat="1" ht="90" x14ac:dyDescent="0.25">
      <c r="A285" s="240">
        <v>13</v>
      </c>
      <c r="B285" s="94" t="s">
        <v>305</v>
      </c>
      <c r="C285" s="19">
        <v>1</v>
      </c>
      <c r="D285" s="25">
        <v>3822</v>
      </c>
      <c r="E285" s="14"/>
      <c r="F285" s="14"/>
      <c r="G285" s="14"/>
      <c r="H285" s="72"/>
      <c r="I285" s="14"/>
      <c r="J285" s="14"/>
      <c r="K285" s="14"/>
      <c r="L285" s="14"/>
      <c r="M285" s="14"/>
      <c r="N285" s="14"/>
      <c r="O285" s="14"/>
      <c r="P285" s="14"/>
      <c r="Q285" s="14"/>
      <c r="R285" s="14"/>
      <c r="S285" s="14"/>
      <c r="T285" s="14"/>
      <c r="U285" s="13">
        <f t="shared" si="16"/>
        <v>3822</v>
      </c>
      <c r="V285" s="14">
        <v>638.85</v>
      </c>
      <c r="W285" s="15">
        <f t="shared" si="15"/>
        <v>2441684.7000000002</v>
      </c>
    </row>
    <row r="286" spans="1:23" s="154" customFormat="1" ht="75" x14ac:dyDescent="0.25">
      <c r="A286" s="274">
        <v>14</v>
      </c>
      <c r="B286" s="94" t="s">
        <v>102</v>
      </c>
      <c r="C286" s="19">
        <v>100</v>
      </c>
      <c r="D286" s="25">
        <v>33854.84375</v>
      </c>
      <c r="E286" s="14"/>
      <c r="F286" s="14"/>
      <c r="G286" s="14"/>
      <c r="H286" s="72"/>
      <c r="I286" s="14"/>
      <c r="J286" s="14"/>
      <c r="K286" s="14"/>
      <c r="L286" s="14"/>
      <c r="M286" s="14"/>
      <c r="N286" s="14"/>
      <c r="O286" s="14"/>
      <c r="P286" s="14"/>
      <c r="Q286" s="14"/>
      <c r="R286" s="14"/>
      <c r="S286" s="14"/>
      <c r="T286" s="14"/>
      <c r="U286" s="13">
        <f t="shared" si="16"/>
        <v>33854.84375</v>
      </c>
      <c r="V286" s="14">
        <v>13179.6</v>
      </c>
      <c r="W286" s="15">
        <f t="shared" si="15"/>
        <v>4461932.9868750004</v>
      </c>
    </row>
    <row r="287" spans="1:23" s="154" customFormat="1" ht="30" x14ac:dyDescent="0.25">
      <c r="A287" s="312">
        <v>15</v>
      </c>
      <c r="B287" s="94" t="s">
        <v>103</v>
      </c>
      <c r="C287" s="19">
        <v>1</v>
      </c>
      <c r="D287" s="25">
        <v>34218.84375</v>
      </c>
      <c r="E287" s="14"/>
      <c r="F287" s="14"/>
      <c r="G287" s="14"/>
      <c r="H287" s="72"/>
      <c r="I287" s="14"/>
      <c r="J287" s="14"/>
      <c r="K287" s="14"/>
      <c r="L287" s="14"/>
      <c r="M287" s="14"/>
      <c r="N287" s="14"/>
      <c r="O287" s="14"/>
      <c r="P287" s="14"/>
      <c r="Q287" s="14"/>
      <c r="R287" s="14"/>
      <c r="S287" s="14"/>
      <c r="T287" s="14"/>
      <c r="U287" s="13">
        <f t="shared" si="16"/>
        <v>34218.84375</v>
      </c>
      <c r="V287" s="14">
        <v>11</v>
      </c>
      <c r="W287" s="15">
        <f t="shared" si="15"/>
        <v>376407.28125</v>
      </c>
    </row>
    <row r="288" spans="1:23" s="154" customFormat="1" x14ac:dyDescent="0.25">
      <c r="A288" s="243">
        <v>16</v>
      </c>
      <c r="B288" s="94" t="s">
        <v>104</v>
      </c>
      <c r="C288" s="12">
        <v>100</v>
      </c>
      <c r="D288" s="25">
        <v>7420.14</v>
      </c>
      <c r="E288" s="14"/>
      <c r="F288" s="14"/>
      <c r="G288" s="14"/>
      <c r="H288" s="72"/>
      <c r="I288" s="14"/>
      <c r="J288" s="14"/>
      <c r="K288" s="14"/>
      <c r="L288" s="14"/>
      <c r="M288" s="14"/>
      <c r="N288" s="14"/>
      <c r="O288" s="14"/>
      <c r="P288" s="14"/>
      <c r="Q288" s="14"/>
      <c r="R288" s="14"/>
      <c r="S288" s="14"/>
      <c r="T288" s="14"/>
      <c r="U288" s="13">
        <f t="shared" si="16"/>
        <v>7420.14</v>
      </c>
      <c r="V288" s="25">
        <v>3987</v>
      </c>
      <c r="W288" s="15">
        <f t="shared" si="15"/>
        <v>295840.98180000001</v>
      </c>
    </row>
    <row r="289" spans="1:23" s="154" customFormat="1" ht="45" x14ac:dyDescent="0.25">
      <c r="A289" s="313">
        <v>17</v>
      </c>
      <c r="B289" s="94" t="s">
        <v>105</v>
      </c>
      <c r="C289" s="12">
        <v>100</v>
      </c>
      <c r="D289" s="25">
        <v>9109.1</v>
      </c>
      <c r="E289" s="25"/>
      <c r="F289" s="25"/>
      <c r="G289" s="25"/>
      <c r="H289" s="73"/>
      <c r="I289" s="25"/>
      <c r="J289" s="25"/>
      <c r="K289" s="25"/>
      <c r="L289" s="25"/>
      <c r="M289" s="25"/>
      <c r="N289" s="25"/>
      <c r="O289" s="25"/>
      <c r="P289" s="25"/>
      <c r="Q289" s="25"/>
      <c r="R289" s="25"/>
      <c r="S289" s="25"/>
      <c r="T289" s="25"/>
      <c r="U289" s="13">
        <f t="shared" si="16"/>
        <v>9109.1</v>
      </c>
      <c r="V289" s="25">
        <v>12801.2</v>
      </c>
      <c r="W289" s="15">
        <f t="shared" si="15"/>
        <v>1166074.1092000001</v>
      </c>
    </row>
    <row r="290" spans="1:23" s="154" customFormat="1" ht="90" x14ac:dyDescent="0.25">
      <c r="A290" s="314">
        <v>18</v>
      </c>
      <c r="B290" s="94" t="s">
        <v>191</v>
      </c>
      <c r="C290" s="19">
        <v>100</v>
      </c>
      <c r="D290" s="25">
        <v>22325.37125</v>
      </c>
      <c r="E290" s="25"/>
      <c r="F290" s="25"/>
      <c r="G290" s="25"/>
      <c r="H290" s="73"/>
      <c r="I290" s="25"/>
      <c r="J290" s="25"/>
      <c r="K290" s="25"/>
      <c r="L290" s="25"/>
      <c r="M290" s="25"/>
      <c r="N290" s="25"/>
      <c r="O290" s="25"/>
      <c r="P290" s="25"/>
      <c r="Q290" s="25"/>
      <c r="R290" s="25"/>
      <c r="S290" s="25"/>
      <c r="T290" s="25"/>
      <c r="U290" s="13">
        <f t="shared" si="16"/>
        <v>22325.37125</v>
      </c>
      <c r="V290" s="25">
        <v>29658.5</v>
      </c>
      <c r="W290" s="15">
        <f t="shared" si="15"/>
        <v>6621370.2321812501</v>
      </c>
    </row>
    <row r="291" spans="1:23" s="154" customFormat="1" ht="75" x14ac:dyDescent="0.25">
      <c r="A291" s="315">
        <v>19</v>
      </c>
      <c r="B291" s="94" t="s">
        <v>180</v>
      </c>
      <c r="C291" s="19">
        <v>100</v>
      </c>
      <c r="D291" s="25">
        <v>14054.039999999999</v>
      </c>
      <c r="E291" s="25"/>
      <c r="F291" s="25"/>
      <c r="G291" s="25"/>
      <c r="H291" s="73"/>
      <c r="I291" s="25"/>
      <c r="J291" s="25"/>
      <c r="K291" s="25"/>
      <c r="L291" s="25"/>
      <c r="M291" s="25"/>
      <c r="N291" s="25"/>
      <c r="O291" s="25"/>
      <c r="P291" s="25"/>
      <c r="Q291" s="25"/>
      <c r="R291" s="25"/>
      <c r="S291" s="25"/>
      <c r="T291" s="25"/>
      <c r="U291" s="13">
        <f t="shared" si="16"/>
        <v>14054.039999999999</v>
      </c>
      <c r="V291" s="25">
        <v>19146.849999999999</v>
      </c>
      <c r="W291" s="15">
        <f t="shared" si="15"/>
        <v>2690905.95774</v>
      </c>
    </row>
    <row r="292" spans="1:23" s="154" customFormat="1" ht="45" x14ac:dyDescent="0.25">
      <c r="A292" s="316">
        <v>20</v>
      </c>
      <c r="B292" s="94" t="s">
        <v>192</v>
      </c>
      <c r="C292" s="36">
        <v>1</v>
      </c>
      <c r="D292" s="25">
        <v>22750</v>
      </c>
      <c r="E292" s="25"/>
      <c r="F292" s="25"/>
      <c r="G292" s="25"/>
      <c r="H292" s="73"/>
      <c r="I292" s="25"/>
      <c r="J292" s="25"/>
      <c r="K292" s="25"/>
      <c r="L292" s="25"/>
      <c r="M292" s="25"/>
      <c r="N292" s="25"/>
      <c r="O292" s="25"/>
      <c r="P292" s="25"/>
      <c r="Q292" s="25"/>
      <c r="R292" s="25"/>
      <c r="S292" s="25"/>
      <c r="T292" s="25"/>
      <c r="U292" s="13">
        <f t="shared" si="16"/>
        <v>22750</v>
      </c>
      <c r="V292" s="25">
        <v>39.6</v>
      </c>
      <c r="W292" s="15">
        <f t="shared" si="15"/>
        <v>900900</v>
      </c>
    </row>
    <row r="293" spans="1:23" s="154" customFormat="1" ht="45" x14ac:dyDescent="0.25">
      <c r="A293" s="251">
        <v>21</v>
      </c>
      <c r="B293" s="92" t="s">
        <v>106</v>
      </c>
      <c r="C293" s="20"/>
      <c r="D293" s="20"/>
      <c r="E293" s="20"/>
      <c r="F293" s="20"/>
      <c r="G293" s="20"/>
      <c r="H293" s="20"/>
      <c r="I293" s="20"/>
      <c r="J293" s="20"/>
      <c r="K293" s="20"/>
      <c r="L293" s="20"/>
      <c r="M293" s="20"/>
      <c r="N293" s="20"/>
      <c r="O293" s="20"/>
      <c r="P293" s="20"/>
      <c r="Q293" s="20"/>
      <c r="R293" s="20"/>
      <c r="S293" s="20"/>
      <c r="T293" s="20"/>
      <c r="U293" s="13">
        <f t="shared" si="16"/>
        <v>0</v>
      </c>
      <c r="V293" s="20"/>
      <c r="W293" s="20"/>
    </row>
    <row r="294" spans="1:23" s="154" customFormat="1" x14ac:dyDescent="0.25">
      <c r="A294" s="44"/>
      <c r="B294" s="92" t="s">
        <v>107</v>
      </c>
      <c r="C294" s="12">
        <v>100</v>
      </c>
      <c r="D294" s="25">
        <v>1780.1875</v>
      </c>
      <c r="E294" s="14"/>
      <c r="F294" s="14"/>
      <c r="G294" s="14"/>
      <c r="H294" s="72"/>
      <c r="I294" s="14"/>
      <c r="J294" s="14"/>
      <c r="K294" s="14"/>
      <c r="L294" s="14"/>
      <c r="M294" s="14"/>
      <c r="N294" s="14"/>
      <c r="O294" s="14"/>
      <c r="P294" s="14"/>
      <c r="Q294" s="14"/>
      <c r="R294" s="14"/>
      <c r="S294" s="14"/>
      <c r="T294" s="14"/>
      <c r="U294" s="13">
        <f t="shared" si="16"/>
        <v>1780.1875</v>
      </c>
      <c r="V294" s="14">
        <v>47135.9</v>
      </c>
      <c r="W294" s="15">
        <f t="shared" si="15"/>
        <v>839107.39981249999</v>
      </c>
    </row>
    <row r="295" spans="1:23" s="154" customFormat="1" ht="30" x14ac:dyDescent="0.25">
      <c r="A295" s="252">
        <v>22</v>
      </c>
      <c r="B295" s="94" t="s">
        <v>108</v>
      </c>
      <c r="C295" s="19">
        <v>100</v>
      </c>
      <c r="D295" s="33">
        <v>113184.66250000001</v>
      </c>
      <c r="E295" s="33"/>
      <c r="F295" s="33"/>
      <c r="G295" s="33"/>
      <c r="H295" s="74"/>
      <c r="I295" s="33"/>
      <c r="J295" s="33"/>
      <c r="K295" s="33"/>
      <c r="L295" s="33"/>
      <c r="M295" s="33"/>
      <c r="N295" s="33"/>
      <c r="O295" s="33"/>
      <c r="P295" s="33"/>
      <c r="Q295" s="33"/>
      <c r="R295" s="33"/>
      <c r="S295" s="33"/>
      <c r="T295" s="33"/>
      <c r="U295" s="13">
        <f t="shared" si="16"/>
        <v>113184.66250000001</v>
      </c>
      <c r="V295" s="25">
        <v>4614.1000000000004</v>
      </c>
      <c r="W295" s="15">
        <f t="shared" si="15"/>
        <v>5222453.5124125006</v>
      </c>
    </row>
    <row r="296" spans="1:23" s="154" customFormat="1" ht="30" x14ac:dyDescent="0.25">
      <c r="A296" s="279">
        <v>23</v>
      </c>
      <c r="B296" s="94" t="s">
        <v>162</v>
      </c>
      <c r="C296" s="19">
        <v>100</v>
      </c>
      <c r="D296" s="25">
        <v>21116.55</v>
      </c>
      <c r="E296" s="14"/>
      <c r="F296" s="14"/>
      <c r="G296" s="14"/>
      <c r="H296" s="72"/>
      <c r="I296" s="14"/>
      <c r="J296" s="14"/>
      <c r="K296" s="14"/>
      <c r="L296" s="14"/>
      <c r="M296" s="14"/>
      <c r="N296" s="14"/>
      <c r="O296" s="14"/>
      <c r="P296" s="14"/>
      <c r="Q296" s="14"/>
      <c r="R296" s="14"/>
      <c r="S296" s="14"/>
      <c r="T296" s="14"/>
      <c r="U296" s="13">
        <f t="shared" si="16"/>
        <v>21116.55</v>
      </c>
      <c r="V296" s="25">
        <v>5264.65</v>
      </c>
      <c r="W296" s="15">
        <f t="shared" si="15"/>
        <v>1111712.449575</v>
      </c>
    </row>
    <row r="297" spans="1:23" s="154" customFormat="1" x14ac:dyDescent="0.25">
      <c r="A297" s="280">
        <v>24</v>
      </c>
      <c r="B297" s="94" t="s">
        <v>114</v>
      </c>
      <c r="C297" s="19">
        <v>100</v>
      </c>
      <c r="D297" s="25">
        <v>99928.237500000003</v>
      </c>
      <c r="E297" s="14"/>
      <c r="F297" s="14"/>
      <c r="G297" s="14"/>
      <c r="H297" s="72"/>
      <c r="I297" s="14"/>
      <c r="J297" s="14"/>
      <c r="K297" s="14"/>
      <c r="L297" s="14"/>
      <c r="M297" s="14"/>
      <c r="N297" s="14"/>
      <c r="O297" s="14"/>
      <c r="P297" s="14"/>
      <c r="Q297" s="14"/>
      <c r="R297" s="14"/>
      <c r="S297" s="14"/>
      <c r="T297" s="14"/>
      <c r="U297" s="13">
        <f t="shared" si="16"/>
        <v>99928.237500000003</v>
      </c>
      <c r="V297" s="25">
        <v>1548.2</v>
      </c>
      <c r="W297" s="15">
        <f t="shared" si="15"/>
        <v>1547088.972975</v>
      </c>
    </row>
    <row r="298" spans="1:23" s="154" customFormat="1" ht="45" x14ac:dyDescent="0.25">
      <c r="A298" s="281">
        <v>25</v>
      </c>
      <c r="B298" s="94" t="s">
        <v>115</v>
      </c>
      <c r="C298" s="19">
        <v>100</v>
      </c>
      <c r="D298" s="25">
        <v>31339.945</v>
      </c>
      <c r="E298" s="14"/>
      <c r="F298" s="14"/>
      <c r="G298" s="14"/>
      <c r="H298" s="72"/>
      <c r="I298" s="14"/>
      <c r="J298" s="14"/>
      <c r="K298" s="14"/>
      <c r="L298" s="14"/>
      <c r="M298" s="14"/>
      <c r="N298" s="14"/>
      <c r="O298" s="14"/>
      <c r="P298" s="14"/>
      <c r="Q298" s="14"/>
      <c r="R298" s="14"/>
      <c r="S298" s="14"/>
      <c r="T298" s="14"/>
      <c r="U298" s="13">
        <f t="shared" si="16"/>
        <v>31339.945</v>
      </c>
      <c r="V298" s="25">
        <v>7379.1</v>
      </c>
      <c r="W298" s="15">
        <f t="shared" si="15"/>
        <v>2312605.8814950003</v>
      </c>
    </row>
    <row r="299" spans="1:23" s="154" customFormat="1" ht="60" x14ac:dyDescent="0.25">
      <c r="A299" s="282">
        <v>26</v>
      </c>
      <c r="B299" s="94" t="s">
        <v>110</v>
      </c>
      <c r="C299" s="19">
        <v>100</v>
      </c>
      <c r="D299" s="25">
        <v>65280.215000000004</v>
      </c>
      <c r="E299" s="14"/>
      <c r="F299" s="14"/>
      <c r="G299" s="14"/>
      <c r="H299" s="72"/>
      <c r="I299" s="14"/>
      <c r="J299" s="14"/>
      <c r="K299" s="14"/>
      <c r="L299" s="14"/>
      <c r="M299" s="14"/>
      <c r="N299" s="14"/>
      <c r="O299" s="14"/>
      <c r="P299" s="14"/>
      <c r="Q299" s="14"/>
      <c r="R299" s="14"/>
      <c r="S299" s="14"/>
      <c r="T299" s="14"/>
      <c r="U299" s="13">
        <f t="shared" si="16"/>
        <v>65280.215000000004</v>
      </c>
      <c r="V299" s="25">
        <v>5012.6499999999996</v>
      </c>
      <c r="W299" s="15">
        <f t="shared" si="15"/>
        <v>3272268.6971974997</v>
      </c>
    </row>
    <row r="300" spans="1:23" s="154" customFormat="1" ht="45" x14ac:dyDescent="0.25">
      <c r="A300" s="283">
        <v>27</v>
      </c>
      <c r="B300" s="94" t="s">
        <v>111</v>
      </c>
      <c r="C300" s="36">
        <v>1</v>
      </c>
      <c r="D300" s="25">
        <v>1183</v>
      </c>
      <c r="E300" s="14"/>
      <c r="F300" s="14"/>
      <c r="G300" s="14"/>
      <c r="H300" s="72"/>
      <c r="I300" s="14"/>
      <c r="J300" s="14"/>
      <c r="K300" s="14"/>
      <c r="L300" s="14"/>
      <c r="M300" s="14"/>
      <c r="N300" s="14"/>
      <c r="O300" s="14"/>
      <c r="P300" s="14"/>
      <c r="Q300" s="14"/>
      <c r="R300" s="14"/>
      <c r="S300" s="14"/>
      <c r="T300" s="14"/>
      <c r="U300" s="13">
        <f t="shared" si="16"/>
        <v>1183</v>
      </c>
      <c r="V300" s="25">
        <v>514.9</v>
      </c>
      <c r="W300" s="15">
        <f t="shared" si="15"/>
        <v>609126.69999999995</v>
      </c>
    </row>
    <row r="301" spans="1:23" s="154" customFormat="1" ht="30" x14ac:dyDescent="0.25">
      <c r="A301" s="260">
        <v>28</v>
      </c>
      <c r="B301" s="94" t="s">
        <v>112</v>
      </c>
      <c r="C301" s="37">
        <v>1</v>
      </c>
      <c r="D301" s="25">
        <v>182</v>
      </c>
      <c r="E301" s="14"/>
      <c r="F301" s="14"/>
      <c r="G301" s="14"/>
      <c r="H301" s="72"/>
      <c r="I301" s="14"/>
      <c r="J301" s="14"/>
      <c r="K301" s="14"/>
      <c r="L301" s="14"/>
      <c r="M301" s="14"/>
      <c r="N301" s="14"/>
      <c r="O301" s="14"/>
      <c r="P301" s="14"/>
      <c r="Q301" s="14"/>
      <c r="R301" s="14"/>
      <c r="S301" s="14"/>
      <c r="T301" s="14"/>
      <c r="U301" s="13">
        <f t="shared" si="16"/>
        <v>182</v>
      </c>
      <c r="V301" s="25">
        <v>849.7</v>
      </c>
      <c r="W301" s="15">
        <f t="shared" si="15"/>
        <v>154645.4</v>
      </c>
    </row>
    <row r="302" spans="1:23" s="154" customFormat="1" x14ac:dyDescent="0.25">
      <c r="A302" s="284">
        <v>29</v>
      </c>
      <c r="B302" s="94" t="s">
        <v>113</v>
      </c>
      <c r="C302" s="37">
        <v>1</v>
      </c>
      <c r="D302" s="25">
        <v>91</v>
      </c>
      <c r="E302" s="14"/>
      <c r="F302" s="14"/>
      <c r="G302" s="14"/>
      <c r="H302" s="72"/>
      <c r="I302" s="14"/>
      <c r="J302" s="14"/>
      <c r="K302" s="14"/>
      <c r="L302" s="14"/>
      <c r="M302" s="14"/>
      <c r="N302" s="14"/>
      <c r="O302" s="14"/>
      <c r="P302" s="14"/>
      <c r="Q302" s="14"/>
      <c r="R302" s="14"/>
      <c r="S302" s="14"/>
      <c r="T302" s="14"/>
      <c r="U302" s="13">
        <f t="shared" si="16"/>
        <v>91</v>
      </c>
      <c r="V302" s="25">
        <v>1159.6500000000001</v>
      </c>
      <c r="W302" s="15">
        <f t="shared" si="15"/>
        <v>105528.15000000001</v>
      </c>
    </row>
    <row r="303" spans="1:23" s="154" customFormat="1" ht="30" x14ac:dyDescent="0.25">
      <c r="A303" s="286">
        <v>30</v>
      </c>
      <c r="B303" s="94" t="s">
        <v>306</v>
      </c>
      <c r="C303" s="37">
        <v>1</v>
      </c>
      <c r="D303" s="25">
        <v>182</v>
      </c>
      <c r="E303" s="14"/>
      <c r="F303" s="14"/>
      <c r="G303" s="14"/>
      <c r="H303" s="72"/>
      <c r="I303" s="14"/>
      <c r="J303" s="14"/>
      <c r="K303" s="14"/>
      <c r="L303" s="14"/>
      <c r="M303" s="14"/>
      <c r="N303" s="14"/>
      <c r="O303" s="14"/>
      <c r="P303" s="14"/>
      <c r="Q303" s="14"/>
      <c r="R303" s="14"/>
      <c r="S303" s="14"/>
      <c r="T303" s="14"/>
      <c r="U303" s="13">
        <f t="shared" si="16"/>
        <v>182</v>
      </c>
      <c r="V303" s="25">
        <v>656.85</v>
      </c>
      <c r="W303" s="15">
        <f t="shared" si="15"/>
        <v>119546.7</v>
      </c>
    </row>
    <row r="304" spans="1:23" s="154" customFormat="1" ht="45" x14ac:dyDescent="0.25">
      <c r="A304" s="287">
        <v>31</v>
      </c>
      <c r="B304" s="94" t="s">
        <v>307</v>
      </c>
      <c r="C304" s="19">
        <v>100</v>
      </c>
      <c r="D304" s="25">
        <v>7644</v>
      </c>
      <c r="E304" s="14"/>
      <c r="F304" s="14"/>
      <c r="G304" s="14"/>
      <c r="H304" s="72"/>
      <c r="I304" s="14"/>
      <c r="J304" s="14"/>
      <c r="K304" s="14"/>
      <c r="L304" s="14"/>
      <c r="M304" s="14"/>
      <c r="N304" s="14"/>
      <c r="O304" s="14"/>
      <c r="P304" s="14"/>
      <c r="Q304" s="14"/>
      <c r="R304" s="14"/>
      <c r="S304" s="14"/>
      <c r="T304" s="14"/>
      <c r="U304" s="13">
        <f t="shared" si="16"/>
        <v>7644</v>
      </c>
      <c r="V304" s="25">
        <v>3052.4</v>
      </c>
      <c r="W304" s="15">
        <f t="shared" si="15"/>
        <v>233325.45600000001</v>
      </c>
    </row>
    <row r="305" spans="1:23" s="154" customFormat="1" ht="30" x14ac:dyDescent="0.25">
      <c r="A305" s="288">
        <v>32</v>
      </c>
      <c r="B305" s="94" t="s">
        <v>308</v>
      </c>
      <c r="C305" s="38">
        <v>1</v>
      </c>
      <c r="D305" s="25">
        <v>91</v>
      </c>
      <c r="E305" s="14"/>
      <c r="F305" s="14"/>
      <c r="G305" s="14"/>
      <c r="H305" s="72"/>
      <c r="I305" s="14"/>
      <c r="J305" s="14"/>
      <c r="K305" s="14"/>
      <c r="L305" s="14"/>
      <c r="M305" s="14"/>
      <c r="N305" s="14"/>
      <c r="O305" s="14"/>
      <c r="P305" s="14"/>
      <c r="Q305" s="14"/>
      <c r="R305" s="14"/>
      <c r="S305" s="14"/>
      <c r="T305" s="14"/>
      <c r="U305" s="13">
        <f t="shared" si="16"/>
        <v>91</v>
      </c>
      <c r="V305" s="25">
        <v>4105.05</v>
      </c>
      <c r="W305" s="15">
        <f t="shared" si="15"/>
        <v>373559.55</v>
      </c>
    </row>
    <row r="306" spans="1:23" s="154" customFormat="1" ht="30" x14ac:dyDescent="0.25">
      <c r="A306" s="289">
        <v>33</v>
      </c>
      <c r="B306" s="94" t="s">
        <v>309</v>
      </c>
      <c r="C306" s="38">
        <v>1</v>
      </c>
      <c r="D306" s="25">
        <v>273</v>
      </c>
      <c r="E306" s="14"/>
      <c r="F306" s="14"/>
      <c r="G306" s="14"/>
      <c r="H306" s="72"/>
      <c r="I306" s="14"/>
      <c r="J306" s="14"/>
      <c r="K306" s="14"/>
      <c r="L306" s="14"/>
      <c r="M306" s="14"/>
      <c r="N306" s="14"/>
      <c r="O306" s="14"/>
      <c r="P306" s="14"/>
      <c r="Q306" s="14"/>
      <c r="R306" s="14"/>
      <c r="S306" s="14"/>
      <c r="T306" s="14"/>
      <c r="U306" s="13">
        <f t="shared" si="16"/>
        <v>273</v>
      </c>
      <c r="V306" s="25">
        <v>463.15</v>
      </c>
      <c r="W306" s="15">
        <f t="shared" si="15"/>
        <v>126439.95</v>
      </c>
    </row>
    <row r="307" spans="1:23" s="154" customFormat="1" ht="30" x14ac:dyDescent="0.25">
      <c r="A307" s="290">
        <v>34</v>
      </c>
      <c r="B307" s="94" t="s">
        <v>310</v>
      </c>
      <c r="C307" s="38">
        <v>1</v>
      </c>
      <c r="D307" s="25">
        <v>364</v>
      </c>
      <c r="E307" s="14"/>
      <c r="F307" s="14"/>
      <c r="G307" s="14"/>
      <c r="H307" s="72"/>
      <c r="I307" s="14"/>
      <c r="J307" s="14"/>
      <c r="K307" s="14"/>
      <c r="L307" s="14"/>
      <c r="M307" s="14"/>
      <c r="N307" s="14"/>
      <c r="O307" s="14"/>
      <c r="P307" s="14"/>
      <c r="Q307" s="14"/>
      <c r="R307" s="14"/>
      <c r="S307" s="14"/>
      <c r="T307" s="14"/>
      <c r="U307" s="13">
        <f t="shared" si="16"/>
        <v>364</v>
      </c>
      <c r="V307" s="25">
        <v>1639.2</v>
      </c>
      <c r="W307" s="15">
        <f t="shared" si="15"/>
        <v>596668.80000000005</v>
      </c>
    </row>
    <row r="308" spans="1:23" s="154" customFormat="1" ht="45" x14ac:dyDescent="0.25">
      <c r="A308" s="291">
        <v>35</v>
      </c>
      <c r="B308" s="94" t="s">
        <v>311</v>
      </c>
      <c r="C308" s="38">
        <v>1</v>
      </c>
      <c r="D308" s="25">
        <v>91</v>
      </c>
      <c r="E308" s="14"/>
      <c r="F308" s="14"/>
      <c r="G308" s="14"/>
      <c r="H308" s="72"/>
      <c r="I308" s="14"/>
      <c r="J308" s="14"/>
      <c r="K308" s="14"/>
      <c r="L308" s="14"/>
      <c r="M308" s="14"/>
      <c r="N308" s="14"/>
      <c r="O308" s="14"/>
      <c r="P308" s="14"/>
      <c r="Q308" s="14"/>
      <c r="R308" s="14"/>
      <c r="S308" s="14"/>
      <c r="T308" s="14"/>
      <c r="U308" s="13">
        <f t="shared" si="16"/>
        <v>91</v>
      </c>
      <c r="V308" s="25">
        <v>8069.2</v>
      </c>
      <c r="W308" s="15">
        <f t="shared" si="15"/>
        <v>734297.2</v>
      </c>
    </row>
    <row r="309" spans="1:23" s="154" customFormat="1" ht="45" x14ac:dyDescent="0.25">
      <c r="A309" s="292">
        <v>36</v>
      </c>
      <c r="B309" s="94" t="s">
        <v>111</v>
      </c>
      <c r="C309" s="36">
        <v>1</v>
      </c>
      <c r="D309" s="25">
        <v>9100</v>
      </c>
      <c r="E309" s="14"/>
      <c r="F309" s="14"/>
      <c r="G309" s="14"/>
      <c r="H309" s="72"/>
      <c r="I309" s="14"/>
      <c r="J309" s="14"/>
      <c r="K309" s="14"/>
      <c r="L309" s="14"/>
      <c r="M309" s="14"/>
      <c r="N309" s="14"/>
      <c r="O309" s="14"/>
      <c r="P309" s="14"/>
      <c r="Q309" s="14"/>
      <c r="R309" s="14"/>
      <c r="S309" s="14"/>
      <c r="T309" s="14"/>
      <c r="U309" s="13">
        <f t="shared" si="16"/>
        <v>9100</v>
      </c>
      <c r="V309" s="25">
        <v>514.9</v>
      </c>
      <c r="W309" s="15">
        <f t="shared" si="15"/>
        <v>4685590</v>
      </c>
    </row>
    <row r="310" spans="1:23" s="154" customFormat="1" ht="30" x14ac:dyDescent="0.25">
      <c r="A310" s="293">
        <v>37</v>
      </c>
      <c r="B310" s="94" t="s">
        <v>112</v>
      </c>
      <c r="C310" s="37">
        <v>1</v>
      </c>
      <c r="D310" s="25">
        <v>364</v>
      </c>
      <c r="E310" s="14"/>
      <c r="F310" s="14"/>
      <c r="G310" s="14"/>
      <c r="H310" s="72"/>
      <c r="I310" s="14"/>
      <c r="J310" s="14"/>
      <c r="K310" s="14"/>
      <c r="L310" s="14"/>
      <c r="M310" s="14"/>
      <c r="N310" s="14"/>
      <c r="O310" s="14"/>
      <c r="P310" s="14"/>
      <c r="Q310" s="14"/>
      <c r="R310" s="14"/>
      <c r="S310" s="14"/>
      <c r="T310" s="14"/>
      <c r="U310" s="13">
        <f t="shared" si="16"/>
        <v>364</v>
      </c>
      <c r="V310" s="25">
        <v>849.7</v>
      </c>
      <c r="W310" s="15">
        <f t="shared" si="15"/>
        <v>309290.8</v>
      </c>
    </row>
    <row r="311" spans="1:23" s="154" customFormat="1" ht="30" x14ac:dyDescent="0.25">
      <c r="A311" s="294">
        <v>38</v>
      </c>
      <c r="B311" s="94" t="s">
        <v>312</v>
      </c>
      <c r="C311" s="37">
        <v>1</v>
      </c>
      <c r="D311" s="25">
        <v>364</v>
      </c>
      <c r="E311" s="14"/>
      <c r="F311" s="14"/>
      <c r="G311" s="14"/>
      <c r="H311" s="72"/>
      <c r="I311" s="14"/>
      <c r="J311" s="14"/>
      <c r="K311" s="14"/>
      <c r="L311" s="14"/>
      <c r="M311" s="14"/>
      <c r="N311" s="14"/>
      <c r="O311" s="14"/>
      <c r="P311" s="14"/>
      <c r="Q311" s="14"/>
      <c r="R311" s="14"/>
      <c r="S311" s="14"/>
      <c r="T311" s="14"/>
      <c r="U311" s="13">
        <f t="shared" si="16"/>
        <v>364</v>
      </c>
      <c r="V311" s="25">
        <v>2374.25</v>
      </c>
      <c r="W311" s="15">
        <f t="shared" si="15"/>
        <v>864227</v>
      </c>
    </row>
    <row r="312" spans="1:23" s="154" customFormat="1" ht="135" x14ac:dyDescent="0.25">
      <c r="A312" s="295">
        <v>39</v>
      </c>
      <c r="B312" s="94" t="s">
        <v>313</v>
      </c>
      <c r="C312" s="20"/>
      <c r="D312" s="20"/>
      <c r="E312" s="20"/>
      <c r="F312" s="20"/>
      <c r="G312" s="20"/>
      <c r="H312" s="20"/>
      <c r="I312" s="20"/>
      <c r="J312" s="20"/>
      <c r="K312" s="20"/>
      <c r="L312" s="20"/>
      <c r="M312" s="20"/>
      <c r="N312" s="20"/>
      <c r="O312" s="20"/>
      <c r="P312" s="20"/>
      <c r="Q312" s="20"/>
      <c r="R312" s="20"/>
      <c r="S312" s="20"/>
      <c r="T312" s="20"/>
      <c r="U312" s="13">
        <f t="shared" si="16"/>
        <v>0</v>
      </c>
      <c r="V312" s="20"/>
      <c r="W312" s="20"/>
    </row>
    <row r="313" spans="1:23" s="154" customFormat="1" x14ac:dyDescent="0.25">
      <c r="A313" s="253" t="s">
        <v>60</v>
      </c>
      <c r="B313" s="94" t="s">
        <v>314</v>
      </c>
      <c r="C313" s="36">
        <v>1</v>
      </c>
      <c r="D313" s="25">
        <v>9100</v>
      </c>
      <c r="E313" s="14"/>
      <c r="F313" s="14"/>
      <c r="G313" s="14"/>
      <c r="H313" s="72"/>
      <c r="I313" s="14"/>
      <c r="J313" s="14"/>
      <c r="K313" s="14"/>
      <c r="L313" s="14"/>
      <c r="M313" s="14"/>
      <c r="N313" s="14"/>
      <c r="O313" s="14"/>
      <c r="P313" s="14"/>
      <c r="Q313" s="14"/>
      <c r="R313" s="14"/>
      <c r="S313" s="14"/>
      <c r="T313" s="14"/>
      <c r="U313" s="13">
        <f t="shared" si="16"/>
        <v>9100</v>
      </c>
      <c r="V313" s="25">
        <v>62.95</v>
      </c>
      <c r="W313" s="15">
        <f t="shared" si="15"/>
        <v>572845</v>
      </c>
    </row>
    <row r="314" spans="1:23" s="154" customFormat="1" x14ac:dyDescent="0.25">
      <c r="A314" s="225" t="s">
        <v>37</v>
      </c>
      <c r="B314" s="94" t="s">
        <v>315</v>
      </c>
      <c r="C314" s="36">
        <v>1</v>
      </c>
      <c r="D314" s="25">
        <v>4550</v>
      </c>
      <c r="E314" s="14"/>
      <c r="F314" s="14"/>
      <c r="G314" s="14"/>
      <c r="H314" s="72"/>
      <c r="I314" s="14"/>
      <c r="J314" s="14"/>
      <c r="K314" s="14"/>
      <c r="L314" s="14"/>
      <c r="M314" s="14"/>
      <c r="N314" s="14"/>
      <c r="O314" s="14"/>
      <c r="P314" s="14"/>
      <c r="Q314" s="14"/>
      <c r="R314" s="14"/>
      <c r="S314" s="14"/>
      <c r="T314" s="14"/>
      <c r="U314" s="13">
        <f t="shared" si="16"/>
        <v>4550</v>
      </c>
      <c r="V314" s="25">
        <v>87.1</v>
      </c>
      <c r="W314" s="15">
        <f t="shared" si="15"/>
        <v>396305</v>
      </c>
    </row>
    <row r="315" spans="1:23" s="154" customFormat="1" ht="30" x14ac:dyDescent="0.25">
      <c r="A315" s="296">
        <v>40</v>
      </c>
      <c r="B315" s="94" t="s">
        <v>316</v>
      </c>
      <c r="C315" s="38">
        <v>1</v>
      </c>
      <c r="D315" s="25">
        <v>91</v>
      </c>
      <c r="E315" s="14"/>
      <c r="F315" s="14"/>
      <c r="G315" s="14"/>
      <c r="H315" s="72"/>
      <c r="I315" s="14"/>
      <c r="J315" s="14"/>
      <c r="K315" s="14"/>
      <c r="L315" s="14"/>
      <c r="M315" s="14"/>
      <c r="N315" s="14"/>
      <c r="O315" s="14"/>
      <c r="P315" s="14"/>
      <c r="Q315" s="14"/>
      <c r="R315" s="14"/>
      <c r="S315" s="14"/>
      <c r="T315" s="14"/>
      <c r="U315" s="13">
        <f t="shared" si="16"/>
        <v>91</v>
      </c>
      <c r="V315" s="25">
        <v>1457.7</v>
      </c>
      <c r="W315" s="15">
        <f t="shared" si="15"/>
        <v>132650.70000000001</v>
      </c>
    </row>
    <row r="316" spans="1:23" s="154" customFormat="1" ht="45" x14ac:dyDescent="0.25">
      <c r="A316" s="297">
        <v>41</v>
      </c>
      <c r="B316" s="94" t="s">
        <v>317</v>
      </c>
      <c r="C316" s="38">
        <v>1</v>
      </c>
      <c r="D316" s="25">
        <v>91</v>
      </c>
      <c r="E316" s="14"/>
      <c r="F316" s="14"/>
      <c r="G316" s="14"/>
      <c r="H316" s="72"/>
      <c r="I316" s="14"/>
      <c r="J316" s="14"/>
      <c r="K316" s="14"/>
      <c r="L316" s="14"/>
      <c r="M316" s="14"/>
      <c r="N316" s="14"/>
      <c r="O316" s="14"/>
      <c r="P316" s="14"/>
      <c r="Q316" s="14"/>
      <c r="R316" s="14"/>
      <c r="S316" s="14"/>
      <c r="T316" s="14"/>
      <c r="U316" s="13">
        <f t="shared" si="16"/>
        <v>91</v>
      </c>
      <c r="V316" s="25">
        <v>15209.1</v>
      </c>
      <c r="W316" s="15">
        <f t="shared" si="15"/>
        <v>1384028.1</v>
      </c>
    </row>
    <row r="317" spans="1:23" s="154" customFormat="1" x14ac:dyDescent="0.25">
      <c r="A317" s="298">
        <v>42</v>
      </c>
      <c r="B317" s="94" t="s">
        <v>318</v>
      </c>
      <c r="C317" s="25"/>
      <c r="D317" s="25"/>
      <c r="E317" s="25"/>
      <c r="F317" s="25"/>
      <c r="G317" s="25"/>
      <c r="H317" s="25"/>
      <c r="I317" s="25"/>
      <c r="J317" s="25"/>
      <c r="K317" s="25"/>
      <c r="L317" s="25"/>
      <c r="M317" s="25"/>
      <c r="N317" s="25"/>
      <c r="O317" s="25"/>
      <c r="P317" s="25"/>
      <c r="Q317" s="25"/>
      <c r="R317" s="25"/>
      <c r="S317" s="25"/>
      <c r="T317" s="25"/>
      <c r="U317" s="13">
        <f t="shared" si="16"/>
        <v>0</v>
      </c>
      <c r="V317" s="25"/>
      <c r="W317" s="25"/>
    </row>
    <row r="318" spans="1:23" s="154" customFormat="1" x14ac:dyDescent="0.25">
      <c r="A318" s="44"/>
      <c r="B318" s="94" t="s">
        <v>319</v>
      </c>
      <c r="C318" s="38">
        <v>1</v>
      </c>
      <c r="D318" s="25">
        <v>91</v>
      </c>
      <c r="E318" s="14"/>
      <c r="F318" s="14"/>
      <c r="G318" s="14"/>
      <c r="H318" s="72"/>
      <c r="I318" s="14"/>
      <c r="J318" s="14"/>
      <c r="K318" s="14"/>
      <c r="L318" s="14"/>
      <c r="M318" s="14"/>
      <c r="N318" s="14"/>
      <c r="O318" s="14"/>
      <c r="P318" s="14"/>
      <c r="Q318" s="14"/>
      <c r="R318" s="14"/>
      <c r="S318" s="14"/>
      <c r="T318" s="14"/>
      <c r="U318" s="13">
        <f t="shared" si="16"/>
        <v>91</v>
      </c>
      <c r="V318" s="25">
        <v>1380</v>
      </c>
      <c r="W318" s="15">
        <f t="shared" si="15"/>
        <v>125580</v>
      </c>
    </row>
    <row r="319" spans="1:23" s="154" customFormat="1" x14ac:dyDescent="0.25">
      <c r="A319" s="44"/>
      <c r="B319" s="94" t="s">
        <v>320</v>
      </c>
      <c r="C319" s="38">
        <v>1</v>
      </c>
      <c r="D319" s="25">
        <v>91</v>
      </c>
      <c r="E319" s="14"/>
      <c r="F319" s="14"/>
      <c r="G319" s="14"/>
      <c r="H319" s="72"/>
      <c r="I319" s="14"/>
      <c r="J319" s="14"/>
      <c r="K319" s="14"/>
      <c r="L319" s="14"/>
      <c r="M319" s="14"/>
      <c r="N319" s="14"/>
      <c r="O319" s="14"/>
      <c r="P319" s="14"/>
      <c r="Q319" s="14"/>
      <c r="R319" s="14"/>
      <c r="S319" s="14"/>
      <c r="T319" s="14"/>
      <c r="U319" s="13">
        <f t="shared" si="16"/>
        <v>91</v>
      </c>
      <c r="V319" s="25">
        <v>1610</v>
      </c>
      <c r="W319" s="15">
        <f t="shared" si="15"/>
        <v>146510</v>
      </c>
    </row>
    <row r="320" spans="1:23" s="154" customFormat="1" x14ac:dyDescent="0.25">
      <c r="A320" s="44"/>
      <c r="B320" s="94" t="s">
        <v>321</v>
      </c>
      <c r="C320" s="38">
        <v>1</v>
      </c>
      <c r="D320" s="25">
        <v>91</v>
      </c>
      <c r="E320" s="14"/>
      <c r="F320" s="14"/>
      <c r="G320" s="14"/>
      <c r="H320" s="72"/>
      <c r="I320" s="14"/>
      <c r="J320" s="14"/>
      <c r="K320" s="14"/>
      <c r="L320" s="14"/>
      <c r="M320" s="14"/>
      <c r="N320" s="14"/>
      <c r="O320" s="14"/>
      <c r="P320" s="14"/>
      <c r="Q320" s="14"/>
      <c r="R320" s="14"/>
      <c r="S320" s="14"/>
      <c r="T320" s="14"/>
      <c r="U320" s="13">
        <f t="shared" si="16"/>
        <v>91</v>
      </c>
      <c r="V320" s="25">
        <v>1035</v>
      </c>
      <c r="W320" s="15">
        <f t="shared" si="15"/>
        <v>94185</v>
      </c>
    </row>
    <row r="321" spans="1:23" s="154" customFormat="1" ht="30" x14ac:dyDescent="0.25">
      <c r="A321" s="299">
        <v>43</v>
      </c>
      <c r="B321" s="94" t="s">
        <v>322</v>
      </c>
      <c r="C321" s="38">
        <v>1</v>
      </c>
      <c r="D321" s="25">
        <v>91</v>
      </c>
      <c r="E321" s="14"/>
      <c r="F321" s="14"/>
      <c r="G321" s="14"/>
      <c r="H321" s="72"/>
      <c r="I321" s="14"/>
      <c r="J321" s="14"/>
      <c r="K321" s="14"/>
      <c r="L321" s="14"/>
      <c r="M321" s="14"/>
      <c r="N321" s="14"/>
      <c r="O321" s="14"/>
      <c r="P321" s="14"/>
      <c r="Q321" s="14"/>
      <c r="R321" s="14"/>
      <c r="S321" s="14"/>
      <c r="T321" s="14"/>
      <c r="U321" s="13">
        <f t="shared" si="16"/>
        <v>91</v>
      </c>
      <c r="V321" s="25">
        <v>1999.2</v>
      </c>
      <c r="W321" s="15">
        <f t="shared" si="15"/>
        <v>181927.2</v>
      </c>
    </row>
    <row r="322" spans="1:23" s="154" customFormat="1" ht="45" x14ac:dyDescent="0.25">
      <c r="A322" s="317">
        <v>44</v>
      </c>
      <c r="B322" s="94" t="s">
        <v>118</v>
      </c>
      <c r="C322" s="20"/>
      <c r="D322" s="20"/>
      <c r="E322" s="20"/>
      <c r="F322" s="20"/>
      <c r="G322" s="20"/>
      <c r="H322" s="20"/>
      <c r="I322" s="20"/>
      <c r="J322" s="20"/>
      <c r="K322" s="20"/>
      <c r="L322" s="20"/>
      <c r="M322" s="20"/>
      <c r="N322" s="20"/>
      <c r="O322" s="20"/>
      <c r="P322" s="20"/>
      <c r="Q322" s="20"/>
      <c r="R322" s="20"/>
      <c r="S322" s="20"/>
      <c r="T322" s="20"/>
      <c r="U322" s="13">
        <f t="shared" si="16"/>
        <v>0</v>
      </c>
      <c r="V322" s="20"/>
      <c r="W322" s="20"/>
    </row>
    <row r="323" spans="1:23" s="154" customFormat="1" x14ac:dyDescent="0.25">
      <c r="A323" s="44"/>
      <c r="B323" s="94" t="s">
        <v>148</v>
      </c>
      <c r="C323" s="36">
        <v>1</v>
      </c>
      <c r="D323" s="25">
        <v>9100</v>
      </c>
      <c r="E323" s="14"/>
      <c r="F323" s="14"/>
      <c r="G323" s="14"/>
      <c r="H323" s="72"/>
      <c r="I323" s="14"/>
      <c r="J323" s="14"/>
      <c r="K323" s="14"/>
      <c r="L323" s="14"/>
      <c r="M323" s="14"/>
      <c r="N323" s="14"/>
      <c r="O323" s="14"/>
      <c r="P323" s="14"/>
      <c r="Q323" s="14"/>
      <c r="R323" s="14"/>
      <c r="S323" s="14"/>
      <c r="T323" s="14"/>
      <c r="U323" s="13">
        <f t="shared" si="16"/>
        <v>9100</v>
      </c>
      <c r="V323" s="25">
        <v>112.25</v>
      </c>
      <c r="W323" s="15">
        <f t="shared" si="15"/>
        <v>1021475</v>
      </c>
    </row>
    <row r="324" spans="1:23" s="154" customFormat="1" x14ac:dyDescent="0.25">
      <c r="A324" s="44"/>
      <c r="B324" s="94" t="s">
        <v>149</v>
      </c>
      <c r="C324" s="36">
        <v>1</v>
      </c>
      <c r="D324" s="25">
        <v>4550</v>
      </c>
      <c r="E324" s="14"/>
      <c r="F324" s="14"/>
      <c r="G324" s="14"/>
      <c r="H324" s="72"/>
      <c r="I324" s="14"/>
      <c r="J324" s="14"/>
      <c r="K324" s="14"/>
      <c r="L324" s="14"/>
      <c r="M324" s="14"/>
      <c r="N324" s="14"/>
      <c r="O324" s="14"/>
      <c r="P324" s="14"/>
      <c r="Q324" s="14"/>
      <c r="R324" s="14"/>
      <c r="S324" s="14"/>
      <c r="T324" s="14"/>
      <c r="U324" s="13">
        <f t="shared" si="16"/>
        <v>4550</v>
      </c>
      <c r="V324" s="25">
        <v>133.6</v>
      </c>
      <c r="W324" s="15">
        <f t="shared" si="15"/>
        <v>607880</v>
      </c>
    </row>
    <row r="325" spans="1:23" s="154" customFormat="1" ht="75" x14ac:dyDescent="0.25">
      <c r="A325" s="318">
        <v>45</v>
      </c>
      <c r="B325" s="94" t="s">
        <v>123</v>
      </c>
      <c r="C325" s="20"/>
      <c r="D325" s="20"/>
      <c r="E325" s="20"/>
      <c r="F325" s="20"/>
      <c r="G325" s="20"/>
      <c r="H325" s="20"/>
      <c r="I325" s="20"/>
      <c r="J325" s="20"/>
      <c r="K325" s="20"/>
      <c r="L325" s="20"/>
      <c r="M325" s="20"/>
      <c r="N325" s="20"/>
      <c r="O325" s="20"/>
      <c r="P325" s="20"/>
      <c r="Q325" s="20"/>
      <c r="R325" s="20"/>
      <c r="S325" s="20"/>
      <c r="T325" s="20"/>
      <c r="U325" s="13">
        <f t="shared" si="16"/>
        <v>0</v>
      </c>
      <c r="V325" s="20"/>
      <c r="W325" s="20"/>
    </row>
    <row r="326" spans="1:23" s="154" customFormat="1" x14ac:dyDescent="0.25">
      <c r="A326" s="44"/>
      <c r="B326" s="94" t="s">
        <v>150</v>
      </c>
      <c r="C326" s="36">
        <v>1</v>
      </c>
      <c r="D326" s="25">
        <v>27300</v>
      </c>
      <c r="E326" s="14"/>
      <c r="F326" s="14"/>
      <c r="G326" s="14"/>
      <c r="H326" s="72"/>
      <c r="I326" s="14"/>
      <c r="J326" s="14"/>
      <c r="K326" s="14"/>
      <c r="L326" s="14"/>
      <c r="M326" s="14"/>
      <c r="N326" s="14"/>
      <c r="O326" s="14"/>
      <c r="P326" s="14"/>
      <c r="Q326" s="14"/>
      <c r="R326" s="14"/>
      <c r="S326" s="14"/>
      <c r="T326" s="14"/>
      <c r="U326" s="13">
        <f t="shared" si="16"/>
        <v>27300</v>
      </c>
      <c r="V326" s="25">
        <v>35.700000000000003</v>
      </c>
      <c r="W326" s="15">
        <f t="shared" si="15"/>
        <v>974610.00000000012</v>
      </c>
    </row>
    <row r="327" spans="1:23" s="154" customFormat="1" x14ac:dyDescent="0.25">
      <c r="A327" s="44"/>
      <c r="B327" s="94" t="s">
        <v>151</v>
      </c>
      <c r="C327" s="36">
        <v>1</v>
      </c>
      <c r="D327" s="25">
        <v>9100</v>
      </c>
      <c r="E327" s="14"/>
      <c r="F327" s="14"/>
      <c r="G327" s="14"/>
      <c r="H327" s="72"/>
      <c r="I327" s="14"/>
      <c r="J327" s="14"/>
      <c r="K327" s="14"/>
      <c r="L327" s="14"/>
      <c r="M327" s="14"/>
      <c r="N327" s="14"/>
      <c r="O327" s="14"/>
      <c r="P327" s="14"/>
      <c r="Q327" s="14"/>
      <c r="R327" s="14"/>
      <c r="S327" s="14"/>
      <c r="T327" s="14"/>
      <c r="U327" s="13">
        <f t="shared" si="16"/>
        <v>9100</v>
      </c>
      <c r="V327" s="25">
        <v>56.3</v>
      </c>
      <c r="W327" s="15">
        <f t="shared" si="15"/>
        <v>512330</v>
      </c>
    </row>
    <row r="328" spans="1:23" s="154" customFormat="1" ht="75" x14ac:dyDescent="0.25">
      <c r="A328" s="211">
        <v>46</v>
      </c>
      <c r="B328" s="94" t="s">
        <v>126</v>
      </c>
      <c r="C328" s="36">
        <v>1</v>
      </c>
      <c r="D328" s="25">
        <v>18200</v>
      </c>
      <c r="E328" s="14"/>
      <c r="F328" s="14"/>
      <c r="G328" s="14"/>
      <c r="H328" s="72"/>
      <c r="I328" s="14"/>
      <c r="J328" s="14"/>
      <c r="K328" s="14"/>
      <c r="L328" s="14"/>
      <c r="M328" s="14"/>
      <c r="N328" s="14"/>
      <c r="O328" s="14"/>
      <c r="P328" s="14"/>
      <c r="Q328" s="14"/>
      <c r="R328" s="14"/>
      <c r="S328" s="14"/>
      <c r="T328" s="14"/>
      <c r="U328" s="13">
        <f t="shared" si="16"/>
        <v>18200</v>
      </c>
      <c r="V328" s="25">
        <v>237.65</v>
      </c>
      <c r="W328" s="15">
        <f t="shared" si="15"/>
        <v>4325230</v>
      </c>
    </row>
    <row r="329" spans="1:23" s="154" customFormat="1" ht="60" x14ac:dyDescent="0.25">
      <c r="A329" s="44">
        <v>47</v>
      </c>
      <c r="B329" s="94" t="s">
        <v>127</v>
      </c>
      <c r="C329" s="20"/>
      <c r="D329" s="20"/>
      <c r="E329" s="20"/>
      <c r="F329" s="20"/>
      <c r="G329" s="20"/>
      <c r="H329" s="20"/>
      <c r="I329" s="20"/>
      <c r="J329" s="20"/>
      <c r="K329" s="20"/>
      <c r="L329" s="20"/>
      <c r="M329" s="20"/>
      <c r="N329" s="20"/>
      <c r="O329" s="20"/>
      <c r="P329" s="20"/>
      <c r="Q329" s="20"/>
      <c r="R329" s="20"/>
      <c r="S329" s="20"/>
      <c r="T329" s="20"/>
      <c r="U329" s="13">
        <f t="shared" si="16"/>
        <v>0</v>
      </c>
      <c r="V329" s="20"/>
      <c r="W329" s="20"/>
    </row>
    <row r="330" spans="1:23" s="154" customFormat="1" x14ac:dyDescent="0.25">
      <c r="A330" s="44"/>
      <c r="B330" s="94" t="s">
        <v>152</v>
      </c>
      <c r="C330" s="38">
        <v>1</v>
      </c>
      <c r="D330" s="25">
        <v>182</v>
      </c>
      <c r="E330" s="14"/>
      <c r="F330" s="14"/>
      <c r="G330" s="14"/>
      <c r="H330" s="72"/>
      <c r="I330" s="14"/>
      <c r="J330" s="14"/>
      <c r="K330" s="14"/>
      <c r="L330" s="14"/>
      <c r="M330" s="14"/>
      <c r="N330" s="14"/>
      <c r="O330" s="14"/>
      <c r="P330" s="14"/>
      <c r="Q330" s="14"/>
      <c r="R330" s="14"/>
      <c r="S330" s="14"/>
      <c r="T330" s="14"/>
      <c r="U330" s="13">
        <f t="shared" si="16"/>
        <v>182</v>
      </c>
      <c r="V330" s="25">
        <v>382.3</v>
      </c>
      <c r="W330" s="15">
        <f t="shared" si="15"/>
        <v>69578.600000000006</v>
      </c>
    </row>
    <row r="331" spans="1:23" s="154" customFormat="1" x14ac:dyDescent="0.25">
      <c r="A331" s="44"/>
      <c r="B331" s="94" t="s">
        <v>153</v>
      </c>
      <c r="C331" s="38">
        <v>1</v>
      </c>
      <c r="D331" s="25">
        <v>364</v>
      </c>
      <c r="E331" s="14"/>
      <c r="F331" s="14"/>
      <c r="G331" s="14"/>
      <c r="H331" s="72"/>
      <c r="I331" s="14"/>
      <c r="J331" s="14"/>
      <c r="K331" s="14"/>
      <c r="L331" s="14"/>
      <c r="M331" s="14"/>
      <c r="N331" s="14"/>
      <c r="O331" s="14"/>
      <c r="P331" s="14"/>
      <c r="Q331" s="14"/>
      <c r="R331" s="14"/>
      <c r="S331" s="14"/>
      <c r="T331" s="14"/>
      <c r="U331" s="13">
        <f t="shared" si="16"/>
        <v>364</v>
      </c>
      <c r="V331" s="25">
        <v>522.75</v>
      </c>
      <c r="W331" s="15">
        <f t="shared" ref="W331:W394" si="17">V331*U331/C331</f>
        <v>190281</v>
      </c>
    </row>
    <row r="332" spans="1:23" s="154" customFormat="1" x14ac:dyDescent="0.25">
      <c r="A332" s="44"/>
      <c r="B332" s="94" t="s">
        <v>154</v>
      </c>
      <c r="C332" s="38">
        <v>1</v>
      </c>
      <c r="D332" s="25">
        <v>91</v>
      </c>
      <c r="E332" s="14"/>
      <c r="F332" s="14"/>
      <c r="G332" s="14"/>
      <c r="H332" s="72"/>
      <c r="I332" s="14"/>
      <c r="J332" s="14"/>
      <c r="K332" s="14"/>
      <c r="L332" s="14"/>
      <c r="M332" s="14"/>
      <c r="N332" s="14"/>
      <c r="O332" s="14"/>
      <c r="P332" s="14"/>
      <c r="Q332" s="14"/>
      <c r="R332" s="14"/>
      <c r="S332" s="14"/>
      <c r="T332" s="14"/>
      <c r="U332" s="13">
        <f t="shared" si="16"/>
        <v>91</v>
      </c>
      <c r="V332" s="25">
        <v>668.8</v>
      </c>
      <c r="W332" s="15">
        <f t="shared" si="17"/>
        <v>60860.799999999996</v>
      </c>
    </row>
    <row r="333" spans="1:23" s="154" customFormat="1" ht="30" x14ac:dyDescent="0.25">
      <c r="A333" s="212">
        <v>48</v>
      </c>
      <c r="B333" s="94" t="s">
        <v>131</v>
      </c>
      <c r="C333" s="38">
        <v>1</v>
      </c>
      <c r="D333" s="25">
        <v>3185</v>
      </c>
      <c r="E333" s="14"/>
      <c r="F333" s="14"/>
      <c r="G333" s="14"/>
      <c r="H333" s="72"/>
      <c r="I333" s="14"/>
      <c r="J333" s="14"/>
      <c r="K333" s="14"/>
      <c r="L333" s="14"/>
      <c r="M333" s="14"/>
      <c r="N333" s="14"/>
      <c r="O333" s="14"/>
      <c r="P333" s="14"/>
      <c r="Q333" s="14"/>
      <c r="R333" s="14"/>
      <c r="S333" s="14"/>
      <c r="T333" s="14"/>
      <c r="U333" s="13">
        <f t="shared" si="16"/>
        <v>3185</v>
      </c>
      <c r="V333" s="25">
        <v>102.7</v>
      </c>
      <c r="W333" s="15">
        <f t="shared" si="17"/>
        <v>327099.5</v>
      </c>
    </row>
    <row r="334" spans="1:23" s="154" customFormat="1" ht="30" x14ac:dyDescent="0.25">
      <c r="A334" s="213">
        <v>49</v>
      </c>
      <c r="B334" s="94" t="s">
        <v>183</v>
      </c>
      <c r="C334" s="38">
        <v>1</v>
      </c>
      <c r="D334" s="25">
        <v>546</v>
      </c>
      <c r="E334" s="14"/>
      <c r="F334" s="14"/>
      <c r="G334" s="14"/>
      <c r="H334" s="72"/>
      <c r="I334" s="14"/>
      <c r="J334" s="14"/>
      <c r="K334" s="14"/>
      <c r="L334" s="14"/>
      <c r="M334" s="14"/>
      <c r="N334" s="14"/>
      <c r="O334" s="14"/>
      <c r="P334" s="14"/>
      <c r="Q334" s="14"/>
      <c r="R334" s="14"/>
      <c r="S334" s="14"/>
      <c r="T334" s="14"/>
      <c r="U334" s="13">
        <f t="shared" si="16"/>
        <v>546</v>
      </c>
      <c r="V334" s="25">
        <v>178.75</v>
      </c>
      <c r="W334" s="15">
        <f t="shared" si="17"/>
        <v>97597.5</v>
      </c>
    </row>
    <row r="335" spans="1:23" s="154" customFormat="1" x14ac:dyDescent="0.25">
      <c r="A335" s="222">
        <v>50</v>
      </c>
      <c r="B335" s="94" t="s">
        <v>132</v>
      </c>
      <c r="C335" s="38">
        <v>1</v>
      </c>
      <c r="D335" s="25">
        <v>546</v>
      </c>
      <c r="E335" s="14"/>
      <c r="F335" s="14"/>
      <c r="G335" s="14"/>
      <c r="H335" s="72"/>
      <c r="I335" s="14"/>
      <c r="J335" s="14"/>
      <c r="K335" s="14"/>
      <c r="L335" s="14"/>
      <c r="M335" s="14"/>
      <c r="N335" s="14"/>
      <c r="O335" s="14"/>
      <c r="P335" s="14"/>
      <c r="Q335" s="14"/>
      <c r="R335" s="14"/>
      <c r="S335" s="14"/>
      <c r="T335" s="14"/>
      <c r="U335" s="13">
        <f t="shared" si="16"/>
        <v>546</v>
      </c>
      <c r="V335" s="25">
        <v>96.3</v>
      </c>
      <c r="W335" s="15">
        <f t="shared" si="17"/>
        <v>52579.799999999996</v>
      </c>
    </row>
    <row r="336" spans="1:23" s="154" customFormat="1" x14ac:dyDescent="0.25">
      <c r="A336" s="223">
        <v>51</v>
      </c>
      <c r="B336" s="94" t="s">
        <v>133</v>
      </c>
      <c r="C336" s="38">
        <v>1</v>
      </c>
      <c r="D336" s="25">
        <v>182</v>
      </c>
      <c r="E336" s="14"/>
      <c r="F336" s="14"/>
      <c r="G336" s="14"/>
      <c r="H336" s="72"/>
      <c r="I336" s="14"/>
      <c r="J336" s="14"/>
      <c r="K336" s="14"/>
      <c r="L336" s="14"/>
      <c r="M336" s="14"/>
      <c r="N336" s="14"/>
      <c r="O336" s="14"/>
      <c r="P336" s="14"/>
      <c r="Q336" s="14"/>
      <c r="R336" s="14"/>
      <c r="S336" s="14"/>
      <c r="T336" s="14"/>
      <c r="U336" s="13">
        <f t="shared" ref="U336:U350" si="18">SUM(D336:T336)</f>
        <v>182</v>
      </c>
      <c r="V336" s="25">
        <v>204.7</v>
      </c>
      <c r="W336" s="15">
        <f t="shared" si="17"/>
        <v>37255.4</v>
      </c>
    </row>
    <row r="337" spans="1:24" s="154" customFormat="1" ht="30" x14ac:dyDescent="0.25">
      <c r="A337" s="224">
        <v>52</v>
      </c>
      <c r="B337" s="94" t="s">
        <v>155</v>
      </c>
      <c r="C337" s="38">
        <v>1</v>
      </c>
      <c r="D337" s="25">
        <v>182</v>
      </c>
      <c r="E337" s="14"/>
      <c r="F337" s="14"/>
      <c r="G337" s="14"/>
      <c r="H337" s="72"/>
      <c r="I337" s="14"/>
      <c r="J337" s="14"/>
      <c r="K337" s="14"/>
      <c r="L337" s="14"/>
      <c r="M337" s="14"/>
      <c r="N337" s="14"/>
      <c r="O337" s="14"/>
      <c r="P337" s="14"/>
      <c r="Q337" s="14"/>
      <c r="R337" s="14"/>
      <c r="S337" s="14"/>
      <c r="T337" s="14"/>
      <c r="U337" s="13">
        <f t="shared" si="18"/>
        <v>182</v>
      </c>
      <c r="V337" s="25">
        <v>213.1</v>
      </c>
      <c r="W337" s="15">
        <f t="shared" si="17"/>
        <v>38784.199999999997</v>
      </c>
    </row>
    <row r="338" spans="1:24" s="154" customFormat="1" ht="135" x14ac:dyDescent="0.25">
      <c r="A338" s="233">
        <v>53</v>
      </c>
      <c r="B338" s="94" t="s">
        <v>163</v>
      </c>
      <c r="C338" s="37">
        <v>1</v>
      </c>
      <c r="D338" s="25">
        <v>91</v>
      </c>
      <c r="E338" s="14"/>
      <c r="F338" s="14"/>
      <c r="G338" s="14"/>
      <c r="H338" s="72"/>
      <c r="I338" s="14"/>
      <c r="J338" s="14"/>
      <c r="K338" s="14"/>
      <c r="L338" s="14"/>
      <c r="M338" s="14"/>
      <c r="N338" s="14"/>
      <c r="O338" s="14"/>
      <c r="P338" s="14"/>
      <c r="Q338" s="14"/>
      <c r="R338" s="14"/>
      <c r="S338" s="14"/>
      <c r="T338" s="14"/>
      <c r="U338" s="13">
        <f t="shared" si="18"/>
        <v>91</v>
      </c>
      <c r="V338" s="25">
        <v>24422.65</v>
      </c>
      <c r="W338" s="15">
        <f t="shared" si="17"/>
        <v>2222461.15</v>
      </c>
    </row>
    <row r="339" spans="1:24" s="154" customFormat="1" ht="90.75" x14ac:dyDescent="0.25">
      <c r="A339" s="236">
        <v>54</v>
      </c>
      <c r="B339" s="94" t="s">
        <v>184</v>
      </c>
      <c r="C339" s="37">
        <v>1</v>
      </c>
      <c r="D339" s="25">
        <v>91</v>
      </c>
      <c r="E339" s="14"/>
      <c r="F339" s="14"/>
      <c r="G339" s="14"/>
      <c r="H339" s="72"/>
      <c r="I339" s="14"/>
      <c r="J339" s="14"/>
      <c r="K339" s="14"/>
      <c r="L339" s="14"/>
      <c r="M339" s="14"/>
      <c r="N339" s="14"/>
      <c r="O339" s="14"/>
      <c r="P339" s="14"/>
      <c r="Q339" s="14"/>
      <c r="R339" s="14"/>
      <c r="S339" s="14"/>
      <c r="T339" s="14"/>
      <c r="U339" s="13">
        <f t="shared" si="18"/>
        <v>91</v>
      </c>
      <c r="V339" s="25">
        <v>5616.25</v>
      </c>
      <c r="W339" s="15">
        <f t="shared" si="17"/>
        <v>511078.75</v>
      </c>
    </row>
    <row r="340" spans="1:24" s="154" customFormat="1" ht="90.75" x14ac:dyDescent="0.25">
      <c r="A340" s="225">
        <v>55</v>
      </c>
      <c r="B340" s="94" t="s">
        <v>185</v>
      </c>
      <c r="C340" s="37">
        <v>1</v>
      </c>
      <c r="D340" s="25">
        <v>364</v>
      </c>
      <c r="E340" s="14"/>
      <c r="F340" s="14"/>
      <c r="G340" s="14"/>
      <c r="H340" s="72"/>
      <c r="I340" s="14"/>
      <c r="J340" s="14"/>
      <c r="K340" s="14"/>
      <c r="L340" s="14"/>
      <c r="M340" s="14"/>
      <c r="N340" s="14"/>
      <c r="O340" s="14"/>
      <c r="P340" s="14"/>
      <c r="Q340" s="14"/>
      <c r="R340" s="14"/>
      <c r="S340" s="14"/>
      <c r="T340" s="14"/>
      <c r="U340" s="13">
        <f t="shared" si="18"/>
        <v>364</v>
      </c>
      <c r="V340" s="25">
        <v>1453.75</v>
      </c>
      <c r="W340" s="15">
        <f t="shared" si="17"/>
        <v>529165</v>
      </c>
    </row>
    <row r="341" spans="1:24" s="154" customFormat="1" ht="30" x14ac:dyDescent="0.25">
      <c r="A341" s="234">
        <v>56</v>
      </c>
      <c r="B341" s="94" t="s">
        <v>323</v>
      </c>
      <c r="C341" s="38">
        <v>1</v>
      </c>
      <c r="D341" s="25">
        <v>91</v>
      </c>
      <c r="E341" s="14"/>
      <c r="F341" s="14"/>
      <c r="G341" s="14"/>
      <c r="H341" s="72"/>
      <c r="I341" s="14"/>
      <c r="J341" s="14"/>
      <c r="K341" s="14"/>
      <c r="L341" s="14"/>
      <c r="M341" s="14"/>
      <c r="N341" s="14"/>
      <c r="O341" s="14"/>
      <c r="P341" s="14"/>
      <c r="Q341" s="14"/>
      <c r="R341" s="14"/>
      <c r="S341" s="14"/>
      <c r="T341" s="14"/>
      <c r="U341" s="13">
        <f t="shared" si="18"/>
        <v>91</v>
      </c>
      <c r="V341" s="25">
        <v>83.75</v>
      </c>
      <c r="W341" s="15">
        <f t="shared" si="17"/>
        <v>7621.25</v>
      </c>
    </row>
    <row r="342" spans="1:24" s="154" customFormat="1" ht="60" x14ac:dyDescent="0.25">
      <c r="A342" s="235">
        <v>57</v>
      </c>
      <c r="B342" s="94" t="s">
        <v>324</v>
      </c>
      <c r="C342" s="38">
        <v>1</v>
      </c>
      <c r="D342" s="25">
        <v>91</v>
      </c>
      <c r="E342" s="14"/>
      <c r="F342" s="14"/>
      <c r="G342" s="14"/>
      <c r="H342" s="72"/>
      <c r="I342" s="14"/>
      <c r="J342" s="14"/>
      <c r="K342" s="14"/>
      <c r="L342" s="14"/>
      <c r="M342" s="14"/>
      <c r="N342" s="14"/>
      <c r="O342" s="14"/>
      <c r="P342" s="14"/>
      <c r="Q342" s="14"/>
      <c r="R342" s="14"/>
      <c r="S342" s="14"/>
      <c r="T342" s="14"/>
      <c r="U342" s="13">
        <f t="shared" si="18"/>
        <v>91</v>
      </c>
      <c r="V342" s="25">
        <v>10815.4</v>
      </c>
      <c r="W342" s="15">
        <f t="shared" si="17"/>
        <v>984201.4</v>
      </c>
    </row>
    <row r="343" spans="1:24" s="154" customFormat="1" ht="60" x14ac:dyDescent="0.25">
      <c r="A343" s="237">
        <v>58</v>
      </c>
      <c r="B343" s="94" t="s">
        <v>325</v>
      </c>
      <c r="C343" s="38">
        <v>1</v>
      </c>
      <c r="D343" s="25">
        <v>91</v>
      </c>
      <c r="E343" s="14"/>
      <c r="F343" s="14"/>
      <c r="G343" s="14"/>
      <c r="H343" s="72"/>
      <c r="I343" s="14"/>
      <c r="J343" s="14"/>
      <c r="K343" s="14"/>
      <c r="L343" s="14"/>
      <c r="M343" s="14"/>
      <c r="N343" s="14"/>
      <c r="O343" s="14"/>
      <c r="P343" s="14"/>
      <c r="Q343" s="14"/>
      <c r="R343" s="14"/>
      <c r="S343" s="14"/>
      <c r="T343" s="14"/>
      <c r="U343" s="13">
        <f t="shared" si="18"/>
        <v>91</v>
      </c>
      <c r="V343" s="25">
        <v>663.65</v>
      </c>
      <c r="W343" s="15">
        <f t="shared" si="17"/>
        <v>60392.15</v>
      </c>
    </row>
    <row r="344" spans="1:24" s="154" customFormat="1" ht="60" x14ac:dyDescent="0.25">
      <c r="A344" s="238">
        <v>59</v>
      </c>
      <c r="B344" s="94" t="s">
        <v>139</v>
      </c>
      <c r="C344" s="37">
        <v>1</v>
      </c>
      <c r="D344" s="25">
        <v>546</v>
      </c>
      <c r="E344" s="14"/>
      <c r="F344" s="14"/>
      <c r="G344" s="14"/>
      <c r="H344" s="72"/>
      <c r="I344" s="14"/>
      <c r="J344" s="14"/>
      <c r="K344" s="14"/>
      <c r="L344" s="14"/>
      <c r="M344" s="14"/>
      <c r="N344" s="14"/>
      <c r="O344" s="14"/>
      <c r="P344" s="14"/>
      <c r="Q344" s="14"/>
      <c r="R344" s="14"/>
      <c r="S344" s="14"/>
      <c r="T344" s="14"/>
      <c r="U344" s="13">
        <f t="shared" si="18"/>
        <v>546</v>
      </c>
      <c r="V344" s="25">
        <v>1995.3</v>
      </c>
      <c r="W344" s="15">
        <f t="shared" si="17"/>
        <v>1089433.8</v>
      </c>
    </row>
    <row r="345" spans="1:24" ht="60" x14ac:dyDescent="0.25">
      <c r="A345" s="277">
        <v>60</v>
      </c>
      <c r="B345" s="94" t="s">
        <v>326</v>
      </c>
      <c r="C345" s="38">
        <v>1</v>
      </c>
      <c r="D345" s="25">
        <v>91</v>
      </c>
      <c r="E345" s="14"/>
      <c r="F345" s="14"/>
      <c r="G345" s="14"/>
      <c r="H345" s="72"/>
      <c r="I345" s="14"/>
      <c r="J345" s="14"/>
      <c r="K345" s="14"/>
      <c r="L345" s="14"/>
      <c r="M345" s="14"/>
      <c r="N345" s="14"/>
      <c r="O345" s="14"/>
      <c r="P345" s="14"/>
      <c r="Q345" s="14"/>
      <c r="R345" s="14"/>
      <c r="S345" s="14"/>
      <c r="T345" s="14"/>
      <c r="U345" s="13">
        <f t="shared" si="18"/>
        <v>91</v>
      </c>
      <c r="V345" s="25">
        <v>99800</v>
      </c>
      <c r="W345" s="15">
        <f t="shared" si="17"/>
        <v>9081800</v>
      </c>
    </row>
    <row r="346" spans="1:24" ht="75.75" x14ac:dyDescent="0.25">
      <c r="A346" s="240">
        <v>61</v>
      </c>
      <c r="B346" s="94" t="s">
        <v>36</v>
      </c>
      <c r="C346" s="22"/>
      <c r="D346" s="22"/>
      <c r="E346" s="22"/>
      <c r="F346" s="22"/>
      <c r="G346" s="22"/>
      <c r="H346" s="22"/>
      <c r="I346" s="22"/>
      <c r="J346" s="22"/>
      <c r="K346" s="22"/>
      <c r="L346" s="22"/>
      <c r="M346" s="22"/>
      <c r="N346" s="22"/>
      <c r="O346" s="22"/>
      <c r="P346" s="22"/>
      <c r="Q346" s="22"/>
      <c r="R346" s="22"/>
      <c r="S346" s="22"/>
      <c r="T346" s="22"/>
      <c r="U346" s="13">
        <f t="shared" si="18"/>
        <v>0</v>
      </c>
      <c r="V346" s="22"/>
      <c r="W346" s="22"/>
    </row>
    <row r="347" spans="1:24" x14ac:dyDescent="0.25">
      <c r="A347" s="253" t="s">
        <v>60</v>
      </c>
      <c r="B347" s="94" t="s">
        <v>61</v>
      </c>
      <c r="C347" s="12">
        <v>100</v>
      </c>
      <c r="D347" s="25">
        <v>11086.966799999998</v>
      </c>
      <c r="E347" s="14"/>
      <c r="F347" s="14"/>
      <c r="G347" s="14"/>
      <c r="H347" s="72"/>
      <c r="I347" s="14"/>
      <c r="J347" s="14"/>
      <c r="K347" s="14"/>
      <c r="L347" s="14"/>
      <c r="M347" s="14"/>
      <c r="N347" s="14"/>
      <c r="O347" s="14"/>
      <c r="P347" s="14"/>
      <c r="Q347" s="14"/>
      <c r="R347" s="14"/>
      <c r="S347" s="14"/>
      <c r="T347" s="14"/>
      <c r="U347" s="13">
        <f t="shared" si="18"/>
        <v>11086.966799999998</v>
      </c>
      <c r="V347" s="13">
        <v>14042.6</v>
      </c>
      <c r="W347" s="15">
        <f t="shared" si="17"/>
        <v>1556898.3998567997</v>
      </c>
    </row>
    <row r="348" spans="1:24" x14ac:dyDescent="0.25">
      <c r="A348" s="225" t="s">
        <v>37</v>
      </c>
      <c r="B348" s="94" t="s">
        <v>38</v>
      </c>
      <c r="C348" s="12">
        <v>100</v>
      </c>
      <c r="D348" s="25">
        <v>1566.5650000000001</v>
      </c>
      <c r="E348" s="14"/>
      <c r="F348" s="14"/>
      <c r="G348" s="14"/>
      <c r="H348" s="72"/>
      <c r="I348" s="14"/>
      <c r="J348" s="14"/>
      <c r="K348" s="14"/>
      <c r="L348" s="14"/>
      <c r="M348" s="14"/>
      <c r="N348" s="14"/>
      <c r="O348" s="14"/>
      <c r="P348" s="14"/>
      <c r="Q348" s="14"/>
      <c r="R348" s="14"/>
      <c r="S348" s="14"/>
      <c r="T348" s="14"/>
      <c r="U348" s="13">
        <f t="shared" si="18"/>
        <v>1566.5650000000001</v>
      </c>
      <c r="V348" s="13">
        <v>14042.6</v>
      </c>
      <c r="W348" s="15">
        <f t="shared" si="17"/>
        <v>219986.45668999999</v>
      </c>
    </row>
    <row r="349" spans="1:24" x14ac:dyDescent="0.25">
      <c r="A349" s="254" t="s">
        <v>63</v>
      </c>
      <c r="B349" s="94" t="s">
        <v>141</v>
      </c>
      <c r="C349" s="12">
        <v>100</v>
      </c>
      <c r="D349" s="25">
        <v>19117.498399999997</v>
      </c>
      <c r="E349" s="14"/>
      <c r="F349" s="14"/>
      <c r="G349" s="14"/>
      <c r="H349" s="72"/>
      <c r="I349" s="14"/>
      <c r="J349" s="14"/>
      <c r="K349" s="14"/>
      <c r="L349" s="14"/>
      <c r="M349" s="14"/>
      <c r="N349" s="14"/>
      <c r="O349" s="14"/>
      <c r="P349" s="14"/>
      <c r="Q349" s="14"/>
      <c r="R349" s="14"/>
      <c r="S349" s="14"/>
      <c r="T349" s="14"/>
      <c r="U349" s="13">
        <f t="shared" si="18"/>
        <v>19117.498399999997</v>
      </c>
      <c r="V349" s="13">
        <v>14042.6</v>
      </c>
      <c r="W349" s="15">
        <f t="shared" si="17"/>
        <v>2684593.8303183997</v>
      </c>
    </row>
    <row r="350" spans="1:24" x14ac:dyDescent="0.25">
      <c r="A350" s="300" t="s">
        <v>142</v>
      </c>
      <c r="B350" s="94" t="s">
        <v>143</v>
      </c>
      <c r="C350" s="12">
        <v>100</v>
      </c>
      <c r="D350" s="25">
        <v>971.75203124999996</v>
      </c>
      <c r="E350" s="14"/>
      <c r="F350" s="14"/>
      <c r="G350" s="14"/>
      <c r="H350" s="72"/>
      <c r="I350" s="14"/>
      <c r="J350" s="14"/>
      <c r="K350" s="14"/>
      <c r="L350" s="14"/>
      <c r="M350" s="14"/>
      <c r="N350" s="14"/>
      <c r="O350" s="14"/>
      <c r="P350" s="14"/>
      <c r="Q350" s="14"/>
      <c r="R350" s="14"/>
      <c r="S350" s="14"/>
      <c r="T350" s="14"/>
      <c r="U350" s="13">
        <f t="shared" si="18"/>
        <v>971.75203124999996</v>
      </c>
      <c r="V350" s="13">
        <v>14042.6</v>
      </c>
      <c r="W350" s="15">
        <f t="shared" si="17"/>
        <v>136459.25074031251</v>
      </c>
      <c r="X350" s="186">
        <f>SUM(W272:W350)</f>
        <v>157218842.13167644</v>
      </c>
    </row>
    <row r="351" spans="1:24" s="155" customFormat="1" ht="22.5" x14ac:dyDescent="0.25">
      <c r="A351" s="319">
        <v>12</v>
      </c>
      <c r="B351" s="198" t="s">
        <v>405</v>
      </c>
      <c r="C351" s="148"/>
      <c r="D351" s="148"/>
      <c r="E351" s="148"/>
      <c r="F351" s="148"/>
      <c r="G351" s="148"/>
      <c r="H351" s="148"/>
      <c r="I351" s="148"/>
      <c r="J351" s="148"/>
      <c r="K351" s="148"/>
      <c r="L351" s="148"/>
      <c r="M351" s="148"/>
      <c r="N351" s="148"/>
      <c r="O351" s="148"/>
      <c r="P351" s="148"/>
      <c r="Q351" s="148"/>
      <c r="R351" s="148"/>
      <c r="S351" s="148"/>
      <c r="T351" s="148"/>
      <c r="U351" s="148"/>
      <c r="V351" s="148"/>
      <c r="W351" s="148"/>
    </row>
    <row r="352" spans="1:24" s="155" customFormat="1" x14ac:dyDescent="0.25">
      <c r="A352" s="320">
        <v>1</v>
      </c>
      <c r="B352" s="138" t="s">
        <v>210</v>
      </c>
      <c r="C352" s="106">
        <v>1</v>
      </c>
      <c r="D352" s="4">
        <v>25</v>
      </c>
      <c r="E352" s="5"/>
      <c r="F352" s="5"/>
      <c r="G352" s="5"/>
      <c r="H352" s="76"/>
      <c r="I352" s="5"/>
      <c r="J352" s="5"/>
      <c r="K352" s="5"/>
      <c r="L352" s="5"/>
      <c r="M352" s="5"/>
      <c r="N352" s="5"/>
      <c r="O352" s="5"/>
      <c r="P352" s="5"/>
      <c r="Q352" s="5"/>
      <c r="R352" s="5"/>
      <c r="S352" s="5"/>
      <c r="T352" s="5"/>
      <c r="U352" s="13">
        <f t="shared" ref="U352:U406" si="19">SUM(D352:T352)</f>
        <v>25</v>
      </c>
      <c r="V352" s="5">
        <v>71344</v>
      </c>
      <c r="W352" s="105">
        <f>V352*U352/C352</f>
        <v>1783600</v>
      </c>
    </row>
    <row r="353" spans="1:24" s="155" customFormat="1" x14ac:dyDescent="0.25">
      <c r="A353" s="321">
        <v>2</v>
      </c>
      <c r="B353" s="138" t="s">
        <v>211</v>
      </c>
      <c r="C353" s="106">
        <v>1</v>
      </c>
      <c r="D353" s="4">
        <v>700</v>
      </c>
      <c r="E353" s="5"/>
      <c r="F353" s="5"/>
      <c r="G353" s="5"/>
      <c r="H353" s="76"/>
      <c r="I353" s="5"/>
      <c r="J353" s="5"/>
      <c r="K353" s="5"/>
      <c r="L353" s="5"/>
      <c r="M353" s="5"/>
      <c r="N353" s="5"/>
      <c r="O353" s="5"/>
      <c r="P353" s="5"/>
      <c r="Q353" s="5"/>
      <c r="R353" s="5"/>
      <c r="S353" s="5"/>
      <c r="T353" s="5"/>
      <c r="U353" s="13">
        <f t="shared" si="19"/>
        <v>700</v>
      </c>
      <c r="V353" s="5">
        <v>71680</v>
      </c>
      <c r="W353" s="15">
        <f t="shared" si="17"/>
        <v>50176000</v>
      </c>
    </row>
    <row r="354" spans="1:24" s="155" customFormat="1" x14ac:dyDescent="0.25">
      <c r="A354" s="322">
        <v>3</v>
      </c>
      <c r="B354" s="138" t="s">
        <v>212</v>
      </c>
      <c r="C354" s="106">
        <v>1</v>
      </c>
      <c r="D354" s="4">
        <v>700</v>
      </c>
      <c r="E354" s="5"/>
      <c r="F354" s="5"/>
      <c r="G354" s="5"/>
      <c r="H354" s="76"/>
      <c r="I354" s="5"/>
      <c r="J354" s="5"/>
      <c r="K354" s="5"/>
      <c r="L354" s="5"/>
      <c r="M354" s="5"/>
      <c r="N354" s="5"/>
      <c r="O354" s="5"/>
      <c r="P354" s="5"/>
      <c r="Q354" s="5"/>
      <c r="R354" s="5"/>
      <c r="S354" s="5"/>
      <c r="T354" s="5"/>
      <c r="U354" s="13">
        <f>700+120</f>
        <v>820</v>
      </c>
      <c r="V354" s="5">
        <v>5488</v>
      </c>
      <c r="W354" s="15">
        <f t="shared" si="17"/>
        <v>4500160</v>
      </c>
    </row>
    <row r="355" spans="1:24" s="155" customFormat="1" x14ac:dyDescent="0.25">
      <c r="A355" s="323">
        <v>4</v>
      </c>
      <c r="B355" s="138" t="s">
        <v>213</v>
      </c>
      <c r="C355" s="106">
        <v>1</v>
      </c>
      <c r="D355" s="4">
        <v>1000</v>
      </c>
      <c r="E355" s="5"/>
      <c r="F355" s="5"/>
      <c r="G355" s="5"/>
      <c r="H355" s="76"/>
      <c r="I355" s="5"/>
      <c r="J355" s="5"/>
      <c r="K355" s="5"/>
      <c r="L355" s="5"/>
      <c r="M355" s="5"/>
      <c r="N355" s="5"/>
      <c r="O355" s="5"/>
      <c r="P355" s="5"/>
      <c r="Q355" s="5"/>
      <c r="R355" s="5"/>
      <c r="S355" s="5"/>
      <c r="T355" s="5"/>
      <c r="U355" s="13">
        <v>1760</v>
      </c>
      <c r="V355" s="5">
        <v>8333</v>
      </c>
      <c r="W355" s="15">
        <f t="shared" si="17"/>
        <v>14666080</v>
      </c>
    </row>
    <row r="356" spans="1:24" s="155" customFormat="1" x14ac:dyDescent="0.25">
      <c r="A356" s="324">
        <v>5</v>
      </c>
      <c r="B356" s="138" t="s">
        <v>214</v>
      </c>
      <c r="C356" s="106">
        <v>1</v>
      </c>
      <c r="D356" s="4">
        <v>1500</v>
      </c>
      <c r="E356" s="5"/>
      <c r="F356" s="5"/>
      <c r="G356" s="5"/>
      <c r="H356" s="76"/>
      <c r="I356" s="5"/>
      <c r="J356" s="5"/>
      <c r="K356" s="5"/>
      <c r="L356" s="5"/>
      <c r="M356" s="5"/>
      <c r="N356" s="5"/>
      <c r="O356" s="5"/>
      <c r="P356" s="5"/>
      <c r="Q356" s="5"/>
      <c r="R356" s="5"/>
      <c r="S356" s="5"/>
      <c r="T356" s="5"/>
      <c r="U356" s="13">
        <f t="shared" si="19"/>
        <v>1500</v>
      </c>
      <c r="V356" s="5">
        <v>4250</v>
      </c>
      <c r="W356" s="15">
        <f t="shared" si="17"/>
        <v>6375000</v>
      </c>
    </row>
    <row r="357" spans="1:24" s="155" customFormat="1" x14ac:dyDescent="0.25">
      <c r="A357" s="325">
        <v>6</v>
      </c>
      <c r="B357" s="138" t="s">
        <v>215</v>
      </c>
      <c r="C357" s="106">
        <v>1</v>
      </c>
      <c r="D357" s="4">
        <v>1200</v>
      </c>
      <c r="E357" s="5"/>
      <c r="F357" s="5"/>
      <c r="G357" s="5"/>
      <c r="H357" s="76"/>
      <c r="I357" s="5"/>
      <c r="J357" s="5"/>
      <c r="K357" s="5"/>
      <c r="L357" s="5"/>
      <c r="M357" s="5"/>
      <c r="N357" s="5"/>
      <c r="O357" s="5"/>
      <c r="P357" s="5"/>
      <c r="Q357" s="5"/>
      <c r="R357" s="5"/>
      <c r="S357" s="5"/>
      <c r="T357" s="5"/>
      <c r="U357" s="13">
        <f t="shared" si="19"/>
        <v>1200</v>
      </c>
      <c r="V357" s="5">
        <v>609</v>
      </c>
      <c r="W357" s="15">
        <f t="shared" si="17"/>
        <v>730800</v>
      </c>
    </row>
    <row r="358" spans="1:24" s="155" customFormat="1" x14ac:dyDescent="0.25">
      <c r="A358" s="326">
        <v>7</v>
      </c>
      <c r="B358" s="138" t="s">
        <v>216</v>
      </c>
      <c r="C358" s="106">
        <v>1</v>
      </c>
      <c r="D358" s="4">
        <v>250</v>
      </c>
      <c r="E358" s="5"/>
      <c r="F358" s="5"/>
      <c r="G358" s="5"/>
      <c r="H358" s="76"/>
      <c r="I358" s="5"/>
      <c r="J358" s="5"/>
      <c r="K358" s="5"/>
      <c r="L358" s="5"/>
      <c r="M358" s="5"/>
      <c r="N358" s="5"/>
      <c r="O358" s="5"/>
      <c r="P358" s="5"/>
      <c r="Q358" s="5"/>
      <c r="R358" s="5"/>
      <c r="S358" s="5"/>
      <c r="T358" s="5"/>
      <c r="U358" s="13">
        <f>2100+250</f>
        <v>2350</v>
      </c>
      <c r="V358" s="5">
        <v>1797</v>
      </c>
      <c r="W358" s="15">
        <f t="shared" si="17"/>
        <v>4222950</v>
      </c>
    </row>
    <row r="359" spans="1:24" s="155" customFormat="1" x14ac:dyDescent="0.25">
      <c r="A359" s="327">
        <v>8</v>
      </c>
      <c r="B359" s="138" t="s">
        <v>217</v>
      </c>
      <c r="C359" s="106">
        <v>1</v>
      </c>
      <c r="D359" s="4">
        <v>1000</v>
      </c>
      <c r="E359" s="5"/>
      <c r="F359" s="5"/>
      <c r="G359" s="5"/>
      <c r="H359" s="76"/>
      <c r="I359" s="5"/>
      <c r="J359" s="5"/>
      <c r="K359" s="5"/>
      <c r="L359" s="5"/>
      <c r="M359" s="5"/>
      <c r="N359" s="5"/>
      <c r="O359" s="5"/>
      <c r="P359" s="5"/>
      <c r="Q359" s="5"/>
      <c r="R359" s="5"/>
      <c r="S359" s="5"/>
      <c r="T359" s="5"/>
      <c r="U359" s="13">
        <f t="shared" si="19"/>
        <v>1000</v>
      </c>
      <c r="V359" s="5">
        <v>599</v>
      </c>
      <c r="W359" s="15">
        <f t="shared" si="17"/>
        <v>599000</v>
      </c>
    </row>
    <row r="360" spans="1:24" s="155" customFormat="1" x14ac:dyDescent="0.25">
      <c r="A360" s="328">
        <v>9</v>
      </c>
      <c r="B360" s="138" t="s">
        <v>218</v>
      </c>
      <c r="C360" s="106">
        <v>1</v>
      </c>
      <c r="D360" s="4">
        <v>700</v>
      </c>
      <c r="E360" s="5"/>
      <c r="F360" s="5"/>
      <c r="G360" s="5"/>
      <c r="H360" s="76"/>
      <c r="I360" s="5"/>
      <c r="J360" s="5"/>
      <c r="K360" s="5"/>
      <c r="L360" s="5"/>
      <c r="M360" s="5"/>
      <c r="N360" s="5"/>
      <c r="O360" s="5"/>
      <c r="P360" s="5"/>
      <c r="Q360" s="5"/>
      <c r="R360" s="5"/>
      <c r="S360" s="5"/>
      <c r="T360" s="5"/>
      <c r="U360" s="13">
        <f t="shared" si="19"/>
        <v>700</v>
      </c>
      <c r="V360" s="5">
        <v>358</v>
      </c>
      <c r="W360" s="15">
        <f t="shared" si="17"/>
        <v>250600</v>
      </c>
    </row>
    <row r="361" spans="1:24" s="155" customFormat="1" x14ac:dyDescent="0.25">
      <c r="A361" s="329">
        <v>10</v>
      </c>
      <c r="B361" s="138" t="s">
        <v>219</v>
      </c>
      <c r="C361" s="106">
        <v>1</v>
      </c>
      <c r="D361" s="4">
        <v>500</v>
      </c>
      <c r="E361" s="5"/>
      <c r="F361" s="5"/>
      <c r="G361" s="5"/>
      <c r="H361" s="76"/>
      <c r="I361" s="5"/>
      <c r="J361" s="5"/>
      <c r="K361" s="5"/>
      <c r="L361" s="5"/>
      <c r="M361" s="5"/>
      <c r="N361" s="5"/>
      <c r="O361" s="5"/>
      <c r="P361" s="5"/>
      <c r="Q361" s="5"/>
      <c r="R361" s="5"/>
      <c r="S361" s="5"/>
      <c r="T361" s="5"/>
      <c r="U361" s="13">
        <f t="shared" si="19"/>
        <v>500</v>
      </c>
      <c r="V361" s="5">
        <v>208</v>
      </c>
      <c r="W361" s="15">
        <f t="shared" si="17"/>
        <v>104000</v>
      </c>
    </row>
    <row r="362" spans="1:24" s="155" customFormat="1" x14ac:dyDescent="0.25">
      <c r="A362" s="330">
        <v>11</v>
      </c>
      <c r="B362" s="138" t="s">
        <v>220</v>
      </c>
      <c r="C362" s="106">
        <v>1</v>
      </c>
      <c r="D362" s="4">
        <v>500</v>
      </c>
      <c r="E362" s="5"/>
      <c r="F362" s="5"/>
      <c r="G362" s="5"/>
      <c r="H362" s="76"/>
      <c r="I362" s="5"/>
      <c r="J362" s="5"/>
      <c r="K362" s="5"/>
      <c r="L362" s="5"/>
      <c r="M362" s="5"/>
      <c r="N362" s="5"/>
      <c r="O362" s="5"/>
      <c r="P362" s="5"/>
      <c r="Q362" s="5"/>
      <c r="R362" s="5"/>
      <c r="S362" s="5"/>
      <c r="T362" s="5"/>
      <c r="U362" s="13">
        <f t="shared" si="19"/>
        <v>500</v>
      </c>
      <c r="V362" s="5">
        <v>184</v>
      </c>
      <c r="W362" s="15">
        <f t="shared" si="17"/>
        <v>92000</v>
      </c>
    </row>
    <row r="363" spans="1:24" s="155" customFormat="1" x14ac:dyDescent="0.25">
      <c r="A363" s="331">
        <v>12</v>
      </c>
      <c r="B363" s="138" t="s">
        <v>221</v>
      </c>
      <c r="C363" s="106">
        <v>1</v>
      </c>
      <c r="D363" s="4">
        <v>200</v>
      </c>
      <c r="E363" s="5"/>
      <c r="F363" s="5"/>
      <c r="G363" s="5"/>
      <c r="H363" s="76"/>
      <c r="I363" s="5"/>
      <c r="J363" s="5"/>
      <c r="K363" s="5"/>
      <c r="L363" s="5"/>
      <c r="M363" s="5"/>
      <c r="N363" s="5"/>
      <c r="O363" s="5"/>
      <c r="P363" s="5"/>
      <c r="Q363" s="5"/>
      <c r="R363" s="5"/>
      <c r="S363" s="5"/>
      <c r="T363" s="5"/>
      <c r="U363" s="13">
        <f t="shared" si="19"/>
        <v>200</v>
      </c>
      <c r="V363" s="5">
        <v>49</v>
      </c>
      <c r="W363" s="15">
        <f t="shared" si="17"/>
        <v>9800</v>
      </c>
    </row>
    <row r="364" spans="1:24" s="155" customFormat="1" x14ac:dyDescent="0.25">
      <c r="A364" s="332">
        <v>13</v>
      </c>
      <c r="B364" s="138" t="s">
        <v>222</v>
      </c>
      <c r="C364" s="106">
        <v>1</v>
      </c>
      <c r="D364" s="4">
        <v>150</v>
      </c>
      <c r="E364" s="5"/>
      <c r="F364" s="5"/>
      <c r="G364" s="5"/>
      <c r="H364" s="76"/>
      <c r="I364" s="5"/>
      <c r="J364" s="5"/>
      <c r="K364" s="5"/>
      <c r="L364" s="5"/>
      <c r="M364" s="5"/>
      <c r="N364" s="5"/>
      <c r="O364" s="5"/>
      <c r="P364" s="5"/>
      <c r="Q364" s="5"/>
      <c r="R364" s="5"/>
      <c r="S364" s="5"/>
      <c r="T364" s="5"/>
      <c r="U364" s="13">
        <f t="shared" si="19"/>
        <v>150</v>
      </c>
      <c r="V364" s="5">
        <v>3935</v>
      </c>
      <c r="W364" s="15">
        <f t="shared" si="17"/>
        <v>590250</v>
      </c>
    </row>
    <row r="365" spans="1:24" s="155" customFormat="1" x14ac:dyDescent="0.25">
      <c r="A365" s="333">
        <v>14</v>
      </c>
      <c r="B365" s="138" t="s">
        <v>223</v>
      </c>
      <c r="C365" s="107">
        <v>1</v>
      </c>
      <c r="D365" s="4">
        <v>1200</v>
      </c>
      <c r="E365" s="5"/>
      <c r="F365" s="5"/>
      <c r="G365" s="5"/>
      <c r="H365" s="76"/>
      <c r="I365" s="5"/>
      <c r="J365" s="5"/>
      <c r="K365" s="5"/>
      <c r="L365" s="5"/>
      <c r="M365" s="5"/>
      <c r="N365" s="5"/>
      <c r="O365" s="5"/>
      <c r="P365" s="5"/>
      <c r="Q365" s="5"/>
      <c r="R365" s="5"/>
      <c r="S365" s="5"/>
      <c r="T365" s="5"/>
      <c r="U365" s="13">
        <f>1200+670</f>
        <v>1870</v>
      </c>
      <c r="V365" s="5">
        <v>399</v>
      </c>
      <c r="W365" s="15">
        <f t="shared" si="17"/>
        <v>746130</v>
      </c>
    </row>
    <row r="366" spans="1:24" s="155" customFormat="1" x14ac:dyDescent="0.25">
      <c r="A366" s="334">
        <v>15</v>
      </c>
      <c r="B366" s="138" t="s">
        <v>224</v>
      </c>
      <c r="C366" s="106">
        <v>1</v>
      </c>
      <c r="D366" s="4">
        <v>55000</v>
      </c>
      <c r="E366" s="5"/>
      <c r="F366" s="5"/>
      <c r="G366" s="5"/>
      <c r="H366" s="76"/>
      <c r="I366" s="5"/>
      <c r="J366" s="5"/>
      <c r="K366" s="5"/>
      <c r="L366" s="5"/>
      <c r="M366" s="5"/>
      <c r="N366" s="5"/>
      <c r="O366" s="5"/>
      <c r="P366" s="5"/>
      <c r="Q366" s="5"/>
      <c r="R366" s="5"/>
      <c r="S366" s="5"/>
      <c r="T366" s="5"/>
      <c r="U366" s="13">
        <f>55000+3200</f>
        <v>58200</v>
      </c>
      <c r="V366" s="5">
        <v>246</v>
      </c>
      <c r="W366" s="15">
        <f t="shared" si="17"/>
        <v>14317200</v>
      </c>
      <c r="X366" s="155">
        <f>SUM(W352:W366)</f>
        <v>99163570</v>
      </c>
    </row>
    <row r="367" spans="1:24" s="155" customFormat="1" x14ac:dyDescent="0.25">
      <c r="A367" s="335">
        <v>16</v>
      </c>
      <c r="B367" s="138" t="s">
        <v>225</v>
      </c>
      <c r="C367" s="106">
        <v>1</v>
      </c>
      <c r="D367" s="4">
        <v>2</v>
      </c>
      <c r="E367" s="5"/>
      <c r="F367" s="5"/>
      <c r="G367" s="5"/>
      <c r="H367" s="76"/>
      <c r="I367" s="5"/>
      <c r="J367" s="5"/>
      <c r="K367" s="5"/>
      <c r="L367" s="5"/>
      <c r="M367" s="5"/>
      <c r="N367" s="5"/>
      <c r="O367" s="5"/>
      <c r="P367" s="5"/>
      <c r="Q367" s="5"/>
      <c r="R367" s="5"/>
      <c r="S367" s="5"/>
      <c r="T367" s="5"/>
      <c r="U367" s="13">
        <f t="shared" si="19"/>
        <v>2</v>
      </c>
      <c r="V367" s="5">
        <v>2189000</v>
      </c>
      <c r="W367" s="15">
        <f t="shared" si="17"/>
        <v>4378000</v>
      </c>
      <c r="X367" s="188">
        <f>SUM(W367:W379)</f>
        <v>40158955</v>
      </c>
    </row>
    <row r="368" spans="1:24" s="155" customFormat="1" x14ac:dyDescent="0.25">
      <c r="A368" s="336">
        <v>17</v>
      </c>
      <c r="B368" s="138" t="s">
        <v>226</v>
      </c>
      <c r="C368" s="106">
        <v>1</v>
      </c>
      <c r="D368" s="4">
        <v>5</v>
      </c>
      <c r="E368" s="5"/>
      <c r="F368" s="5"/>
      <c r="G368" s="5"/>
      <c r="H368" s="76"/>
      <c r="I368" s="5"/>
      <c r="J368" s="5"/>
      <c r="K368" s="5"/>
      <c r="L368" s="5"/>
      <c r="M368" s="5"/>
      <c r="N368" s="5"/>
      <c r="O368" s="5"/>
      <c r="P368" s="5"/>
      <c r="Q368" s="5"/>
      <c r="R368" s="5"/>
      <c r="S368" s="5"/>
      <c r="T368" s="5"/>
      <c r="U368" s="13">
        <f t="shared" si="19"/>
        <v>5</v>
      </c>
      <c r="V368" s="5">
        <v>506760</v>
      </c>
      <c r="W368" s="15">
        <f t="shared" si="17"/>
        <v>2533800</v>
      </c>
    </row>
    <row r="369" spans="1:23" s="155" customFormat="1" x14ac:dyDescent="0.25">
      <c r="A369" s="337">
        <v>18</v>
      </c>
      <c r="B369" s="138" t="s">
        <v>227</v>
      </c>
      <c r="C369" s="106">
        <v>1</v>
      </c>
      <c r="D369" s="4">
        <v>5</v>
      </c>
      <c r="E369" s="5"/>
      <c r="F369" s="5"/>
      <c r="G369" s="5"/>
      <c r="H369" s="76"/>
      <c r="I369" s="5"/>
      <c r="J369" s="5"/>
      <c r="K369" s="5"/>
      <c r="L369" s="5"/>
      <c r="M369" s="5"/>
      <c r="N369" s="5"/>
      <c r="O369" s="5"/>
      <c r="P369" s="5"/>
      <c r="Q369" s="5"/>
      <c r="R369" s="5"/>
      <c r="S369" s="5"/>
      <c r="T369" s="5"/>
      <c r="U369" s="13">
        <f t="shared" si="19"/>
        <v>5</v>
      </c>
      <c r="V369" s="5">
        <v>400567</v>
      </c>
      <c r="W369" s="15">
        <f t="shared" si="17"/>
        <v>2002835</v>
      </c>
    </row>
    <row r="370" spans="1:23" s="155" customFormat="1" x14ac:dyDescent="0.25">
      <c r="A370" s="338">
        <v>19</v>
      </c>
      <c r="B370" s="138" t="s">
        <v>228</v>
      </c>
      <c r="C370" s="106">
        <v>1</v>
      </c>
      <c r="D370" s="4">
        <v>40</v>
      </c>
      <c r="E370" s="5"/>
      <c r="F370" s="5"/>
      <c r="G370" s="5"/>
      <c r="H370" s="76"/>
      <c r="I370" s="5"/>
      <c r="J370" s="5"/>
      <c r="K370" s="5"/>
      <c r="L370" s="5"/>
      <c r="M370" s="5"/>
      <c r="N370" s="5"/>
      <c r="O370" s="5"/>
      <c r="P370" s="5"/>
      <c r="Q370" s="5"/>
      <c r="R370" s="5"/>
      <c r="S370" s="5"/>
      <c r="T370" s="5"/>
      <c r="U370" s="13">
        <f t="shared" si="19"/>
        <v>40</v>
      </c>
      <c r="V370" s="5">
        <v>286340</v>
      </c>
      <c r="W370" s="15">
        <f t="shared" si="17"/>
        <v>11453600</v>
      </c>
    </row>
    <row r="371" spans="1:23" s="155" customFormat="1" x14ac:dyDescent="0.25">
      <c r="A371" s="339">
        <v>23</v>
      </c>
      <c r="B371" s="138" t="s">
        <v>229</v>
      </c>
      <c r="C371" s="106">
        <v>1</v>
      </c>
      <c r="D371" s="4">
        <v>60</v>
      </c>
      <c r="E371" s="5"/>
      <c r="F371" s="5"/>
      <c r="G371" s="5"/>
      <c r="H371" s="76"/>
      <c r="I371" s="5"/>
      <c r="J371" s="5"/>
      <c r="K371" s="5"/>
      <c r="L371" s="5"/>
      <c r="M371" s="5"/>
      <c r="N371" s="5"/>
      <c r="O371" s="5"/>
      <c r="P371" s="5"/>
      <c r="Q371" s="5"/>
      <c r="R371" s="5"/>
      <c r="S371" s="5"/>
      <c r="T371" s="5"/>
      <c r="U371" s="13">
        <f t="shared" si="19"/>
        <v>60</v>
      </c>
      <c r="V371" s="5">
        <v>24290</v>
      </c>
      <c r="W371" s="15">
        <f t="shared" si="17"/>
        <v>1457400</v>
      </c>
    </row>
    <row r="372" spans="1:23" s="155" customFormat="1" x14ac:dyDescent="0.25">
      <c r="A372" s="340">
        <v>25</v>
      </c>
      <c r="B372" s="138" t="s">
        <v>230</v>
      </c>
      <c r="C372" s="106">
        <v>1</v>
      </c>
      <c r="D372" s="4">
        <v>500</v>
      </c>
      <c r="E372" s="5"/>
      <c r="F372" s="5"/>
      <c r="G372" s="5"/>
      <c r="H372" s="76"/>
      <c r="I372" s="5"/>
      <c r="J372" s="5"/>
      <c r="K372" s="5"/>
      <c r="L372" s="5"/>
      <c r="M372" s="5"/>
      <c r="N372" s="5"/>
      <c r="O372" s="5"/>
      <c r="P372" s="5"/>
      <c r="Q372" s="5"/>
      <c r="R372" s="5"/>
      <c r="S372" s="5"/>
      <c r="T372" s="5"/>
      <c r="U372" s="13">
        <f t="shared" si="19"/>
        <v>500</v>
      </c>
      <c r="V372" s="5">
        <v>198</v>
      </c>
      <c r="W372" s="15">
        <f t="shared" si="17"/>
        <v>99000</v>
      </c>
    </row>
    <row r="373" spans="1:23" s="155" customFormat="1" x14ac:dyDescent="0.25">
      <c r="A373" s="341">
        <v>26</v>
      </c>
      <c r="B373" s="138" t="s">
        <v>231</v>
      </c>
      <c r="C373" s="106">
        <v>1</v>
      </c>
      <c r="D373" s="4">
        <v>150</v>
      </c>
      <c r="E373" s="5"/>
      <c r="F373" s="5"/>
      <c r="G373" s="5"/>
      <c r="H373" s="76"/>
      <c r="I373" s="5"/>
      <c r="J373" s="5"/>
      <c r="K373" s="5"/>
      <c r="L373" s="5"/>
      <c r="M373" s="5"/>
      <c r="N373" s="5"/>
      <c r="O373" s="5"/>
      <c r="P373" s="5"/>
      <c r="Q373" s="5"/>
      <c r="R373" s="5"/>
      <c r="S373" s="5"/>
      <c r="T373" s="5"/>
      <c r="U373" s="13">
        <f t="shared" si="19"/>
        <v>150</v>
      </c>
      <c r="V373" s="5">
        <v>18250</v>
      </c>
      <c r="W373" s="15">
        <f t="shared" si="17"/>
        <v>2737500</v>
      </c>
    </row>
    <row r="374" spans="1:23" s="155" customFormat="1" x14ac:dyDescent="0.25">
      <c r="A374" s="342">
        <v>27</v>
      </c>
      <c r="B374" s="138" t="s">
        <v>232</v>
      </c>
      <c r="C374" s="106">
        <v>1</v>
      </c>
      <c r="D374" s="4">
        <v>50</v>
      </c>
      <c r="E374" s="5"/>
      <c r="F374" s="5"/>
      <c r="G374" s="5"/>
      <c r="H374" s="76"/>
      <c r="I374" s="5"/>
      <c r="J374" s="5"/>
      <c r="K374" s="5"/>
      <c r="L374" s="5"/>
      <c r="M374" s="5"/>
      <c r="N374" s="5"/>
      <c r="O374" s="5"/>
      <c r="P374" s="5"/>
      <c r="Q374" s="5"/>
      <c r="R374" s="5"/>
      <c r="S374" s="5"/>
      <c r="T374" s="5"/>
      <c r="U374" s="13">
        <f t="shared" si="19"/>
        <v>50</v>
      </c>
      <c r="V374" s="5">
        <v>4770</v>
      </c>
      <c r="W374" s="15">
        <f t="shared" si="17"/>
        <v>238500</v>
      </c>
    </row>
    <row r="375" spans="1:23" s="155" customFormat="1" x14ac:dyDescent="0.25">
      <c r="A375" s="343">
        <v>28</v>
      </c>
      <c r="B375" s="138" t="s">
        <v>233</v>
      </c>
      <c r="C375" s="106">
        <v>1</v>
      </c>
      <c r="D375" s="4">
        <v>50</v>
      </c>
      <c r="E375" s="5"/>
      <c r="F375" s="5"/>
      <c r="G375" s="5"/>
      <c r="H375" s="76"/>
      <c r="I375" s="5"/>
      <c r="J375" s="5"/>
      <c r="K375" s="5"/>
      <c r="L375" s="5"/>
      <c r="M375" s="5"/>
      <c r="N375" s="5"/>
      <c r="O375" s="5"/>
      <c r="P375" s="5"/>
      <c r="Q375" s="5"/>
      <c r="R375" s="5"/>
      <c r="S375" s="5"/>
      <c r="T375" s="5"/>
      <c r="U375" s="13">
        <f t="shared" si="19"/>
        <v>50</v>
      </c>
      <c r="V375" s="5">
        <v>10900</v>
      </c>
      <c r="W375" s="15">
        <f t="shared" si="17"/>
        <v>545000</v>
      </c>
    </row>
    <row r="376" spans="1:23" s="155" customFormat="1" x14ac:dyDescent="0.25">
      <c r="A376" s="344">
        <v>29</v>
      </c>
      <c r="B376" s="138" t="s">
        <v>234</v>
      </c>
      <c r="C376" s="106">
        <v>1</v>
      </c>
      <c r="D376" s="4">
        <v>500</v>
      </c>
      <c r="E376" s="5"/>
      <c r="F376" s="5"/>
      <c r="G376" s="5"/>
      <c r="H376" s="76"/>
      <c r="I376" s="5"/>
      <c r="J376" s="5"/>
      <c r="K376" s="5"/>
      <c r="L376" s="5"/>
      <c r="M376" s="5"/>
      <c r="N376" s="5"/>
      <c r="O376" s="5"/>
      <c r="P376" s="5"/>
      <c r="Q376" s="5"/>
      <c r="R376" s="5"/>
      <c r="S376" s="5"/>
      <c r="T376" s="5"/>
      <c r="U376" s="13">
        <f t="shared" si="19"/>
        <v>500</v>
      </c>
      <c r="V376" s="5">
        <v>23650</v>
      </c>
      <c r="W376" s="15">
        <f t="shared" si="17"/>
        <v>11825000</v>
      </c>
    </row>
    <row r="377" spans="1:23" s="155" customFormat="1" ht="47.25" x14ac:dyDescent="0.25">
      <c r="A377" s="345">
        <v>30</v>
      </c>
      <c r="B377" s="138" t="s">
        <v>235</v>
      </c>
      <c r="C377" s="106">
        <v>1</v>
      </c>
      <c r="D377" s="4">
        <v>200</v>
      </c>
      <c r="E377" s="5"/>
      <c r="F377" s="5"/>
      <c r="G377" s="5"/>
      <c r="H377" s="76"/>
      <c r="I377" s="5"/>
      <c r="J377" s="5"/>
      <c r="K377" s="5"/>
      <c r="L377" s="5"/>
      <c r="M377" s="5"/>
      <c r="N377" s="5"/>
      <c r="O377" s="5"/>
      <c r="P377" s="5"/>
      <c r="Q377" s="5"/>
      <c r="R377" s="5"/>
      <c r="S377" s="5"/>
      <c r="T377" s="5"/>
      <c r="U377" s="13">
        <f t="shared" si="19"/>
        <v>200</v>
      </c>
      <c r="V377" s="5">
        <v>3378.5</v>
      </c>
      <c r="W377" s="15">
        <f t="shared" si="17"/>
        <v>675700</v>
      </c>
    </row>
    <row r="378" spans="1:23" s="155" customFormat="1" ht="63" x14ac:dyDescent="0.25">
      <c r="A378" s="346">
        <v>31</v>
      </c>
      <c r="B378" s="138" t="s">
        <v>236</v>
      </c>
      <c r="C378" s="106">
        <v>1</v>
      </c>
      <c r="D378" s="4">
        <v>200</v>
      </c>
      <c r="E378" s="5"/>
      <c r="F378" s="5"/>
      <c r="G378" s="5"/>
      <c r="H378" s="76"/>
      <c r="I378" s="5"/>
      <c r="J378" s="5"/>
      <c r="K378" s="5"/>
      <c r="L378" s="5"/>
      <c r="M378" s="5"/>
      <c r="N378" s="5"/>
      <c r="O378" s="5"/>
      <c r="P378" s="5"/>
      <c r="Q378" s="5"/>
      <c r="R378" s="5"/>
      <c r="S378" s="5"/>
      <c r="T378" s="5"/>
      <c r="U378" s="13">
        <f t="shared" si="19"/>
        <v>200</v>
      </c>
      <c r="V378" s="5">
        <v>6949.8</v>
      </c>
      <c r="W378" s="15">
        <f t="shared" si="17"/>
        <v>1389960</v>
      </c>
    </row>
    <row r="379" spans="1:23" s="155" customFormat="1" ht="31.5" x14ac:dyDescent="0.25">
      <c r="A379" s="347">
        <v>32</v>
      </c>
      <c r="B379" s="138" t="s">
        <v>237</v>
      </c>
      <c r="C379" s="106">
        <v>1</v>
      </c>
      <c r="D379" s="4">
        <v>200</v>
      </c>
      <c r="E379" s="5"/>
      <c r="F379" s="5"/>
      <c r="G379" s="5"/>
      <c r="H379" s="76"/>
      <c r="I379" s="5"/>
      <c r="J379" s="5"/>
      <c r="K379" s="5"/>
      <c r="L379" s="5"/>
      <c r="M379" s="5"/>
      <c r="N379" s="5"/>
      <c r="O379" s="5"/>
      <c r="P379" s="5"/>
      <c r="Q379" s="5"/>
      <c r="R379" s="5"/>
      <c r="S379" s="5"/>
      <c r="T379" s="5"/>
      <c r="U379" s="13">
        <f t="shared" si="19"/>
        <v>200</v>
      </c>
      <c r="V379" s="5">
        <v>4113.3</v>
      </c>
      <c r="W379" s="15">
        <f t="shared" si="17"/>
        <v>822660</v>
      </c>
    </row>
    <row r="380" spans="1:23" s="155" customFormat="1" x14ac:dyDescent="0.25">
      <c r="A380" s="348">
        <v>33</v>
      </c>
      <c r="B380" s="138" t="s">
        <v>238</v>
      </c>
      <c r="C380" s="106">
        <v>1</v>
      </c>
      <c r="D380" s="4">
        <v>5000</v>
      </c>
      <c r="E380" s="5"/>
      <c r="F380" s="5"/>
      <c r="G380" s="5"/>
      <c r="H380" s="76"/>
      <c r="I380" s="5"/>
      <c r="J380" s="5"/>
      <c r="K380" s="5"/>
      <c r="L380" s="5"/>
      <c r="M380" s="5"/>
      <c r="N380" s="5"/>
      <c r="O380" s="5"/>
      <c r="P380" s="5"/>
      <c r="Q380" s="5"/>
      <c r="R380" s="5"/>
      <c r="S380" s="5"/>
      <c r="T380" s="5"/>
      <c r="U380" s="13">
        <f t="shared" si="19"/>
        <v>5000</v>
      </c>
      <c r="V380" s="5">
        <v>976</v>
      </c>
      <c r="W380" s="15">
        <f t="shared" si="17"/>
        <v>4880000</v>
      </c>
    </row>
    <row r="381" spans="1:23" s="155" customFormat="1" x14ac:dyDescent="0.25">
      <c r="A381" s="349">
        <v>34</v>
      </c>
      <c r="B381" s="138" t="s">
        <v>239</v>
      </c>
      <c r="C381" s="106">
        <v>1</v>
      </c>
      <c r="D381" s="4">
        <v>50</v>
      </c>
      <c r="E381" s="5"/>
      <c r="F381" s="5"/>
      <c r="G381" s="5"/>
      <c r="H381" s="76"/>
      <c r="I381" s="5"/>
      <c r="J381" s="5"/>
      <c r="K381" s="5"/>
      <c r="L381" s="5"/>
      <c r="M381" s="5"/>
      <c r="N381" s="5"/>
      <c r="O381" s="5"/>
      <c r="P381" s="5"/>
      <c r="Q381" s="5"/>
      <c r="R381" s="5"/>
      <c r="S381" s="5"/>
      <c r="T381" s="5"/>
      <c r="U381" s="13">
        <f t="shared" si="19"/>
        <v>50</v>
      </c>
      <c r="V381" s="5">
        <v>48900</v>
      </c>
      <c r="W381" s="15">
        <f t="shared" si="17"/>
        <v>2445000</v>
      </c>
    </row>
    <row r="382" spans="1:23" s="155" customFormat="1" x14ac:dyDescent="0.25">
      <c r="A382" s="350">
        <v>35</v>
      </c>
      <c r="B382" s="138" t="s">
        <v>240</v>
      </c>
      <c r="C382" s="106">
        <v>1</v>
      </c>
      <c r="D382" s="4">
        <v>10</v>
      </c>
      <c r="E382" s="5"/>
      <c r="F382" s="5"/>
      <c r="G382" s="5"/>
      <c r="H382" s="76"/>
      <c r="I382" s="5"/>
      <c r="J382" s="5"/>
      <c r="K382" s="5"/>
      <c r="L382" s="5"/>
      <c r="M382" s="5"/>
      <c r="N382" s="5"/>
      <c r="O382" s="5"/>
      <c r="P382" s="5"/>
      <c r="Q382" s="5"/>
      <c r="R382" s="5"/>
      <c r="S382" s="5"/>
      <c r="T382" s="5"/>
      <c r="U382" s="13">
        <f t="shared" si="19"/>
        <v>10</v>
      </c>
      <c r="V382" s="5">
        <v>31300</v>
      </c>
      <c r="W382" s="15">
        <f t="shared" si="17"/>
        <v>313000</v>
      </c>
    </row>
    <row r="383" spans="1:23" s="155" customFormat="1" x14ac:dyDescent="0.25">
      <c r="A383" s="351">
        <v>36</v>
      </c>
      <c r="B383" s="138" t="s">
        <v>241</v>
      </c>
      <c r="C383" s="106">
        <v>1</v>
      </c>
      <c r="D383" s="4">
        <v>20</v>
      </c>
      <c r="E383" s="5"/>
      <c r="F383" s="5"/>
      <c r="G383" s="5"/>
      <c r="H383" s="76"/>
      <c r="I383" s="5"/>
      <c r="J383" s="5"/>
      <c r="K383" s="5"/>
      <c r="L383" s="5"/>
      <c r="M383" s="5"/>
      <c r="N383" s="5"/>
      <c r="O383" s="5"/>
      <c r="P383" s="5"/>
      <c r="Q383" s="5"/>
      <c r="R383" s="5"/>
      <c r="S383" s="5"/>
      <c r="T383" s="5"/>
      <c r="U383" s="13">
        <f t="shared" si="19"/>
        <v>20</v>
      </c>
      <c r="V383" s="5">
        <v>5488</v>
      </c>
      <c r="W383" s="15">
        <f t="shared" si="17"/>
        <v>109760</v>
      </c>
    </row>
    <row r="384" spans="1:23" s="155" customFormat="1" x14ac:dyDescent="0.25">
      <c r="A384" s="352">
        <v>37</v>
      </c>
      <c r="B384" s="138" t="s">
        <v>242</v>
      </c>
      <c r="C384" s="106">
        <v>1</v>
      </c>
      <c r="D384" s="4">
        <v>80</v>
      </c>
      <c r="E384" s="5"/>
      <c r="F384" s="5"/>
      <c r="G384" s="5"/>
      <c r="H384" s="76"/>
      <c r="I384" s="5"/>
      <c r="J384" s="5"/>
      <c r="K384" s="5"/>
      <c r="L384" s="5"/>
      <c r="M384" s="5"/>
      <c r="N384" s="5"/>
      <c r="O384" s="5"/>
      <c r="P384" s="5"/>
      <c r="Q384" s="5"/>
      <c r="R384" s="5"/>
      <c r="S384" s="5"/>
      <c r="T384" s="5"/>
      <c r="U384" s="13">
        <f t="shared" si="19"/>
        <v>80</v>
      </c>
      <c r="V384" s="5">
        <v>10530</v>
      </c>
      <c r="W384" s="15">
        <f t="shared" si="17"/>
        <v>842400</v>
      </c>
    </row>
    <row r="385" spans="1:25" s="155" customFormat="1" x14ac:dyDescent="0.25">
      <c r="A385" s="353">
        <v>38</v>
      </c>
      <c r="B385" s="138" t="s">
        <v>243</v>
      </c>
      <c r="C385" s="106">
        <v>1</v>
      </c>
      <c r="D385" s="4"/>
      <c r="E385" s="5"/>
      <c r="F385" s="5"/>
      <c r="G385" s="5"/>
      <c r="H385" s="76"/>
      <c r="I385" s="5"/>
      <c r="J385" s="5"/>
      <c r="K385" s="5"/>
      <c r="L385" s="5"/>
      <c r="M385" s="5"/>
      <c r="N385" s="5"/>
      <c r="O385" s="5"/>
      <c r="P385" s="5"/>
      <c r="Q385" s="5"/>
      <c r="R385" s="5"/>
      <c r="S385" s="5"/>
      <c r="T385" s="5"/>
      <c r="U385" s="13">
        <f t="shared" si="19"/>
        <v>0</v>
      </c>
      <c r="V385" s="5">
        <v>16263340</v>
      </c>
      <c r="W385" s="15">
        <f t="shared" ref="W385:W390" si="20">V385</f>
        <v>16263340</v>
      </c>
    </row>
    <row r="386" spans="1:25" s="155" customFormat="1" x14ac:dyDescent="0.25">
      <c r="A386" s="354">
        <v>39</v>
      </c>
      <c r="B386" s="138" t="s">
        <v>244</v>
      </c>
      <c r="C386" s="106">
        <v>1</v>
      </c>
      <c r="D386" s="4"/>
      <c r="E386" s="5"/>
      <c r="F386" s="5"/>
      <c r="G386" s="5"/>
      <c r="H386" s="76"/>
      <c r="I386" s="5"/>
      <c r="J386" s="5"/>
      <c r="K386" s="5"/>
      <c r="L386" s="5"/>
      <c r="M386" s="5"/>
      <c r="N386" s="5"/>
      <c r="O386" s="5"/>
      <c r="P386" s="5"/>
      <c r="Q386" s="5"/>
      <c r="R386" s="5"/>
      <c r="S386" s="5"/>
      <c r="T386" s="5"/>
      <c r="U386" s="13">
        <f t="shared" si="19"/>
        <v>0</v>
      </c>
      <c r="V386" s="5">
        <v>5598490</v>
      </c>
      <c r="W386" s="15">
        <f>V386</f>
        <v>5598490</v>
      </c>
    </row>
    <row r="387" spans="1:25" s="155" customFormat="1" x14ac:dyDescent="0.25">
      <c r="A387" s="355">
        <v>40</v>
      </c>
      <c r="B387" s="138" t="s">
        <v>245</v>
      </c>
      <c r="C387" s="106">
        <v>1</v>
      </c>
      <c r="D387" s="4"/>
      <c r="E387" s="5"/>
      <c r="F387" s="5"/>
      <c r="G387" s="5"/>
      <c r="H387" s="76"/>
      <c r="I387" s="5"/>
      <c r="J387" s="5"/>
      <c r="K387" s="5"/>
      <c r="L387" s="5"/>
      <c r="M387" s="5"/>
      <c r="N387" s="5"/>
      <c r="O387" s="5"/>
      <c r="P387" s="5"/>
      <c r="Q387" s="5"/>
      <c r="R387" s="5"/>
      <c r="S387" s="5"/>
      <c r="T387" s="5"/>
      <c r="U387" s="13">
        <f t="shared" si="19"/>
        <v>0</v>
      </c>
      <c r="V387" s="5">
        <v>1034832</v>
      </c>
      <c r="W387" s="15">
        <f t="shared" si="20"/>
        <v>1034832</v>
      </c>
    </row>
    <row r="388" spans="1:25" s="155" customFormat="1" x14ac:dyDescent="0.25">
      <c r="A388" s="356">
        <v>41</v>
      </c>
      <c r="B388" s="138" t="s">
        <v>246</v>
      </c>
      <c r="C388" s="106">
        <v>1</v>
      </c>
      <c r="D388" s="4"/>
      <c r="E388" s="5"/>
      <c r="F388" s="5"/>
      <c r="G388" s="5"/>
      <c r="H388" s="76"/>
      <c r="I388" s="5"/>
      <c r="J388" s="5"/>
      <c r="K388" s="5"/>
      <c r="L388" s="5"/>
      <c r="M388" s="5"/>
      <c r="N388" s="5"/>
      <c r="O388" s="5"/>
      <c r="P388" s="5"/>
      <c r="Q388" s="5"/>
      <c r="R388" s="5"/>
      <c r="S388" s="5"/>
      <c r="T388" s="5"/>
      <c r="U388" s="13">
        <f t="shared" si="19"/>
        <v>0</v>
      </c>
      <c r="V388" s="3">
        <v>8064000</v>
      </c>
      <c r="W388" s="15">
        <f t="shared" si="20"/>
        <v>8064000</v>
      </c>
    </row>
    <row r="389" spans="1:25" s="155" customFormat="1" x14ac:dyDescent="0.25">
      <c r="A389" s="357">
        <v>42</v>
      </c>
      <c r="B389" s="138" t="s">
        <v>247</v>
      </c>
      <c r="C389" s="106">
        <v>1</v>
      </c>
      <c r="D389" s="4"/>
      <c r="E389" s="5"/>
      <c r="F389" s="5"/>
      <c r="G389" s="5"/>
      <c r="H389" s="76"/>
      <c r="I389" s="5"/>
      <c r="J389" s="5"/>
      <c r="K389" s="5"/>
      <c r="L389" s="5"/>
      <c r="M389" s="5"/>
      <c r="N389" s="5"/>
      <c r="O389" s="5"/>
      <c r="P389" s="5"/>
      <c r="Q389" s="5"/>
      <c r="R389" s="5"/>
      <c r="S389" s="5"/>
      <c r="T389" s="5"/>
      <c r="U389" s="13">
        <f t="shared" si="19"/>
        <v>0</v>
      </c>
      <c r="V389" s="3">
        <v>42000000</v>
      </c>
      <c r="W389" s="15">
        <f t="shared" si="20"/>
        <v>42000000</v>
      </c>
    </row>
    <row r="390" spans="1:25" s="155" customFormat="1" x14ac:dyDescent="0.25">
      <c r="A390" s="358">
        <v>43</v>
      </c>
      <c r="B390" s="138" t="s">
        <v>248</v>
      </c>
      <c r="C390" s="106">
        <v>1</v>
      </c>
      <c r="D390" s="4"/>
      <c r="E390" s="5"/>
      <c r="F390" s="5"/>
      <c r="G390" s="5"/>
      <c r="H390" s="76"/>
      <c r="I390" s="5"/>
      <c r="J390" s="5"/>
      <c r="K390" s="5"/>
      <c r="L390" s="5"/>
      <c r="M390" s="5"/>
      <c r="N390" s="5"/>
      <c r="O390" s="5"/>
      <c r="P390" s="5"/>
      <c r="Q390" s="5"/>
      <c r="R390" s="5"/>
      <c r="S390" s="5"/>
      <c r="T390" s="5"/>
      <c r="U390" s="13">
        <f t="shared" si="19"/>
        <v>0</v>
      </c>
      <c r="V390" s="3">
        <v>2000000</v>
      </c>
      <c r="W390" s="15">
        <f t="shared" si="20"/>
        <v>2000000</v>
      </c>
      <c r="X390" s="155">
        <f>SUM(W352:W390)</f>
        <v>222873347</v>
      </c>
    </row>
    <row r="391" spans="1:25" s="155" customFormat="1" x14ac:dyDescent="0.25">
      <c r="A391" s="359">
        <v>44</v>
      </c>
      <c r="B391" s="138" t="s">
        <v>269</v>
      </c>
      <c r="C391" s="108">
        <v>1</v>
      </c>
      <c r="D391" s="103"/>
      <c r="E391" s="10"/>
      <c r="F391" s="10"/>
      <c r="G391" s="10"/>
      <c r="H391" s="75"/>
      <c r="I391" s="10"/>
      <c r="J391" s="10"/>
      <c r="K391" s="10"/>
      <c r="L391" s="10">
        <v>2</v>
      </c>
      <c r="M391" s="10"/>
      <c r="N391" s="10"/>
      <c r="O391" s="10"/>
      <c r="P391" s="10"/>
      <c r="Q391" s="10"/>
      <c r="R391" s="10"/>
      <c r="S391" s="10"/>
      <c r="T391" s="10"/>
      <c r="U391" s="13">
        <f t="shared" si="19"/>
        <v>2</v>
      </c>
      <c r="V391" s="5">
        <v>2375000</v>
      </c>
      <c r="W391" s="15">
        <f t="shared" si="17"/>
        <v>4750000</v>
      </c>
      <c r="X391" s="188">
        <f>SUM(W391:W409)</f>
        <v>13826383</v>
      </c>
      <c r="Y391" s="155">
        <v>14594316</v>
      </c>
    </row>
    <row r="392" spans="1:25" s="155" customFormat="1" x14ac:dyDescent="0.25">
      <c r="A392" s="320">
        <v>45</v>
      </c>
      <c r="B392" s="138" t="s">
        <v>263</v>
      </c>
      <c r="C392" s="108">
        <v>1</v>
      </c>
      <c r="D392" s="103"/>
      <c r="E392" s="10"/>
      <c r="F392" s="10"/>
      <c r="G392" s="10"/>
      <c r="H392" s="75">
        <v>1</v>
      </c>
      <c r="I392" s="10"/>
      <c r="J392" s="10">
        <v>1</v>
      </c>
      <c r="K392" s="10"/>
      <c r="L392" s="10"/>
      <c r="M392" s="10"/>
      <c r="N392" s="10"/>
      <c r="O392" s="10"/>
      <c r="P392" s="10"/>
      <c r="Q392" s="10"/>
      <c r="R392" s="10"/>
      <c r="S392" s="10"/>
      <c r="T392" s="10"/>
      <c r="U392" s="13">
        <f t="shared" si="19"/>
        <v>2</v>
      </c>
      <c r="V392" s="5">
        <v>904422</v>
      </c>
      <c r="W392" s="15">
        <f t="shared" si="17"/>
        <v>1808844</v>
      </c>
      <c r="Y392" s="189">
        <f>Y391-X391</f>
        <v>767933</v>
      </c>
    </row>
    <row r="393" spans="1:25" s="155" customFormat="1" x14ac:dyDescent="0.25">
      <c r="A393" s="321">
        <v>46</v>
      </c>
      <c r="B393" s="138" t="s">
        <v>264</v>
      </c>
      <c r="C393" s="108">
        <v>1</v>
      </c>
      <c r="D393" s="103"/>
      <c r="E393" s="10"/>
      <c r="F393" s="10"/>
      <c r="G393" s="10"/>
      <c r="H393" s="75">
        <v>1</v>
      </c>
      <c r="I393" s="10"/>
      <c r="J393" s="10">
        <v>1</v>
      </c>
      <c r="K393" s="10"/>
      <c r="L393" s="10">
        <v>5</v>
      </c>
      <c r="M393" s="10"/>
      <c r="N393" s="10"/>
      <c r="O393" s="10"/>
      <c r="P393" s="10"/>
      <c r="Q393" s="10"/>
      <c r="R393" s="10"/>
      <c r="S393" s="10"/>
      <c r="T393" s="10"/>
      <c r="U393" s="13">
        <f t="shared" si="19"/>
        <v>7</v>
      </c>
      <c r="V393" s="5">
        <v>24290</v>
      </c>
      <c r="W393" s="15">
        <f t="shared" si="17"/>
        <v>170030</v>
      </c>
    </row>
    <row r="394" spans="1:25" s="155" customFormat="1" x14ac:dyDescent="0.25">
      <c r="A394" s="322">
        <v>48</v>
      </c>
      <c r="B394" s="138" t="s">
        <v>265</v>
      </c>
      <c r="C394" s="108">
        <v>1</v>
      </c>
      <c r="D394" s="103"/>
      <c r="E394" s="10"/>
      <c r="F394" s="10"/>
      <c r="G394" s="10"/>
      <c r="H394" s="75">
        <v>1</v>
      </c>
      <c r="I394" s="10"/>
      <c r="J394" s="10">
        <v>1</v>
      </c>
      <c r="K394" s="10"/>
      <c r="L394" s="10">
        <v>25</v>
      </c>
      <c r="M394" s="10"/>
      <c r="N394" s="10"/>
      <c r="O394" s="10"/>
      <c r="P394" s="10"/>
      <c r="Q394" s="10"/>
      <c r="R394" s="10"/>
      <c r="S394" s="10"/>
      <c r="T394" s="10"/>
      <c r="U394" s="13">
        <f t="shared" si="19"/>
        <v>27</v>
      </c>
      <c r="V394" s="5">
        <v>23650</v>
      </c>
      <c r="W394" s="15">
        <f t="shared" si="17"/>
        <v>638550</v>
      </c>
    </row>
    <row r="395" spans="1:25" s="155" customFormat="1" x14ac:dyDescent="0.25">
      <c r="A395" s="323">
        <v>49</v>
      </c>
      <c r="B395" s="138" t="s">
        <v>266</v>
      </c>
      <c r="C395" s="108">
        <v>1</v>
      </c>
      <c r="D395" s="103"/>
      <c r="E395" s="10"/>
      <c r="F395" s="10"/>
      <c r="G395" s="10"/>
      <c r="H395" s="75">
        <v>2</v>
      </c>
      <c r="I395" s="10"/>
      <c r="J395" s="10">
        <v>2</v>
      </c>
      <c r="K395" s="10"/>
      <c r="L395" s="10">
        <v>3</v>
      </c>
      <c r="M395" s="10"/>
      <c r="N395" s="10"/>
      <c r="O395" s="10"/>
      <c r="P395" s="10"/>
      <c r="Q395" s="10"/>
      <c r="R395" s="10"/>
      <c r="S395" s="10"/>
      <c r="T395" s="10"/>
      <c r="U395" s="13">
        <f t="shared" si="19"/>
        <v>7</v>
      </c>
      <c r="V395" s="5">
        <v>31300</v>
      </c>
      <c r="W395" s="15">
        <f t="shared" ref="W395:W455" si="21">V395*U395/C395</f>
        <v>219100</v>
      </c>
    </row>
    <row r="396" spans="1:25" s="155" customFormat="1" x14ac:dyDescent="0.25">
      <c r="A396" s="324">
        <v>50</v>
      </c>
      <c r="B396" s="138" t="s">
        <v>267</v>
      </c>
      <c r="C396" s="108">
        <v>1</v>
      </c>
      <c r="D396" s="103"/>
      <c r="E396" s="10"/>
      <c r="F396" s="10"/>
      <c r="G396" s="10"/>
      <c r="H396" s="75">
        <v>8</v>
      </c>
      <c r="I396" s="10"/>
      <c r="J396" s="10">
        <v>8</v>
      </c>
      <c r="K396" s="10"/>
      <c r="L396" s="10">
        <v>12</v>
      </c>
      <c r="M396" s="10"/>
      <c r="N396" s="10"/>
      <c r="O396" s="10"/>
      <c r="P396" s="10"/>
      <c r="Q396" s="10"/>
      <c r="R396" s="10"/>
      <c r="S396" s="10"/>
      <c r="T396" s="10"/>
      <c r="U396" s="13">
        <f t="shared" si="19"/>
        <v>28</v>
      </c>
      <c r="V396" s="5">
        <v>10530</v>
      </c>
      <c r="W396" s="15">
        <f t="shared" si="21"/>
        <v>294840</v>
      </c>
    </row>
    <row r="397" spans="1:25" s="155" customFormat="1" x14ac:dyDescent="0.25">
      <c r="A397" s="325">
        <v>51</v>
      </c>
      <c r="B397" s="138" t="s">
        <v>249</v>
      </c>
      <c r="C397" s="108">
        <v>1</v>
      </c>
      <c r="D397" s="4">
        <v>1</v>
      </c>
      <c r="E397" s="5">
        <v>1</v>
      </c>
      <c r="F397" s="5">
        <v>1</v>
      </c>
      <c r="G397" s="5">
        <v>1</v>
      </c>
      <c r="H397" s="76"/>
      <c r="I397" s="5">
        <v>1</v>
      </c>
      <c r="J397" s="5"/>
      <c r="K397" s="5">
        <v>1</v>
      </c>
      <c r="L397" s="5"/>
      <c r="M397" s="5"/>
      <c r="N397" s="5"/>
      <c r="O397" s="5"/>
      <c r="P397" s="5"/>
      <c r="Q397" s="5"/>
      <c r="R397" s="5"/>
      <c r="S397" s="5"/>
      <c r="T397" s="5"/>
      <c r="U397" s="13">
        <f t="shared" si="19"/>
        <v>6</v>
      </c>
      <c r="V397" s="5">
        <v>286340</v>
      </c>
      <c r="W397" s="15">
        <f t="shared" si="21"/>
        <v>1718040</v>
      </c>
    </row>
    <row r="398" spans="1:25" s="155" customFormat="1" x14ac:dyDescent="0.25">
      <c r="A398" s="326">
        <v>52</v>
      </c>
      <c r="B398" s="138" t="s">
        <v>250</v>
      </c>
      <c r="C398" s="108">
        <v>1</v>
      </c>
      <c r="D398" s="4">
        <v>1</v>
      </c>
      <c r="E398" s="5">
        <v>1</v>
      </c>
      <c r="F398" s="5">
        <v>1</v>
      </c>
      <c r="G398" s="5">
        <v>1</v>
      </c>
      <c r="H398" s="76"/>
      <c r="I398" s="5">
        <v>1</v>
      </c>
      <c r="J398" s="5"/>
      <c r="K398" s="5">
        <v>1</v>
      </c>
      <c r="L398" s="5"/>
      <c r="M398" s="5"/>
      <c r="N398" s="5"/>
      <c r="O398" s="5"/>
      <c r="P398" s="5"/>
      <c r="Q398" s="5"/>
      <c r="R398" s="5"/>
      <c r="S398" s="5"/>
      <c r="T398" s="5"/>
      <c r="U398" s="13">
        <f t="shared" si="19"/>
        <v>6</v>
      </c>
      <c r="V398" s="5">
        <v>15786</v>
      </c>
      <c r="W398" s="15">
        <f t="shared" si="21"/>
        <v>94716</v>
      </c>
    </row>
    <row r="399" spans="1:25" s="155" customFormat="1" x14ac:dyDescent="0.25">
      <c r="A399" s="327">
        <v>53</v>
      </c>
      <c r="B399" s="138" t="s">
        <v>251</v>
      </c>
      <c r="C399" s="108">
        <v>1</v>
      </c>
      <c r="D399" s="4">
        <v>3</v>
      </c>
      <c r="E399" s="5">
        <v>1</v>
      </c>
      <c r="F399" s="5">
        <v>1</v>
      </c>
      <c r="G399" s="5">
        <v>4</v>
      </c>
      <c r="H399" s="76"/>
      <c r="I399" s="5">
        <v>1</v>
      </c>
      <c r="J399" s="5"/>
      <c r="K399" s="5">
        <v>1</v>
      </c>
      <c r="L399" s="5"/>
      <c r="M399" s="5"/>
      <c r="N399" s="5"/>
      <c r="O399" s="5"/>
      <c r="P399" s="5"/>
      <c r="Q399" s="5"/>
      <c r="R399" s="5"/>
      <c r="S399" s="5"/>
      <c r="T399" s="5"/>
      <c r="U399" s="13">
        <v>12</v>
      </c>
      <c r="V399" s="5">
        <v>33000</v>
      </c>
      <c r="W399" s="15">
        <f t="shared" si="21"/>
        <v>396000</v>
      </c>
    </row>
    <row r="400" spans="1:25" s="155" customFormat="1" x14ac:dyDescent="0.25">
      <c r="A400" s="360">
        <v>55</v>
      </c>
      <c r="B400" s="138" t="s">
        <v>252</v>
      </c>
      <c r="C400" s="108">
        <v>1</v>
      </c>
      <c r="D400" s="4">
        <v>3</v>
      </c>
      <c r="E400" s="5">
        <v>3</v>
      </c>
      <c r="F400" s="5">
        <v>3</v>
      </c>
      <c r="G400" s="5">
        <v>3</v>
      </c>
      <c r="H400" s="76">
        <v>3</v>
      </c>
      <c r="I400" s="5">
        <v>3</v>
      </c>
      <c r="J400" s="5">
        <v>3</v>
      </c>
      <c r="K400" s="5">
        <v>3</v>
      </c>
      <c r="L400" s="5">
        <v>9</v>
      </c>
      <c r="M400" s="5"/>
      <c r="N400" s="5"/>
      <c r="O400" s="5"/>
      <c r="P400" s="5"/>
      <c r="Q400" s="5"/>
      <c r="R400" s="5"/>
      <c r="S400" s="5"/>
      <c r="T400" s="5"/>
      <c r="U400" s="13">
        <f t="shared" si="19"/>
        <v>33</v>
      </c>
      <c r="V400" s="5">
        <v>18250</v>
      </c>
      <c r="W400" s="15">
        <f t="shared" si="21"/>
        <v>602250</v>
      </c>
    </row>
    <row r="401" spans="1:25" s="155" customFormat="1" x14ac:dyDescent="0.25">
      <c r="A401" s="361">
        <v>56</v>
      </c>
      <c r="B401" s="138" t="s">
        <v>253</v>
      </c>
      <c r="C401" s="107">
        <v>1</v>
      </c>
      <c r="D401" s="4">
        <v>930</v>
      </c>
      <c r="E401" s="5">
        <v>30</v>
      </c>
      <c r="F401" s="5">
        <v>380</v>
      </c>
      <c r="G401" s="5">
        <v>1130</v>
      </c>
      <c r="H401" s="76">
        <v>50</v>
      </c>
      <c r="I401" s="5">
        <v>380</v>
      </c>
      <c r="J401" s="5">
        <v>50</v>
      </c>
      <c r="K401" s="5">
        <v>290</v>
      </c>
      <c r="L401" s="5">
        <v>150</v>
      </c>
      <c r="M401" s="5"/>
      <c r="N401" s="5"/>
      <c r="O401" s="5"/>
      <c r="P401" s="5"/>
      <c r="Q401" s="5"/>
      <c r="R401" s="5"/>
      <c r="S401" s="5"/>
      <c r="T401" s="5"/>
      <c r="U401" s="13">
        <f t="shared" si="19"/>
        <v>3390</v>
      </c>
      <c r="V401" s="5">
        <v>245</v>
      </c>
      <c r="W401" s="15">
        <f t="shared" si="21"/>
        <v>830550</v>
      </c>
    </row>
    <row r="402" spans="1:25" s="155" customFormat="1" x14ac:dyDescent="0.25">
      <c r="A402" s="362">
        <v>57</v>
      </c>
      <c r="B402" s="138" t="s">
        <v>254</v>
      </c>
      <c r="C402" s="108">
        <v>1</v>
      </c>
      <c r="D402" s="4">
        <v>1</v>
      </c>
      <c r="E402" s="5">
        <v>1</v>
      </c>
      <c r="F402" s="5">
        <v>1</v>
      </c>
      <c r="G402" s="5">
        <v>1</v>
      </c>
      <c r="H402" s="76">
        <v>1</v>
      </c>
      <c r="I402" s="5">
        <v>1</v>
      </c>
      <c r="J402" s="5">
        <v>1</v>
      </c>
      <c r="K402" s="5">
        <v>1</v>
      </c>
      <c r="L402" s="5">
        <v>1</v>
      </c>
      <c r="M402" s="5"/>
      <c r="N402" s="5"/>
      <c r="O402" s="5"/>
      <c r="P402" s="5"/>
      <c r="Q402" s="5"/>
      <c r="R402" s="5"/>
      <c r="S402" s="5"/>
      <c r="T402" s="5"/>
      <c r="U402" s="13">
        <f t="shared" si="19"/>
        <v>9</v>
      </c>
      <c r="V402" s="5">
        <v>35200</v>
      </c>
      <c r="W402" s="15">
        <f t="shared" si="21"/>
        <v>316800</v>
      </c>
    </row>
    <row r="403" spans="1:25" s="155" customFormat="1" x14ac:dyDescent="0.25">
      <c r="A403" s="329">
        <v>58</v>
      </c>
      <c r="B403" s="138" t="s">
        <v>255</v>
      </c>
      <c r="C403" s="108">
        <v>1</v>
      </c>
      <c r="D403" s="4">
        <v>9</v>
      </c>
      <c r="E403" s="5">
        <v>6</v>
      </c>
      <c r="F403" s="5">
        <v>6</v>
      </c>
      <c r="G403" s="5">
        <v>12</v>
      </c>
      <c r="H403" s="76">
        <v>6</v>
      </c>
      <c r="I403" s="5">
        <v>6</v>
      </c>
      <c r="J403" s="5">
        <v>6</v>
      </c>
      <c r="K403" s="5">
        <v>6</v>
      </c>
      <c r="L403" s="5">
        <v>8</v>
      </c>
      <c r="M403" s="5"/>
      <c r="N403" s="5"/>
      <c r="O403" s="5"/>
      <c r="P403" s="5"/>
      <c r="Q403" s="5"/>
      <c r="R403" s="5"/>
      <c r="S403" s="5"/>
      <c r="T403" s="5"/>
      <c r="U403" s="13">
        <f t="shared" si="19"/>
        <v>65</v>
      </c>
      <c r="V403" s="5">
        <v>1797</v>
      </c>
      <c r="W403" s="15">
        <f t="shared" si="21"/>
        <v>116805</v>
      </c>
    </row>
    <row r="404" spans="1:25" s="155" customFormat="1" x14ac:dyDescent="0.25">
      <c r="A404" s="330">
        <v>59</v>
      </c>
      <c r="B404" s="138" t="s">
        <v>256</v>
      </c>
      <c r="C404" s="108">
        <v>1</v>
      </c>
      <c r="D404" s="4">
        <v>6</v>
      </c>
      <c r="E404" s="5"/>
      <c r="F404" s="5">
        <v>6</v>
      </c>
      <c r="G404" s="5">
        <v>6</v>
      </c>
      <c r="H404" s="76"/>
      <c r="I404" s="5">
        <v>6</v>
      </c>
      <c r="J404" s="5"/>
      <c r="K404" s="5">
        <v>6</v>
      </c>
      <c r="L404" s="5"/>
      <c r="M404" s="5"/>
      <c r="N404" s="5"/>
      <c r="O404" s="5"/>
      <c r="P404" s="5"/>
      <c r="Q404" s="5"/>
      <c r="R404" s="5"/>
      <c r="S404" s="5"/>
      <c r="T404" s="5"/>
      <c r="U404" s="13">
        <f t="shared" si="19"/>
        <v>30</v>
      </c>
      <c r="V404" s="5">
        <v>4250</v>
      </c>
      <c r="W404" s="15">
        <f t="shared" si="21"/>
        <v>127500</v>
      </c>
    </row>
    <row r="405" spans="1:25" s="155" customFormat="1" x14ac:dyDescent="0.25">
      <c r="A405" s="331">
        <v>60</v>
      </c>
      <c r="B405" s="138" t="s">
        <v>257</v>
      </c>
      <c r="C405" s="108">
        <v>1</v>
      </c>
      <c r="D405" s="4">
        <v>4</v>
      </c>
      <c r="E405" s="5"/>
      <c r="F405" s="5">
        <v>2</v>
      </c>
      <c r="G405" s="5">
        <v>4</v>
      </c>
      <c r="H405" s="76"/>
      <c r="I405" s="5">
        <v>2</v>
      </c>
      <c r="J405" s="5"/>
      <c r="K405" s="5">
        <v>2</v>
      </c>
      <c r="L405" s="5"/>
      <c r="M405" s="5"/>
      <c r="N405" s="5"/>
      <c r="O405" s="5"/>
      <c r="P405" s="5"/>
      <c r="Q405" s="5"/>
      <c r="R405" s="5"/>
      <c r="S405" s="5"/>
      <c r="T405" s="5"/>
      <c r="U405" s="13">
        <f t="shared" si="19"/>
        <v>14</v>
      </c>
      <c r="V405" s="5">
        <v>3591</v>
      </c>
      <c r="W405" s="15">
        <f t="shared" si="21"/>
        <v>50274</v>
      </c>
    </row>
    <row r="406" spans="1:25" s="155" customFormat="1" x14ac:dyDescent="0.25">
      <c r="A406" s="123">
        <v>62</v>
      </c>
      <c r="B406" s="138" t="s">
        <v>258</v>
      </c>
      <c r="C406" s="108">
        <v>1</v>
      </c>
      <c r="D406" s="4">
        <v>7</v>
      </c>
      <c r="E406" s="5">
        <v>3</v>
      </c>
      <c r="F406" s="5">
        <v>4</v>
      </c>
      <c r="G406" s="5">
        <v>8</v>
      </c>
      <c r="H406" s="76">
        <v>4</v>
      </c>
      <c r="I406" s="5">
        <v>4</v>
      </c>
      <c r="J406" s="5">
        <v>4</v>
      </c>
      <c r="K406" s="5">
        <v>4</v>
      </c>
      <c r="L406" s="5">
        <v>20</v>
      </c>
      <c r="M406" s="5"/>
      <c r="N406" s="5"/>
      <c r="O406" s="5"/>
      <c r="P406" s="5"/>
      <c r="Q406" s="5"/>
      <c r="R406" s="5"/>
      <c r="S406" s="5"/>
      <c r="T406" s="5"/>
      <c r="U406" s="13">
        <f t="shared" si="19"/>
        <v>58</v>
      </c>
      <c r="V406" s="5">
        <v>1498</v>
      </c>
      <c r="W406" s="15">
        <f t="shared" si="21"/>
        <v>86884</v>
      </c>
    </row>
    <row r="407" spans="1:25" s="155" customFormat="1" x14ac:dyDescent="0.25">
      <c r="A407" s="123">
        <v>63</v>
      </c>
      <c r="B407" s="138" t="s">
        <v>259</v>
      </c>
      <c r="C407" s="107">
        <v>1</v>
      </c>
      <c r="D407" s="4">
        <v>30</v>
      </c>
      <c r="E407" s="5">
        <v>30</v>
      </c>
      <c r="F407" s="5">
        <v>30</v>
      </c>
      <c r="G407" s="5">
        <v>30</v>
      </c>
      <c r="H407" s="76">
        <v>100</v>
      </c>
      <c r="I407" s="5">
        <v>100</v>
      </c>
      <c r="J407" s="5"/>
      <c r="K407" s="5">
        <v>200</v>
      </c>
      <c r="L407" s="5"/>
      <c r="M407" s="5"/>
      <c r="N407" s="5"/>
      <c r="O407" s="5"/>
      <c r="P407" s="5"/>
      <c r="Q407" s="5"/>
      <c r="R407" s="5"/>
      <c r="S407" s="5"/>
      <c r="T407" s="5"/>
      <c r="U407" s="13">
        <v>420</v>
      </c>
      <c r="V407" s="5">
        <v>435</v>
      </c>
      <c r="W407" s="15">
        <f t="shared" si="21"/>
        <v>182700</v>
      </c>
    </row>
    <row r="408" spans="1:25" s="155" customFormat="1" x14ac:dyDescent="0.25">
      <c r="A408" s="123">
        <v>64</v>
      </c>
      <c r="B408" s="138" t="s">
        <v>268</v>
      </c>
      <c r="C408" s="107">
        <v>1</v>
      </c>
      <c r="D408" s="4"/>
      <c r="E408" s="5"/>
      <c r="F408" s="5"/>
      <c r="G408" s="5"/>
      <c r="H408" s="76"/>
      <c r="I408" s="5"/>
      <c r="J408" s="5">
        <v>200</v>
      </c>
      <c r="K408" s="5"/>
      <c r="L408" s="5">
        <v>1000</v>
      </c>
      <c r="M408" s="5"/>
      <c r="N408" s="5"/>
      <c r="O408" s="5"/>
      <c r="P408" s="5"/>
      <c r="Q408" s="5"/>
      <c r="R408" s="5"/>
      <c r="S408" s="5"/>
      <c r="T408" s="5"/>
      <c r="U408" s="13">
        <v>1300</v>
      </c>
      <c r="V408" s="5">
        <v>975</v>
      </c>
      <c r="W408" s="15">
        <f t="shared" si="21"/>
        <v>1267500</v>
      </c>
    </row>
    <row r="409" spans="1:25" s="155" customFormat="1" x14ac:dyDescent="0.25">
      <c r="A409" s="123">
        <v>65</v>
      </c>
      <c r="B409" s="138" t="s">
        <v>260</v>
      </c>
      <c r="C409" s="110" t="s">
        <v>261</v>
      </c>
      <c r="D409" s="4">
        <v>1</v>
      </c>
      <c r="E409" s="5">
        <v>1</v>
      </c>
      <c r="F409" s="5">
        <v>1</v>
      </c>
      <c r="G409" s="5">
        <v>1</v>
      </c>
      <c r="H409" s="76">
        <v>1</v>
      </c>
      <c r="I409" s="5">
        <v>1</v>
      </c>
      <c r="J409" s="5">
        <v>1</v>
      </c>
      <c r="K409" s="5">
        <v>1</v>
      </c>
      <c r="L409" s="5">
        <v>1</v>
      </c>
      <c r="M409" s="5"/>
      <c r="N409" s="5"/>
      <c r="O409" s="5"/>
      <c r="P409" s="5"/>
      <c r="Q409" s="5"/>
      <c r="R409" s="5"/>
      <c r="S409" s="5"/>
      <c r="T409" s="5"/>
      <c r="U409" s="13">
        <f t="shared" ref="U409:U420" si="22">SUM(D409:T409)</f>
        <v>9</v>
      </c>
      <c r="V409" s="5">
        <f>20000+10000+20000+20000+10000+20000+10000+10000+35000</f>
        <v>155000</v>
      </c>
      <c r="W409" s="15">
        <f>V409</f>
        <v>155000</v>
      </c>
    </row>
    <row r="410" spans="1:25" s="155" customFormat="1" x14ac:dyDescent="0.25">
      <c r="A410" s="123">
        <v>66</v>
      </c>
      <c r="B410" s="138" t="s">
        <v>262</v>
      </c>
      <c r="C410" s="108">
        <v>1</v>
      </c>
      <c r="D410" s="4">
        <v>3</v>
      </c>
      <c r="E410" s="5">
        <v>1</v>
      </c>
      <c r="F410" s="5">
        <v>1</v>
      </c>
      <c r="G410" s="5">
        <v>4</v>
      </c>
      <c r="H410" s="76">
        <v>1</v>
      </c>
      <c r="I410" s="5">
        <v>1</v>
      </c>
      <c r="J410" s="5">
        <v>2</v>
      </c>
      <c r="K410" s="5">
        <v>1</v>
      </c>
      <c r="L410" s="5">
        <v>1</v>
      </c>
      <c r="M410" s="5"/>
      <c r="N410" s="5"/>
      <c r="O410" s="5"/>
      <c r="P410" s="5"/>
      <c r="Q410" s="5"/>
      <c r="R410" s="5"/>
      <c r="S410" s="5"/>
      <c r="T410" s="5"/>
      <c r="U410" s="13">
        <f t="shared" si="22"/>
        <v>15</v>
      </c>
      <c r="V410" s="5">
        <v>15000</v>
      </c>
      <c r="W410" s="15">
        <f t="shared" si="21"/>
        <v>225000</v>
      </c>
      <c r="X410" s="155">
        <f>SUM(W352:W410)</f>
        <v>236924730</v>
      </c>
      <c r="Y410" s="155">
        <f>X481</f>
        <v>3629203</v>
      </c>
    </row>
    <row r="411" spans="1:25" s="155" customFormat="1" ht="105" x14ac:dyDescent="0.25">
      <c r="A411" s="123">
        <v>67</v>
      </c>
      <c r="B411" s="139" t="s">
        <v>406</v>
      </c>
      <c r="C411" s="89">
        <v>100</v>
      </c>
      <c r="D411" s="90">
        <v>49390</v>
      </c>
      <c r="E411" s="50"/>
      <c r="F411" s="50"/>
      <c r="G411" s="50"/>
      <c r="H411" s="77"/>
      <c r="I411" s="50"/>
      <c r="J411" s="50"/>
      <c r="K411" s="50"/>
      <c r="L411" s="50"/>
      <c r="M411" s="50"/>
      <c r="N411" s="50"/>
      <c r="O411" s="50"/>
      <c r="P411" s="48"/>
      <c r="Q411" s="50"/>
      <c r="R411" s="50"/>
      <c r="S411" s="50"/>
      <c r="T411" s="50"/>
      <c r="U411" s="13">
        <f t="shared" si="22"/>
        <v>49390</v>
      </c>
      <c r="V411" s="51">
        <v>69347.899999999994</v>
      </c>
      <c r="W411" s="15">
        <f t="shared" si="21"/>
        <v>34250927.809999995</v>
      </c>
      <c r="Y411" s="155">
        <f>X410+Y410</f>
        <v>240553933</v>
      </c>
    </row>
    <row r="412" spans="1:25" s="155" customFormat="1" ht="75" x14ac:dyDescent="0.25">
      <c r="A412" s="123">
        <v>68</v>
      </c>
      <c r="B412" s="139" t="s">
        <v>270</v>
      </c>
      <c r="C412" s="91">
        <v>1000</v>
      </c>
      <c r="D412" s="90">
        <v>2062.9820000000004</v>
      </c>
      <c r="E412" s="52"/>
      <c r="F412" s="52"/>
      <c r="G412" s="52"/>
      <c r="H412" s="78"/>
      <c r="I412" s="52"/>
      <c r="J412" s="52"/>
      <c r="K412" s="52"/>
      <c r="L412" s="52"/>
      <c r="M412" s="52"/>
      <c r="N412" s="52"/>
      <c r="O412" s="52"/>
      <c r="P412" s="48"/>
      <c r="Q412" s="52"/>
      <c r="R412" s="52"/>
      <c r="S412" s="52"/>
      <c r="T412" s="52"/>
      <c r="U412" s="13">
        <f t="shared" si="22"/>
        <v>2062.9820000000004</v>
      </c>
      <c r="V412" s="51">
        <v>15824.15</v>
      </c>
      <c r="W412" s="15">
        <f t="shared" si="21"/>
        <v>32644.936615300008</v>
      </c>
      <c r="Y412" s="155">
        <f>Y411-240554556</f>
        <v>-623</v>
      </c>
    </row>
    <row r="413" spans="1:25" s="155" customFormat="1" ht="45" x14ac:dyDescent="0.25">
      <c r="A413" s="123">
        <v>69</v>
      </c>
      <c r="B413" s="139" t="s">
        <v>271</v>
      </c>
      <c r="C413" s="91">
        <v>100</v>
      </c>
      <c r="D413" s="90">
        <v>515.74550000000011</v>
      </c>
      <c r="E413" s="52"/>
      <c r="F413" s="52"/>
      <c r="G413" s="52"/>
      <c r="H413" s="78"/>
      <c r="I413" s="52"/>
      <c r="J413" s="52"/>
      <c r="K413" s="52"/>
      <c r="L413" s="52"/>
      <c r="M413" s="52"/>
      <c r="N413" s="52"/>
      <c r="O413" s="52"/>
      <c r="P413" s="48"/>
      <c r="Q413" s="52"/>
      <c r="R413" s="52"/>
      <c r="S413" s="52"/>
      <c r="T413" s="52"/>
      <c r="U413" s="13">
        <f t="shared" si="22"/>
        <v>515.74550000000011</v>
      </c>
      <c r="V413" s="51">
        <v>34694.300000000003</v>
      </c>
      <c r="W413" s="15">
        <f t="shared" si="21"/>
        <v>178934.29100650005</v>
      </c>
    </row>
    <row r="414" spans="1:25" s="155" customFormat="1" ht="30" x14ac:dyDescent="0.25">
      <c r="A414" s="123">
        <v>70</v>
      </c>
      <c r="B414" s="139" t="s">
        <v>22</v>
      </c>
      <c r="C414" s="91">
        <v>100</v>
      </c>
      <c r="D414" s="90">
        <v>745.64550000000008</v>
      </c>
      <c r="E414" s="52"/>
      <c r="F414" s="52"/>
      <c r="G414" s="52"/>
      <c r="H414" s="78"/>
      <c r="I414" s="52"/>
      <c r="J414" s="52"/>
      <c r="K414" s="52"/>
      <c r="L414" s="52"/>
      <c r="M414" s="52"/>
      <c r="N414" s="52"/>
      <c r="O414" s="52"/>
      <c r="P414" s="48"/>
      <c r="Q414" s="52"/>
      <c r="R414" s="52"/>
      <c r="S414" s="52"/>
      <c r="T414" s="52"/>
      <c r="U414" s="13">
        <f t="shared" si="22"/>
        <v>745.64550000000008</v>
      </c>
      <c r="V414" s="51">
        <v>32675.95</v>
      </c>
      <c r="W414" s="15">
        <f t="shared" si="21"/>
        <v>243646.75075725003</v>
      </c>
    </row>
    <row r="415" spans="1:25" s="155" customFormat="1" ht="45" x14ac:dyDescent="0.25">
      <c r="A415" s="123">
        <v>71</v>
      </c>
      <c r="B415" s="139" t="s">
        <v>272</v>
      </c>
      <c r="C415" s="53">
        <v>100</v>
      </c>
      <c r="D415" s="90">
        <v>427.5</v>
      </c>
      <c r="E415" s="53"/>
      <c r="F415" s="53"/>
      <c r="G415" s="53"/>
      <c r="H415" s="79"/>
      <c r="I415" s="53"/>
      <c r="J415" s="53"/>
      <c r="K415" s="53"/>
      <c r="L415" s="53"/>
      <c r="M415" s="53"/>
      <c r="N415" s="53"/>
      <c r="O415" s="53"/>
      <c r="P415" s="48"/>
      <c r="Q415" s="53"/>
      <c r="R415" s="53"/>
      <c r="S415" s="53"/>
      <c r="T415" s="53"/>
      <c r="U415" s="13">
        <f t="shared" si="22"/>
        <v>427.5</v>
      </c>
      <c r="V415" s="51">
        <v>11851.7</v>
      </c>
      <c r="W415" s="15">
        <f t="shared" si="21"/>
        <v>50666.017500000002</v>
      </c>
    </row>
    <row r="416" spans="1:25" s="155" customFormat="1" ht="30" x14ac:dyDescent="0.25">
      <c r="A416" s="123">
        <v>72</v>
      </c>
      <c r="B416" s="139" t="s">
        <v>273</v>
      </c>
      <c r="C416" s="91">
        <v>100</v>
      </c>
      <c r="D416" s="90">
        <v>1656.5625</v>
      </c>
      <c r="E416" s="52"/>
      <c r="F416" s="52"/>
      <c r="G416" s="52"/>
      <c r="H416" s="78"/>
      <c r="I416" s="52"/>
      <c r="J416" s="52"/>
      <c r="K416" s="52"/>
      <c r="L416" s="52"/>
      <c r="M416" s="52"/>
      <c r="N416" s="52"/>
      <c r="O416" s="52"/>
      <c r="P416" s="48"/>
      <c r="Q416" s="52"/>
      <c r="R416" s="52"/>
      <c r="S416" s="52"/>
      <c r="T416" s="52"/>
      <c r="U416" s="13">
        <f t="shared" si="22"/>
        <v>1656.5625</v>
      </c>
      <c r="V416" s="51">
        <v>35727</v>
      </c>
      <c r="W416" s="15">
        <f t="shared" si="21"/>
        <v>591840.08437499998</v>
      </c>
    </row>
    <row r="417" spans="1:24" s="155" customFormat="1" ht="30" x14ac:dyDescent="0.25">
      <c r="A417" s="123">
        <v>73</v>
      </c>
      <c r="B417" s="139" t="s">
        <v>274</v>
      </c>
      <c r="C417" s="53">
        <v>100</v>
      </c>
      <c r="D417" s="90">
        <v>6225.46875</v>
      </c>
      <c r="E417" s="54"/>
      <c r="F417" s="54"/>
      <c r="G417" s="54"/>
      <c r="H417" s="80"/>
      <c r="I417" s="54"/>
      <c r="J417" s="54"/>
      <c r="K417" s="54"/>
      <c r="L417" s="54"/>
      <c r="M417" s="54"/>
      <c r="N417" s="54"/>
      <c r="O417" s="54"/>
      <c r="P417" s="48"/>
      <c r="Q417" s="54"/>
      <c r="R417" s="54"/>
      <c r="S417" s="54"/>
      <c r="T417" s="54"/>
      <c r="U417" s="13">
        <f t="shared" si="22"/>
        <v>6225.46875</v>
      </c>
      <c r="V417" s="51">
        <v>4614.1000000000004</v>
      </c>
      <c r="W417" s="15">
        <f t="shared" si="21"/>
        <v>287249.35359375004</v>
      </c>
    </row>
    <row r="418" spans="1:24" s="155" customFormat="1" ht="150" x14ac:dyDescent="0.25">
      <c r="A418" s="123">
        <v>74</v>
      </c>
      <c r="B418" s="139" t="s">
        <v>275</v>
      </c>
      <c r="C418" s="53">
        <v>1</v>
      </c>
      <c r="D418" s="90">
        <v>6650</v>
      </c>
      <c r="E418" s="54"/>
      <c r="F418" s="54"/>
      <c r="G418" s="54"/>
      <c r="H418" s="80"/>
      <c r="I418" s="54"/>
      <c r="J418" s="54"/>
      <c r="K418" s="54"/>
      <c r="L418" s="54"/>
      <c r="M418" s="54"/>
      <c r="N418" s="54"/>
      <c r="O418" s="54"/>
      <c r="P418" s="48"/>
      <c r="Q418" s="54"/>
      <c r="R418" s="54"/>
      <c r="S418" s="54"/>
      <c r="T418" s="54"/>
      <c r="U418" s="13">
        <f t="shared" si="22"/>
        <v>6650</v>
      </c>
      <c r="V418" s="51">
        <v>1985.95</v>
      </c>
      <c r="W418" s="15">
        <f t="shared" si="21"/>
        <v>13206567.5</v>
      </c>
    </row>
    <row r="419" spans="1:24" s="155" customFormat="1" ht="45" x14ac:dyDescent="0.25">
      <c r="A419" s="123">
        <v>75</v>
      </c>
      <c r="B419" s="139" t="s">
        <v>276</v>
      </c>
      <c r="C419" s="89">
        <v>1</v>
      </c>
      <c r="D419" s="90">
        <v>14250</v>
      </c>
      <c r="E419" s="50"/>
      <c r="F419" s="50"/>
      <c r="G419" s="50"/>
      <c r="H419" s="77"/>
      <c r="I419" s="50"/>
      <c r="J419" s="50"/>
      <c r="K419" s="50"/>
      <c r="L419" s="50"/>
      <c r="M419" s="50"/>
      <c r="N419" s="50"/>
      <c r="O419" s="50"/>
      <c r="P419" s="48"/>
      <c r="Q419" s="50"/>
      <c r="R419" s="50"/>
      <c r="S419" s="50"/>
      <c r="T419" s="50"/>
      <c r="U419" s="13">
        <f t="shared" si="22"/>
        <v>14250</v>
      </c>
      <c r="V419" s="51">
        <v>234.95</v>
      </c>
      <c r="W419" s="15">
        <f t="shared" si="21"/>
        <v>3348037.5</v>
      </c>
    </row>
    <row r="420" spans="1:24" s="155" customFormat="1" ht="60" x14ac:dyDescent="0.25">
      <c r="A420" s="123">
        <v>76</v>
      </c>
      <c r="B420" s="139" t="s">
        <v>277</v>
      </c>
      <c r="C420" s="89">
        <v>1</v>
      </c>
      <c r="D420" s="90">
        <v>28500</v>
      </c>
      <c r="E420" s="50"/>
      <c r="F420" s="50"/>
      <c r="G420" s="50"/>
      <c r="H420" s="77"/>
      <c r="I420" s="50"/>
      <c r="J420" s="50"/>
      <c r="K420" s="50"/>
      <c r="L420" s="50"/>
      <c r="M420" s="50"/>
      <c r="N420" s="50"/>
      <c r="O420" s="50"/>
      <c r="P420" s="48"/>
      <c r="Q420" s="50"/>
      <c r="R420" s="50"/>
      <c r="S420" s="50"/>
      <c r="T420" s="50"/>
      <c r="U420" s="13">
        <f t="shared" si="22"/>
        <v>28500</v>
      </c>
      <c r="V420" s="51">
        <v>56.3</v>
      </c>
      <c r="W420" s="15">
        <f t="shared" si="21"/>
        <v>1604550</v>
      </c>
      <c r="X420" s="188">
        <f>SUM(W411:W420)</f>
        <v>53795064.243847795</v>
      </c>
    </row>
    <row r="421" spans="1:24" customFormat="1" ht="22.5" x14ac:dyDescent="0.25">
      <c r="A421" s="198" t="s">
        <v>407</v>
      </c>
      <c r="B421" s="198" t="s">
        <v>408</v>
      </c>
      <c r="C421" s="149"/>
      <c r="D421" s="149"/>
      <c r="E421" s="149"/>
      <c r="F421" s="149"/>
      <c r="G421" s="149"/>
      <c r="H421" s="149"/>
      <c r="I421" s="149"/>
      <c r="J421" s="149"/>
      <c r="K421" s="149"/>
      <c r="L421" s="149"/>
      <c r="M421" s="149"/>
      <c r="N421" s="149"/>
      <c r="O421" s="149"/>
      <c r="P421" s="149"/>
      <c r="Q421" s="149"/>
      <c r="R421" s="149"/>
      <c r="S421" s="149"/>
      <c r="T421" s="149"/>
      <c r="U421" s="149"/>
      <c r="V421" s="149"/>
      <c r="W421" s="149"/>
    </row>
    <row r="422" spans="1:24" customFormat="1" ht="216.75" x14ac:dyDescent="0.25">
      <c r="A422" s="363">
        <v>1</v>
      </c>
      <c r="B422" s="140" t="s">
        <v>386</v>
      </c>
      <c r="C422" s="37">
        <v>1</v>
      </c>
      <c r="D422" s="55">
        <v>37</v>
      </c>
      <c r="E422" s="55"/>
      <c r="F422" s="55"/>
      <c r="G422" s="55"/>
      <c r="H422" s="81"/>
      <c r="I422" s="55"/>
      <c r="J422" s="55"/>
      <c r="K422" s="55"/>
      <c r="L422" s="55"/>
      <c r="M422" s="55"/>
      <c r="N422" s="55"/>
      <c r="O422" s="55"/>
      <c r="P422" s="55"/>
      <c r="Q422" s="55"/>
      <c r="R422" s="55"/>
      <c r="S422" s="55"/>
      <c r="T422" s="55"/>
      <c r="U422" s="13">
        <f t="shared" ref="U422:U445" si="23">SUM(D422:T422)</f>
        <v>37</v>
      </c>
      <c r="V422" s="56">
        <v>4350150</v>
      </c>
      <c r="W422" s="15">
        <f>V422*U422/C422</f>
        <v>160955550</v>
      </c>
    </row>
    <row r="423" spans="1:24" customFormat="1" ht="267.75" x14ac:dyDescent="0.25">
      <c r="A423" s="364">
        <v>2</v>
      </c>
      <c r="B423" s="129" t="s">
        <v>389</v>
      </c>
      <c r="C423" s="37">
        <v>1</v>
      </c>
      <c r="D423" s="47">
        <v>8</v>
      </c>
      <c r="E423" s="55"/>
      <c r="F423" s="55"/>
      <c r="G423" s="55"/>
      <c r="H423" s="81"/>
      <c r="I423" s="55"/>
      <c r="J423" s="55"/>
      <c r="K423" s="55"/>
      <c r="L423" s="55"/>
      <c r="M423" s="55"/>
      <c r="N423" s="55"/>
      <c r="O423" s="55"/>
      <c r="P423" s="55"/>
      <c r="Q423" s="55"/>
      <c r="R423" s="55"/>
      <c r="S423" s="55"/>
      <c r="T423" s="55"/>
      <c r="U423" s="13">
        <f t="shared" si="23"/>
        <v>8</v>
      </c>
      <c r="V423" s="60">
        <v>3886124</v>
      </c>
      <c r="W423" s="15">
        <f t="shared" si="21"/>
        <v>31088992</v>
      </c>
    </row>
    <row r="424" spans="1:24" customFormat="1" ht="280.5" x14ac:dyDescent="0.25">
      <c r="A424" s="365">
        <v>3</v>
      </c>
      <c r="B424" s="141" t="s">
        <v>338</v>
      </c>
      <c r="C424" s="111">
        <v>1</v>
      </c>
      <c r="D424" s="25">
        <v>6</v>
      </c>
      <c r="E424" s="14"/>
      <c r="F424" s="14"/>
      <c r="G424" s="14"/>
      <c r="H424" s="72"/>
      <c r="I424" s="14"/>
      <c r="J424" s="14"/>
      <c r="K424" s="14"/>
      <c r="L424" s="14"/>
      <c r="M424" s="14"/>
      <c r="N424" s="14"/>
      <c r="O424" s="14"/>
      <c r="P424" s="14"/>
      <c r="Q424" s="14"/>
      <c r="R424" s="14"/>
      <c r="S424" s="14"/>
      <c r="T424" s="14"/>
      <c r="U424" s="13">
        <f t="shared" si="23"/>
        <v>6</v>
      </c>
      <c r="V424" s="64">
        <v>4140119</v>
      </c>
      <c r="W424" s="15">
        <f t="shared" si="21"/>
        <v>24840714</v>
      </c>
    </row>
    <row r="425" spans="1:24" customFormat="1" ht="280.5" x14ac:dyDescent="0.25">
      <c r="A425" s="366">
        <v>4</v>
      </c>
      <c r="B425" s="141" t="s">
        <v>298</v>
      </c>
      <c r="C425" s="37">
        <v>1</v>
      </c>
      <c r="D425" s="47">
        <v>1</v>
      </c>
      <c r="E425" s="55"/>
      <c r="F425" s="55"/>
      <c r="G425" s="55"/>
      <c r="H425" s="81"/>
      <c r="I425" s="55"/>
      <c r="J425" s="55"/>
      <c r="K425" s="55"/>
      <c r="L425" s="55"/>
      <c r="M425" s="55"/>
      <c r="N425" s="55"/>
      <c r="O425" s="55"/>
      <c r="P425" s="55"/>
      <c r="Q425" s="55"/>
      <c r="R425" s="55"/>
      <c r="S425" s="55"/>
      <c r="T425" s="55"/>
      <c r="U425" s="13">
        <f t="shared" si="23"/>
        <v>1</v>
      </c>
      <c r="V425" s="59">
        <v>8178639</v>
      </c>
      <c r="W425" s="15">
        <f t="shared" si="21"/>
        <v>8178639</v>
      </c>
    </row>
    <row r="426" spans="1:24" customFormat="1" ht="306" x14ac:dyDescent="0.25">
      <c r="A426" s="367">
        <v>5</v>
      </c>
      <c r="B426" s="128" t="s">
        <v>388</v>
      </c>
      <c r="C426" s="37">
        <v>1</v>
      </c>
      <c r="D426" s="55">
        <v>8</v>
      </c>
      <c r="E426" s="55"/>
      <c r="F426" s="55"/>
      <c r="G426" s="55"/>
      <c r="H426" s="81"/>
      <c r="I426" s="55"/>
      <c r="J426" s="55"/>
      <c r="K426" s="55"/>
      <c r="L426" s="55"/>
      <c r="M426" s="55"/>
      <c r="N426" s="55"/>
      <c r="O426" s="55"/>
      <c r="P426" s="55"/>
      <c r="Q426" s="55"/>
      <c r="R426" s="55"/>
      <c r="S426" s="55"/>
      <c r="T426" s="55"/>
      <c r="U426" s="13">
        <f t="shared" si="23"/>
        <v>8</v>
      </c>
      <c r="V426" s="59">
        <v>13004544</v>
      </c>
      <c r="W426" s="15">
        <f t="shared" si="21"/>
        <v>104036352</v>
      </c>
    </row>
    <row r="427" spans="1:24" customFormat="1" ht="51" x14ac:dyDescent="0.25">
      <c r="A427" s="368">
        <v>6</v>
      </c>
      <c r="B427" s="141" t="s">
        <v>299</v>
      </c>
      <c r="C427" s="37">
        <v>1</v>
      </c>
      <c r="D427" s="47">
        <v>3</v>
      </c>
      <c r="E427" s="55"/>
      <c r="F427" s="55"/>
      <c r="G427" s="55"/>
      <c r="H427" s="81"/>
      <c r="I427" s="55"/>
      <c r="J427" s="55"/>
      <c r="K427" s="55"/>
      <c r="L427" s="55"/>
      <c r="M427" s="55"/>
      <c r="N427" s="55"/>
      <c r="O427" s="55"/>
      <c r="P427" s="55"/>
      <c r="Q427" s="55"/>
      <c r="R427" s="55"/>
      <c r="S427" s="55"/>
      <c r="T427" s="55"/>
      <c r="U427" s="13">
        <v>3</v>
      </c>
      <c r="V427" s="59">
        <v>1472223</v>
      </c>
      <c r="W427" s="15">
        <f t="shared" si="21"/>
        <v>4416669</v>
      </c>
    </row>
    <row r="428" spans="1:24" customFormat="1" ht="51" x14ac:dyDescent="0.25">
      <c r="A428" s="124"/>
      <c r="B428" s="141" t="s">
        <v>299</v>
      </c>
      <c r="C428" s="37">
        <v>1</v>
      </c>
      <c r="D428" s="47">
        <v>1</v>
      </c>
      <c r="E428" s="55"/>
      <c r="F428" s="55"/>
      <c r="G428" s="55"/>
      <c r="H428" s="81"/>
      <c r="I428" s="55"/>
      <c r="J428" s="55"/>
      <c r="K428" s="55"/>
      <c r="L428" s="55"/>
      <c r="M428" s="55"/>
      <c r="N428" s="55"/>
      <c r="O428" s="55"/>
      <c r="P428" s="55"/>
      <c r="Q428" s="55"/>
      <c r="R428" s="55"/>
      <c r="S428" s="55"/>
      <c r="T428" s="55"/>
      <c r="U428" s="13">
        <v>1</v>
      </c>
      <c r="V428" s="59">
        <v>1315342</v>
      </c>
      <c r="W428" s="15">
        <f t="shared" si="21"/>
        <v>1315342</v>
      </c>
    </row>
    <row r="429" spans="1:24" customFormat="1" ht="60" x14ac:dyDescent="0.25">
      <c r="A429" s="369">
        <v>7</v>
      </c>
      <c r="B429" s="97" t="s">
        <v>297</v>
      </c>
      <c r="C429" s="37">
        <v>1</v>
      </c>
      <c r="D429" s="47">
        <v>1</v>
      </c>
      <c r="E429" s="55"/>
      <c r="F429" s="55"/>
      <c r="G429" s="55"/>
      <c r="H429" s="81"/>
      <c r="I429" s="55"/>
      <c r="J429" s="55"/>
      <c r="K429" s="55"/>
      <c r="L429" s="55"/>
      <c r="M429" s="55"/>
      <c r="N429" s="55"/>
      <c r="O429" s="55"/>
      <c r="P429" s="55"/>
      <c r="Q429" s="55"/>
      <c r="R429" s="55"/>
      <c r="S429" s="55"/>
      <c r="T429" s="55"/>
      <c r="U429" s="13">
        <f t="shared" si="23"/>
        <v>1</v>
      </c>
      <c r="V429" s="59">
        <v>1472223</v>
      </c>
      <c r="W429" s="15">
        <f t="shared" si="21"/>
        <v>1472223</v>
      </c>
    </row>
    <row r="430" spans="1:24" customFormat="1" ht="45" x14ac:dyDescent="0.25">
      <c r="A430" s="370">
        <v>8</v>
      </c>
      <c r="B430" s="97" t="s">
        <v>390</v>
      </c>
      <c r="C430" s="47" t="s">
        <v>278</v>
      </c>
      <c r="D430" s="47">
        <v>8140</v>
      </c>
      <c r="E430" s="47"/>
      <c r="F430" s="47"/>
      <c r="G430" s="47"/>
      <c r="H430" s="82"/>
      <c r="I430" s="47"/>
      <c r="J430" s="47"/>
      <c r="K430" s="47"/>
      <c r="L430" s="47"/>
      <c r="M430" s="47"/>
      <c r="N430" s="47"/>
      <c r="O430" s="47"/>
      <c r="P430" s="47"/>
      <c r="Q430" s="47"/>
      <c r="R430" s="47"/>
      <c r="S430" s="47"/>
      <c r="T430" s="47"/>
      <c r="U430" s="13">
        <f t="shared" si="23"/>
        <v>8140</v>
      </c>
      <c r="V430" s="47">
        <v>864.05</v>
      </c>
      <c r="W430" s="15">
        <f>V430*U430</f>
        <v>7033367</v>
      </c>
    </row>
    <row r="431" spans="1:24" customFormat="1" ht="30" x14ac:dyDescent="0.25">
      <c r="A431" s="371">
        <v>9</v>
      </c>
      <c r="B431" s="97" t="s">
        <v>279</v>
      </c>
      <c r="C431" s="37">
        <v>1</v>
      </c>
      <c r="D431" s="47">
        <v>1628</v>
      </c>
      <c r="E431" s="47"/>
      <c r="F431" s="47"/>
      <c r="G431" s="47"/>
      <c r="H431" s="82"/>
      <c r="I431" s="47"/>
      <c r="J431" s="47"/>
      <c r="K431" s="47"/>
      <c r="L431" s="47"/>
      <c r="M431" s="47"/>
      <c r="N431" s="47"/>
      <c r="O431" s="47"/>
      <c r="P431" s="47"/>
      <c r="Q431" s="47"/>
      <c r="R431" s="47"/>
      <c r="S431" s="47"/>
      <c r="T431" s="47"/>
      <c r="U431" s="13">
        <f t="shared" si="23"/>
        <v>1628</v>
      </c>
      <c r="V431" s="47">
        <v>80</v>
      </c>
      <c r="W431" s="15">
        <f t="shared" si="21"/>
        <v>130240</v>
      </c>
    </row>
    <row r="432" spans="1:24" customFormat="1" ht="30" x14ac:dyDescent="0.25">
      <c r="A432" s="372">
        <v>10</v>
      </c>
      <c r="B432" s="97" t="s">
        <v>280</v>
      </c>
      <c r="C432" s="57" t="s">
        <v>281</v>
      </c>
      <c r="D432" s="47">
        <v>37</v>
      </c>
      <c r="E432" s="47"/>
      <c r="F432" s="47"/>
      <c r="G432" s="47"/>
      <c r="H432" s="82"/>
      <c r="I432" s="47"/>
      <c r="J432" s="47"/>
      <c r="K432" s="47"/>
      <c r="L432" s="47"/>
      <c r="M432" s="47"/>
      <c r="N432" s="47"/>
      <c r="O432" s="47"/>
      <c r="P432" s="47"/>
      <c r="Q432" s="47"/>
      <c r="R432" s="47"/>
      <c r="S432" s="47"/>
      <c r="T432" s="47"/>
      <c r="U432" s="13">
        <f t="shared" si="23"/>
        <v>37</v>
      </c>
      <c r="V432" s="47">
        <v>232.8</v>
      </c>
      <c r="W432" s="15">
        <f>V432*U432</f>
        <v>8613.6</v>
      </c>
    </row>
    <row r="433" spans="1:24" customFormat="1" ht="60" x14ac:dyDescent="0.25">
      <c r="A433" s="373">
        <v>11</v>
      </c>
      <c r="B433" s="97" t="s">
        <v>282</v>
      </c>
      <c r="C433" s="47" t="s">
        <v>278</v>
      </c>
      <c r="D433" s="47">
        <v>2590</v>
      </c>
      <c r="E433" s="47"/>
      <c r="F433" s="47"/>
      <c r="G433" s="47"/>
      <c r="H433" s="82"/>
      <c r="I433" s="47"/>
      <c r="J433" s="47"/>
      <c r="K433" s="47"/>
      <c r="L433" s="47"/>
      <c r="M433" s="47"/>
      <c r="N433" s="47"/>
      <c r="O433" s="47"/>
      <c r="P433" s="47"/>
      <c r="Q433" s="47"/>
      <c r="R433" s="47"/>
      <c r="S433" s="47"/>
      <c r="T433" s="47"/>
      <c r="U433" s="13">
        <f t="shared" si="23"/>
        <v>2590</v>
      </c>
      <c r="V433" s="47">
        <v>5371</v>
      </c>
      <c r="W433" s="15">
        <f>V433*U433</f>
        <v>13910890</v>
      </c>
    </row>
    <row r="434" spans="1:24" customFormat="1" ht="45" x14ac:dyDescent="0.25">
      <c r="A434" s="374">
        <v>12</v>
      </c>
      <c r="B434" s="97" t="s">
        <v>283</v>
      </c>
      <c r="C434" s="37">
        <v>1</v>
      </c>
      <c r="D434" s="47">
        <v>74</v>
      </c>
      <c r="E434" s="47"/>
      <c r="F434" s="47"/>
      <c r="G434" s="47"/>
      <c r="H434" s="82"/>
      <c r="I434" s="47"/>
      <c r="J434" s="47"/>
      <c r="K434" s="47"/>
      <c r="L434" s="47"/>
      <c r="M434" s="47"/>
      <c r="N434" s="47"/>
      <c r="O434" s="47"/>
      <c r="P434" s="47"/>
      <c r="Q434" s="47"/>
      <c r="R434" s="47"/>
      <c r="S434" s="47"/>
      <c r="T434" s="47"/>
      <c r="U434" s="13">
        <f t="shared" si="23"/>
        <v>74</v>
      </c>
      <c r="V434" s="47">
        <v>35582</v>
      </c>
      <c r="W434" s="15">
        <f t="shared" si="21"/>
        <v>2633068</v>
      </c>
    </row>
    <row r="435" spans="1:24" customFormat="1" ht="75" x14ac:dyDescent="0.25">
      <c r="A435" s="375">
        <v>13</v>
      </c>
      <c r="B435" s="97" t="s">
        <v>284</v>
      </c>
      <c r="C435" s="47" t="s">
        <v>278</v>
      </c>
      <c r="D435" s="47">
        <v>4440</v>
      </c>
      <c r="E435" s="47"/>
      <c r="F435" s="47"/>
      <c r="G435" s="47"/>
      <c r="H435" s="82"/>
      <c r="I435" s="47"/>
      <c r="J435" s="47"/>
      <c r="K435" s="47"/>
      <c r="L435" s="47"/>
      <c r="M435" s="47"/>
      <c r="N435" s="47"/>
      <c r="O435" s="47"/>
      <c r="P435" s="47"/>
      <c r="Q435" s="47"/>
      <c r="R435" s="47"/>
      <c r="S435" s="47"/>
      <c r="T435" s="47"/>
      <c r="U435" s="13">
        <f t="shared" si="23"/>
        <v>4440</v>
      </c>
      <c r="V435" s="47">
        <v>3866.45</v>
      </c>
      <c r="W435" s="15">
        <f>V435*U435</f>
        <v>17167038</v>
      </c>
    </row>
    <row r="436" spans="1:24" customFormat="1" ht="60" x14ac:dyDescent="0.25">
      <c r="A436" s="376">
        <v>14</v>
      </c>
      <c r="B436" s="97" t="s">
        <v>285</v>
      </c>
      <c r="C436" s="47" t="s">
        <v>278</v>
      </c>
      <c r="D436" s="47">
        <v>740</v>
      </c>
      <c r="E436" s="47"/>
      <c r="F436" s="47"/>
      <c r="G436" s="47"/>
      <c r="H436" s="82"/>
      <c r="I436" s="47"/>
      <c r="J436" s="47"/>
      <c r="K436" s="47"/>
      <c r="L436" s="47"/>
      <c r="M436" s="47"/>
      <c r="N436" s="47"/>
      <c r="O436" s="47"/>
      <c r="P436" s="47"/>
      <c r="Q436" s="47"/>
      <c r="R436" s="47"/>
      <c r="S436" s="47"/>
      <c r="T436" s="47"/>
      <c r="U436" s="13">
        <f t="shared" si="23"/>
        <v>740</v>
      </c>
      <c r="V436" s="47">
        <v>3583</v>
      </c>
      <c r="W436" s="15">
        <f>V436*U436</f>
        <v>2651420</v>
      </c>
    </row>
    <row r="437" spans="1:24" customFormat="1" ht="75" x14ac:dyDescent="0.25">
      <c r="A437" s="377">
        <v>15</v>
      </c>
      <c r="B437" s="97" t="s">
        <v>286</v>
      </c>
      <c r="C437" s="47" t="s">
        <v>278</v>
      </c>
      <c r="D437" s="47">
        <v>370</v>
      </c>
      <c r="E437" s="47"/>
      <c r="F437" s="47"/>
      <c r="G437" s="47"/>
      <c r="H437" s="82"/>
      <c r="I437" s="47"/>
      <c r="J437" s="47"/>
      <c r="K437" s="47"/>
      <c r="L437" s="47"/>
      <c r="M437" s="47"/>
      <c r="N437" s="47"/>
      <c r="O437" s="47"/>
      <c r="P437" s="47"/>
      <c r="Q437" s="47"/>
      <c r="R437" s="47"/>
      <c r="S437" s="47"/>
      <c r="T437" s="47"/>
      <c r="U437" s="13">
        <f t="shared" si="23"/>
        <v>370</v>
      </c>
      <c r="V437" s="47">
        <v>3735.5</v>
      </c>
      <c r="W437" s="15">
        <f>V437*U437</f>
        <v>1382135</v>
      </c>
    </row>
    <row r="438" spans="1:24" customFormat="1" ht="30" x14ac:dyDescent="0.25">
      <c r="A438" s="378">
        <v>16</v>
      </c>
      <c r="B438" s="97" t="s">
        <v>287</v>
      </c>
      <c r="C438" s="37">
        <v>1</v>
      </c>
      <c r="D438" s="47">
        <v>148</v>
      </c>
      <c r="E438" s="47"/>
      <c r="F438" s="47"/>
      <c r="G438" s="47"/>
      <c r="H438" s="82"/>
      <c r="I438" s="47"/>
      <c r="J438" s="47"/>
      <c r="K438" s="47"/>
      <c r="L438" s="47"/>
      <c r="M438" s="47"/>
      <c r="N438" s="47"/>
      <c r="O438" s="47"/>
      <c r="P438" s="47"/>
      <c r="Q438" s="47"/>
      <c r="R438" s="47"/>
      <c r="S438" s="47"/>
      <c r="T438" s="47"/>
      <c r="U438" s="13">
        <f t="shared" si="23"/>
        <v>148</v>
      </c>
      <c r="V438" s="47">
        <v>1148</v>
      </c>
      <c r="W438" s="15">
        <f t="shared" si="21"/>
        <v>169904</v>
      </c>
    </row>
    <row r="439" spans="1:24" customFormat="1" ht="30" x14ac:dyDescent="0.25">
      <c r="A439" s="379">
        <v>17</v>
      </c>
      <c r="B439" s="97" t="s">
        <v>288</v>
      </c>
      <c r="C439" s="47" t="s">
        <v>289</v>
      </c>
      <c r="D439" s="47">
        <v>6520.88</v>
      </c>
      <c r="E439" s="47"/>
      <c r="F439" s="47"/>
      <c r="G439" s="47"/>
      <c r="H439" s="82"/>
      <c r="I439" s="47"/>
      <c r="J439" s="47"/>
      <c r="K439" s="47"/>
      <c r="L439" s="47"/>
      <c r="M439" s="47"/>
      <c r="N439" s="47"/>
      <c r="O439" s="47"/>
      <c r="P439" s="47"/>
      <c r="Q439" s="47"/>
      <c r="R439" s="47"/>
      <c r="S439" s="47"/>
      <c r="T439" s="47"/>
      <c r="U439" s="13">
        <f t="shared" si="23"/>
        <v>6520.88</v>
      </c>
      <c r="V439" s="47">
        <v>186.65</v>
      </c>
      <c r="W439" s="15">
        <f>V439*U439</f>
        <v>1217122.2520000001</v>
      </c>
    </row>
    <row r="440" spans="1:24" customFormat="1" ht="30" x14ac:dyDescent="0.25">
      <c r="A440" s="380">
        <v>18</v>
      </c>
      <c r="B440" s="97" t="s">
        <v>387</v>
      </c>
      <c r="C440" s="47" t="s">
        <v>290</v>
      </c>
      <c r="D440" s="47">
        <v>2664</v>
      </c>
      <c r="E440" s="47"/>
      <c r="F440" s="47"/>
      <c r="G440" s="47"/>
      <c r="H440" s="82"/>
      <c r="I440" s="47"/>
      <c r="J440" s="47"/>
      <c r="K440" s="47"/>
      <c r="L440" s="47"/>
      <c r="M440" s="47"/>
      <c r="N440" s="47"/>
      <c r="O440" s="47"/>
      <c r="P440" s="47"/>
      <c r="Q440" s="47"/>
      <c r="R440" s="47"/>
      <c r="S440" s="47"/>
      <c r="T440" s="47"/>
      <c r="U440" s="13">
        <f t="shared" si="23"/>
        <v>2664</v>
      </c>
      <c r="V440" s="47">
        <v>3253.1</v>
      </c>
      <c r="W440" s="15">
        <f>V440*U440</f>
        <v>8666258.4000000004</v>
      </c>
    </row>
    <row r="441" spans="1:24" customFormat="1" ht="45" x14ac:dyDescent="0.25">
      <c r="A441" s="381">
        <v>19</v>
      </c>
      <c r="B441" s="97" t="s">
        <v>291</v>
      </c>
      <c r="C441" s="47" t="s">
        <v>278</v>
      </c>
      <c r="D441" s="47">
        <v>1850</v>
      </c>
      <c r="E441" s="47"/>
      <c r="F441" s="47"/>
      <c r="G441" s="47"/>
      <c r="H441" s="82"/>
      <c r="I441" s="47"/>
      <c r="J441" s="47"/>
      <c r="K441" s="47"/>
      <c r="L441" s="47"/>
      <c r="M441" s="47"/>
      <c r="N441" s="47"/>
      <c r="O441" s="47"/>
      <c r="P441" s="47"/>
      <c r="Q441" s="47"/>
      <c r="R441" s="47"/>
      <c r="S441" s="47"/>
      <c r="T441" s="47"/>
      <c r="U441" s="13">
        <f t="shared" si="23"/>
        <v>1850</v>
      </c>
      <c r="V441" s="47">
        <v>924.05</v>
      </c>
      <c r="W441" s="15">
        <f>V441*U441</f>
        <v>1709492.5</v>
      </c>
    </row>
    <row r="442" spans="1:24" customFormat="1" ht="60" x14ac:dyDescent="0.25">
      <c r="A442" s="382">
        <v>20</v>
      </c>
      <c r="B442" s="97" t="s">
        <v>292</v>
      </c>
      <c r="C442" s="58">
        <v>1000</v>
      </c>
      <c r="D442" s="47">
        <v>118400</v>
      </c>
      <c r="E442" s="47"/>
      <c r="F442" s="47"/>
      <c r="G442" s="47"/>
      <c r="H442" s="82"/>
      <c r="I442" s="47"/>
      <c r="J442" s="47"/>
      <c r="K442" s="47"/>
      <c r="L442" s="47"/>
      <c r="M442" s="47"/>
      <c r="N442" s="47"/>
      <c r="O442" s="47"/>
      <c r="P442" s="47"/>
      <c r="Q442" s="47"/>
      <c r="R442" s="47"/>
      <c r="S442" s="47"/>
      <c r="T442" s="47"/>
      <c r="U442" s="13">
        <f t="shared" si="23"/>
        <v>118400</v>
      </c>
      <c r="V442" s="47">
        <v>11293.9</v>
      </c>
      <c r="W442" s="15">
        <f t="shared" si="21"/>
        <v>1337197.76</v>
      </c>
    </row>
    <row r="443" spans="1:24" customFormat="1" ht="15" x14ac:dyDescent="0.25">
      <c r="A443" s="383">
        <v>21</v>
      </c>
      <c r="B443" s="97" t="s">
        <v>293</v>
      </c>
      <c r="C443" s="58">
        <v>1000</v>
      </c>
      <c r="D443" s="47">
        <v>118400</v>
      </c>
      <c r="E443" s="47"/>
      <c r="F443" s="47"/>
      <c r="G443" s="47"/>
      <c r="H443" s="82"/>
      <c r="I443" s="47"/>
      <c r="J443" s="47"/>
      <c r="K443" s="47"/>
      <c r="L443" s="47"/>
      <c r="M443" s="47"/>
      <c r="N443" s="47"/>
      <c r="O443" s="47"/>
      <c r="P443" s="47"/>
      <c r="Q443" s="47"/>
      <c r="R443" s="47"/>
      <c r="S443" s="47"/>
      <c r="T443" s="47"/>
      <c r="U443" s="13">
        <f t="shared" si="23"/>
        <v>118400</v>
      </c>
      <c r="V443" s="47">
        <v>5266.8</v>
      </c>
      <c r="W443" s="15">
        <f t="shared" si="21"/>
        <v>623589.12</v>
      </c>
    </row>
    <row r="444" spans="1:24" customFormat="1" ht="75" x14ac:dyDescent="0.25">
      <c r="A444" s="384">
        <v>22</v>
      </c>
      <c r="B444" s="97" t="s">
        <v>294</v>
      </c>
      <c r="C444" s="47" t="s">
        <v>295</v>
      </c>
      <c r="D444" s="47">
        <v>14800</v>
      </c>
      <c r="E444" s="47"/>
      <c r="F444" s="47"/>
      <c r="G444" s="47"/>
      <c r="H444" s="82"/>
      <c r="I444" s="47"/>
      <c r="J444" s="47"/>
      <c r="K444" s="47"/>
      <c r="L444" s="47"/>
      <c r="M444" s="47"/>
      <c r="N444" s="47"/>
      <c r="O444" s="47"/>
      <c r="P444" s="47"/>
      <c r="Q444" s="47"/>
      <c r="R444" s="47"/>
      <c r="S444" s="47"/>
      <c r="T444" s="47"/>
      <c r="U444" s="13">
        <f t="shared" si="23"/>
        <v>14800</v>
      </c>
      <c r="V444" s="47">
        <v>3565</v>
      </c>
      <c r="W444" s="15">
        <f>V444*U444</f>
        <v>52762000</v>
      </c>
    </row>
    <row r="445" spans="1:24" customFormat="1" ht="75" x14ac:dyDescent="0.25">
      <c r="A445" s="385">
        <v>23</v>
      </c>
      <c r="B445" s="97" t="s">
        <v>296</v>
      </c>
      <c r="C445" s="47" t="s">
        <v>295</v>
      </c>
      <c r="D445" s="47">
        <v>555</v>
      </c>
      <c r="E445" s="47"/>
      <c r="F445" s="47"/>
      <c r="G445" s="47"/>
      <c r="H445" s="82"/>
      <c r="I445" s="47"/>
      <c r="J445" s="47"/>
      <c r="K445" s="47"/>
      <c r="L445" s="47"/>
      <c r="M445" s="47"/>
      <c r="N445" s="47"/>
      <c r="O445" s="47"/>
      <c r="P445" s="47"/>
      <c r="Q445" s="47"/>
      <c r="R445" s="47"/>
      <c r="S445" s="47"/>
      <c r="T445" s="47"/>
      <c r="U445" s="13">
        <f t="shared" si="23"/>
        <v>555</v>
      </c>
      <c r="V445" s="47">
        <v>500.3</v>
      </c>
      <c r="W445" s="15">
        <f>V445*U445</f>
        <v>277666.5</v>
      </c>
      <c r="X445" s="190">
        <f>SUM(W430:W445)</f>
        <v>111680002.132</v>
      </c>
    </row>
    <row r="446" spans="1:24" customFormat="1" ht="22.5" x14ac:dyDescent="0.25">
      <c r="A446" s="386">
        <v>14</v>
      </c>
      <c r="B446" s="198" t="s">
        <v>409</v>
      </c>
      <c r="C446" s="149"/>
      <c r="D446" s="149"/>
      <c r="E446" s="149"/>
      <c r="F446" s="149"/>
      <c r="G446" s="149"/>
      <c r="H446" s="149"/>
      <c r="I446" s="149"/>
      <c r="J446" s="149"/>
      <c r="K446" s="149"/>
      <c r="L446" s="149"/>
      <c r="M446" s="149"/>
      <c r="N446" s="149"/>
      <c r="O446" s="149"/>
      <c r="P446" s="149"/>
      <c r="Q446" s="149"/>
      <c r="R446" s="149"/>
      <c r="S446" s="149"/>
      <c r="T446" s="149"/>
      <c r="U446" s="149"/>
      <c r="V446" s="149"/>
      <c r="W446" s="149"/>
    </row>
    <row r="447" spans="1:24" customFormat="1" ht="216.75" x14ac:dyDescent="0.25">
      <c r="A447" s="387">
        <v>1</v>
      </c>
      <c r="B447" s="141" t="s">
        <v>300</v>
      </c>
      <c r="C447" s="37">
        <v>1</v>
      </c>
      <c r="D447" s="4">
        <v>87</v>
      </c>
      <c r="E447" s="60"/>
      <c r="F447" s="60"/>
      <c r="G447" s="60"/>
      <c r="H447" s="83"/>
      <c r="I447" s="60"/>
      <c r="J447" s="60"/>
      <c r="K447" s="60"/>
      <c r="L447" s="60"/>
      <c r="M447" s="60"/>
      <c r="N447" s="60"/>
      <c r="O447" s="60"/>
      <c r="P447" s="60"/>
      <c r="Q447" s="60"/>
      <c r="R447" s="60"/>
      <c r="S447" s="60"/>
      <c r="T447" s="60"/>
      <c r="U447" s="13">
        <f t="shared" ref="U447:U471" si="24">SUM(D447:T447)</f>
        <v>87</v>
      </c>
      <c r="V447" s="60">
        <v>1950150</v>
      </c>
      <c r="W447" s="15">
        <f t="shared" si="21"/>
        <v>169663050</v>
      </c>
    </row>
    <row r="448" spans="1:24" customFormat="1" ht="25.5" x14ac:dyDescent="0.25">
      <c r="A448" s="388">
        <v>3</v>
      </c>
      <c r="B448" s="128" t="s">
        <v>339</v>
      </c>
      <c r="C448" s="37">
        <v>1</v>
      </c>
      <c r="D448" s="49">
        <v>1</v>
      </c>
      <c r="E448" s="49"/>
      <c r="F448" s="49"/>
      <c r="G448" s="49"/>
      <c r="H448" s="84"/>
      <c r="I448" s="49"/>
      <c r="J448" s="49"/>
      <c r="K448" s="49"/>
      <c r="L448" s="49"/>
      <c r="M448" s="49"/>
      <c r="N448" s="49"/>
      <c r="O448" s="49"/>
      <c r="P448" s="49"/>
      <c r="Q448" s="49"/>
      <c r="R448" s="49"/>
      <c r="S448" s="49"/>
      <c r="T448" s="49"/>
      <c r="U448" s="13">
        <f t="shared" si="24"/>
        <v>1</v>
      </c>
      <c r="V448" s="65">
        <v>1829000</v>
      </c>
      <c r="W448" s="15">
        <f t="shared" si="21"/>
        <v>1829000</v>
      </c>
    </row>
    <row r="449" spans="1:23" customFormat="1" ht="89.25" x14ac:dyDescent="0.25">
      <c r="A449" s="366">
        <v>4</v>
      </c>
      <c r="B449" s="128" t="s">
        <v>340</v>
      </c>
      <c r="C449" s="37">
        <v>1</v>
      </c>
      <c r="D449" s="49">
        <v>1</v>
      </c>
      <c r="E449" s="49"/>
      <c r="F449" s="49"/>
      <c r="G449" s="49"/>
      <c r="H449" s="84"/>
      <c r="I449" s="49"/>
      <c r="J449" s="49"/>
      <c r="K449" s="49"/>
      <c r="L449" s="49"/>
      <c r="M449" s="49"/>
      <c r="N449" s="49"/>
      <c r="O449" s="49"/>
      <c r="P449" s="49"/>
      <c r="Q449" s="49"/>
      <c r="R449" s="49"/>
      <c r="S449" s="49"/>
      <c r="T449" s="49"/>
      <c r="U449" s="13">
        <f t="shared" si="24"/>
        <v>1</v>
      </c>
      <c r="V449" s="65">
        <v>4250000</v>
      </c>
      <c r="W449" s="15">
        <f t="shared" si="21"/>
        <v>4250000</v>
      </c>
    </row>
    <row r="450" spans="1:23" customFormat="1" ht="76.5" x14ac:dyDescent="0.25">
      <c r="A450" s="367">
        <v>5</v>
      </c>
      <c r="B450" s="128" t="s">
        <v>341</v>
      </c>
      <c r="C450" s="37">
        <v>1</v>
      </c>
      <c r="D450" s="49">
        <v>1</v>
      </c>
      <c r="E450" s="49"/>
      <c r="F450" s="49"/>
      <c r="G450" s="49"/>
      <c r="H450" s="84"/>
      <c r="I450" s="49"/>
      <c r="J450" s="49"/>
      <c r="K450" s="49"/>
      <c r="L450" s="49"/>
      <c r="M450" s="49"/>
      <c r="N450" s="49"/>
      <c r="O450" s="49"/>
      <c r="P450" s="49"/>
      <c r="Q450" s="49"/>
      <c r="R450" s="49"/>
      <c r="S450" s="49"/>
      <c r="T450" s="49"/>
      <c r="U450" s="13">
        <f t="shared" si="24"/>
        <v>1</v>
      </c>
      <c r="V450" s="49">
        <v>1475000</v>
      </c>
      <c r="W450" s="15">
        <f>V450*U450/C450</f>
        <v>1475000</v>
      </c>
    </row>
    <row r="451" spans="1:23" customFormat="1" ht="51" x14ac:dyDescent="0.25">
      <c r="A451" s="368">
        <v>6</v>
      </c>
      <c r="B451" s="128" t="s">
        <v>342</v>
      </c>
      <c r="C451" s="37">
        <v>1</v>
      </c>
      <c r="D451" s="49">
        <v>4</v>
      </c>
      <c r="E451" s="49"/>
      <c r="F451" s="49"/>
      <c r="G451" s="49"/>
      <c r="H451" s="84"/>
      <c r="I451" s="49"/>
      <c r="J451" s="49"/>
      <c r="K451" s="49"/>
      <c r="L451" s="49"/>
      <c r="M451" s="49"/>
      <c r="N451" s="49"/>
      <c r="O451" s="49"/>
      <c r="P451" s="49"/>
      <c r="Q451" s="49"/>
      <c r="R451" s="49"/>
      <c r="S451" s="49"/>
      <c r="T451" s="49"/>
      <c r="U451" s="13">
        <f t="shared" si="24"/>
        <v>4</v>
      </c>
      <c r="V451" s="49">
        <v>129800</v>
      </c>
      <c r="W451" s="15">
        <f t="shared" si="21"/>
        <v>519200</v>
      </c>
    </row>
    <row r="452" spans="1:23" customFormat="1" ht="102" x14ac:dyDescent="0.25">
      <c r="A452" s="369">
        <v>7</v>
      </c>
      <c r="B452" s="128" t="s">
        <v>343</v>
      </c>
      <c r="C452" s="37">
        <v>1</v>
      </c>
      <c r="D452" s="49">
        <v>2</v>
      </c>
      <c r="E452" s="49"/>
      <c r="F452" s="49"/>
      <c r="G452" s="49"/>
      <c r="H452" s="84"/>
      <c r="I452" s="49"/>
      <c r="J452" s="49"/>
      <c r="K452" s="49"/>
      <c r="L452" s="49"/>
      <c r="M452" s="49"/>
      <c r="N452" s="49"/>
      <c r="O452" s="49"/>
      <c r="P452" s="49"/>
      <c r="Q452" s="49"/>
      <c r="R452" s="49"/>
      <c r="S452" s="49"/>
      <c r="T452" s="49"/>
      <c r="U452" s="13">
        <f t="shared" si="24"/>
        <v>2</v>
      </c>
      <c r="V452" s="49">
        <v>850000</v>
      </c>
      <c r="W452" s="15">
        <f t="shared" si="21"/>
        <v>1700000</v>
      </c>
    </row>
    <row r="453" spans="1:23" customFormat="1" ht="285.75" x14ac:dyDescent="0.25">
      <c r="A453" s="389">
        <v>8</v>
      </c>
      <c r="B453" s="142" t="s">
        <v>344</v>
      </c>
      <c r="C453" s="37">
        <v>1</v>
      </c>
      <c r="D453" s="61">
        <v>6</v>
      </c>
      <c r="E453" s="61"/>
      <c r="F453" s="61"/>
      <c r="G453" s="61"/>
      <c r="H453" s="85"/>
      <c r="I453" s="61"/>
      <c r="J453" s="61"/>
      <c r="K453" s="61"/>
      <c r="L453" s="61"/>
      <c r="M453" s="61"/>
      <c r="N453" s="61"/>
      <c r="O453" s="61"/>
      <c r="P453" s="61"/>
      <c r="Q453" s="61"/>
      <c r="R453" s="61"/>
      <c r="S453" s="61"/>
      <c r="T453" s="61"/>
      <c r="U453" s="13">
        <f t="shared" si="24"/>
        <v>6</v>
      </c>
      <c r="V453" s="66">
        <v>5061387.5</v>
      </c>
      <c r="W453" s="15">
        <f t="shared" si="21"/>
        <v>30368325</v>
      </c>
    </row>
    <row r="454" spans="1:23" customFormat="1" ht="285" x14ac:dyDescent="0.25">
      <c r="A454" s="124"/>
      <c r="B454" s="142" t="s">
        <v>426</v>
      </c>
      <c r="C454" s="37">
        <v>1</v>
      </c>
      <c r="D454" s="61">
        <v>7</v>
      </c>
      <c r="E454" s="61"/>
      <c r="F454" s="61"/>
      <c r="G454" s="61"/>
      <c r="H454" s="85"/>
      <c r="I454" s="61"/>
      <c r="J454" s="61"/>
      <c r="K454" s="61"/>
      <c r="L454" s="61"/>
      <c r="M454" s="61"/>
      <c r="N454" s="61"/>
      <c r="O454" s="61"/>
      <c r="P454" s="61"/>
      <c r="Q454" s="61"/>
      <c r="R454" s="61"/>
      <c r="S454" s="61"/>
      <c r="T454" s="61"/>
      <c r="U454" s="13">
        <f t="shared" si="24"/>
        <v>7</v>
      </c>
      <c r="V454" s="66">
        <v>4116450</v>
      </c>
      <c r="W454" s="15">
        <f t="shared" si="21"/>
        <v>28815150</v>
      </c>
    </row>
    <row r="455" spans="1:23" customFormat="1" ht="285" x14ac:dyDescent="0.25">
      <c r="A455" s="124"/>
      <c r="B455" s="142" t="s">
        <v>427</v>
      </c>
      <c r="C455" s="37">
        <v>1</v>
      </c>
      <c r="D455" s="61">
        <v>1</v>
      </c>
      <c r="E455" s="61"/>
      <c r="F455" s="61"/>
      <c r="G455" s="61"/>
      <c r="H455" s="85"/>
      <c r="I455" s="61"/>
      <c r="J455" s="61"/>
      <c r="K455" s="61"/>
      <c r="L455" s="61"/>
      <c r="M455" s="61"/>
      <c r="N455" s="61"/>
      <c r="O455" s="61"/>
      <c r="P455" s="61"/>
      <c r="Q455" s="61"/>
      <c r="R455" s="61"/>
      <c r="S455" s="61"/>
      <c r="T455" s="61"/>
      <c r="U455" s="13">
        <f t="shared" si="24"/>
        <v>1</v>
      </c>
      <c r="V455" s="66">
        <v>8787425</v>
      </c>
      <c r="W455" s="15">
        <f t="shared" si="21"/>
        <v>8787425</v>
      </c>
    </row>
    <row r="456" spans="1:23" s="154" customFormat="1" x14ac:dyDescent="0.25">
      <c r="A456" s="390" t="s">
        <v>51</v>
      </c>
      <c r="B456" s="92" t="s">
        <v>429</v>
      </c>
      <c r="C456" s="22" t="s">
        <v>347</v>
      </c>
      <c r="D456" s="25"/>
      <c r="E456" s="30"/>
      <c r="F456" s="30"/>
      <c r="G456" s="30"/>
      <c r="H456" s="87"/>
      <c r="I456" s="30"/>
      <c r="J456" s="30"/>
      <c r="K456" s="30"/>
      <c r="L456" s="30"/>
      <c r="M456" s="30"/>
      <c r="N456" s="30"/>
      <c r="O456" s="30"/>
      <c r="P456" s="30"/>
      <c r="Q456" s="30"/>
      <c r="R456" s="30"/>
      <c r="S456" s="30"/>
      <c r="T456" s="30"/>
      <c r="U456" s="13">
        <f t="shared" si="24"/>
        <v>0</v>
      </c>
      <c r="V456" s="30"/>
      <c r="W456" s="15">
        <v>1300000</v>
      </c>
    </row>
    <row r="457" spans="1:23" s="154" customFormat="1" x14ac:dyDescent="0.25">
      <c r="A457" s="391" t="s">
        <v>53</v>
      </c>
      <c r="B457" s="92" t="s">
        <v>428</v>
      </c>
      <c r="C457" s="22" t="s">
        <v>347</v>
      </c>
      <c r="D457" s="25"/>
      <c r="E457" s="30"/>
      <c r="F457" s="30"/>
      <c r="G457" s="30"/>
      <c r="H457" s="87"/>
      <c r="I457" s="30"/>
      <c r="J457" s="30"/>
      <c r="K457" s="30"/>
      <c r="L457" s="30"/>
      <c r="M457" s="30"/>
      <c r="N457" s="30"/>
      <c r="O457" s="30"/>
      <c r="P457" s="30"/>
      <c r="Q457" s="30"/>
      <c r="R457" s="30"/>
      <c r="S457" s="30"/>
      <c r="T457" s="30"/>
      <c r="U457" s="13">
        <f t="shared" si="24"/>
        <v>0</v>
      </c>
      <c r="V457" s="30"/>
      <c r="W457" s="15">
        <v>700000</v>
      </c>
    </row>
    <row r="458" spans="1:23" s="154" customFormat="1" x14ac:dyDescent="0.25">
      <c r="A458" s="392" t="s">
        <v>55</v>
      </c>
      <c r="B458" s="92" t="s">
        <v>432</v>
      </c>
      <c r="C458" s="22" t="s">
        <v>347</v>
      </c>
      <c r="D458" s="25"/>
      <c r="E458" s="30"/>
      <c r="F458" s="30"/>
      <c r="G458" s="30"/>
      <c r="H458" s="87"/>
      <c r="I458" s="30"/>
      <c r="J458" s="30"/>
      <c r="K458" s="30"/>
      <c r="L458" s="30"/>
      <c r="M458" s="30"/>
      <c r="N458" s="30"/>
      <c r="O458" s="30"/>
      <c r="P458" s="30"/>
      <c r="Q458" s="30"/>
      <c r="R458" s="30"/>
      <c r="S458" s="30"/>
      <c r="T458" s="30"/>
      <c r="U458" s="13">
        <f t="shared" si="24"/>
        <v>0</v>
      </c>
      <c r="V458" s="30"/>
      <c r="W458" s="15">
        <v>500000</v>
      </c>
    </row>
    <row r="459" spans="1:23" s="154" customFormat="1" x14ac:dyDescent="0.25">
      <c r="A459" s="390" t="s">
        <v>51</v>
      </c>
      <c r="B459" s="92" t="s">
        <v>430</v>
      </c>
      <c r="C459" s="22" t="s">
        <v>347</v>
      </c>
      <c r="D459" s="25"/>
      <c r="E459" s="30"/>
      <c r="F459" s="30"/>
      <c r="G459" s="30"/>
      <c r="H459" s="87"/>
      <c r="I459" s="30"/>
      <c r="J459" s="30"/>
      <c r="K459" s="30"/>
      <c r="L459" s="30"/>
      <c r="M459" s="30"/>
      <c r="N459" s="30"/>
      <c r="O459" s="30"/>
      <c r="P459" s="30"/>
      <c r="Q459" s="30"/>
      <c r="R459" s="30"/>
      <c r="S459" s="30"/>
      <c r="T459" s="30"/>
      <c r="U459" s="13">
        <f t="shared" si="24"/>
        <v>0</v>
      </c>
      <c r="V459" s="30"/>
      <c r="W459" s="15">
        <v>500000</v>
      </c>
    </row>
    <row r="460" spans="1:23" s="154" customFormat="1" x14ac:dyDescent="0.25">
      <c r="A460" s="391" t="s">
        <v>53</v>
      </c>
      <c r="B460" s="92" t="s">
        <v>431</v>
      </c>
      <c r="C460" s="22" t="s">
        <v>347</v>
      </c>
      <c r="D460" s="25"/>
      <c r="E460" s="30"/>
      <c r="F460" s="30"/>
      <c r="G460" s="30"/>
      <c r="H460" s="87"/>
      <c r="I460" s="30"/>
      <c r="J460" s="30"/>
      <c r="K460" s="30"/>
      <c r="L460" s="30"/>
      <c r="M460" s="30"/>
      <c r="N460" s="30"/>
      <c r="O460" s="30"/>
      <c r="P460" s="30"/>
      <c r="Q460" s="30"/>
      <c r="R460" s="30"/>
      <c r="S460" s="30"/>
      <c r="T460" s="30"/>
      <c r="U460" s="13">
        <f t="shared" si="24"/>
        <v>0</v>
      </c>
      <c r="V460" s="30"/>
      <c r="W460" s="15">
        <v>500000</v>
      </c>
    </row>
    <row r="461" spans="1:23" s="154" customFormat="1" ht="30" x14ac:dyDescent="0.25">
      <c r="A461" s="390" t="s">
        <v>51</v>
      </c>
      <c r="B461" s="94" t="s">
        <v>433</v>
      </c>
      <c r="C461" s="22" t="s">
        <v>347</v>
      </c>
      <c r="D461" s="25"/>
      <c r="E461" s="30"/>
      <c r="F461" s="30"/>
      <c r="G461" s="30"/>
      <c r="H461" s="87"/>
      <c r="I461" s="30"/>
      <c r="J461" s="30"/>
      <c r="K461" s="30"/>
      <c r="L461" s="30"/>
      <c r="M461" s="30"/>
      <c r="N461" s="30"/>
      <c r="O461" s="30"/>
      <c r="P461" s="30"/>
      <c r="Q461" s="30"/>
      <c r="R461" s="30"/>
      <c r="S461" s="30"/>
      <c r="T461" s="30"/>
      <c r="U461" s="13">
        <f t="shared" si="24"/>
        <v>0</v>
      </c>
      <c r="V461" s="30"/>
      <c r="W461" s="15">
        <v>250000</v>
      </c>
    </row>
    <row r="462" spans="1:23" s="154" customFormat="1" ht="30" x14ac:dyDescent="0.25">
      <c r="A462" s="391" t="s">
        <v>53</v>
      </c>
      <c r="B462" s="94" t="s">
        <v>434</v>
      </c>
      <c r="C462" s="22" t="s">
        <v>347</v>
      </c>
      <c r="D462" s="25"/>
      <c r="E462" s="30"/>
      <c r="F462" s="30"/>
      <c r="G462" s="30"/>
      <c r="H462" s="87"/>
      <c r="I462" s="30"/>
      <c r="J462" s="30"/>
      <c r="K462" s="30"/>
      <c r="L462" s="30"/>
      <c r="M462" s="30"/>
      <c r="N462" s="30"/>
      <c r="O462" s="30"/>
      <c r="P462" s="30"/>
      <c r="Q462" s="30"/>
      <c r="R462" s="30"/>
      <c r="S462" s="30"/>
      <c r="T462" s="30"/>
      <c r="U462" s="13">
        <f t="shared" si="24"/>
        <v>0</v>
      </c>
      <c r="V462" s="30"/>
      <c r="W462" s="15">
        <v>250000</v>
      </c>
    </row>
    <row r="463" spans="1:23" s="154" customFormat="1" x14ac:dyDescent="0.25">
      <c r="A463" s="390" t="s">
        <v>51</v>
      </c>
      <c r="B463" s="94" t="s">
        <v>354</v>
      </c>
      <c r="C463" s="22" t="s">
        <v>347</v>
      </c>
      <c r="D463" s="33">
        <v>5</v>
      </c>
      <c r="E463" s="40"/>
      <c r="F463" s="40"/>
      <c r="G463" s="40"/>
      <c r="H463" s="86"/>
      <c r="I463" s="40"/>
      <c r="J463" s="40"/>
      <c r="K463" s="40"/>
      <c r="L463" s="40"/>
      <c r="M463" s="40"/>
      <c r="N463" s="40"/>
      <c r="O463" s="40"/>
      <c r="P463" s="40"/>
      <c r="Q463" s="40"/>
      <c r="R463" s="40"/>
      <c r="S463" s="40"/>
      <c r="T463" s="40"/>
      <c r="U463" s="13">
        <f t="shared" si="24"/>
        <v>5</v>
      </c>
      <c r="V463" s="40">
        <v>100000</v>
      </c>
      <c r="W463" s="15">
        <v>500000</v>
      </c>
    </row>
    <row r="464" spans="1:23" s="154" customFormat="1" x14ac:dyDescent="0.25">
      <c r="A464" s="393">
        <v>13</v>
      </c>
      <c r="B464" s="98" t="s">
        <v>355</v>
      </c>
      <c r="C464" s="22" t="s">
        <v>347</v>
      </c>
      <c r="D464" s="25">
        <v>1</v>
      </c>
      <c r="E464" s="30"/>
      <c r="F464" s="30"/>
      <c r="G464" s="30"/>
      <c r="H464" s="87"/>
      <c r="I464" s="30"/>
      <c r="J464" s="30"/>
      <c r="K464" s="30"/>
      <c r="L464" s="30"/>
      <c r="M464" s="30"/>
      <c r="N464" s="30"/>
      <c r="O464" s="30"/>
      <c r="P464" s="30"/>
      <c r="Q464" s="30"/>
      <c r="R464" s="30"/>
      <c r="S464" s="30"/>
      <c r="T464" s="30"/>
      <c r="U464" s="13">
        <f t="shared" si="24"/>
        <v>1</v>
      </c>
      <c r="V464" s="30"/>
      <c r="W464" s="15">
        <v>1500000</v>
      </c>
    </row>
    <row r="465" spans="1:31" s="154" customFormat="1" x14ac:dyDescent="0.25">
      <c r="A465" s="394">
        <v>14</v>
      </c>
      <c r="B465" s="98" t="s">
        <v>356</v>
      </c>
      <c r="C465" s="22" t="s">
        <v>347</v>
      </c>
      <c r="D465" s="33">
        <v>3</v>
      </c>
      <c r="E465" s="40"/>
      <c r="F465" s="40"/>
      <c r="G465" s="40"/>
      <c r="H465" s="86"/>
      <c r="I465" s="40"/>
      <c r="J465" s="40"/>
      <c r="K465" s="40"/>
      <c r="L465" s="40"/>
      <c r="M465" s="40"/>
      <c r="N465" s="40"/>
      <c r="O465" s="40"/>
      <c r="P465" s="40"/>
      <c r="Q465" s="40"/>
      <c r="R465" s="40"/>
      <c r="S465" s="40"/>
      <c r="T465" s="40"/>
      <c r="U465" s="13">
        <f t="shared" si="24"/>
        <v>3</v>
      </c>
      <c r="V465" s="40">
        <v>500000</v>
      </c>
      <c r="W465" s="15">
        <v>1500000</v>
      </c>
    </row>
    <row r="466" spans="1:31" s="154" customFormat="1" x14ac:dyDescent="0.25">
      <c r="A466" s="395">
        <v>15</v>
      </c>
      <c r="B466" s="98" t="s">
        <v>357</v>
      </c>
      <c r="C466" s="22" t="s">
        <v>347</v>
      </c>
      <c r="D466" s="25">
        <v>1</v>
      </c>
      <c r="E466" s="30"/>
      <c r="F466" s="30"/>
      <c r="G466" s="30"/>
      <c r="H466" s="87"/>
      <c r="I466" s="30"/>
      <c r="J466" s="30"/>
      <c r="K466" s="30"/>
      <c r="L466" s="30"/>
      <c r="M466" s="30"/>
      <c r="N466" s="30"/>
      <c r="O466" s="30"/>
      <c r="P466" s="30"/>
      <c r="Q466" s="30"/>
      <c r="R466" s="30"/>
      <c r="S466" s="30"/>
      <c r="T466" s="30"/>
      <c r="U466" s="13">
        <f t="shared" si="24"/>
        <v>1</v>
      </c>
      <c r="V466" s="30"/>
      <c r="W466" s="15">
        <v>500000</v>
      </c>
    </row>
    <row r="467" spans="1:31" x14ac:dyDescent="0.25">
      <c r="A467" s="390" t="s">
        <v>51</v>
      </c>
      <c r="B467" s="94" t="s">
        <v>435</v>
      </c>
      <c r="C467" s="22" t="s">
        <v>347</v>
      </c>
      <c r="D467" s="33">
        <v>1</v>
      </c>
      <c r="E467" s="40"/>
      <c r="F467" s="40"/>
      <c r="G467" s="40"/>
      <c r="H467" s="86"/>
      <c r="I467" s="40"/>
      <c r="J467" s="40"/>
      <c r="K467" s="40"/>
      <c r="L467" s="40"/>
      <c r="M467" s="40"/>
      <c r="N467" s="40"/>
      <c r="O467" s="40"/>
      <c r="P467" s="40"/>
      <c r="Q467" s="40"/>
      <c r="R467" s="40"/>
      <c r="S467" s="40"/>
      <c r="T467" s="40"/>
      <c r="U467" s="13">
        <f t="shared" si="24"/>
        <v>1</v>
      </c>
      <c r="V467" s="30"/>
      <c r="W467" s="15">
        <v>125000</v>
      </c>
    </row>
    <row r="468" spans="1:31" ht="30" x14ac:dyDescent="0.25">
      <c r="A468" s="391" t="s">
        <v>53</v>
      </c>
      <c r="B468" s="94" t="s">
        <v>436</v>
      </c>
      <c r="C468" s="22" t="s">
        <v>347</v>
      </c>
      <c r="D468" s="33">
        <v>1</v>
      </c>
      <c r="E468" s="40"/>
      <c r="F468" s="40"/>
      <c r="G468" s="40"/>
      <c r="H468" s="86"/>
      <c r="I468" s="40"/>
      <c r="J468" s="40"/>
      <c r="K468" s="40"/>
      <c r="L468" s="40"/>
      <c r="M468" s="40"/>
      <c r="N468" s="40"/>
      <c r="O468" s="40"/>
      <c r="P468" s="40"/>
      <c r="Q468" s="40"/>
      <c r="R468" s="40"/>
      <c r="S468" s="40"/>
      <c r="T468" s="40"/>
      <c r="U468" s="13">
        <f t="shared" si="24"/>
        <v>1</v>
      </c>
      <c r="V468" s="30"/>
      <c r="W468" s="15">
        <v>100000</v>
      </c>
      <c r="AC468"/>
      <c r="AD468"/>
      <c r="AE468">
        <f>AC468+AD468</f>
        <v>0</v>
      </c>
    </row>
    <row r="469" spans="1:31" x14ac:dyDescent="0.25">
      <c r="A469" s="392" t="s">
        <v>55</v>
      </c>
      <c r="B469" s="94" t="s">
        <v>437</v>
      </c>
      <c r="C469" s="22" t="s">
        <v>347</v>
      </c>
      <c r="D469" s="33">
        <v>1</v>
      </c>
      <c r="E469" s="40"/>
      <c r="F469" s="40"/>
      <c r="G469" s="40"/>
      <c r="H469" s="86"/>
      <c r="I469" s="40"/>
      <c r="J469" s="40"/>
      <c r="K469" s="40"/>
      <c r="L469" s="40"/>
      <c r="M469" s="40"/>
      <c r="N469" s="40"/>
      <c r="O469" s="40"/>
      <c r="P469" s="40"/>
      <c r="Q469" s="40"/>
      <c r="R469" s="40"/>
      <c r="S469" s="40"/>
      <c r="T469" s="40"/>
      <c r="U469" s="13">
        <f t="shared" si="24"/>
        <v>1</v>
      </c>
      <c r="V469" s="30"/>
      <c r="W469" s="15">
        <v>100000</v>
      </c>
      <c r="AC469">
        <v>187601.82</v>
      </c>
      <c r="AD469">
        <v>40000</v>
      </c>
      <c r="AE469">
        <f t="shared" ref="AE469:AE477" si="25">AC469+AD469</f>
        <v>227601.82</v>
      </c>
    </row>
    <row r="470" spans="1:31" x14ac:dyDescent="0.25">
      <c r="A470" s="117" t="s">
        <v>362</v>
      </c>
      <c r="B470" s="94" t="s">
        <v>438</v>
      </c>
      <c r="C470" s="22" t="s">
        <v>347</v>
      </c>
      <c r="D470" s="33">
        <v>1</v>
      </c>
      <c r="E470" s="40"/>
      <c r="F470" s="40"/>
      <c r="G470" s="40"/>
      <c r="H470" s="86"/>
      <c r="I470" s="40"/>
      <c r="J470" s="40"/>
      <c r="K470" s="40"/>
      <c r="L470" s="40"/>
      <c r="M470" s="40"/>
      <c r="N470" s="40"/>
      <c r="O470" s="40"/>
      <c r="P470" s="40"/>
      <c r="Q470" s="40"/>
      <c r="R470" s="40"/>
      <c r="S470" s="40"/>
      <c r="T470" s="40"/>
      <c r="U470" s="13">
        <f t="shared" si="24"/>
        <v>1</v>
      </c>
      <c r="V470" s="30"/>
      <c r="W470" s="15">
        <v>175000</v>
      </c>
      <c r="AC470">
        <v>101544.2</v>
      </c>
      <c r="AD470">
        <v>40000</v>
      </c>
      <c r="AE470">
        <f t="shared" si="25"/>
        <v>141544.20000000001</v>
      </c>
    </row>
    <row r="471" spans="1:31" ht="30" x14ac:dyDescent="0.25">
      <c r="A471" s="117" t="s">
        <v>364</v>
      </c>
      <c r="B471" s="94" t="s">
        <v>439</v>
      </c>
      <c r="C471" s="22" t="s">
        <v>347</v>
      </c>
      <c r="D471" s="33">
        <v>1</v>
      </c>
      <c r="E471" s="40"/>
      <c r="F471" s="40"/>
      <c r="G471" s="40"/>
      <c r="H471" s="86"/>
      <c r="I471" s="40"/>
      <c r="J471" s="40"/>
      <c r="K471" s="40"/>
      <c r="L471" s="40"/>
      <c r="M471" s="40"/>
      <c r="N471" s="40"/>
      <c r="O471" s="40"/>
      <c r="P471" s="40"/>
      <c r="Q471" s="40"/>
      <c r="R471" s="40"/>
      <c r="S471" s="40"/>
      <c r="T471" s="40"/>
      <c r="U471" s="13">
        <f t="shared" si="24"/>
        <v>1</v>
      </c>
      <c r="V471" s="30"/>
      <c r="W471" s="15">
        <v>500000</v>
      </c>
      <c r="X471" s="186">
        <f>SUM(W456:W471)</f>
        <v>9000000</v>
      </c>
      <c r="AC471">
        <v>134924</v>
      </c>
      <c r="AD471">
        <v>40000</v>
      </c>
      <c r="AE471">
        <f t="shared" si="25"/>
        <v>174924</v>
      </c>
    </row>
    <row r="472" spans="1:31" x14ac:dyDescent="0.25">
      <c r="B472" s="157"/>
      <c r="AC472">
        <v>207719.6</v>
      </c>
      <c r="AD472">
        <v>40000</v>
      </c>
      <c r="AE472">
        <f t="shared" si="25"/>
        <v>247719.6</v>
      </c>
    </row>
    <row r="473" spans="1:31" x14ac:dyDescent="0.25">
      <c r="B473" s="157"/>
      <c r="AC473">
        <v>274993.59999999998</v>
      </c>
      <c r="AD473">
        <v>156780</v>
      </c>
      <c r="AE473">
        <f t="shared" si="25"/>
        <v>431773.6</v>
      </c>
    </row>
    <row r="474" spans="1:31" x14ac:dyDescent="0.25">
      <c r="B474" s="157"/>
      <c r="V474" s="153" t="s">
        <v>415</v>
      </c>
      <c r="W474" s="68">
        <f>SUM(W5:W471)</f>
        <v>2262703047.6386776</v>
      </c>
      <c r="AC474">
        <v>141014</v>
      </c>
      <c r="AD474">
        <v>40000</v>
      </c>
      <c r="AE474">
        <f t="shared" si="25"/>
        <v>181014</v>
      </c>
    </row>
    <row r="475" spans="1:31" x14ac:dyDescent="0.25">
      <c r="W475" s="159"/>
      <c r="AC475">
        <v>301093.59999999998</v>
      </c>
      <c r="AD475">
        <v>156780</v>
      </c>
      <c r="AE475">
        <f t="shared" si="25"/>
        <v>457873.6</v>
      </c>
    </row>
    <row r="476" spans="1:31" x14ac:dyDescent="0.25">
      <c r="V476" s="153" t="s">
        <v>416</v>
      </c>
      <c r="W476" s="68">
        <v>2279229198.29</v>
      </c>
      <c r="AC476">
        <v>143304</v>
      </c>
      <c r="AD476">
        <v>40000</v>
      </c>
      <c r="AE476">
        <f t="shared" si="25"/>
        <v>183304</v>
      </c>
    </row>
    <row r="477" spans="1:31" x14ac:dyDescent="0.25">
      <c r="W477" s="159"/>
      <c r="AC477">
        <v>1426668.4</v>
      </c>
      <c r="AD477">
        <v>156780</v>
      </c>
      <c r="AE477">
        <f t="shared" si="25"/>
        <v>1583448.4</v>
      </c>
    </row>
    <row r="478" spans="1:31" x14ac:dyDescent="0.25">
      <c r="V478" s="153" t="s">
        <v>417</v>
      </c>
      <c r="W478" s="165">
        <f>W474-W476</f>
        <v>-16526150.651322365</v>
      </c>
      <c r="X478" s="1">
        <f>16069459</f>
        <v>16069459</v>
      </c>
      <c r="AC478"/>
      <c r="AD478"/>
      <c r="AE478">
        <f>SUM(AE468:AE477)</f>
        <v>3629203.2199999997</v>
      </c>
    </row>
    <row r="479" spans="1:31" x14ac:dyDescent="0.25">
      <c r="X479" s="1">
        <v>4726644</v>
      </c>
    </row>
    <row r="480" spans="1:31" x14ac:dyDescent="0.25">
      <c r="W480" s="153">
        <f>W478+X480+X481+X482+Z481</f>
        <v>-1553509.6513223648</v>
      </c>
      <c r="X480" s="1">
        <f>X478-X479</f>
        <v>11342815</v>
      </c>
    </row>
    <row r="481" spans="24:29" x14ac:dyDescent="0.25">
      <c r="X481">
        <v>3629203</v>
      </c>
    </row>
    <row r="482" spans="24:29" x14ac:dyDescent="0.25">
      <c r="X482" s="1">
        <v>623</v>
      </c>
    </row>
    <row r="483" spans="24:29" x14ac:dyDescent="0.25">
      <c r="AA483" s="187">
        <f>AA482+AB504</f>
        <v>0</v>
      </c>
    </row>
    <row r="485" spans="24:29" x14ac:dyDescent="0.25">
      <c r="AC485" s="187"/>
    </row>
  </sheetData>
  <autoFilter ref="A3:G452" xr:uid="{00000000-0009-0000-0000-000004000000}"/>
  <mergeCells count="3">
    <mergeCell ref="A1:W1"/>
    <mergeCell ref="A2:W2"/>
    <mergeCell ref="A200:A202"/>
  </mergeCells>
  <conditionalFormatting sqref="B1:B1048576">
    <cfRule type="duplicateValues" dxfId="35" priority="1"/>
  </conditionalFormatting>
  <conditionalFormatting sqref="B60:B62 W352:W420 W447:W471">
    <cfRule type="cellIs" dxfId="34" priority="5" operator="equal">
      <formula>0</formula>
    </cfRule>
  </conditionalFormatting>
  <conditionalFormatting sqref="B72">
    <cfRule type="cellIs" dxfId="33" priority="4" operator="equal">
      <formula>0</formula>
    </cfRule>
  </conditionalFormatting>
  <conditionalFormatting sqref="B78:B85 W70:W80 V78:V80 W89:W100">
    <cfRule type="cellIs" dxfId="32" priority="11" operator="equal">
      <formula>0</formula>
    </cfRule>
  </conditionalFormatting>
  <conditionalFormatting sqref="B113">
    <cfRule type="cellIs" dxfId="31" priority="9" operator="equal">
      <formula>0</formula>
    </cfRule>
  </conditionalFormatting>
  <conditionalFormatting sqref="B226">
    <cfRule type="cellIs" dxfId="30" priority="7" operator="equal">
      <formula>0</formula>
    </cfRule>
  </conditionalFormatting>
  <conditionalFormatting sqref="J78:M80">
    <cfRule type="cellIs" dxfId="29" priority="6" operator="equal">
      <formula>0</formula>
    </cfRule>
  </conditionalFormatting>
  <conditionalFormatting sqref="O78:O80">
    <cfRule type="cellIs" dxfId="28" priority="3" operator="equal">
      <formula>0</formula>
    </cfRule>
  </conditionalFormatting>
  <conditionalFormatting sqref="V72">
    <cfRule type="cellIs" dxfId="27" priority="2" operator="equal">
      <formula>0</formula>
    </cfRule>
  </conditionalFormatting>
  <conditionalFormatting sqref="V113:V114">
    <cfRule type="cellIs" dxfId="26" priority="10" operator="equal">
      <formula>0</formula>
    </cfRule>
  </conditionalFormatting>
  <conditionalFormatting sqref="V226">
    <cfRule type="cellIs" dxfId="25" priority="8" operator="equal">
      <formula>0</formula>
    </cfRule>
  </conditionalFormatting>
  <conditionalFormatting sqref="W3 W5:W6 W8:W22 W24:W32 W34 W36:W42 W44 W46:W51 W53 W55:W58 W60:W64 W66:W68 D78:D80 W82:W87 W102:W103 W105:W107 W109:W115 W117:W119 W121:W133 W135:W136 W138:W139 W141:W146 W148:W157 W159:W169 W171:W173 W175:W177 W179:W191 W193:W196 W198:W199 W201:W203 W205:W226 W228:W229 W231:W232 W234:W241 W243:W245 W247:W248 W250:W253 W255 W257:W259 W261:W265 W267:W270 W272:W273 W275:W292 W294:W311 W313:W316 W318:W321 W323:W324 W326:W328 W330:W345 W347:W350 W422:W445">
    <cfRule type="cellIs" dxfId="24" priority="12" operator="equal">
      <formula>0</formula>
    </cfRule>
  </conditionalFormatting>
  <printOptions horizontalCentered="1"/>
  <pageMargins left="0.39370078740157483" right="7.874015748031496E-2" top="0.27559055118110237" bottom="0.11811023622047245" header="0.31496062992125984" footer="0.31496062992125984"/>
  <pageSetup paperSize="9" scale="7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E485"/>
  <sheetViews>
    <sheetView view="pageBreakPreview" zoomScale="70" zoomScaleNormal="70" zoomScaleSheetLayoutView="70" workbookViewId="0">
      <pane xSplit="3" ySplit="3" topLeftCell="D4" activePane="bottomRight" state="frozen"/>
      <selection activeCell="C7" sqref="C7"/>
      <selection pane="topRight" activeCell="C7" sqref="C7"/>
      <selection pane="bottomLeft" activeCell="C7" sqref="C7"/>
      <selection pane="bottomRight" activeCell="C7" sqref="C7"/>
    </sheetView>
  </sheetViews>
  <sheetFormatPr defaultColWidth="9.140625" defaultRowHeight="15.75" x14ac:dyDescent="0.25"/>
  <cols>
    <col min="1" max="1" width="5.85546875" style="156" bestFit="1" customWidth="1"/>
    <col min="2" max="2" width="63.7109375" style="160" customWidth="1"/>
    <col min="3" max="3" width="17.7109375" style="7" bestFit="1" customWidth="1"/>
    <col min="4" max="4" width="18.85546875" style="151" customWidth="1"/>
    <col min="5" max="5" width="17.85546875" style="153" customWidth="1"/>
    <col min="6" max="6" width="16.85546875" style="153" bestFit="1" customWidth="1"/>
    <col min="7" max="7" width="17" style="153" customWidth="1"/>
    <col min="8" max="10" width="17.28515625" style="153" bestFit="1" customWidth="1"/>
    <col min="11" max="13" width="16" style="153" bestFit="1" customWidth="1"/>
    <col min="14" max="14" width="14" style="153" bestFit="1" customWidth="1"/>
    <col min="15" max="16" width="16" style="153" bestFit="1" customWidth="1"/>
    <col min="17" max="17" width="16.7109375" style="153" bestFit="1" customWidth="1"/>
    <col min="18" max="18" width="16" style="153" bestFit="1" customWidth="1"/>
    <col min="19" max="19" width="14.42578125" style="153" customWidth="1"/>
    <col min="20" max="20" width="18.7109375" style="153" customWidth="1"/>
    <col min="21" max="21" width="19.140625" style="153" bestFit="1" customWidth="1"/>
    <col min="22" max="22" width="17.85546875" style="153" customWidth="1"/>
    <col min="23" max="23" width="24.7109375" style="153" customWidth="1"/>
    <col min="24" max="26" width="18.42578125" style="1" bestFit="1" customWidth="1"/>
    <col min="27" max="27" width="16.5703125" style="1" bestFit="1" customWidth="1"/>
    <col min="28" max="28" width="17.28515625" style="1" bestFit="1" customWidth="1"/>
    <col min="29" max="29" width="16.5703125" style="1" bestFit="1" customWidth="1"/>
    <col min="30" max="16384" width="9.140625" style="1"/>
  </cols>
  <sheetData>
    <row r="1" spans="1:23" ht="26.25" x14ac:dyDescent="0.25">
      <c r="A1" s="1035" t="s">
        <v>0</v>
      </c>
      <c r="B1" s="1035"/>
      <c r="C1" s="1035"/>
      <c r="D1" s="1035"/>
      <c r="E1" s="1035"/>
      <c r="F1" s="1035"/>
      <c r="G1" s="1035"/>
      <c r="H1" s="1035"/>
      <c r="I1" s="1035"/>
      <c r="J1" s="1035"/>
      <c r="K1" s="1035"/>
      <c r="L1" s="1035"/>
      <c r="M1" s="1035"/>
      <c r="N1" s="1035"/>
      <c r="O1" s="1035"/>
      <c r="P1" s="1035"/>
      <c r="Q1" s="1035"/>
      <c r="R1" s="1035"/>
      <c r="S1" s="1035"/>
      <c r="T1" s="1035"/>
      <c r="U1" s="1035"/>
      <c r="V1" s="1035"/>
      <c r="W1" s="1035"/>
    </row>
    <row r="2" spans="1:23" ht="21" x14ac:dyDescent="0.25">
      <c r="A2" s="1036"/>
      <c r="B2" s="1046"/>
      <c r="C2" s="1036"/>
      <c r="D2" s="1036"/>
      <c r="E2" s="1036"/>
      <c r="F2" s="1036"/>
      <c r="G2" s="1036"/>
      <c r="H2" s="1036"/>
      <c r="I2" s="1036"/>
      <c r="J2" s="1036"/>
      <c r="K2" s="1036"/>
      <c r="L2" s="1036"/>
      <c r="M2" s="1036"/>
      <c r="N2" s="1036"/>
      <c r="O2" s="1036"/>
      <c r="P2" s="1036"/>
      <c r="Q2" s="1036"/>
      <c r="R2" s="1036"/>
      <c r="S2" s="1036"/>
      <c r="T2" s="1036"/>
      <c r="U2" s="1036"/>
      <c r="V2" s="1036"/>
      <c r="W2" s="1036"/>
    </row>
    <row r="3" spans="1:23" s="2" customFormat="1" ht="18.75" x14ac:dyDescent="0.3">
      <c r="A3" s="196"/>
      <c r="B3" s="410"/>
      <c r="C3" s="396"/>
      <c r="D3" s="397"/>
      <c r="E3" s="397"/>
      <c r="F3" s="397"/>
      <c r="G3" s="397"/>
      <c r="H3" s="397"/>
      <c r="I3" s="397"/>
      <c r="J3" s="398"/>
      <c r="K3" s="397"/>
      <c r="L3" s="398"/>
      <c r="M3" s="398"/>
      <c r="N3" s="397"/>
      <c r="O3" s="397"/>
      <c r="P3" s="397"/>
      <c r="Q3" s="397"/>
      <c r="R3" s="397"/>
      <c r="S3" s="397"/>
      <c r="T3" s="398"/>
      <c r="U3" s="398"/>
      <c r="V3" s="398"/>
      <c r="W3" s="397"/>
    </row>
    <row r="4" spans="1:23" s="161" customFormat="1" ht="22.5" x14ac:dyDescent="0.45">
      <c r="A4" s="197"/>
      <c r="B4" s="411"/>
      <c r="C4" s="399"/>
      <c r="D4" s="399"/>
      <c r="E4" s="400"/>
      <c r="F4" s="400"/>
      <c r="G4" s="400"/>
      <c r="H4" s="400"/>
      <c r="I4" s="400"/>
      <c r="J4" s="400"/>
      <c r="K4" s="400"/>
      <c r="L4" s="400"/>
      <c r="M4" s="400"/>
      <c r="N4" s="400"/>
      <c r="O4" s="400"/>
      <c r="P4" s="400"/>
      <c r="Q4" s="400"/>
      <c r="R4" s="400"/>
      <c r="S4" s="400"/>
      <c r="T4" s="400"/>
      <c r="U4" s="400"/>
      <c r="V4" s="400"/>
      <c r="W4" s="400"/>
    </row>
    <row r="5" spans="1:23" x14ac:dyDescent="0.25">
      <c r="A5" s="116"/>
      <c r="B5" s="412"/>
      <c r="C5" s="12"/>
      <c r="D5" s="33"/>
      <c r="E5" s="13"/>
      <c r="F5" s="13"/>
      <c r="G5" s="13"/>
      <c r="H5" s="13"/>
      <c r="I5" s="13"/>
      <c r="J5" s="13"/>
      <c r="K5" s="13"/>
      <c r="L5" s="13"/>
      <c r="M5" s="13"/>
      <c r="N5" s="13"/>
      <c r="O5" s="13"/>
      <c r="P5" s="13"/>
      <c r="Q5" s="13"/>
      <c r="R5" s="13"/>
      <c r="S5" s="13"/>
      <c r="T5" s="13"/>
      <c r="U5" s="13"/>
      <c r="V5" s="14"/>
      <c r="W5" s="15"/>
    </row>
    <row r="6" spans="1:23" x14ac:dyDescent="0.25">
      <c r="A6" s="116"/>
      <c r="B6" s="413"/>
      <c r="C6" s="12"/>
      <c r="D6" s="33"/>
      <c r="E6" s="13"/>
      <c r="F6" s="13"/>
      <c r="G6" s="13"/>
      <c r="H6" s="13"/>
      <c r="I6" s="13"/>
      <c r="J6" s="13"/>
      <c r="K6" s="13"/>
      <c r="L6" s="13"/>
      <c r="M6" s="13"/>
      <c r="N6" s="13"/>
      <c r="O6" s="13"/>
      <c r="P6" s="13"/>
      <c r="Q6" s="13"/>
      <c r="R6" s="13"/>
      <c r="S6" s="13"/>
      <c r="T6" s="13"/>
      <c r="U6" s="13"/>
      <c r="V6" s="14"/>
      <c r="W6" s="15"/>
    </row>
    <row r="7" spans="1:23" x14ac:dyDescent="0.25">
      <c r="A7" s="116"/>
      <c r="B7" s="414"/>
      <c r="C7" s="33"/>
      <c r="D7" s="33"/>
      <c r="E7" s="13"/>
      <c r="F7" s="13"/>
      <c r="G7" s="13"/>
      <c r="H7" s="13"/>
      <c r="I7" s="13"/>
      <c r="J7" s="13"/>
      <c r="K7" s="13"/>
      <c r="L7" s="13"/>
      <c r="M7" s="13"/>
      <c r="N7" s="13"/>
      <c r="O7" s="13"/>
      <c r="P7" s="13"/>
      <c r="Q7" s="13"/>
      <c r="R7" s="13"/>
      <c r="S7" s="13"/>
      <c r="T7" s="13"/>
      <c r="U7" s="13"/>
      <c r="V7" s="14"/>
      <c r="W7" s="14"/>
    </row>
    <row r="8" spans="1:23" x14ac:dyDescent="0.25">
      <c r="A8" s="116"/>
      <c r="B8" s="415"/>
      <c r="C8" s="12"/>
      <c r="D8" s="33"/>
      <c r="E8" s="13"/>
      <c r="F8" s="13"/>
      <c r="G8" s="13"/>
      <c r="H8" s="13"/>
      <c r="I8" s="13"/>
      <c r="J8" s="13"/>
      <c r="K8" s="13"/>
      <c r="L8" s="13"/>
      <c r="M8" s="13"/>
      <c r="N8" s="13"/>
      <c r="O8" s="13"/>
      <c r="P8" s="13"/>
      <c r="Q8" s="13"/>
      <c r="R8" s="13"/>
      <c r="S8" s="13"/>
      <c r="T8" s="13"/>
      <c r="U8" s="13"/>
      <c r="V8" s="14"/>
      <c r="W8" s="15"/>
    </row>
    <row r="9" spans="1:23" x14ac:dyDescent="0.25">
      <c r="A9" s="116"/>
      <c r="B9" s="416"/>
      <c r="C9" s="12"/>
      <c r="D9" s="33"/>
      <c r="E9" s="13"/>
      <c r="F9" s="13"/>
      <c r="G9" s="13"/>
      <c r="H9" s="13"/>
      <c r="I9" s="13"/>
      <c r="J9" s="13"/>
      <c r="K9" s="13"/>
      <c r="L9" s="13"/>
      <c r="M9" s="13"/>
      <c r="N9" s="13"/>
      <c r="O9" s="13"/>
      <c r="P9" s="13"/>
      <c r="Q9" s="13"/>
      <c r="R9" s="13"/>
      <c r="S9" s="13"/>
      <c r="T9" s="13"/>
      <c r="U9" s="13"/>
      <c r="V9" s="14"/>
      <c r="W9" s="15"/>
    </row>
    <row r="10" spans="1:23" x14ac:dyDescent="0.25">
      <c r="A10" s="116"/>
      <c r="B10" s="417"/>
      <c r="C10" s="12"/>
      <c r="D10" s="33"/>
      <c r="E10" s="13"/>
      <c r="F10" s="13"/>
      <c r="G10" s="13"/>
      <c r="H10" s="13"/>
      <c r="I10" s="13"/>
      <c r="J10" s="13"/>
      <c r="K10" s="13"/>
      <c r="L10" s="13"/>
      <c r="M10" s="13"/>
      <c r="N10" s="13"/>
      <c r="O10" s="13"/>
      <c r="P10" s="13"/>
      <c r="Q10" s="13"/>
      <c r="R10" s="13"/>
      <c r="S10" s="13"/>
      <c r="T10" s="13"/>
      <c r="U10" s="13"/>
      <c r="V10" s="14"/>
      <c r="W10" s="15"/>
    </row>
    <row r="11" spans="1:23" x14ac:dyDescent="0.25">
      <c r="A11" s="116"/>
      <c r="B11" s="418"/>
      <c r="C11" s="12"/>
      <c r="D11" s="33"/>
      <c r="E11" s="13"/>
      <c r="F11" s="13"/>
      <c r="G11" s="13"/>
      <c r="H11" s="13"/>
      <c r="I11" s="13"/>
      <c r="J11" s="13"/>
      <c r="K11" s="13"/>
      <c r="L11" s="13"/>
      <c r="M11" s="13"/>
      <c r="N11" s="13"/>
      <c r="O11" s="13"/>
      <c r="P11" s="13"/>
      <c r="Q11" s="13"/>
      <c r="R11" s="13"/>
      <c r="S11" s="13"/>
      <c r="T11" s="13"/>
      <c r="U11" s="13"/>
      <c r="V11" s="14"/>
      <c r="W11" s="15"/>
    </row>
    <row r="12" spans="1:23" x14ac:dyDescent="0.25">
      <c r="A12" s="116"/>
      <c r="B12" s="419"/>
      <c r="C12" s="12"/>
      <c r="D12" s="33"/>
      <c r="E12" s="13"/>
      <c r="F12" s="13"/>
      <c r="G12" s="13"/>
      <c r="H12" s="13"/>
      <c r="I12" s="13"/>
      <c r="J12" s="13"/>
      <c r="K12" s="13"/>
      <c r="L12" s="13"/>
      <c r="M12" s="13"/>
      <c r="N12" s="13"/>
      <c r="O12" s="13"/>
      <c r="P12" s="13"/>
      <c r="Q12" s="13"/>
      <c r="R12" s="13"/>
      <c r="S12" s="13"/>
      <c r="T12" s="13"/>
      <c r="U12" s="13"/>
      <c r="V12" s="14"/>
      <c r="W12" s="15"/>
    </row>
    <row r="13" spans="1:23" x14ac:dyDescent="0.25">
      <c r="A13" s="116"/>
      <c r="B13" s="420"/>
      <c r="C13" s="12"/>
      <c r="D13" s="45"/>
      <c r="E13" s="13"/>
      <c r="F13" s="13"/>
      <c r="G13" s="13"/>
      <c r="H13" s="13"/>
      <c r="I13" s="13"/>
      <c r="J13" s="13"/>
      <c r="K13" s="13"/>
      <c r="L13" s="13"/>
      <c r="M13" s="13"/>
      <c r="N13" s="13"/>
      <c r="O13" s="13"/>
      <c r="P13" s="13"/>
      <c r="Q13" s="13"/>
      <c r="R13" s="13"/>
      <c r="S13" s="13"/>
      <c r="T13" s="13"/>
      <c r="U13" s="13"/>
      <c r="V13" s="39"/>
      <c r="W13" s="15"/>
    </row>
    <row r="14" spans="1:23" x14ac:dyDescent="0.25">
      <c r="A14" s="116"/>
      <c r="B14" s="421"/>
      <c r="C14" s="12"/>
      <c r="D14" s="33"/>
      <c r="E14" s="13"/>
      <c r="F14" s="13"/>
      <c r="G14" s="13"/>
      <c r="H14" s="13"/>
      <c r="I14" s="13"/>
      <c r="J14" s="13"/>
      <c r="K14" s="13"/>
      <c r="L14" s="13"/>
      <c r="M14" s="13"/>
      <c r="N14" s="13"/>
      <c r="O14" s="13"/>
      <c r="P14" s="13"/>
      <c r="Q14" s="13"/>
      <c r="R14" s="13"/>
      <c r="S14" s="13"/>
      <c r="T14" s="13"/>
      <c r="U14" s="13"/>
      <c r="V14" s="14"/>
      <c r="W14" s="15"/>
    </row>
    <row r="15" spans="1:23" x14ac:dyDescent="0.25">
      <c r="A15" s="116"/>
      <c r="B15" s="422"/>
      <c r="C15" s="12"/>
      <c r="D15" s="33"/>
      <c r="E15" s="13"/>
      <c r="F15" s="13"/>
      <c r="G15" s="13"/>
      <c r="H15" s="13"/>
      <c r="I15" s="13"/>
      <c r="J15" s="13"/>
      <c r="K15" s="13"/>
      <c r="L15" s="13"/>
      <c r="M15" s="13"/>
      <c r="N15" s="13"/>
      <c r="O15" s="13"/>
      <c r="P15" s="13"/>
      <c r="Q15" s="13"/>
      <c r="R15" s="13"/>
      <c r="S15" s="13"/>
      <c r="T15" s="13"/>
      <c r="U15" s="13"/>
      <c r="V15" s="33"/>
      <c r="W15" s="15"/>
    </row>
    <row r="16" spans="1:23" x14ac:dyDescent="0.25">
      <c r="A16" s="116"/>
      <c r="B16" s="423"/>
      <c r="C16" s="12"/>
      <c r="D16" s="33"/>
      <c r="E16" s="13"/>
      <c r="F16" s="13"/>
      <c r="G16" s="13"/>
      <c r="H16" s="13"/>
      <c r="I16" s="13"/>
      <c r="J16" s="13"/>
      <c r="K16" s="13"/>
      <c r="L16" s="13"/>
      <c r="M16" s="13"/>
      <c r="N16" s="13"/>
      <c r="O16" s="13"/>
      <c r="P16" s="13"/>
      <c r="Q16" s="13"/>
      <c r="R16" s="13"/>
      <c r="S16" s="13"/>
      <c r="T16" s="13"/>
      <c r="U16" s="13"/>
      <c r="V16" s="39"/>
      <c r="W16" s="15"/>
    </row>
    <row r="17" spans="1:23" x14ac:dyDescent="0.25">
      <c r="A17" s="116"/>
      <c r="B17" s="424"/>
      <c r="C17" s="12"/>
      <c r="D17" s="33"/>
      <c r="E17" s="13"/>
      <c r="F17" s="13"/>
      <c r="G17" s="13"/>
      <c r="H17" s="13"/>
      <c r="I17" s="13"/>
      <c r="J17" s="13"/>
      <c r="K17" s="13"/>
      <c r="L17" s="13"/>
      <c r="M17" s="13"/>
      <c r="N17" s="13"/>
      <c r="O17" s="13"/>
      <c r="P17" s="13"/>
      <c r="Q17" s="13"/>
      <c r="R17" s="13"/>
      <c r="S17" s="13"/>
      <c r="T17" s="13"/>
      <c r="U17" s="13"/>
      <c r="V17" s="14"/>
      <c r="W17" s="15"/>
    </row>
    <row r="18" spans="1:23" x14ac:dyDescent="0.25">
      <c r="A18" s="116"/>
      <c r="B18" s="425"/>
      <c r="C18" s="12"/>
      <c r="D18" s="33"/>
      <c r="E18" s="13"/>
      <c r="F18" s="13"/>
      <c r="G18" s="13"/>
      <c r="H18" s="13"/>
      <c r="I18" s="13"/>
      <c r="J18" s="13"/>
      <c r="K18" s="13"/>
      <c r="L18" s="13"/>
      <c r="M18" s="13"/>
      <c r="N18" s="13"/>
      <c r="O18" s="13"/>
      <c r="P18" s="13"/>
      <c r="Q18" s="13"/>
      <c r="R18" s="13"/>
      <c r="S18" s="13"/>
      <c r="T18" s="13"/>
      <c r="U18" s="13"/>
      <c r="V18" s="33"/>
      <c r="W18" s="15"/>
    </row>
    <row r="19" spans="1:23" x14ac:dyDescent="0.25">
      <c r="A19" s="116"/>
      <c r="B19" s="426"/>
      <c r="C19" s="12"/>
      <c r="D19" s="33"/>
      <c r="E19" s="13"/>
      <c r="F19" s="13"/>
      <c r="G19" s="13"/>
      <c r="H19" s="13"/>
      <c r="I19" s="13"/>
      <c r="J19" s="13"/>
      <c r="K19" s="13"/>
      <c r="L19" s="13"/>
      <c r="M19" s="13"/>
      <c r="N19" s="13"/>
      <c r="O19" s="13"/>
      <c r="P19" s="13"/>
      <c r="Q19" s="13"/>
      <c r="R19" s="13"/>
      <c r="S19" s="13"/>
      <c r="T19" s="13"/>
      <c r="U19" s="13"/>
      <c r="V19" s="14"/>
      <c r="W19" s="15"/>
    </row>
    <row r="20" spans="1:23" x14ac:dyDescent="0.25">
      <c r="A20" s="116"/>
      <c r="B20" s="427"/>
      <c r="C20" s="12"/>
      <c r="D20" s="33"/>
      <c r="E20" s="13"/>
      <c r="F20" s="13"/>
      <c r="G20" s="13"/>
      <c r="H20" s="13"/>
      <c r="I20" s="13"/>
      <c r="J20" s="13"/>
      <c r="K20" s="13"/>
      <c r="L20" s="13"/>
      <c r="M20" s="13"/>
      <c r="N20" s="13"/>
      <c r="O20" s="13"/>
      <c r="P20" s="13"/>
      <c r="Q20" s="13"/>
      <c r="R20" s="13"/>
      <c r="S20" s="13"/>
      <c r="T20" s="13"/>
      <c r="U20" s="13"/>
      <c r="V20" s="14"/>
      <c r="W20" s="15"/>
    </row>
    <row r="21" spans="1:23" x14ac:dyDescent="0.25">
      <c r="A21" s="116"/>
      <c r="B21" s="428"/>
      <c r="C21" s="12"/>
      <c r="D21" s="33"/>
      <c r="E21" s="13"/>
      <c r="F21" s="13"/>
      <c r="G21" s="13"/>
      <c r="H21" s="13"/>
      <c r="I21" s="13"/>
      <c r="J21" s="13"/>
      <c r="K21" s="13"/>
      <c r="L21" s="13"/>
      <c r="M21" s="13"/>
      <c r="N21" s="13"/>
      <c r="O21" s="13"/>
      <c r="P21" s="13"/>
      <c r="Q21" s="13"/>
      <c r="R21" s="13"/>
      <c r="S21" s="13"/>
      <c r="T21" s="13"/>
      <c r="U21" s="13"/>
      <c r="V21" s="14"/>
      <c r="W21" s="15"/>
    </row>
    <row r="22" spans="1:23" x14ac:dyDescent="0.25">
      <c r="A22" s="116"/>
      <c r="B22" s="429"/>
      <c r="C22" s="12"/>
      <c r="D22" s="33"/>
      <c r="E22" s="13"/>
      <c r="F22" s="13"/>
      <c r="G22" s="13"/>
      <c r="H22" s="13"/>
      <c r="I22" s="13"/>
      <c r="J22" s="13"/>
      <c r="K22" s="13"/>
      <c r="L22" s="13"/>
      <c r="M22" s="13"/>
      <c r="N22" s="13"/>
      <c r="O22" s="13"/>
      <c r="P22" s="13"/>
      <c r="Q22" s="13"/>
      <c r="R22" s="13"/>
      <c r="S22" s="13"/>
      <c r="T22" s="13"/>
      <c r="U22" s="13"/>
      <c r="V22" s="14"/>
      <c r="W22" s="15"/>
    </row>
    <row r="23" spans="1:23" x14ac:dyDescent="0.25">
      <c r="A23" s="116"/>
      <c r="B23" s="430"/>
      <c r="C23" s="12"/>
      <c r="D23" s="33"/>
      <c r="E23" s="13"/>
      <c r="F23" s="13"/>
      <c r="G23" s="13"/>
      <c r="H23" s="13"/>
      <c r="I23" s="13"/>
      <c r="J23" s="13"/>
      <c r="K23" s="13"/>
      <c r="L23" s="13"/>
      <c r="M23" s="13"/>
      <c r="N23" s="13"/>
      <c r="O23" s="13"/>
      <c r="P23" s="13"/>
      <c r="Q23" s="13"/>
      <c r="R23" s="13"/>
      <c r="S23" s="13"/>
      <c r="T23" s="13"/>
      <c r="U23" s="13"/>
      <c r="V23" s="13"/>
      <c r="W23" s="13"/>
    </row>
    <row r="24" spans="1:23" x14ac:dyDescent="0.25">
      <c r="A24" s="116"/>
      <c r="B24" s="431"/>
      <c r="C24" s="12"/>
      <c r="D24" s="33"/>
      <c r="E24" s="13"/>
      <c r="F24" s="13"/>
      <c r="G24" s="13"/>
      <c r="H24" s="13"/>
      <c r="I24" s="13"/>
      <c r="J24" s="13"/>
      <c r="K24" s="13"/>
      <c r="L24" s="13"/>
      <c r="M24" s="13"/>
      <c r="N24" s="13"/>
      <c r="O24" s="13"/>
      <c r="P24" s="13"/>
      <c r="Q24" s="13"/>
      <c r="R24" s="13"/>
      <c r="S24" s="13"/>
      <c r="T24" s="13"/>
      <c r="U24" s="13"/>
      <c r="V24" s="13"/>
      <c r="W24" s="15"/>
    </row>
    <row r="25" spans="1:23" x14ac:dyDescent="0.25">
      <c r="A25" s="116"/>
      <c r="B25" s="432"/>
      <c r="C25" s="12"/>
      <c r="D25" s="33"/>
      <c r="E25" s="13"/>
      <c r="F25" s="13"/>
      <c r="G25" s="13"/>
      <c r="H25" s="13"/>
      <c r="I25" s="13"/>
      <c r="J25" s="13"/>
      <c r="K25" s="13"/>
      <c r="L25" s="13"/>
      <c r="M25" s="13"/>
      <c r="N25" s="13"/>
      <c r="O25" s="13"/>
      <c r="P25" s="13"/>
      <c r="Q25" s="13"/>
      <c r="R25" s="13"/>
      <c r="S25" s="13"/>
      <c r="T25" s="13"/>
      <c r="U25" s="13"/>
      <c r="V25" s="14"/>
      <c r="W25" s="15"/>
    </row>
    <row r="26" spans="1:23" x14ac:dyDescent="0.25">
      <c r="A26" s="116"/>
      <c r="B26" s="433"/>
      <c r="C26" s="12"/>
      <c r="D26" s="33"/>
      <c r="E26" s="13"/>
      <c r="F26" s="13"/>
      <c r="G26" s="13"/>
      <c r="H26" s="13"/>
      <c r="I26" s="13"/>
      <c r="J26" s="13"/>
      <c r="K26" s="13"/>
      <c r="L26" s="13"/>
      <c r="M26" s="13"/>
      <c r="N26" s="13"/>
      <c r="O26" s="13"/>
      <c r="P26" s="13"/>
      <c r="Q26" s="13"/>
      <c r="R26" s="13"/>
      <c r="S26" s="13"/>
      <c r="T26" s="13"/>
      <c r="U26" s="13"/>
      <c r="V26" s="13"/>
      <c r="W26" s="15"/>
    </row>
    <row r="27" spans="1:23" x14ac:dyDescent="0.25">
      <c r="A27" s="116"/>
      <c r="B27" s="434"/>
      <c r="C27" s="12"/>
      <c r="D27" s="45"/>
      <c r="E27" s="13"/>
      <c r="F27" s="13"/>
      <c r="G27" s="13"/>
      <c r="H27" s="13"/>
      <c r="I27" s="13"/>
      <c r="J27" s="13"/>
      <c r="K27" s="13"/>
      <c r="L27" s="13"/>
      <c r="M27" s="13"/>
      <c r="N27" s="13"/>
      <c r="O27" s="13"/>
      <c r="P27" s="13"/>
      <c r="Q27" s="13"/>
      <c r="R27" s="13"/>
      <c r="S27" s="13"/>
      <c r="T27" s="13"/>
      <c r="U27" s="13"/>
      <c r="V27" s="13"/>
      <c r="W27" s="15"/>
    </row>
    <row r="28" spans="1:23" x14ac:dyDescent="0.25">
      <c r="A28" s="116"/>
      <c r="B28" s="435"/>
      <c r="C28" s="12"/>
      <c r="D28" s="45"/>
      <c r="E28" s="13"/>
      <c r="F28" s="13"/>
      <c r="G28" s="13"/>
      <c r="H28" s="13"/>
      <c r="I28" s="13"/>
      <c r="J28" s="13"/>
      <c r="K28" s="13"/>
      <c r="L28" s="13"/>
      <c r="M28" s="13"/>
      <c r="N28" s="13"/>
      <c r="O28" s="13"/>
      <c r="P28" s="13"/>
      <c r="Q28" s="13"/>
      <c r="R28" s="13"/>
      <c r="S28" s="13"/>
      <c r="T28" s="13"/>
      <c r="U28" s="13"/>
      <c r="V28" s="13"/>
      <c r="W28" s="15"/>
    </row>
    <row r="29" spans="1:23" x14ac:dyDescent="0.25">
      <c r="A29" s="116"/>
      <c r="B29" s="436"/>
      <c r="C29" s="37"/>
      <c r="D29" s="100"/>
      <c r="E29" s="13"/>
      <c r="F29" s="13"/>
      <c r="G29" s="13"/>
      <c r="H29" s="13"/>
      <c r="I29" s="13"/>
      <c r="J29" s="13"/>
      <c r="K29" s="13"/>
      <c r="L29" s="13"/>
      <c r="M29" s="13"/>
      <c r="N29" s="13"/>
      <c r="O29" s="13"/>
      <c r="P29" s="13"/>
      <c r="Q29" s="13"/>
      <c r="R29" s="13"/>
      <c r="S29" s="13"/>
      <c r="T29" s="13"/>
      <c r="U29" s="13"/>
      <c r="V29" s="39"/>
      <c r="W29" s="15"/>
    </row>
    <row r="30" spans="1:23" x14ac:dyDescent="0.25">
      <c r="A30" s="116"/>
      <c r="B30" s="437"/>
      <c r="C30" s="18"/>
      <c r="D30" s="33"/>
      <c r="E30" s="13"/>
      <c r="F30" s="13"/>
      <c r="G30" s="13"/>
      <c r="H30" s="13"/>
      <c r="I30" s="13"/>
      <c r="J30" s="13"/>
      <c r="K30" s="13"/>
      <c r="L30" s="13"/>
      <c r="M30" s="13"/>
      <c r="N30" s="13"/>
      <c r="O30" s="13"/>
      <c r="P30" s="13"/>
      <c r="Q30" s="13"/>
      <c r="R30" s="13"/>
      <c r="S30" s="13"/>
      <c r="T30" s="13"/>
      <c r="U30" s="13"/>
      <c r="V30" s="14"/>
      <c r="W30" s="15"/>
    </row>
    <row r="31" spans="1:23" x14ac:dyDescent="0.25">
      <c r="A31" s="116"/>
      <c r="B31" s="438"/>
      <c r="C31" s="19"/>
      <c r="D31" s="33"/>
      <c r="E31" s="13"/>
      <c r="F31" s="13"/>
      <c r="G31" s="13"/>
      <c r="H31" s="13"/>
      <c r="I31" s="13"/>
      <c r="J31" s="13"/>
      <c r="K31" s="13"/>
      <c r="L31" s="13"/>
      <c r="M31" s="13"/>
      <c r="N31" s="13"/>
      <c r="O31" s="13"/>
      <c r="P31" s="13"/>
      <c r="Q31" s="13"/>
      <c r="R31" s="13"/>
      <c r="S31" s="13"/>
      <c r="T31" s="13"/>
      <c r="U31" s="13"/>
      <c r="V31" s="14"/>
      <c r="W31" s="15"/>
    </row>
    <row r="32" spans="1:23" x14ac:dyDescent="0.25">
      <c r="A32" s="116"/>
      <c r="B32" s="439"/>
      <c r="C32" s="37"/>
      <c r="D32" s="33"/>
      <c r="E32" s="13"/>
      <c r="F32" s="13"/>
      <c r="G32" s="13"/>
      <c r="H32" s="13"/>
      <c r="I32" s="13"/>
      <c r="J32" s="13"/>
      <c r="K32" s="13"/>
      <c r="L32" s="13"/>
      <c r="M32" s="13"/>
      <c r="N32" s="13"/>
      <c r="O32" s="13"/>
      <c r="P32" s="13"/>
      <c r="Q32" s="13"/>
      <c r="R32" s="13"/>
      <c r="S32" s="13"/>
      <c r="T32" s="13"/>
      <c r="U32" s="13"/>
      <c r="V32" s="13"/>
      <c r="W32" s="15"/>
    </row>
    <row r="33" spans="1:23" ht="22.5" x14ac:dyDescent="0.25">
      <c r="A33" s="198"/>
      <c r="B33" s="440"/>
      <c r="C33" s="16"/>
      <c r="D33" s="16"/>
      <c r="E33" s="16"/>
      <c r="F33" s="16"/>
      <c r="G33" s="16"/>
      <c r="H33" s="16"/>
      <c r="I33" s="16"/>
      <c r="J33" s="16"/>
      <c r="K33" s="16"/>
      <c r="L33" s="16"/>
      <c r="M33" s="16"/>
      <c r="N33" s="16"/>
      <c r="O33" s="16"/>
      <c r="P33" s="16"/>
      <c r="Q33" s="16"/>
      <c r="R33" s="16"/>
      <c r="S33" s="16"/>
      <c r="T33" s="16"/>
      <c r="U33" s="16"/>
      <c r="V33" s="16"/>
      <c r="W33" s="16"/>
    </row>
    <row r="34" spans="1:23" x14ac:dyDescent="0.25">
      <c r="A34" s="117"/>
      <c r="B34" s="441"/>
      <c r="C34" s="12"/>
      <c r="D34" s="21"/>
      <c r="E34" s="21"/>
      <c r="F34" s="21"/>
      <c r="G34" s="21"/>
      <c r="H34" s="21"/>
      <c r="I34" s="21"/>
      <c r="J34" s="21"/>
      <c r="K34" s="21"/>
      <c r="L34" s="21"/>
      <c r="M34" s="21"/>
      <c r="N34" s="21"/>
      <c r="O34" s="21"/>
      <c r="P34" s="21"/>
      <c r="Q34" s="21"/>
      <c r="R34" s="21"/>
      <c r="S34" s="21"/>
      <c r="T34" s="21"/>
      <c r="U34" s="13"/>
      <c r="V34" s="21"/>
      <c r="W34" s="15"/>
    </row>
    <row r="35" spans="1:23" s="152" customFormat="1" ht="15" x14ac:dyDescent="0.2">
      <c r="A35" s="44"/>
      <c r="B35" s="442"/>
      <c r="C35" s="12"/>
      <c r="D35" s="25"/>
      <c r="E35" s="14"/>
      <c r="F35" s="14"/>
      <c r="G35" s="14"/>
      <c r="H35" s="14"/>
      <c r="I35" s="14"/>
      <c r="J35" s="14"/>
      <c r="K35" s="14"/>
      <c r="L35" s="14"/>
      <c r="M35" s="14"/>
      <c r="N35" s="14"/>
      <c r="O35" s="14"/>
      <c r="P35" s="14"/>
      <c r="Q35" s="14"/>
      <c r="R35" s="14"/>
      <c r="S35" s="14"/>
      <c r="T35" s="14"/>
      <c r="U35" s="13"/>
      <c r="V35" s="13"/>
      <c r="W35" s="13"/>
    </row>
    <row r="36" spans="1:23" s="152" customFormat="1" ht="15" x14ac:dyDescent="0.2">
      <c r="A36" s="44"/>
      <c r="B36" s="443"/>
      <c r="C36" s="12"/>
      <c r="D36" s="21"/>
      <c r="E36" s="21"/>
      <c r="F36" s="21"/>
      <c r="G36" s="21"/>
      <c r="H36" s="21"/>
      <c r="I36" s="21"/>
      <c r="J36" s="21"/>
      <c r="K36" s="21"/>
      <c r="L36" s="21"/>
      <c r="M36" s="21"/>
      <c r="N36" s="21"/>
      <c r="O36" s="21"/>
      <c r="P36" s="21"/>
      <c r="Q36" s="21"/>
      <c r="R36" s="21"/>
      <c r="S36" s="21"/>
      <c r="T36" s="21"/>
      <c r="U36" s="13"/>
      <c r="V36" s="21"/>
      <c r="W36" s="15"/>
    </row>
    <row r="37" spans="1:23" s="152" customFormat="1" ht="15" x14ac:dyDescent="0.2">
      <c r="A37" s="44"/>
      <c r="B37" s="444"/>
      <c r="C37" s="12"/>
      <c r="D37" s="21"/>
      <c r="E37" s="21"/>
      <c r="F37" s="21"/>
      <c r="G37" s="21"/>
      <c r="H37" s="21"/>
      <c r="I37" s="21"/>
      <c r="J37" s="21"/>
      <c r="K37" s="21"/>
      <c r="L37" s="21"/>
      <c r="M37" s="21"/>
      <c r="N37" s="21"/>
      <c r="O37" s="21"/>
      <c r="P37" s="21"/>
      <c r="Q37" s="21"/>
      <c r="R37" s="21"/>
      <c r="S37" s="21"/>
      <c r="T37" s="21"/>
      <c r="U37" s="13"/>
      <c r="V37" s="21"/>
      <c r="W37" s="15"/>
    </row>
    <row r="38" spans="1:23" s="152" customFormat="1" ht="15" x14ac:dyDescent="0.2">
      <c r="A38" s="44"/>
      <c r="B38" s="445"/>
      <c r="C38" s="19"/>
      <c r="D38" s="21"/>
      <c r="E38" s="21"/>
      <c r="F38" s="21"/>
      <c r="G38" s="21"/>
      <c r="H38" s="21"/>
      <c r="I38" s="21"/>
      <c r="J38" s="21"/>
      <c r="K38" s="21"/>
      <c r="L38" s="21"/>
      <c r="M38" s="21"/>
      <c r="N38" s="21"/>
      <c r="O38" s="21"/>
      <c r="P38" s="21"/>
      <c r="Q38" s="21"/>
      <c r="R38" s="21"/>
      <c r="S38" s="21"/>
      <c r="T38" s="21"/>
      <c r="U38" s="13"/>
      <c r="V38" s="21"/>
      <c r="W38" s="15"/>
    </row>
    <row r="39" spans="1:23" x14ac:dyDescent="0.25">
      <c r="A39" s="117"/>
      <c r="B39" s="446"/>
      <c r="C39" s="12"/>
      <c r="D39" s="21"/>
      <c r="E39" s="21"/>
      <c r="F39" s="21"/>
      <c r="G39" s="21"/>
      <c r="H39" s="21"/>
      <c r="I39" s="21"/>
      <c r="J39" s="21"/>
      <c r="K39" s="21"/>
      <c r="L39" s="21"/>
      <c r="M39" s="21"/>
      <c r="N39" s="21"/>
      <c r="O39" s="21"/>
      <c r="P39" s="21"/>
      <c r="Q39" s="21"/>
      <c r="R39" s="21"/>
      <c r="S39" s="21"/>
      <c r="T39" s="21"/>
      <c r="U39" s="13"/>
      <c r="V39" s="21"/>
      <c r="W39" s="15"/>
    </row>
    <row r="40" spans="1:23" x14ac:dyDescent="0.25">
      <c r="A40" s="117"/>
      <c r="B40" s="447"/>
      <c r="C40" s="19"/>
      <c r="D40" s="21"/>
      <c r="E40" s="21"/>
      <c r="F40" s="21"/>
      <c r="G40" s="21"/>
      <c r="H40" s="21"/>
      <c r="I40" s="21"/>
      <c r="J40" s="21"/>
      <c r="K40" s="21"/>
      <c r="L40" s="21"/>
      <c r="M40" s="21"/>
      <c r="N40" s="21"/>
      <c r="O40" s="21"/>
      <c r="P40" s="21"/>
      <c r="Q40" s="21"/>
      <c r="R40" s="21"/>
      <c r="S40" s="21"/>
      <c r="T40" s="21"/>
      <c r="U40" s="13"/>
      <c r="V40" s="21"/>
      <c r="W40" s="15"/>
    </row>
    <row r="41" spans="1:23" x14ac:dyDescent="0.25">
      <c r="A41" s="117"/>
      <c r="B41" s="448"/>
      <c r="C41" s="19"/>
      <c r="D41" s="21"/>
      <c r="E41" s="21"/>
      <c r="F41" s="21"/>
      <c r="G41" s="21"/>
      <c r="H41" s="21"/>
      <c r="I41" s="21"/>
      <c r="J41" s="21"/>
      <c r="K41" s="21"/>
      <c r="L41" s="21"/>
      <c r="M41" s="21"/>
      <c r="N41" s="21"/>
      <c r="O41" s="21"/>
      <c r="P41" s="21"/>
      <c r="Q41" s="21"/>
      <c r="R41" s="21"/>
      <c r="S41" s="21"/>
      <c r="T41" s="21"/>
      <c r="U41" s="13"/>
      <c r="V41" s="21"/>
      <c r="W41" s="15"/>
    </row>
    <row r="42" spans="1:23" x14ac:dyDescent="0.25">
      <c r="A42" s="117"/>
      <c r="B42" s="449"/>
      <c r="C42" s="24"/>
      <c r="D42" s="21"/>
      <c r="E42" s="21"/>
      <c r="F42" s="21"/>
      <c r="G42" s="21"/>
      <c r="H42" s="21"/>
      <c r="I42" s="21"/>
      <c r="J42" s="21"/>
      <c r="K42" s="21"/>
      <c r="L42" s="21"/>
      <c r="M42" s="21"/>
      <c r="N42" s="21"/>
      <c r="O42" s="21"/>
      <c r="P42" s="21"/>
      <c r="Q42" s="21"/>
      <c r="R42" s="21"/>
      <c r="S42" s="21"/>
      <c r="T42" s="21"/>
      <c r="U42" s="13"/>
      <c r="V42" s="21"/>
      <c r="W42" s="15"/>
    </row>
    <row r="43" spans="1:23" x14ac:dyDescent="0.25">
      <c r="A43" s="117"/>
      <c r="B43" s="450"/>
      <c r="C43" s="17"/>
      <c r="D43" s="17"/>
      <c r="E43" s="17"/>
      <c r="F43" s="17"/>
      <c r="G43" s="17"/>
      <c r="H43" s="17"/>
      <c r="I43" s="17"/>
      <c r="J43" s="17"/>
      <c r="K43" s="17"/>
      <c r="L43" s="17"/>
      <c r="M43" s="17"/>
      <c r="N43" s="17"/>
      <c r="O43" s="17"/>
      <c r="P43" s="17"/>
      <c r="Q43" s="17"/>
      <c r="R43" s="17"/>
      <c r="S43" s="17"/>
      <c r="T43" s="17"/>
      <c r="U43" s="13"/>
      <c r="V43" s="17"/>
      <c r="W43" s="17"/>
    </row>
    <row r="44" spans="1:23" x14ac:dyDescent="0.25">
      <c r="A44" s="117"/>
      <c r="B44" s="451"/>
      <c r="C44" s="12"/>
      <c r="D44" s="21"/>
      <c r="E44" s="21"/>
      <c r="F44" s="21"/>
      <c r="G44" s="21"/>
      <c r="H44" s="21"/>
      <c r="I44" s="21"/>
      <c r="J44" s="21"/>
      <c r="K44" s="21"/>
      <c r="L44" s="21"/>
      <c r="M44" s="21"/>
      <c r="N44" s="21"/>
      <c r="O44" s="21"/>
      <c r="P44" s="21"/>
      <c r="Q44" s="21"/>
      <c r="R44" s="21"/>
      <c r="S44" s="21"/>
      <c r="T44" s="21"/>
      <c r="U44" s="13"/>
      <c r="V44" s="21"/>
      <c r="W44" s="15"/>
    </row>
    <row r="45" spans="1:23" ht="22.5" x14ac:dyDescent="0.25">
      <c r="A45" s="198"/>
      <c r="B45" s="452"/>
      <c r="C45" s="16"/>
      <c r="D45" s="16"/>
      <c r="E45" s="16"/>
      <c r="F45" s="16"/>
      <c r="G45" s="16"/>
      <c r="H45" s="16"/>
      <c r="I45" s="16"/>
      <c r="J45" s="16"/>
      <c r="K45" s="16"/>
      <c r="L45" s="16"/>
      <c r="M45" s="16"/>
      <c r="N45" s="16"/>
      <c r="O45" s="16"/>
      <c r="P45" s="16"/>
      <c r="Q45" s="16"/>
      <c r="R45" s="16"/>
      <c r="S45" s="16"/>
      <c r="T45" s="16"/>
      <c r="U45" s="16"/>
      <c r="V45" s="16"/>
      <c r="W45" s="16"/>
    </row>
    <row r="46" spans="1:23" s="152" customFormat="1" ht="15" x14ac:dyDescent="0.2">
      <c r="A46" s="118"/>
      <c r="B46" s="453"/>
      <c r="C46" s="12"/>
      <c r="D46" s="25"/>
      <c r="E46" s="14"/>
      <c r="F46" s="14"/>
      <c r="G46" s="14"/>
      <c r="H46" s="14"/>
      <c r="I46" s="14"/>
      <c r="J46" s="14"/>
      <c r="K46" s="14"/>
      <c r="L46" s="14"/>
      <c r="M46" s="14"/>
      <c r="N46" s="14"/>
      <c r="O46" s="14"/>
      <c r="P46" s="14"/>
      <c r="Q46" s="14"/>
      <c r="R46" s="14"/>
      <c r="S46" s="14"/>
      <c r="T46" s="14"/>
      <c r="U46" s="13"/>
      <c r="V46" s="25"/>
      <c r="W46" s="15"/>
    </row>
    <row r="47" spans="1:23" s="152" customFormat="1" ht="15" x14ac:dyDescent="0.2">
      <c r="A47" s="118"/>
      <c r="B47" s="454"/>
      <c r="C47" s="26"/>
      <c r="D47" s="25"/>
      <c r="E47" s="14"/>
      <c r="F47" s="14"/>
      <c r="G47" s="14"/>
      <c r="H47" s="14"/>
      <c r="I47" s="14"/>
      <c r="J47" s="14"/>
      <c r="K47" s="14"/>
      <c r="L47" s="14"/>
      <c r="M47" s="14"/>
      <c r="N47" s="14"/>
      <c r="O47" s="14"/>
      <c r="P47" s="14"/>
      <c r="Q47" s="14"/>
      <c r="R47" s="14"/>
      <c r="S47" s="14"/>
      <c r="T47" s="14"/>
      <c r="U47" s="13"/>
      <c r="V47" s="25"/>
      <c r="W47" s="15"/>
    </row>
    <row r="48" spans="1:23" s="152" customFormat="1" ht="15" x14ac:dyDescent="0.2">
      <c r="A48" s="44"/>
      <c r="B48" s="455"/>
      <c r="C48" s="24"/>
      <c r="D48" s="25"/>
      <c r="E48" s="14"/>
      <c r="F48" s="14"/>
      <c r="G48" s="14"/>
      <c r="H48" s="14"/>
      <c r="I48" s="14"/>
      <c r="J48" s="14"/>
      <c r="K48" s="14"/>
      <c r="L48" s="14"/>
      <c r="M48" s="14"/>
      <c r="N48" s="14"/>
      <c r="O48" s="14"/>
      <c r="P48" s="14"/>
      <c r="Q48" s="14"/>
      <c r="R48" s="14"/>
      <c r="S48" s="14"/>
      <c r="T48" s="14"/>
      <c r="U48" s="13"/>
      <c r="V48" s="25"/>
      <c r="W48" s="15"/>
    </row>
    <row r="49" spans="1:23" s="152" customFormat="1" ht="15" x14ac:dyDescent="0.2">
      <c r="A49" s="44"/>
      <c r="B49" s="456"/>
      <c r="C49" s="27"/>
      <c r="D49" s="25"/>
      <c r="E49" s="14"/>
      <c r="F49" s="14"/>
      <c r="G49" s="14"/>
      <c r="H49" s="14"/>
      <c r="I49" s="14"/>
      <c r="J49" s="14"/>
      <c r="K49" s="14"/>
      <c r="L49" s="14"/>
      <c r="M49" s="14"/>
      <c r="N49" s="14"/>
      <c r="O49" s="14"/>
      <c r="P49" s="14"/>
      <c r="Q49" s="14"/>
      <c r="R49" s="14"/>
      <c r="S49" s="14"/>
      <c r="T49" s="14"/>
      <c r="U49" s="13"/>
      <c r="V49" s="25"/>
      <c r="W49" s="15"/>
    </row>
    <row r="50" spans="1:23" s="152" customFormat="1" ht="15" x14ac:dyDescent="0.2">
      <c r="A50" s="44"/>
      <c r="B50" s="457"/>
      <c r="C50" s="19"/>
      <c r="D50" s="25"/>
      <c r="E50" s="14"/>
      <c r="F50" s="14"/>
      <c r="G50" s="14"/>
      <c r="H50" s="14"/>
      <c r="I50" s="14"/>
      <c r="J50" s="14"/>
      <c r="K50" s="14"/>
      <c r="L50" s="14"/>
      <c r="M50" s="14"/>
      <c r="N50" s="14"/>
      <c r="O50" s="14"/>
      <c r="P50" s="14"/>
      <c r="Q50" s="14"/>
      <c r="R50" s="14"/>
      <c r="S50" s="14"/>
      <c r="T50" s="14"/>
      <c r="U50" s="13"/>
      <c r="V50" s="25"/>
      <c r="W50" s="15"/>
    </row>
    <row r="51" spans="1:23" s="152" customFormat="1" ht="15" x14ac:dyDescent="0.2">
      <c r="A51" s="44"/>
      <c r="B51" s="458"/>
      <c r="C51" s="24"/>
      <c r="D51" s="25"/>
      <c r="E51" s="14"/>
      <c r="F51" s="14"/>
      <c r="G51" s="14"/>
      <c r="H51" s="14"/>
      <c r="I51" s="14"/>
      <c r="J51" s="14"/>
      <c r="K51" s="14"/>
      <c r="L51" s="14"/>
      <c r="M51" s="14"/>
      <c r="N51" s="14"/>
      <c r="O51" s="14"/>
      <c r="P51" s="14"/>
      <c r="Q51" s="14"/>
      <c r="R51" s="14"/>
      <c r="S51" s="14"/>
      <c r="T51" s="14"/>
      <c r="U51" s="13"/>
      <c r="V51" s="25"/>
      <c r="W51" s="15"/>
    </row>
    <row r="52" spans="1:23" s="152" customFormat="1" ht="15" x14ac:dyDescent="0.2">
      <c r="A52" s="44"/>
      <c r="B52" s="459"/>
      <c r="C52" s="23"/>
      <c r="D52" s="23"/>
      <c r="E52" s="23"/>
      <c r="F52" s="23"/>
      <c r="G52" s="23"/>
      <c r="H52" s="23"/>
      <c r="I52" s="23"/>
      <c r="J52" s="23"/>
      <c r="K52" s="23"/>
      <c r="L52" s="23"/>
      <c r="M52" s="23"/>
      <c r="N52" s="23"/>
      <c r="O52" s="23"/>
      <c r="P52" s="23"/>
      <c r="Q52" s="23"/>
      <c r="R52" s="23"/>
      <c r="S52" s="23"/>
      <c r="T52" s="23"/>
      <c r="U52" s="13"/>
      <c r="V52" s="23"/>
      <c r="W52" s="23"/>
    </row>
    <row r="53" spans="1:23" s="152" customFormat="1" ht="15" x14ac:dyDescent="0.2">
      <c r="A53" s="44"/>
      <c r="B53" s="460"/>
      <c r="C53" s="12"/>
      <c r="D53" s="25"/>
      <c r="E53" s="14"/>
      <c r="F53" s="14"/>
      <c r="G53" s="14"/>
      <c r="H53" s="14"/>
      <c r="I53" s="14"/>
      <c r="J53" s="14"/>
      <c r="K53" s="14"/>
      <c r="L53" s="14"/>
      <c r="M53" s="14"/>
      <c r="N53" s="14"/>
      <c r="O53" s="14"/>
      <c r="P53" s="14"/>
      <c r="Q53" s="14"/>
      <c r="R53" s="14"/>
      <c r="S53" s="25"/>
      <c r="T53" s="25"/>
      <c r="U53" s="13"/>
      <c r="V53" s="25"/>
      <c r="W53" s="15"/>
    </row>
    <row r="54" spans="1:23" ht="22.5" x14ac:dyDescent="0.25">
      <c r="A54" s="198"/>
      <c r="B54" s="461"/>
      <c r="C54" s="101"/>
      <c r="D54" s="401"/>
      <c r="E54" s="402"/>
      <c r="F54" s="9"/>
      <c r="G54" s="9"/>
      <c r="H54" s="9"/>
      <c r="I54" s="9"/>
      <c r="J54" s="9"/>
      <c r="K54" s="9"/>
      <c r="L54" s="9"/>
      <c r="M54" s="9"/>
      <c r="N54" s="9"/>
      <c r="O54" s="9"/>
      <c r="P54" s="9"/>
      <c r="Q54" s="9"/>
      <c r="R54" s="9"/>
      <c r="S54" s="9"/>
      <c r="T54" s="9"/>
      <c r="U54" s="16"/>
      <c r="V54" s="16"/>
      <c r="W54" s="16"/>
    </row>
    <row r="55" spans="1:23" s="152" customFormat="1" ht="15" x14ac:dyDescent="0.2">
      <c r="A55" s="118"/>
      <c r="B55" s="462"/>
      <c r="C55" s="179"/>
      <c r="D55" s="25"/>
      <c r="E55" s="14"/>
      <c r="F55" s="14"/>
      <c r="G55" s="14"/>
      <c r="H55" s="14"/>
      <c r="I55" s="14"/>
      <c r="J55" s="14"/>
      <c r="K55" s="14"/>
      <c r="L55" s="14"/>
      <c r="M55" s="14"/>
      <c r="N55" s="14"/>
      <c r="O55" s="40"/>
      <c r="P55" s="14"/>
      <c r="Q55" s="14"/>
      <c r="R55" s="14"/>
      <c r="S55" s="14"/>
      <c r="T55" s="14"/>
      <c r="U55" s="13"/>
      <c r="V55" s="25"/>
      <c r="W55" s="15"/>
    </row>
    <row r="56" spans="1:23" s="152" customFormat="1" x14ac:dyDescent="0.2">
      <c r="A56" s="118"/>
      <c r="B56" s="463"/>
      <c r="C56" s="180"/>
      <c r="D56" s="25"/>
      <c r="E56" s="14"/>
      <c r="F56" s="14"/>
      <c r="G56" s="14"/>
      <c r="H56" s="14"/>
      <c r="I56" s="14"/>
      <c r="J56" s="14"/>
      <c r="K56" s="14"/>
      <c r="L56" s="14"/>
      <c r="M56" s="14"/>
      <c r="N56" s="14"/>
      <c r="O56" s="40"/>
      <c r="P56" s="14"/>
      <c r="Q56" s="14"/>
      <c r="R56" s="14"/>
      <c r="S56" s="14"/>
      <c r="T56" s="14"/>
      <c r="U56" s="13"/>
      <c r="V56" s="25"/>
      <c r="W56" s="15"/>
    </row>
    <row r="57" spans="1:23" s="152" customFormat="1" x14ac:dyDescent="0.2">
      <c r="A57" s="44"/>
      <c r="B57" s="464"/>
      <c r="C57" s="181"/>
      <c r="D57" s="25"/>
      <c r="E57" s="14"/>
      <c r="F57" s="14"/>
      <c r="G57" s="14"/>
      <c r="H57" s="14"/>
      <c r="I57" s="14"/>
      <c r="J57" s="14"/>
      <c r="K57" s="14"/>
      <c r="L57" s="14"/>
      <c r="M57" s="14"/>
      <c r="N57" s="14"/>
      <c r="O57" s="40"/>
      <c r="P57" s="14"/>
      <c r="Q57" s="14"/>
      <c r="R57" s="14"/>
      <c r="S57" s="14"/>
      <c r="T57" s="14"/>
      <c r="U57" s="13"/>
      <c r="V57" s="25"/>
      <c r="W57" s="15"/>
    </row>
    <row r="58" spans="1:23" s="152" customFormat="1" x14ac:dyDescent="0.2">
      <c r="A58" s="44"/>
      <c r="B58" s="465"/>
      <c r="C58" s="180"/>
      <c r="D58" s="25"/>
      <c r="E58" s="14"/>
      <c r="F58" s="14"/>
      <c r="G58" s="14"/>
      <c r="H58" s="14"/>
      <c r="I58" s="14"/>
      <c r="J58" s="14"/>
      <c r="K58" s="14"/>
      <c r="L58" s="14"/>
      <c r="M58" s="14"/>
      <c r="N58" s="14"/>
      <c r="O58" s="40"/>
      <c r="P58" s="14"/>
      <c r="Q58" s="14"/>
      <c r="R58" s="14"/>
      <c r="S58" s="14"/>
      <c r="T58" s="14"/>
      <c r="U58" s="13"/>
      <c r="V58" s="25"/>
      <c r="W58" s="15"/>
    </row>
    <row r="59" spans="1:23" ht="22.5" x14ac:dyDescent="0.25">
      <c r="A59" s="198"/>
      <c r="B59" s="466"/>
      <c r="C59" s="101"/>
      <c r="D59" s="403"/>
      <c r="E59" s="404"/>
      <c r="F59" s="9"/>
      <c r="G59" s="9"/>
      <c r="H59" s="9"/>
      <c r="I59" s="9"/>
      <c r="J59" s="9"/>
      <c r="K59" s="9"/>
      <c r="L59" s="9"/>
      <c r="M59" s="9"/>
      <c r="N59" s="9"/>
      <c r="O59" s="9"/>
      <c r="P59" s="9"/>
      <c r="Q59" s="9"/>
      <c r="R59" s="9"/>
      <c r="S59" s="9"/>
      <c r="T59" s="9"/>
      <c r="U59" s="16"/>
      <c r="V59" s="16"/>
      <c r="W59" s="16"/>
    </row>
    <row r="60" spans="1:23" x14ac:dyDescent="0.25">
      <c r="A60" s="119"/>
      <c r="B60" s="467"/>
      <c r="C60" s="62"/>
      <c r="D60" s="101"/>
      <c r="E60" s="9"/>
      <c r="F60" s="9"/>
      <c r="G60" s="9"/>
      <c r="H60" s="9"/>
      <c r="I60" s="9"/>
      <c r="J60" s="9"/>
      <c r="K60" s="9"/>
      <c r="L60" s="9"/>
      <c r="M60" s="9"/>
      <c r="N60" s="9"/>
      <c r="O60" s="25"/>
      <c r="P60" s="17"/>
      <c r="Q60" s="25"/>
      <c r="R60" s="14"/>
      <c r="S60" s="9"/>
      <c r="T60" s="9"/>
      <c r="U60" s="13"/>
      <c r="V60" s="25"/>
      <c r="W60" s="15"/>
    </row>
    <row r="61" spans="1:23" x14ac:dyDescent="0.25">
      <c r="A61" s="119"/>
      <c r="B61" s="468"/>
      <c r="C61" s="12"/>
      <c r="D61" s="101"/>
      <c r="E61" s="9"/>
      <c r="F61" s="9"/>
      <c r="G61" s="9"/>
      <c r="H61" s="9"/>
      <c r="I61" s="9"/>
      <c r="J61" s="9"/>
      <c r="K61" s="9"/>
      <c r="L61" s="9"/>
      <c r="M61" s="9"/>
      <c r="N61" s="9"/>
      <c r="O61" s="25"/>
      <c r="P61" s="17"/>
      <c r="Q61" s="25"/>
      <c r="R61" s="9"/>
      <c r="S61" s="9"/>
      <c r="T61" s="9"/>
      <c r="U61" s="13"/>
      <c r="V61" s="25"/>
      <c r="W61" s="15"/>
    </row>
    <row r="62" spans="1:23" x14ac:dyDescent="0.25">
      <c r="A62" s="119"/>
      <c r="B62" s="469"/>
      <c r="C62" s="12"/>
      <c r="D62" s="101"/>
      <c r="E62" s="9"/>
      <c r="F62" s="9"/>
      <c r="G62" s="9"/>
      <c r="H62" s="9"/>
      <c r="I62" s="9"/>
      <c r="J62" s="9"/>
      <c r="K62" s="9"/>
      <c r="L62" s="9"/>
      <c r="M62" s="9"/>
      <c r="N62" s="9"/>
      <c r="O62" s="25"/>
      <c r="P62" s="17"/>
      <c r="Q62" s="25"/>
      <c r="R62" s="9"/>
      <c r="S62" s="9"/>
      <c r="T62" s="9"/>
      <c r="U62" s="13"/>
      <c r="V62" s="25"/>
      <c r="W62" s="15"/>
    </row>
    <row r="63" spans="1:23" x14ac:dyDescent="0.25">
      <c r="A63" s="119"/>
      <c r="B63" s="470"/>
      <c r="C63" s="12"/>
      <c r="D63" s="101"/>
      <c r="E63" s="9"/>
      <c r="F63" s="9"/>
      <c r="G63" s="9"/>
      <c r="H63" s="9"/>
      <c r="I63" s="9"/>
      <c r="J63" s="9"/>
      <c r="K63" s="9"/>
      <c r="L63" s="9"/>
      <c r="M63" s="9"/>
      <c r="N63" s="9"/>
      <c r="O63" s="14"/>
      <c r="P63" s="17"/>
      <c r="Q63" s="14"/>
      <c r="R63" s="14"/>
      <c r="S63" s="9"/>
      <c r="T63" s="9"/>
      <c r="U63" s="13"/>
      <c r="V63" s="14"/>
      <c r="W63" s="15"/>
    </row>
    <row r="64" spans="1:23" x14ac:dyDescent="0.25">
      <c r="A64" s="118"/>
      <c r="B64" s="471"/>
      <c r="C64" s="12"/>
      <c r="D64" s="25"/>
      <c r="E64" s="14"/>
      <c r="F64" s="14"/>
      <c r="G64" s="14"/>
      <c r="H64" s="14"/>
      <c r="I64" s="14"/>
      <c r="J64" s="14"/>
      <c r="K64" s="14"/>
      <c r="L64" s="14"/>
      <c r="M64" s="14"/>
      <c r="N64" s="14"/>
      <c r="O64" s="14"/>
      <c r="P64" s="14"/>
      <c r="Q64" s="14"/>
      <c r="R64" s="14"/>
      <c r="S64" s="14"/>
      <c r="T64" s="13"/>
      <c r="U64" s="13"/>
      <c r="V64" s="14"/>
      <c r="W64" s="15"/>
    </row>
    <row r="65" spans="1:23" x14ac:dyDescent="0.25">
      <c r="A65" s="44"/>
      <c r="B65" s="442"/>
      <c r="C65" s="12"/>
      <c r="D65" s="25"/>
      <c r="E65" s="14"/>
      <c r="F65" s="14"/>
      <c r="G65" s="14"/>
      <c r="H65" s="14"/>
      <c r="I65" s="14"/>
      <c r="J65" s="14"/>
      <c r="K65" s="14"/>
      <c r="L65" s="14"/>
      <c r="M65" s="14"/>
      <c r="N65" s="14"/>
      <c r="O65" s="14"/>
      <c r="P65" s="67"/>
      <c r="Q65" s="14"/>
      <c r="R65" s="14"/>
      <c r="S65" s="14"/>
      <c r="T65" s="14"/>
      <c r="U65" s="13"/>
      <c r="V65" s="16"/>
      <c r="W65" s="16"/>
    </row>
    <row r="66" spans="1:23" x14ac:dyDescent="0.25">
      <c r="A66" s="44"/>
      <c r="B66" s="443"/>
      <c r="C66" s="12"/>
      <c r="D66" s="25"/>
      <c r="E66" s="14"/>
      <c r="F66" s="14"/>
      <c r="G66" s="14"/>
      <c r="H66" s="14"/>
      <c r="I66" s="14"/>
      <c r="J66" s="14"/>
      <c r="K66" s="14"/>
      <c r="L66" s="14"/>
      <c r="M66" s="14"/>
      <c r="N66" s="14"/>
      <c r="O66" s="14"/>
      <c r="P66" s="14"/>
      <c r="Q66" s="14"/>
      <c r="R66" s="14"/>
      <c r="S66" s="14"/>
      <c r="T66" s="13"/>
      <c r="U66" s="13"/>
      <c r="V66" s="14"/>
      <c r="W66" s="15"/>
    </row>
    <row r="67" spans="1:23" x14ac:dyDescent="0.25">
      <c r="A67" s="44"/>
      <c r="B67" s="472"/>
      <c r="C67" s="12"/>
      <c r="D67" s="25"/>
      <c r="E67" s="14"/>
      <c r="F67" s="14"/>
      <c r="G67" s="14"/>
      <c r="H67" s="14"/>
      <c r="I67" s="14"/>
      <c r="J67" s="14"/>
      <c r="K67" s="14"/>
      <c r="L67" s="14"/>
      <c r="M67" s="14"/>
      <c r="N67" s="14"/>
      <c r="O67" s="14"/>
      <c r="P67" s="14"/>
      <c r="Q67" s="14"/>
      <c r="R67" s="14"/>
      <c r="S67" s="14"/>
      <c r="T67" s="13"/>
      <c r="U67" s="13"/>
      <c r="V67" s="14"/>
      <c r="W67" s="15"/>
    </row>
    <row r="68" spans="1:23" x14ac:dyDescent="0.25">
      <c r="A68" s="44"/>
      <c r="B68" s="473"/>
      <c r="C68" s="29"/>
      <c r="D68" s="25"/>
      <c r="E68" s="14"/>
      <c r="F68" s="14"/>
      <c r="G68" s="14"/>
      <c r="H68" s="14"/>
      <c r="I68" s="14"/>
      <c r="J68" s="14"/>
      <c r="K68" s="14"/>
      <c r="L68" s="14"/>
      <c r="M68" s="14"/>
      <c r="N68" s="14"/>
      <c r="O68" s="14"/>
      <c r="P68" s="14"/>
      <c r="Q68" s="14"/>
      <c r="R68" s="14"/>
      <c r="S68" s="14"/>
      <c r="T68" s="13"/>
      <c r="U68" s="13"/>
      <c r="V68" s="30"/>
      <c r="W68" s="15"/>
    </row>
    <row r="69" spans="1:23" x14ac:dyDescent="0.25">
      <c r="A69" s="44"/>
      <c r="B69" s="474"/>
      <c r="C69" s="12"/>
      <c r="D69" s="25"/>
      <c r="E69" s="14"/>
      <c r="F69" s="14"/>
      <c r="G69" s="14"/>
      <c r="H69" s="14"/>
      <c r="I69" s="14"/>
      <c r="J69" s="14"/>
      <c r="K69" s="14"/>
      <c r="L69" s="14"/>
      <c r="M69" s="14"/>
      <c r="N69" s="14"/>
      <c r="O69" s="14"/>
      <c r="P69" s="14"/>
      <c r="Q69" s="14"/>
      <c r="R69" s="14"/>
      <c r="S69" s="14"/>
      <c r="T69" s="35"/>
      <c r="U69" s="13"/>
      <c r="V69" s="16"/>
      <c r="W69" s="16"/>
    </row>
    <row r="70" spans="1:23" x14ac:dyDescent="0.25">
      <c r="A70" s="44"/>
      <c r="B70" s="475"/>
      <c r="C70" s="12"/>
      <c r="D70" s="25"/>
      <c r="E70" s="14"/>
      <c r="F70" s="14"/>
      <c r="G70" s="14"/>
      <c r="H70" s="14"/>
      <c r="I70" s="14"/>
      <c r="J70" s="14"/>
      <c r="K70" s="14"/>
      <c r="L70" s="14"/>
      <c r="M70" s="14"/>
      <c r="N70" s="14"/>
      <c r="O70" s="14"/>
      <c r="P70" s="14"/>
      <c r="Q70" s="14"/>
      <c r="R70" s="14"/>
      <c r="S70" s="14"/>
      <c r="T70" s="13"/>
      <c r="U70" s="13"/>
      <c r="V70" s="14"/>
      <c r="W70" s="15"/>
    </row>
    <row r="71" spans="1:23" x14ac:dyDescent="0.25">
      <c r="A71" s="44"/>
      <c r="B71" s="476"/>
      <c r="C71" s="12"/>
      <c r="D71" s="25"/>
      <c r="E71" s="14"/>
      <c r="F71" s="14"/>
      <c r="G71" s="14"/>
      <c r="H71" s="14"/>
      <c r="I71" s="14"/>
      <c r="J71" s="14"/>
      <c r="K71" s="14"/>
      <c r="L71" s="14"/>
      <c r="M71" s="14"/>
      <c r="N71" s="14"/>
      <c r="O71" s="14"/>
      <c r="P71" s="14"/>
      <c r="Q71" s="14"/>
      <c r="R71" s="14"/>
      <c r="S71" s="14"/>
      <c r="T71" s="13"/>
      <c r="U71" s="13"/>
      <c r="V71" s="14"/>
      <c r="W71" s="15"/>
    </row>
    <row r="72" spans="1:23" x14ac:dyDescent="0.25">
      <c r="A72" s="44"/>
      <c r="B72" s="477"/>
      <c r="C72" s="31"/>
      <c r="D72" s="25"/>
      <c r="E72" s="14"/>
      <c r="F72" s="14"/>
      <c r="G72" s="14"/>
      <c r="H72" s="14"/>
      <c r="I72" s="14"/>
      <c r="J72" s="14"/>
      <c r="K72" s="14"/>
      <c r="L72" s="14"/>
      <c r="M72" s="14"/>
      <c r="N72" s="14"/>
      <c r="O72" s="14"/>
      <c r="P72" s="67"/>
      <c r="Q72" s="14"/>
      <c r="R72" s="14"/>
      <c r="S72" s="14"/>
      <c r="T72" s="14"/>
      <c r="U72" s="13"/>
      <c r="V72" s="14"/>
      <c r="W72" s="15"/>
    </row>
    <row r="73" spans="1:23" x14ac:dyDescent="0.25">
      <c r="A73" s="44"/>
      <c r="B73" s="478"/>
      <c r="C73" s="19"/>
      <c r="D73" s="25"/>
      <c r="E73" s="14"/>
      <c r="F73" s="14"/>
      <c r="G73" s="14"/>
      <c r="H73" s="14"/>
      <c r="I73" s="14"/>
      <c r="J73" s="14"/>
      <c r="K73" s="14"/>
      <c r="L73" s="14"/>
      <c r="M73" s="14"/>
      <c r="N73" s="14"/>
      <c r="O73" s="14"/>
      <c r="P73" s="14"/>
      <c r="Q73" s="14"/>
      <c r="R73" s="14"/>
      <c r="S73" s="14"/>
      <c r="T73" s="14"/>
      <c r="U73" s="13"/>
      <c r="V73" s="25"/>
      <c r="W73" s="15"/>
    </row>
    <row r="74" spans="1:23" x14ac:dyDescent="0.25">
      <c r="A74" s="44"/>
      <c r="B74" s="479"/>
      <c r="C74" s="31"/>
      <c r="D74" s="25"/>
      <c r="E74" s="14"/>
      <c r="F74" s="14"/>
      <c r="G74" s="14"/>
      <c r="H74" s="14"/>
      <c r="I74" s="14"/>
      <c r="J74" s="14"/>
      <c r="K74" s="14"/>
      <c r="L74" s="14"/>
      <c r="M74" s="14"/>
      <c r="N74" s="14"/>
      <c r="O74" s="14"/>
      <c r="P74" s="14"/>
      <c r="Q74" s="14"/>
      <c r="R74" s="14"/>
      <c r="S74" s="14"/>
      <c r="T74" s="17"/>
      <c r="U74" s="13"/>
      <c r="V74" s="25"/>
      <c r="W74" s="15"/>
    </row>
    <row r="75" spans="1:23" s="154" customFormat="1" x14ac:dyDescent="0.25">
      <c r="A75" s="121"/>
      <c r="B75" s="480"/>
      <c r="C75" s="36"/>
      <c r="D75" s="33"/>
      <c r="E75" s="33"/>
      <c r="F75" s="33"/>
      <c r="G75" s="33"/>
      <c r="H75" s="33"/>
      <c r="I75" s="33"/>
      <c r="J75" s="33"/>
      <c r="K75" s="33"/>
      <c r="L75" s="33"/>
      <c r="M75" s="33"/>
      <c r="N75" s="33"/>
      <c r="O75" s="33"/>
      <c r="P75" s="33"/>
      <c r="Q75" s="33"/>
      <c r="R75" s="33"/>
      <c r="S75" s="33"/>
      <c r="T75" s="13"/>
      <c r="U75" s="13"/>
      <c r="V75" s="33"/>
      <c r="W75" s="15"/>
    </row>
    <row r="76" spans="1:23" x14ac:dyDescent="0.25">
      <c r="A76" s="44"/>
      <c r="B76" s="481"/>
      <c r="C76" s="31"/>
      <c r="D76" s="25"/>
      <c r="E76" s="14"/>
      <c r="F76" s="14"/>
      <c r="G76" s="14"/>
      <c r="H76" s="14"/>
      <c r="I76" s="14"/>
      <c r="J76" s="14"/>
      <c r="K76" s="14"/>
      <c r="L76" s="14"/>
      <c r="M76" s="14"/>
      <c r="N76" s="14"/>
      <c r="O76" s="14"/>
      <c r="P76" s="67"/>
      <c r="Q76" s="14"/>
      <c r="R76" s="14"/>
      <c r="S76" s="14"/>
      <c r="T76" s="14"/>
      <c r="U76" s="13"/>
      <c r="V76" s="25"/>
      <c r="W76" s="15"/>
    </row>
    <row r="77" spans="1:23" x14ac:dyDescent="0.25">
      <c r="A77" s="44"/>
      <c r="B77" s="482"/>
      <c r="C77" s="36"/>
      <c r="D77" s="25"/>
      <c r="E77" s="14"/>
      <c r="F77" s="14"/>
      <c r="G77" s="14"/>
      <c r="H77" s="14"/>
      <c r="I77" s="14"/>
      <c r="J77" s="14"/>
      <c r="K77" s="67"/>
      <c r="L77" s="67"/>
      <c r="M77" s="14"/>
      <c r="N77" s="14"/>
      <c r="O77" s="14"/>
      <c r="P77" s="67"/>
      <c r="Q77" s="14"/>
      <c r="R77" s="14"/>
      <c r="S77" s="14"/>
      <c r="T77" s="14"/>
      <c r="U77" s="13"/>
      <c r="V77" s="13"/>
      <c r="W77" s="15"/>
    </row>
    <row r="78" spans="1:23" s="154" customFormat="1" x14ac:dyDescent="0.25">
      <c r="A78" s="44"/>
      <c r="B78" s="483"/>
      <c r="C78" s="12"/>
      <c r="D78" s="25"/>
      <c r="E78" s="14"/>
      <c r="F78" s="14"/>
      <c r="G78" s="14"/>
      <c r="H78" s="14"/>
      <c r="I78" s="14"/>
      <c r="J78" s="14"/>
      <c r="K78" s="14"/>
      <c r="L78" s="14"/>
      <c r="M78" s="14"/>
      <c r="N78" s="14"/>
      <c r="O78" s="14"/>
      <c r="P78" s="16"/>
      <c r="Q78" s="14"/>
      <c r="R78" s="14"/>
      <c r="S78" s="14"/>
      <c r="T78" s="14"/>
      <c r="U78" s="13"/>
      <c r="V78" s="14"/>
      <c r="W78" s="15"/>
    </row>
    <row r="79" spans="1:23" s="154" customFormat="1" x14ac:dyDescent="0.25">
      <c r="A79" s="44"/>
      <c r="B79" s="484"/>
      <c r="C79" s="12"/>
      <c r="D79" s="25"/>
      <c r="E79" s="14"/>
      <c r="F79" s="14"/>
      <c r="G79" s="14"/>
      <c r="H79" s="14"/>
      <c r="I79" s="14"/>
      <c r="J79" s="14"/>
      <c r="K79" s="14"/>
      <c r="L79" s="14"/>
      <c r="M79" s="14"/>
      <c r="N79" s="14"/>
      <c r="O79" s="14"/>
      <c r="P79" s="16"/>
      <c r="Q79" s="14"/>
      <c r="R79" s="14"/>
      <c r="S79" s="14"/>
      <c r="T79" s="14"/>
      <c r="U79" s="13"/>
      <c r="V79" s="14"/>
      <c r="W79" s="15"/>
    </row>
    <row r="80" spans="1:23" s="154" customFormat="1" x14ac:dyDescent="0.25">
      <c r="A80" s="44"/>
      <c r="B80" s="485"/>
      <c r="C80" s="31"/>
      <c r="D80" s="25"/>
      <c r="E80" s="14"/>
      <c r="F80" s="14"/>
      <c r="G80" s="14"/>
      <c r="H80" s="14"/>
      <c r="I80" s="14"/>
      <c r="J80" s="14"/>
      <c r="K80" s="14"/>
      <c r="L80" s="14"/>
      <c r="M80" s="14"/>
      <c r="N80" s="14"/>
      <c r="O80" s="14"/>
      <c r="P80" s="16"/>
      <c r="Q80" s="14"/>
      <c r="R80" s="14"/>
      <c r="S80" s="14"/>
      <c r="T80" s="14"/>
      <c r="U80" s="13"/>
      <c r="V80" s="14"/>
      <c r="W80" s="15"/>
    </row>
    <row r="81" spans="1:24" s="154" customFormat="1" x14ac:dyDescent="0.25">
      <c r="A81" s="44"/>
      <c r="B81" s="486"/>
      <c r="C81" s="19"/>
      <c r="D81" s="14"/>
      <c r="E81" s="14"/>
      <c r="F81" s="14"/>
      <c r="G81" s="14"/>
      <c r="H81" s="14"/>
      <c r="I81" s="14"/>
      <c r="J81" s="14"/>
      <c r="K81" s="16"/>
      <c r="L81" s="16"/>
      <c r="M81" s="14"/>
      <c r="N81" s="14"/>
      <c r="O81" s="14"/>
      <c r="P81" s="14"/>
      <c r="Q81" s="14"/>
      <c r="R81" s="14"/>
      <c r="S81" s="14"/>
      <c r="T81" s="14"/>
      <c r="U81" s="13"/>
      <c r="V81" s="14"/>
      <c r="W81" s="14"/>
    </row>
    <row r="82" spans="1:24" s="154" customFormat="1" x14ac:dyDescent="0.25">
      <c r="A82" s="44"/>
      <c r="B82" s="487"/>
      <c r="C82" s="19"/>
      <c r="D82" s="25"/>
      <c r="E82" s="25"/>
      <c r="F82" s="25"/>
      <c r="G82" s="25"/>
      <c r="H82" s="25"/>
      <c r="I82" s="25"/>
      <c r="J82" s="25"/>
      <c r="K82" s="25"/>
      <c r="L82" s="25"/>
      <c r="M82" s="25"/>
      <c r="N82" s="25"/>
      <c r="O82" s="25"/>
      <c r="P82" s="16"/>
      <c r="Q82" s="25"/>
      <c r="R82" s="25"/>
      <c r="S82" s="25"/>
      <c r="T82" s="25"/>
      <c r="U82" s="13"/>
      <c r="V82" s="25"/>
      <c r="W82" s="15"/>
    </row>
    <row r="83" spans="1:24" s="154" customFormat="1" x14ac:dyDescent="0.25">
      <c r="A83" s="44"/>
      <c r="B83" s="488"/>
      <c r="C83" s="19"/>
      <c r="D83" s="25"/>
      <c r="E83" s="25"/>
      <c r="F83" s="25"/>
      <c r="G83" s="25"/>
      <c r="H83" s="25"/>
      <c r="I83" s="25"/>
      <c r="J83" s="25"/>
      <c r="K83" s="25"/>
      <c r="L83" s="25"/>
      <c r="M83" s="25"/>
      <c r="N83" s="25"/>
      <c r="O83" s="25"/>
      <c r="P83" s="16"/>
      <c r="Q83" s="25"/>
      <c r="R83" s="25"/>
      <c r="S83" s="25"/>
      <c r="T83" s="25"/>
      <c r="U83" s="13"/>
      <c r="V83" s="25"/>
      <c r="W83" s="15"/>
    </row>
    <row r="84" spans="1:24" s="154" customFormat="1" x14ac:dyDescent="0.25">
      <c r="A84" s="44"/>
      <c r="B84" s="489"/>
      <c r="C84" s="19"/>
      <c r="D84" s="25"/>
      <c r="E84" s="25"/>
      <c r="F84" s="25"/>
      <c r="G84" s="25"/>
      <c r="H84" s="25"/>
      <c r="I84" s="25"/>
      <c r="J84" s="25"/>
      <c r="K84" s="25"/>
      <c r="L84" s="25"/>
      <c r="M84" s="25"/>
      <c r="N84" s="25"/>
      <c r="O84" s="25"/>
      <c r="P84" s="16"/>
      <c r="Q84" s="25"/>
      <c r="R84" s="25"/>
      <c r="S84" s="25"/>
      <c r="T84" s="25"/>
      <c r="U84" s="13"/>
      <c r="V84" s="25"/>
      <c r="W84" s="15"/>
    </row>
    <row r="85" spans="1:24" s="154" customFormat="1" x14ac:dyDescent="0.25">
      <c r="A85" s="44"/>
      <c r="B85" s="468"/>
      <c r="C85" s="12"/>
      <c r="D85" s="25"/>
      <c r="E85" s="25"/>
      <c r="F85" s="25"/>
      <c r="G85" s="25"/>
      <c r="H85" s="25"/>
      <c r="I85" s="25"/>
      <c r="J85" s="25"/>
      <c r="K85" s="25"/>
      <c r="L85" s="25"/>
      <c r="M85" s="25"/>
      <c r="N85" s="25"/>
      <c r="O85" s="25"/>
      <c r="P85" s="16"/>
      <c r="Q85" s="25"/>
      <c r="R85" s="25"/>
      <c r="S85" s="25"/>
      <c r="T85" s="25"/>
      <c r="U85" s="13"/>
      <c r="V85" s="25"/>
      <c r="W85" s="15"/>
    </row>
    <row r="86" spans="1:24" s="154" customFormat="1" x14ac:dyDescent="0.25">
      <c r="A86" s="120"/>
      <c r="B86" s="490"/>
      <c r="C86" s="12"/>
      <c r="D86" s="25"/>
      <c r="E86" s="14"/>
      <c r="F86" s="14"/>
      <c r="G86" s="14"/>
      <c r="H86" s="14"/>
      <c r="I86" s="14"/>
      <c r="J86" s="14"/>
      <c r="K86" s="14"/>
      <c r="L86" s="14"/>
      <c r="M86" s="14"/>
      <c r="N86" s="14"/>
      <c r="O86" s="14"/>
      <c r="P86" s="16"/>
      <c r="Q86" s="14"/>
      <c r="R86" s="14"/>
      <c r="S86" s="14"/>
      <c r="T86" s="14"/>
      <c r="U86" s="13"/>
      <c r="V86" s="25"/>
      <c r="W86" s="15"/>
    </row>
    <row r="87" spans="1:24" s="154" customFormat="1" x14ac:dyDescent="0.25">
      <c r="A87" s="44"/>
      <c r="B87" s="491"/>
      <c r="C87" s="12"/>
      <c r="D87" s="25"/>
      <c r="E87" s="14"/>
      <c r="F87" s="14"/>
      <c r="G87" s="14"/>
      <c r="H87" s="14"/>
      <c r="I87" s="14"/>
      <c r="J87" s="14"/>
      <c r="K87" s="14"/>
      <c r="L87" s="14"/>
      <c r="M87" s="14"/>
      <c r="N87" s="14"/>
      <c r="O87" s="14"/>
      <c r="P87" s="16"/>
      <c r="Q87" s="14"/>
      <c r="R87" s="14"/>
      <c r="S87" s="14"/>
      <c r="T87" s="14"/>
      <c r="U87" s="13"/>
      <c r="V87" s="13"/>
      <c r="W87" s="15"/>
    </row>
    <row r="88" spans="1:24" s="154" customFormat="1" x14ac:dyDescent="0.25">
      <c r="A88" s="44"/>
      <c r="B88" s="450"/>
      <c r="C88" s="12"/>
      <c r="D88" s="25"/>
      <c r="E88" s="14"/>
      <c r="F88" s="14"/>
      <c r="G88" s="14"/>
      <c r="H88" s="14"/>
      <c r="I88" s="14"/>
      <c r="J88" s="14"/>
      <c r="K88" s="14"/>
      <c r="L88" s="14"/>
      <c r="M88" s="14"/>
      <c r="N88" s="14"/>
      <c r="O88" s="14"/>
      <c r="P88" s="16"/>
      <c r="Q88" s="14"/>
      <c r="R88" s="14"/>
      <c r="S88" s="14"/>
      <c r="T88" s="14"/>
      <c r="U88" s="13"/>
      <c r="V88" s="14"/>
      <c r="W88" s="14"/>
      <c r="X88" s="150"/>
    </row>
    <row r="89" spans="1:24" s="154" customFormat="1" x14ac:dyDescent="0.25">
      <c r="A89" s="44"/>
      <c r="B89" s="492"/>
      <c r="C89" s="12"/>
      <c r="D89" s="25"/>
      <c r="E89" s="14"/>
      <c r="F89" s="14"/>
      <c r="G89" s="14"/>
      <c r="H89" s="14"/>
      <c r="I89" s="14"/>
      <c r="J89" s="14"/>
      <c r="K89" s="14"/>
      <c r="L89" s="14"/>
      <c r="M89" s="14"/>
      <c r="N89" s="14"/>
      <c r="O89" s="14"/>
      <c r="P89" s="16"/>
      <c r="Q89" s="14"/>
      <c r="R89" s="14"/>
      <c r="S89" s="14"/>
      <c r="T89" s="14"/>
      <c r="U89" s="13"/>
      <c r="V89" s="13"/>
      <c r="W89" s="15"/>
    </row>
    <row r="90" spans="1:24" s="154" customFormat="1" x14ac:dyDescent="0.25">
      <c r="A90" s="44"/>
      <c r="B90" s="493"/>
      <c r="C90" s="12"/>
      <c r="D90" s="25"/>
      <c r="E90" s="14"/>
      <c r="F90" s="14"/>
      <c r="G90" s="14"/>
      <c r="H90" s="14"/>
      <c r="I90" s="14"/>
      <c r="J90" s="14"/>
      <c r="K90" s="14"/>
      <c r="L90" s="14"/>
      <c r="M90" s="14"/>
      <c r="N90" s="14"/>
      <c r="O90" s="14"/>
      <c r="P90" s="16"/>
      <c r="Q90" s="14"/>
      <c r="R90" s="14"/>
      <c r="S90" s="14"/>
      <c r="T90" s="14"/>
      <c r="U90" s="13"/>
      <c r="V90" s="13"/>
      <c r="W90" s="15"/>
    </row>
    <row r="91" spans="1:24" s="154" customFormat="1" x14ac:dyDescent="0.25">
      <c r="A91" s="44"/>
      <c r="B91" s="494"/>
      <c r="C91" s="12"/>
      <c r="D91" s="25"/>
      <c r="E91" s="14"/>
      <c r="F91" s="14"/>
      <c r="G91" s="14"/>
      <c r="H91" s="14"/>
      <c r="I91" s="14"/>
      <c r="J91" s="14"/>
      <c r="K91" s="14"/>
      <c r="L91" s="14"/>
      <c r="M91" s="14"/>
      <c r="N91" s="14"/>
      <c r="O91" s="14"/>
      <c r="P91" s="16"/>
      <c r="Q91" s="14"/>
      <c r="R91" s="14"/>
      <c r="S91" s="14"/>
      <c r="T91" s="14"/>
      <c r="U91" s="13"/>
      <c r="V91" s="13"/>
      <c r="W91" s="15"/>
    </row>
    <row r="92" spans="1:24" s="154" customFormat="1" x14ac:dyDescent="0.25">
      <c r="A92" s="44"/>
      <c r="B92" s="495"/>
      <c r="C92" s="12"/>
      <c r="D92" s="25"/>
      <c r="E92" s="14"/>
      <c r="F92" s="14"/>
      <c r="G92" s="14"/>
      <c r="H92" s="14"/>
      <c r="I92" s="14"/>
      <c r="J92" s="14"/>
      <c r="K92" s="14"/>
      <c r="L92" s="14"/>
      <c r="M92" s="14"/>
      <c r="N92" s="14"/>
      <c r="O92" s="14"/>
      <c r="P92" s="16"/>
      <c r="Q92" s="14"/>
      <c r="R92" s="14"/>
      <c r="S92" s="14"/>
      <c r="T92" s="14"/>
      <c r="U92" s="13"/>
      <c r="V92" s="13"/>
      <c r="W92" s="15"/>
    </row>
    <row r="93" spans="1:24" s="154" customFormat="1" x14ac:dyDescent="0.25">
      <c r="A93" s="121"/>
      <c r="B93" s="496"/>
      <c r="C93" s="19"/>
      <c r="D93" s="33"/>
      <c r="E93" s="33"/>
      <c r="F93" s="33"/>
      <c r="G93" s="33"/>
      <c r="H93" s="33"/>
      <c r="I93" s="33"/>
      <c r="J93" s="33"/>
      <c r="K93" s="33"/>
      <c r="L93" s="33"/>
      <c r="M93" s="33"/>
      <c r="N93" s="33"/>
      <c r="O93" s="33"/>
      <c r="P93" s="33"/>
      <c r="Q93" s="33"/>
      <c r="R93" s="33"/>
      <c r="S93" s="33"/>
      <c r="T93" s="33"/>
      <c r="U93" s="13"/>
      <c r="V93" s="25"/>
      <c r="W93" s="15"/>
    </row>
    <row r="94" spans="1:24" s="154" customFormat="1" x14ac:dyDescent="0.25">
      <c r="A94" s="121"/>
      <c r="B94" s="497"/>
      <c r="C94" s="12"/>
      <c r="D94" s="33"/>
      <c r="E94" s="33"/>
      <c r="F94" s="33"/>
      <c r="G94" s="33"/>
      <c r="H94" s="33"/>
      <c r="I94" s="33"/>
      <c r="J94" s="33"/>
      <c r="K94" s="33"/>
      <c r="L94" s="33"/>
      <c r="M94" s="33"/>
      <c r="N94" s="33"/>
      <c r="O94" s="33"/>
      <c r="P94" s="33"/>
      <c r="Q94" s="33"/>
      <c r="R94" s="33"/>
      <c r="S94" s="33"/>
      <c r="T94" s="33"/>
      <c r="U94" s="13"/>
      <c r="V94" s="13"/>
      <c r="W94" s="15"/>
    </row>
    <row r="95" spans="1:24" s="154" customFormat="1" x14ac:dyDescent="0.25">
      <c r="A95" s="121"/>
      <c r="B95" s="498"/>
      <c r="C95" s="12"/>
      <c r="D95" s="33"/>
      <c r="E95" s="33"/>
      <c r="F95" s="33"/>
      <c r="G95" s="33"/>
      <c r="H95" s="33"/>
      <c r="I95" s="33"/>
      <c r="J95" s="33"/>
      <c r="K95" s="33"/>
      <c r="L95" s="33"/>
      <c r="M95" s="33"/>
      <c r="N95" s="33"/>
      <c r="O95" s="33"/>
      <c r="P95" s="33"/>
      <c r="Q95" s="33"/>
      <c r="R95" s="33"/>
      <c r="S95" s="33"/>
      <c r="T95" s="33"/>
      <c r="U95" s="13"/>
      <c r="V95" s="13"/>
      <c r="W95" s="15"/>
    </row>
    <row r="96" spans="1:24" s="154" customFormat="1" x14ac:dyDescent="0.25">
      <c r="A96" s="121"/>
      <c r="B96" s="499"/>
      <c r="C96" s="19"/>
      <c r="D96" s="33"/>
      <c r="E96" s="33"/>
      <c r="F96" s="33"/>
      <c r="G96" s="33"/>
      <c r="H96" s="33"/>
      <c r="I96" s="33"/>
      <c r="J96" s="33"/>
      <c r="K96" s="33"/>
      <c r="L96" s="33"/>
      <c r="M96" s="33"/>
      <c r="N96" s="33"/>
      <c r="O96" s="33"/>
      <c r="P96" s="33"/>
      <c r="Q96" s="33"/>
      <c r="R96" s="33"/>
      <c r="S96" s="33"/>
      <c r="T96" s="33"/>
      <c r="U96" s="13"/>
      <c r="V96" s="40"/>
      <c r="W96" s="15"/>
    </row>
    <row r="97" spans="1:28" s="154" customFormat="1" x14ac:dyDescent="0.25">
      <c r="A97" s="121"/>
      <c r="B97" s="500"/>
      <c r="C97" s="35"/>
      <c r="D97" s="33"/>
      <c r="E97" s="33"/>
      <c r="F97" s="33"/>
      <c r="G97" s="33"/>
      <c r="H97" s="33"/>
      <c r="I97" s="33"/>
      <c r="J97" s="33"/>
      <c r="K97" s="33"/>
      <c r="L97" s="33"/>
      <c r="M97" s="33"/>
      <c r="N97" s="33"/>
      <c r="O97" s="33"/>
      <c r="P97" s="33"/>
      <c r="Q97" s="33"/>
      <c r="R97" s="33"/>
      <c r="S97" s="33"/>
      <c r="T97" s="33"/>
      <c r="U97" s="13"/>
      <c r="V97" s="33"/>
      <c r="W97" s="15"/>
    </row>
    <row r="98" spans="1:28" s="154" customFormat="1" x14ac:dyDescent="0.25">
      <c r="A98" s="44"/>
      <c r="B98" s="501"/>
      <c r="C98" s="12"/>
      <c r="D98" s="25"/>
      <c r="E98" s="14"/>
      <c r="F98" s="14"/>
      <c r="G98" s="14"/>
      <c r="H98" s="14"/>
      <c r="I98" s="14"/>
      <c r="J98" s="14"/>
      <c r="K98" s="14"/>
      <c r="L98" s="14"/>
      <c r="M98" s="14"/>
      <c r="N98" s="14"/>
      <c r="O98" s="14"/>
      <c r="P98" s="16"/>
      <c r="Q98" s="14"/>
      <c r="R98" s="14"/>
      <c r="S98" s="14"/>
      <c r="T98" s="14"/>
      <c r="U98" s="13"/>
      <c r="V98" s="25"/>
      <c r="W98" s="15"/>
    </row>
    <row r="99" spans="1:28" s="154" customFormat="1" x14ac:dyDescent="0.25">
      <c r="A99" s="121"/>
      <c r="B99" s="502"/>
      <c r="C99" s="29"/>
      <c r="D99" s="25"/>
      <c r="E99" s="15"/>
      <c r="F99" s="15"/>
      <c r="G99" s="15"/>
      <c r="H99" s="15"/>
      <c r="I99" s="15"/>
      <c r="J99" s="15"/>
      <c r="K99" s="15"/>
      <c r="L99" s="15"/>
      <c r="M99" s="15"/>
      <c r="N99" s="15"/>
      <c r="O99" s="15"/>
      <c r="P99" s="15"/>
      <c r="Q99" s="15"/>
      <c r="R99" s="15"/>
      <c r="S99" s="15"/>
      <c r="T99" s="15"/>
      <c r="U99" s="13"/>
      <c r="V99" s="30"/>
      <c r="W99" s="15"/>
      <c r="AB99" s="187"/>
    </row>
    <row r="100" spans="1:28" s="154" customFormat="1" x14ac:dyDescent="0.25">
      <c r="A100" s="121"/>
      <c r="B100" s="503"/>
      <c r="C100" s="405"/>
      <c r="D100" s="25"/>
      <c r="E100" s="15"/>
      <c r="F100" s="15"/>
      <c r="G100" s="15"/>
      <c r="H100" s="15"/>
      <c r="I100" s="15"/>
      <c r="J100" s="15"/>
      <c r="K100" s="15"/>
      <c r="L100" s="15"/>
      <c r="M100" s="15"/>
      <c r="N100" s="15"/>
      <c r="O100" s="15"/>
      <c r="P100" s="15"/>
      <c r="Q100" s="15"/>
      <c r="R100" s="15"/>
      <c r="S100" s="15"/>
      <c r="T100" s="15"/>
      <c r="U100" s="13"/>
      <c r="V100" s="30"/>
      <c r="W100" s="15"/>
      <c r="X100" s="191"/>
      <c r="Y100" s="195"/>
      <c r="Z100" s="187"/>
      <c r="AB100" s="187"/>
    </row>
    <row r="101" spans="1:28" s="154" customFormat="1" ht="22.5" x14ac:dyDescent="0.25">
      <c r="A101" s="198"/>
      <c r="B101" s="504"/>
      <c r="C101" s="101"/>
      <c r="D101" s="101"/>
      <c r="E101" s="9"/>
      <c r="F101" s="9"/>
      <c r="G101" s="9"/>
      <c r="H101" s="9"/>
      <c r="I101" s="9"/>
      <c r="J101" s="9"/>
      <c r="K101" s="9"/>
      <c r="L101" s="9"/>
      <c r="M101" s="9"/>
      <c r="N101" s="9"/>
      <c r="O101" s="9"/>
      <c r="P101" s="9"/>
      <c r="Q101" s="9"/>
      <c r="R101" s="9"/>
      <c r="S101" s="9"/>
      <c r="T101" s="9"/>
      <c r="U101" s="16"/>
      <c r="V101" s="16"/>
      <c r="W101" s="16"/>
    </row>
    <row r="102" spans="1:28" s="154" customFormat="1" x14ac:dyDescent="0.25">
      <c r="A102" s="118"/>
      <c r="B102" s="471"/>
      <c r="C102" s="12"/>
      <c r="D102" s="25"/>
      <c r="E102" s="14"/>
      <c r="F102" s="14"/>
      <c r="G102" s="14"/>
      <c r="H102" s="14"/>
      <c r="I102" s="14"/>
      <c r="J102" s="14"/>
      <c r="K102" s="46"/>
      <c r="L102" s="14"/>
      <c r="M102" s="14"/>
      <c r="N102" s="14"/>
      <c r="O102" s="14"/>
      <c r="P102" s="14"/>
      <c r="Q102" s="14"/>
      <c r="R102" s="14"/>
      <c r="S102" s="14"/>
      <c r="T102" s="14"/>
      <c r="U102" s="13"/>
      <c r="V102" s="14"/>
      <c r="W102" s="15"/>
      <c r="X102" s="191"/>
    </row>
    <row r="103" spans="1:28" s="154" customFormat="1" x14ac:dyDescent="0.25">
      <c r="A103" s="118"/>
      <c r="B103" s="505"/>
      <c r="C103" s="12"/>
      <c r="D103" s="25"/>
      <c r="E103" s="14"/>
      <c r="F103" s="14"/>
      <c r="G103" s="14"/>
      <c r="H103" s="14"/>
      <c r="I103" s="14"/>
      <c r="J103" s="14"/>
      <c r="K103" s="46"/>
      <c r="L103" s="14"/>
      <c r="M103" s="14"/>
      <c r="N103" s="14"/>
      <c r="O103" s="14"/>
      <c r="P103" s="14"/>
      <c r="Q103" s="14"/>
      <c r="R103" s="14"/>
      <c r="S103" s="14"/>
      <c r="T103" s="14"/>
      <c r="U103" s="13"/>
      <c r="V103" s="14"/>
      <c r="W103" s="15"/>
    </row>
    <row r="104" spans="1:28" s="154" customFormat="1" x14ac:dyDescent="0.25">
      <c r="A104" s="44"/>
      <c r="B104" s="442"/>
      <c r="C104" s="12"/>
      <c r="D104" s="25"/>
      <c r="E104" s="14"/>
      <c r="F104" s="14"/>
      <c r="G104" s="14"/>
      <c r="H104" s="14"/>
      <c r="I104" s="14"/>
      <c r="J104" s="14"/>
      <c r="K104" s="46"/>
      <c r="L104" s="14"/>
      <c r="M104" s="14"/>
      <c r="N104" s="14"/>
      <c r="O104" s="14"/>
      <c r="P104" s="14"/>
      <c r="Q104" s="14"/>
      <c r="R104" s="14"/>
      <c r="S104" s="14"/>
      <c r="T104" s="14"/>
      <c r="U104" s="13"/>
      <c r="V104" s="25"/>
      <c r="W104" s="16"/>
    </row>
    <row r="105" spans="1:28" s="154" customFormat="1" x14ac:dyDescent="0.25">
      <c r="A105" s="44"/>
      <c r="B105" s="506"/>
      <c r="C105" s="12"/>
      <c r="D105" s="25"/>
      <c r="E105" s="14"/>
      <c r="F105" s="14"/>
      <c r="G105" s="14"/>
      <c r="H105" s="14"/>
      <c r="I105" s="14"/>
      <c r="J105" s="14"/>
      <c r="K105" s="46"/>
      <c r="L105" s="14"/>
      <c r="M105" s="14"/>
      <c r="N105" s="14"/>
      <c r="O105" s="14"/>
      <c r="P105" s="14"/>
      <c r="Q105" s="14"/>
      <c r="R105" s="14"/>
      <c r="S105" s="14"/>
      <c r="T105" s="14"/>
      <c r="U105" s="13"/>
      <c r="V105" s="14"/>
      <c r="W105" s="15"/>
    </row>
    <row r="106" spans="1:28" s="154" customFormat="1" x14ac:dyDescent="0.25">
      <c r="A106" s="44"/>
      <c r="B106" s="507"/>
      <c r="C106" s="12"/>
      <c r="D106" s="25"/>
      <c r="E106" s="14"/>
      <c r="F106" s="14"/>
      <c r="G106" s="14"/>
      <c r="H106" s="14"/>
      <c r="I106" s="14"/>
      <c r="J106" s="14"/>
      <c r="K106" s="46"/>
      <c r="L106" s="14"/>
      <c r="M106" s="14"/>
      <c r="N106" s="14"/>
      <c r="O106" s="14"/>
      <c r="P106" s="14"/>
      <c r="Q106" s="14"/>
      <c r="R106" s="14"/>
      <c r="S106" s="14"/>
      <c r="T106" s="14"/>
      <c r="U106" s="13"/>
      <c r="V106" s="14"/>
      <c r="W106" s="15"/>
    </row>
    <row r="107" spans="1:28" s="154" customFormat="1" x14ac:dyDescent="0.25">
      <c r="A107" s="44"/>
      <c r="B107" s="473"/>
      <c r="C107" s="32"/>
      <c r="D107" s="25"/>
      <c r="E107" s="14"/>
      <c r="F107" s="14"/>
      <c r="G107" s="14"/>
      <c r="H107" s="14"/>
      <c r="I107" s="14"/>
      <c r="J107" s="14"/>
      <c r="K107" s="46"/>
      <c r="L107" s="14"/>
      <c r="M107" s="14"/>
      <c r="N107" s="14"/>
      <c r="O107" s="14"/>
      <c r="P107" s="14"/>
      <c r="Q107" s="14"/>
      <c r="R107" s="14"/>
      <c r="S107" s="14"/>
      <c r="T107" s="14"/>
      <c r="U107" s="13"/>
      <c r="V107" s="30"/>
      <c r="W107" s="15"/>
    </row>
    <row r="108" spans="1:28" s="154" customFormat="1" x14ac:dyDescent="0.25">
      <c r="A108" s="44"/>
      <c r="B108" s="474"/>
      <c r="C108" s="12"/>
      <c r="D108" s="25"/>
      <c r="E108" s="14"/>
      <c r="F108" s="14"/>
      <c r="G108" s="14"/>
      <c r="H108" s="14"/>
      <c r="I108" s="14"/>
      <c r="J108" s="14"/>
      <c r="K108" s="46"/>
      <c r="L108" s="14"/>
      <c r="M108" s="14"/>
      <c r="N108" s="14"/>
      <c r="O108" s="14"/>
      <c r="P108" s="14"/>
      <c r="Q108" s="14"/>
      <c r="R108" s="14"/>
      <c r="S108" s="14"/>
      <c r="T108" s="14"/>
      <c r="U108" s="13"/>
      <c r="V108" s="25"/>
      <c r="W108" s="16"/>
    </row>
    <row r="109" spans="1:28" s="154" customFormat="1" x14ac:dyDescent="0.25">
      <c r="A109" s="44"/>
      <c r="B109" s="475"/>
      <c r="C109" s="12"/>
      <c r="D109" s="25"/>
      <c r="E109" s="14"/>
      <c r="F109" s="14"/>
      <c r="G109" s="14"/>
      <c r="H109" s="14"/>
      <c r="I109" s="14"/>
      <c r="J109" s="14"/>
      <c r="K109" s="46"/>
      <c r="L109" s="14"/>
      <c r="M109" s="14"/>
      <c r="N109" s="14"/>
      <c r="O109" s="14"/>
      <c r="P109" s="14"/>
      <c r="Q109" s="14"/>
      <c r="R109" s="14"/>
      <c r="S109" s="14"/>
      <c r="T109" s="14"/>
      <c r="U109" s="13"/>
      <c r="V109" s="14"/>
      <c r="W109" s="15"/>
    </row>
    <row r="110" spans="1:28" s="154" customFormat="1" x14ac:dyDescent="0.25">
      <c r="A110" s="44"/>
      <c r="B110" s="476"/>
      <c r="C110" s="12"/>
      <c r="D110" s="25"/>
      <c r="E110" s="14"/>
      <c r="F110" s="14"/>
      <c r="G110" s="14"/>
      <c r="H110" s="14"/>
      <c r="I110" s="14"/>
      <c r="J110" s="14"/>
      <c r="K110" s="46"/>
      <c r="L110" s="14"/>
      <c r="M110" s="14"/>
      <c r="N110" s="14"/>
      <c r="O110" s="14"/>
      <c r="P110" s="14"/>
      <c r="Q110" s="14"/>
      <c r="R110" s="14"/>
      <c r="S110" s="14"/>
      <c r="T110" s="14"/>
      <c r="U110" s="13"/>
      <c r="V110" s="14"/>
      <c r="W110" s="15"/>
    </row>
    <row r="111" spans="1:28" s="154" customFormat="1" x14ac:dyDescent="0.25">
      <c r="A111" s="44"/>
      <c r="B111" s="478"/>
      <c r="C111" s="19"/>
      <c r="D111" s="25"/>
      <c r="E111" s="14"/>
      <c r="F111" s="14"/>
      <c r="G111" s="14"/>
      <c r="H111" s="14"/>
      <c r="I111" s="14"/>
      <c r="J111" s="14"/>
      <c r="K111" s="46"/>
      <c r="L111" s="14"/>
      <c r="M111" s="14"/>
      <c r="N111" s="14"/>
      <c r="O111" s="14"/>
      <c r="P111" s="14"/>
      <c r="Q111" s="14"/>
      <c r="R111" s="14"/>
      <c r="S111" s="14"/>
      <c r="T111" s="14"/>
      <c r="U111" s="13"/>
      <c r="V111" s="25"/>
      <c r="W111" s="15"/>
    </row>
    <row r="112" spans="1:28" s="154" customFormat="1" x14ac:dyDescent="0.25">
      <c r="A112" s="44"/>
      <c r="B112" s="508"/>
      <c r="C112" s="12"/>
      <c r="D112" s="25"/>
      <c r="E112" s="14"/>
      <c r="F112" s="14"/>
      <c r="G112" s="14"/>
      <c r="H112" s="14"/>
      <c r="I112" s="14"/>
      <c r="J112" s="14"/>
      <c r="K112" s="46"/>
      <c r="L112" s="14"/>
      <c r="M112" s="14"/>
      <c r="N112" s="14"/>
      <c r="O112" s="14"/>
      <c r="P112" s="14"/>
      <c r="Q112" s="14"/>
      <c r="R112" s="14"/>
      <c r="S112" s="14"/>
      <c r="T112" s="14"/>
      <c r="U112" s="13"/>
      <c r="V112" s="25"/>
      <c r="W112" s="15"/>
    </row>
    <row r="113" spans="1:29" s="154" customFormat="1" x14ac:dyDescent="0.25">
      <c r="A113" s="44"/>
      <c r="B113" s="477"/>
      <c r="C113" s="34"/>
      <c r="D113" s="25"/>
      <c r="E113" s="14"/>
      <c r="F113" s="14"/>
      <c r="G113" s="14"/>
      <c r="H113" s="14"/>
      <c r="I113" s="14"/>
      <c r="J113" s="14"/>
      <c r="K113" s="46"/>
      <c r="L113" s="14"/>
      <c r="M113" s="14"/>
      <c r="N113" s="14"/>
      <c r="O113" s="14"/>
      <c r="P113" s="14"/>
      <c r="Q113" s="14"/>
      <c r="R113" s="14"/>
      <c r="S113" s="14"/>
      <c r="T113" s="14"/>
      <c r="U113" s="13"/>
      <c r="V113" s="14"/>
      <c r="W113" s="15"/>
    </row>
    <row r="114" spans="1:29" s="154" customFormat="1" x14ac:dyDescent="0.25">
      <c r="A114" s="44"/>
      <c r="B114" s="509"/>
      <c r="C114" s="34"/>
      <c r="D114" s="25"/>
      <c r="E114" s="14"/>
      <c r="F114" s="14"/>
      <c r="G114" s="14"/>
      <c r="H114" s="14"/>
      <c r="I114" s="14"/>
      <c r="J114" s="14"/>
      <c r="K114" s="46"/>
      <c r="L114" s="14"/>
      <c r="M114" s="14"/>
      <c r="N114" s="14"/>
      <c r="O114" s="14"/>
      <c r="P114" s="14"/>
      <c r="Q114" s="14"/>
      <c r="R114" s="14"/>
      <c r="S114" s="14"/>
      <c r="T114" s="14"/>
      <c r="U114" s="13"/>
      <c r="V114" s="14"/>
      <c r="W114" s="15"/>
    </row>
    <row r="115" spans="1:29" s="154" customFormat="1" x14ac:dyDescent="0.25">
      <c r="A115" s="44"/>
      <c r="B115" s="510"/>
      <c r="C115" s="12"/>
      <c r="D115" s="25"/>
      <c r="E115" s="14"/>
      <c r="F115" s="14"/>
      <c r="G115" s="14"/>
      <c r="H115" s="14"/>
      <c r="I115" s="14"/>
      <c r="J115" s="14"/>
      <c r="K115" s="46"/>
      <c r="L115" s="14"/>
      <c r="M115" s="14"/>
      <c r="N115" s="14"/>
      <c r="O115" s="14"/>
      <c r="P115" s="14"/>
      <c r="Q115" s="14"/>
      <c r="R115" s="14"/>
      <c r="S115" s="14"/>
      <c r="T115" s="14"/>
      <c r="U115" s="13"/>
      <c r="V115" s="13"/>
      <c r="W115" s="15"/>
    </row>
    <row r="116" spans="1:29" s="154" customFormat="1" x14ac:dyDescent="0.25">
      <c r="A116" s="44"/>
      <c r="B116" s="450"/>
      <c r="C116" s="12"/>
      <c r="D116" s="25"/>
      <c r="E116" s="14"/>
      <c r="F116" s="14"/>
      <c r="G116" s="14"/>
      <c r="H116" s="14"/>
      <c r="I116" s="14"/>
      <c r="J116" s="14"/>
      <c r="K116" s="46"/>
      <c r="L116" s="14"/>
      <c r="M116" s="14"/>
      <c r="N116" s="14"/>
      <c r="O116" s="14"/>
      <c r="P116" s="14"/>
      <c r="Q116" s="14"/>
      <c r="R116" s="14"/>
      <c r="S116" s="14"/>
      <c r="T116" s="14"/>
      <c r="U116" s="13"/>
      <c r="V116" s="16"/>
      <c r="W116" s="16"/>
    </row>
    <row r="117" spans="1:29" s="154" customFormat="1" x14ac:dyDescent="0.25">
      <c r="A117" s="44"/>
      <c r="B117" s="492"/>
      <c r="C117" s="12"/>
      <c r="D117" s="25"/>
      <c r="E117" s="14"/>
      <c r="F117" s="14"/>
      <c r="G117" s="14"/>
      <c r="H117" s="14"/>
      <c r="I117" s="14"/>
      <c r="J117" s="14"/>
      <c r="K117" s="46"/>
      <c r="L117" s="14"/>
      <c r="M117" s="14"/>
      <c r="N117" s="14"/>
      <c r="O117" s="14"/>
      <c r="P117" s="14"/>
      <c r="Q117" s="14"/>
      <c r="R117" s="14"/>
      <c r="S117" s="14"/>
      <c r="T117" s="14"/>
      <c r="U117" s="13"/>
      <c r="V117" s="13"/>
      <c r="W117" s="15"/>
    </row>
    <row r="118" spans="1:29" s="154" customFormat="1" x14ac:dyDescent="0.25">
      <c r="A118" s="44"/>
      <c r="B118" s="460"/>
      <c r="C118" s="12"/>
      <c r="D118" s="25"/>
      <c r="E118" s="14"/>
      <c r="F118" s="14"/>
      <c r="G118" s="14"/>
      <c r="H118" s="14"/>
      <c r="I118" s="14"/>
      <c r="J118" s="14"/>
      <c r="K118" s="46"/>
      <c r="L118" s="14"/>
      <c r="M118" s="14"/>
      <c r="N118" s="14"/>
      <c r="O118" s="14"/>
      <c r="P118" s="14"/>
      <c r="Q118" s="14"/>
      <c r="R118" s="14"/>
      <c r="S118" s="14"/>
      <c r="T118" s="14"/>
      <c r="U118" s="13"/>
      <c r="V118" s="13"/>
      <c r="W118" s="15"/>
    </row>
    <row r="119" spans="1:29" s="154" customFormat="1" x14ac:dyDescent="0.25">
      <c r="A119" s="44"/>
      <c r="B119" s="511"/>
      <c r="C119" s="12"/>
      <c r="D119" s="25"/>
      <c r="E119" s="14"/>
      <c r="F119" s="14"/>
      <c r="G119" s="14"/>
      <c r="H119" s="14"/>
      <c r="I119" s="14"/>
      <c r="J119" s="14"/>
      <c r="K119" s="46"/>
      <c r="L119" s="14"/>
      <c r="M119" s="14"/>
      <c r="N119" s="14"/>
      <c r="O119" s="14"/>
      <c r="P119" s="14"/>
      <c r="Q119" s="14"/>
      <c r="R119" s="14"/>
      <c r="S119" s="14"/>
      <c r="T119" s="14"/>
      <c r="U119" s="13"/>
      <c r="V119" s="13"/>
      <c r="W119" s="15"/>
    </row>
    <row r="120" spans="1:29" s="154" customFormat="1" ht="22.5" x14ac:dyDescent="0.25">
      <c r="A120" s="198"/>
      <c r="B120" s="512"/>
      <c r="C120" s="16"/>
      <c r="D120" s="16"/>
      <c r="E120" s="16"/>
      <c r="F120" s="16"/>
      <c r="G120" s="16"/>
      <c r="H120" s="16"/>
      <c r="I120" s="16"/>
      <c r="J120" s="16"/>
      <c r="K120" s="16"/>
      <c r="L120" s="16"/>
      <c r="M120" s="16"/>
      <c r="N120" s="16"/>
      <c r="O120" s="16"/>
      <c r="P120" s="16"/>
      <c r="Q120" s="16"/>
      <c r="R120" s="16"/>
      <c r="S120" s="16"/>
      <c r="T120" s="16"/>
      <c r="U120" s="16"/>
      <c r="V120" s="16"/>
      <c r="W120" s="16"/>
      <c r="Y120" s="195"/>
    </row>
    <row r="121" spans="1:29" s="154" customFormat="1" x14ac:dyDescent="0.25">
      <c r="A121" s="119"/>
      <c r="B121" s="513"/>
      <c r="C121" s="12"/>
      <c r="D121" s="101"/>
      <c r="E121" s="9"/>
      <c r="F121" s="9"/>
      <c r="G121" s="14"/>
      <c r="H121" s="9"/>
      <c r="I121" s="9"/>
      <c r="J121" s="9"/>
      <c r="K121" s="9"/>
      <c r="L121" s="9"/>
      <c r="M121" s="9"/>
      <c r="N121" s="9"/>
      <c r="O121" s="9"/>
      <c r="P121" s="9"/>
      <c r="Q121" s="9"/>
      <c r="R121" s="9"/>
      <c r="S121" s="9"/>
      <c r="T121" s="9"/>
      <c r="U121" s="13"/>
      <c r="V121" s="25"/>
      <c r="W121" s="15"/>
      <c r="X121" s="195"/>
      <c r="Y121" s="191"/>
      <c r="Z121" s="187"/>
      <c r="AC121" s="187"/>
    </row>
    <row r="122" spans="1:29" s="154" customFormat="1" x14ac:dyDescent="0.25">
      <c r="A122" s="118"/>
      <c r="B122" s="470"/>
      <c r="C122" s="12"/>
      <c r="D122" s="25"/>
      <c r="E122" s="14"/>
      <c r="F122" s="14"/>
      <c r="G122" s="14"/>
      <c r="H122" s="14"/>
      <c r="I122" s="14"/>
      <c r="J122" s="14"/>
      <c r="K122" s="14"/>
      <c r="L122" s="14"/>
      <c r="M122" s="14"/>
      <c r="N122" s="14"/>
      <c r="O122" s="14"/>
      <c r="P122" s="14"/>
      <c r="Q122" s="14"/>
      <c r="R122" s="14"/>
      <c r="S122" s="14"/>
      <c r="T122" s="408"/>
      <c r="U122" s="13"/>
      <c r="V122" s="14"/>
      <c r="W122" s="15"/>
      <c r="Y122" s="187"/>
    </row>
    <row r="123" spans="1:29" s="154" customFormat="1" x14ac:dyDescent="0.25">
      <c r="A123" s="118"/>
      <c r="B123" s="514"/>
      <c r="C123" s="12"/>
      <c r="D123" s="25"/>
      <c r="E123" s="14"/>
      <c r="F123" s="14"/>
      <c r="G123" s="14"/>
      <c r="H123" s="14"/>
      <c r="I123" s="14"/>
      <c r="J123" s="14"/>
      <c r="K123" s="14"/>
      <c r="L123" s="14"/>
      <c r="M123" s="14"/>
      <c r="N123" s="14"/>
      <c r="O123" s="14"/>
      <c r="P123" s="14"/>
      <c r="Q123" s="14"/>
      <c r="R123" s="14"/>
      <c r="S123" s="14"/>
      <c r="T123" s="408"/>
      <c r="U123" s="13"/>
      <c r="V123" s="25"/>
      <c r="W123" s="15"/>
      <c r="AA123" s="187"/>
    </row>
    <row r="124" spans="1:29" s="154" customFormat="1" x14ac:dyDescent="0.25">
      <c r="A124" s="118"/>
      <c r="B124" s="515"/>
      <c r="C124" s="12"/>
      <c r="D124" s="25"/>
      <c r="E124" s="14"/>
      <c r="F124" s="14"/>
      <c r="G124" s="14"/>
      <c r="H124" s="14"/>
      <c r="I124" s="14"/>
      <c r="J124" s="14"/>
      <c r="K124" s="14"/>
      <c r="L124" s="14"/>
      <c r="M124" s="14"/>
      <c r="N124" s="14"/>
      <c r="O124" s="14"/>
      <c r="P124" s="14"/>
      <c r="Q124" s="14"/>
      <c r="R124" s="14"/>
      <c r="S124" s="14"/>
      <c r="T124" s="408"/>
      <c r="U124" s="13"/>
      <c r="V124" s="25"/>
      <c r="W124" s="15"/>
    </row>
    <row r="125" spans="1:29" s="154" customFormat="1" x14ac:dyDescent="0.25">
      <c r="A125" s="44"/>
      <c r="B125" s="516"/>
      <c r="C125" s="19"/>
      <c r="D125" s="25"/>
      <c r="E125" s="14"/>
      <c r="F125" s="14"/>
      <c r="G125" s="14"/>
      <c r="H125" s="14"/>
      <c r="I125" s="14"/>
      <c r="J125" s="14"/>
      <c r="K125" s="14"/>
      <c r="L125" s="14"/>
      <c r="M125" s="14"/>
      <c r="N125" s="14"/>
      <c r="O125" s="14"/>
      <c r="P125" s="14"/>
      <c r="Q125" s="14"/>
      <c r="R125" s="14"/>
      <c r="S125" s="14"/>
      <c r="T125" s="408"/>
      <c r="U125" s="13"/>
      <c r="V125" s="25"/>
      <c r="W125" s="15"/>
    </row>
    <row r="126" spans="1:29" s="154" customFormat="1" x14ac:dyDescent="0.25">
      <c r="A126" s="44"/>
      <c r="B126" s="517"/>
      <c r="C126" s="19"/>
      <c r="D126" s="25"/>
      <c r="E126" s="14"/>
      <c r="F126" s="14"/>
      <c r="G126" s="14"/>
      <c r="H126" s="14"/>
      <c r="I126" s="14"/>
      <c r="J126" s="14"/>
      <c r="K126" s="14"/>
      <c r="L126" s="14"/>
      <c r="M126" s="14"/>
      <c r="N126" s="14"/>
      <c r="O126" s="14"/>
      <c r="P126" s="14"/>
      <c r="Q126" s="14"/>
      <c r="R126" s="14"/>
      <c r="S126" s="14"/>
      <c r="T126" s="408"/>
      <c r="U126" s="13"/>
      <c r="V126" s="25"/>
      <c r="W126" s="15"/>
    </row>
    <row r="127" spans="1:29" s="154" customFormat="1" x14ac:dyDescent="0.25">
      <c r="A127" s="118"/>
      <c r="B127" s="518"/>
      <c r="C127" s="12"/>
      <c r="D127" s="25"/>
      <c r="E127" s="14"/>
      <c r="F127" s="14"/>
      <c r="G127" s="14"/>
      <c r="H127" s="14"/>
      <c r="I127" s="14"/>
      <c r="J127" s="14"/>
      <c r="K127" s="14"/>
      <c r="L127" s="14"/>
      <c r="M127" s="14"/>
      <c r="N127" s="14"/>
      <c r="O127" s="14"/>
      <c r="P127" s="14"/>
      <c r="Q127" s="14"/>
      <c r="R127" s="14"/>
      <c r="S127" s="14"/>
      <c r="T127" s="408"/>
      <c r="U127" s="13"/>
      <c r="V127" s="25"/>
      <c r="W127" s="15"/>
    </row>
    <row r="128" spans="1:29" s="154" customFormat="1" x14ac:dyDescent="0.25">
      <c r="A128" s="118"/>
      <c r="B128" s="519"/>
      <c r="C128" s="12"/>
      <c r="D128" s="25"/>
      <c r="E128" s="14"/>
      <c r="F128" s="14"/>
      <c r="G128" s="14"/>
      <c r="H128" s="14"/>
      <c r="I128" s="14"/>
      <c r="J128" s="14"/>
      <c r="K128" s="14"/>
      <c r="L128" s="14"/>
      <c r="M128" s="14"/>
      <c r="N128" s="14"/>
      <c r="O128" s="14"/>
      <c r="P128" s="14"/>
      <c r="Q128" s="14"/>
      <c r="R128" s="14"/>
      <c r="S128" s="14"/>
      <c r="T128" s="408"/>
      <c r="U128" s="13"/>
      <c r="V128" s="25"/>
      <c r="W128" s="15"/>
    </row>
    <row r="129" spans="1:26" s="154" customFormat="1" x14ac:dyDescent="0.25">
      <c r="A129" s="118"/>
      <c r="B129" s="520"/>
      <c r="C129" s="12"/>
      <c r="D129" s="25"/>
      <c r="E129" s="14"/>
      <c r="F129" s="14"/>
      <c r="G129" s="14"/>
      <c r="H129" s="14"/>
      <c r="I129" s="14"/>
      <c r="J129" s="14"/>
      <c r="K129" s="14"/>
      <c r="L129" s="14"/>
      <c r="M129" s="14"/>
      <c r="N129" s="14"/>
      <c r="O129" s="14"/>
      <c r="P129" s="14"/>
      <c r="Q129" s="14"/>
      <c r="R129" s="14"/>
      <c r="S129" s="14"/>
      <c r="T129" s="408"/>
      <c r="U129" s="13"/>
      <c r="V129" s="25"/>
      <c r="W129" s="15"/>
    </row>
    <row r="130" spans="1:26" s="154" customFormat="1" x14ac:dyDescent="0.25">
      <c r="A130" s="118"/>
      <c r="B130" s="521"/>
      <c r="C130" s="12"/>
      <c r="D130" s="25"/>
      <c r="E130" s="14"/>
      <c r="F130" s="14"/>
      <c r="G130" s="14"/>
      <c r="H130" s="14"/>
      <c r="I130" s="14"/>
      <c r="J130" s="14"/>
      <c r="K130" s="14"/>
      <c r="L130" s="14"/>
      <c r="M130" s="14"/>
      <c r="N130" s="14"/>
      <c r="O130" s="14"/>
      <c r="P130" s="14"/>
      <c r="Q130" s="14"/>
      <c r="R130" s="25"/>
      <c r="S130" s="14"/>
      <c r="T130" s="408"/>
      <c r="U130" s="13"/>
      <c r="V130" s="25"/>
      <c r="W130" s="15"/>
    </row>
    <row r="131" spans="1:26" s="154" customFormat="1" x14ac:dyDescent="0.25">
      <c r="A131" s="118"/>
      <c r="B131" s="522"/>
      <c r="C131" s="12"/>
      <c r="D131" s="25"/>
      <c r="E131" s="14"/>
      <c r="F131" s="14"/>
      <c r="G131" s="14"/>
      <c r="H131" s="14"/>
      <c r="I131" s="14"/>
      <c r="J131" s="14"/>
      <c r="K131" s="14"/>
      <c r="L131" s="14"/>
      <c r="M131" s="14"/>
      <c r="N131" s="14"/>
      <c r="O131" s="14"/>
      <c r="P131" s="14"/>
      <c r="Q131" s="14"/>
      <c r="R131" s="25"/>
      <c r="S131" s="14"/>
      <c r="T131" s="408"/>
      <c r="U131" s="13"/>
      <c r="V131" s="25"/>
      <c r="W131" s="15"/>
    </row>
    <row r="132" spans="1:26" s="154" customFormat="1" x14ac:dyDescent="0.25">
      <c r="A132" s="118"/>
      <c r="B132" s="523"/>
      <c r="C132" s="12"/>
      <c r="D132" s="25"/>
      <c r="E132" s="14"/>
      <c r="F132" s="14"/>
      <c r="G132" s="14"/>
      <c r="H132" s="14"/>
      <c r="I132" s="14"/>
      <c r="J132" s="14"/>
      <c r="K132" s="14"/>
      <c r="L132" s="14"/>
      <c r="M132" s="14"/>
      <c r="N132" s="14"/>
      <c r="O132" s="14"/>
      <c r="P132" s="14"/>
      <c r="Q132" s="14"/>
      <c r="R132" s="14"/>
      <c r="S132" s="14"/>
      <c r="T132" s="408"/>
      <c r="U132" s="13"/>
      <c r="V132" s="25"/>
      <c r="W132" s="15"/>
    </row>
    <row r="133" spans="1:26" s="154" customFormat="1" x14ac:dyDescent="0.25">
      <c r="A133" s="118"/>
      <c r="B133" s="524"/>
      <c r="C133" s="12"/>
      <c r="D133" s="25"/>
      <c r="E133" s="14"/>
      <c r="F133" s="14"/>
      <c r="G133" s="14"/>
      <c r="H133" s="14"/>
      <c r="I133" s="14"/>
      <c r="J133" s="14"/>
      <c r="K133" s="14"/>
      <c r="L133" s="14"/>
      <c r="M133" s="14"/>
      <c r="N133" s="14"/>
      <c r="O133" s="14"/>
      <c r="P133" s="14"/>
      <c r="Q133" s="14"/>
      <c r="R133" s="14"/>
      <c r="S133" s="14"/>
      <c r="T133" s="408"/>
      <c r="U133" s="13"/>
      <c r="V133" s="25"/>
      <c r="W133" s="15"/>
    </row>
    <row r="134" spans="1:26" s="154" customFormat="1" x14ac:dyDescent="0.25">
      <c r="A134" s="118"/>
      <c r="B134" s="525"/>
      <c r="C134" s="12"/>
      <c r="D134" s="12"/>
      <c r="E134" s="12"/>
      <c r="F134" s="12"/>
      <c r="G134" s="12"/>
      <c r="H134" s="12"/>
      <c r="I134" s="12"/>
      <c r="J134" s="12"/>
      <c r="K134" s="12"/>
      <c r="L134" s="12"/>
      <c r="M134" s="12"/>
      <c r="N134" s="12"/>
      <c r="O134" s="12"/>
      <c r="P134" s="12"/>
      <c r="Q134" s="12"/>
      <c r="R134" s="12"/>
      <c r="S134" s="12"/>
      <c r="T134" s="409"/>
      <c r="U134" s="13"/>
      <c r="V134" s="12"/>
      <c r="W134" s="15"/>
    </row>
    <row r="135" spans="1:26" s="154" customFormat="1" x14ac:dyDescent="0.25">
      <c r="A135" s="118"/>
      <c r="B135" s="526"/>
      <c r="C135" s="29"/>
      <c r="D135" s="25"/>
      <c r="E135" s="14"/>
      <c r="F135" s="14"/>
      <c r="G135" s="14"/>
      <c r="H135" s="14"/>
      <c r="I135" s="14"/>
      <c r="J135" s="14"/>
      <c r="K135" s="14"/>
      <c r="L135" s="14"/>
      <c r="M135" s="14"/>
      <c r="N135" s="14"/>
      <c r="O135" s="14"/>
      <c r="P135" s="14"/>
      <c r="Q135" s="14"/>
      <c r="R135" s="14"/>
      <c r="S135" s="14"/>
      <c r="T135" s="408"/>
      <c r="U135" s="13"/>
      <c r="V135" s="25"/>
      <c r="W135" s="15"/>
    </row>
    <row r="136" spans="1:26" s="154" customFormat="1" x14ac:dyDescent="0.25">
      <c r="A136" s="118"/>
      <c r="B136" s="527"/>
      <c r="C136" s="12"/>
      <c r="D136" s="25"/>
      <c r="E136" s="14"/>
      <c r="F136" s="14"/>
      <c r="G136" s="14"/>
      <c r="H136" s="14"/>
      <c r="I136" s="14"/>
      <c r="J136" s="14"/>
      <c r="K136" s="14"/>
      <c r="L136" s="14"/>
      <c r="M136" s="14"/>
      <c r="N136" s="14"/>
      <c r="O136" s="14"/>
      <c r="P136" s="14"/>
      <c r="Q136" s="14"/>
      <c r="R136" s="14"/>
      <c r="S136" s="14"/>
      <c r="T136" s="408"/>
      <c r="U136" s="13"/>
      <c r="V136" s="25"/>
      <c r="W136" s="15"/>
    </row>
    <row r="137" spans="1:26" s="154" customFormat="1" ht="22.5" x14ac:dyDescent="0.25">
      <c r="A137" s="198"/>
      <c r="B137" s="528"/>
      <c r="C137" s="101"/>
      <c r="D137" s="101"/>
      <c r="E137" s="9"/>
      <c r="F137" s="9"/>
      <c r="G137" s="9"/>
      <c r="H137" s="9"/>
      <c r="I137" s="9"/>
      <c r="J137" s="9"/>
      <c r="K137" s="9"/>
      <c r="L137" s="9"/>
      <c r="M137" s="9"/>
      <c r="N137" s="9"/>
      <c r="O137" s="9"/>
      <c r="P137" s="9"/>
      <c r="Q137" s="9"/>
      <c r="R137" s="9"/>
      <c r="S137" s="9"/>
      <c r="T137" s="9"/>
      <c r="U137" s="16"/>
      <c r="V137" s="16"/>
      <c r="W137" s="16"/>
      <c r="X137" s="191"/>
      <c r="Y137" s="195"/>
    </row>
    <row r="138" spans="1:26" s="154" customFormat="1" x14ac:dyDescent="0.25">
      <c r="A138" s="118"/>
      <c r="B138" s="529"/>
      <c r="C138" s="12"/>
      <c r="D138" s="25"/>
      <c r="E138" s="14"/>
      <c r="F138" s="14"/>
      <c r="G138" s="14"/>
      <c r="H138" s="14"/>
      <c r="I138" s="14"/>
      <c r="J138" s="14"/>
      <c r="K138" s="14"/>
      <c r="L138" s="14"/>
      <c r="M138" s="14"/>
      <c r="N138" s="14"/>
      <c r="O138" s="14"/>
      <c r="P138" s="14"/>
      <c r="Q138" s="14"/>
      <c r="R138" s="14"/>
      <c r="S138" s="14"/>
      <c r="T138" s="14"/>
      <c r="U138" s="13"/>
      <c r="V138" s="14"/>
      <c r="W138" s="15"/>
      <c r="X138" s="187"/>
      <c r="Y138" s="187"/>
      <c r="Z138" s="191"/>
    </row>
    <row r="139" spans="1:26" s="154" customFormat="1" x14ac:dyDescent="0.25">
      <c r="A139" s="118"/>
      <c r="B139" s="530"/>
      <c r="C139" s="19"/>
      <c r="D139" s="25"/>
      <c r="E139" s="14"/>
      <c r="F139" s="14"/>
      <c r="G139" s="14"/>
      <c r="H139" s="14"/>
      <c r="I139" s="14"/>
      <c r="J139" s="14"/>
      <c r="K139" s="14"/>
      <c r="L139" s="14"/>
      <c r="M139" s="14"/>
      <c r="N139" s="14"/>
      <c r="O139" s="14"/>
      <c r="P139" s="14"/>
      <c r="Q139" s="14"/>
      <c r="R139" s="14"/>
      <c r="S139" s="14"/>
      <c r="T139" s="14"/>
      <c r="U139" s="13"/>
      <c r="V139" s="25"/>
      <c r="W139" s="15"/>
      <c r="X139" s="187"/>
      <c r="Y139" s="187"/>
    </row>
    <row r="140" spans="1:26" s="154" customFormat="1" x14ac:dyDescent="0.25">
      <c r="A140" s="44"/>
      <c r="B140" s="442"/>
      <c r="C140" s="16"/>
      <c r="D140" s="16"/>
      <c r="E140" s="16"/>
      <c r="F140" s="16"/>
      <c r="G140" s="16"/>
      <c r="H140" s="16"/>
      <c r="I140" s="16"/>
      <c r="J140" s="16"/>
      <c r="K140" s="16"/>
      <c r="L140" s="16"/>
      <c r="M140" s="16"/>
      <c r="N140" s="16"/>
      <c r="O140" s="16"/>
      <c r="P140" s="16"/>
      <c r="Q140" s="16"/>
      <c r="R140" s="16"/>
      <c r="S140" s="16"/>
      <c r="T140" s="16"/>
      <c r="U140" s="13"/>
      <c r="V140" s="16"/>
      <c r="W140" s="16"/>
      <c r="X140" s="187"/>
      <c r="Y140" s="187"/>
    </row>
    <row r="141" spans="1:26" s="154" customFormat="1" x14ac:dyDescent="0.25">
      <c r="A141" s="44"/>
      <c r="B141" s="506"/>
      <c r="C141" s="12"/>
      <c r="D141" s="25"/>
      <c r="E141" s="14"/>
      <c r="F141" s="14"/>
      <c r="G141" s="14"/>
      <c r="H141" s="14"/>
      <c r="I141" s="14"/>
      <c r="J141" s="14"/>
      <c r="K141" s="14"/>
      <c r="L141" s="14"/>
      <c r="M141" s="14"/>
      <c r="N141" s="14"/>
      <c r="O141" s="14"/>
      <c r="P141" s="14"/>
      <c r="Q141" s="14"/>
      <c r="R141" s="14"/>
      <c r="S141" s="14"/>
      <c r="T141" s="14"/>
      <c r="U141" s="13"/>
      <c r="V141" s="14"/>
      <c r="W141" s="15"/>
      <c r="X141" s="187"/>
      <c r="Y141" s="187"/>
    </row>
    <row r="142" spans="1:26" s="154" customFormat="1" x14ac:dyDescent="0.25">
      <c r="A142" s="44"/>
      <c r="B142" s="444"/>
      <c r="C142" s="12"/>
      <c r="D142" s="25"/>
      <c r="E142" s="14"/>
      <c r="F142" s="14"/>
      <c r="G142" s="14"/>
      <c r="H142" s="14"/>
      <c r="I142" s="14"/>
      <c r="J142" s="14"/>
      <c r="K142" s="14"/>
      <c r="L142" s="14"/>
      <c r="M142" s="14"/>
      <c r="N142" s="14"/>
      <c r="O142" s="14"/>
      <c r="P142" s="14"/>
      <c r="Q142" s="14"/>
      <c r="R142" s="14"/>
      <c r="S142" s="14"/>
      <c r="T142" s="14"/>
      <c r="U142" s="13"/>
      <c r="V142" s="14"/>
      <c r="W142" s="15"/>
      <c r="X142" s="187"/>
      <c r="Y142" s="187"/>
    </row>
    <row r="143" spans="1:26" s="154" customFormat="1" x14ac:dyDescent="0.25">
      <c r="A143" s="44"/>
      <c r="B143" s="531"/>
      <c r="C143" s="19"/>
      <c r="D143" s="25"/>
      <c r="E143" s="14"/>
      <c r="F143" s="14"/>
      <c r="G143" s="14"/>
      <c r="H143" s="14"/>
      <c r="I143" s="14"/>
      <c r="J143" s="14"/>
      <c r="K143" s="14"/>
      <c r="L143" s="14"/>
      <c r="M143" s="14"/>
      <c r="N143" s="14"/>
      <c r="O143" s="14"/>
      <c r="P143" s="14"/>
      <c r="Q143" s="14"/>
      <c r="R143" s="14"/>
      <c r="S143" s="14"/>
      <c r="T143" s="14"/>
      <c r="U143" s="13"/>
      <c r="V143" s="14"/>
      <c r="W143" s="15"/>
      <c r="X143" s="187"/>
      <c r="Y143" s="187"/>
    </row>
    <row r="144" spans="1:26" s="154" customFormat="1" x14ac:dyDescent="0.25">
      <c r="A144" s="44"/>
      <c r="B144" s="532"/>
      <c r="C144" s="19"/>
      <c r="D144" s="25"/>
      <c r="E144" s="14"/>
      <c r="F144" s="14"/>
      <c r="G144" s="14"/>
      <c r="H144" s="14"/>
      <c r="I144" s="14"/>
      <c r="J144" s="14"/>
      <c r="K144" s="14"/>
      <c r="L144" s="14"/>
      <c r="M144" s="14"/>
      <c r="N144" s="14"/>
      <c r="O144" s="14"/>
      <c r="P144" s="14"/>
      <c r="Q144" s="14"/>
      <c r="R144" s="14"/>
      <c r="S144" s="14"/>
      <c r="T144" s="14"/>
      <c r="U144" s="13"/>
      <c r="V144" s="14"/>
      <c r="W144" s="15"/>
      <c r="X144" s="187"/>
      <c r="Y144" s="187"/>
    </row>
    <row r="145" spans="1:25" s="154" customFormat="1" x14ac:dyDescent="0.25">
      <c r="A145" s="44"/>
      <c r="B145" s="533"/>
      <c r="C145" s="12"/>
      <c r="D145" s="25"/>
      <c r="E145" s="14"/>
      <c r="F145" s="14"/>
      <c r="G145" s="14"/>
      <c r="H145" s="14"/>
      <c r="I145" s="14"/>
      <c r="J145" s="14"/>
      <c r="K145" s="14"/>
      <c r="L145" s="14"/>
      <c r="M145" s="14"/>
      <c r="N145" s="14"/>
      <c r="O145" s="14"/>
      <c r="P145" s="14"/>
      <c r="Q145" s="14"/>
      <c r="R145" s="14"/>
      <c r="S145" s="14"/>
      <c r="T145" s="14"/>
      <c r="U145" s="13"/>
      <c r="V145" s="14"/>
      <c r="W145" s="15"/>
      <c r="X145" s="187"/>
      <c r="Y145" s="187"/>
    </row>
    <row r="146" spans="1:25" s="154" customFormat="1" x14ac:dyDescent="0.25">
      <c r="A146" s="44"/>
      <c r="B146" s="534"/>
      <c r="C146" s="12"/>
      <c r="D146" s="25"/>
      <c r="E146" s="14"/>
      <c r="F146" s="14"/>
      <c r="G146" s="14"/>
      <c r="H146" s="14"/>
      <c r="I146" s="14"/>
      <c r="J146" s="14"/>
      <c r="K146" s="14"/>
      <c r="L146" s="14"/>
      <c r="M146" s="14"/>
      <c r="N146" s="14"/>
      <c r="O146" s="14"/>
      <c r="P146" s="14"/>
      <c r="Q146" s="14"/>
      <c r="R146" s="14"/>
      <c r="S146" s="14"/>
      <c r="T146" s="14"/>
      <c r="U146" s="13"/>
      <c r="V146" s="14"/>
      <c r="W146" s="15"/>
      <c r="X146" s="187"/>
      <c r="Y146" s="187"/>
    </row>
    <row r="147" spans="1:25" s="154" customFormat="1" x14ac:dyDescent="0.25">
      <c r="A147" s="44"/>
      <c r="B147" s="474"/>
      <c r="C147" s="20"/>
      <c r="D147" s="25"/>
      <c r="E147" s="14"/>
      <c r="F147" s="14"/>
      <c r="G147" s="14"/>
      <c r="H147" s="14"/>
      <c r="I147" s="14"/>
      <c r="J147" s="14"/>
      <c r="K147" s="14"/>
      <c r="L147" s="14"/>
      <c r="M147" s="14"/>
      <c r="N147" s="14"/>
      <c r="O147" s="14"/>
      <c r="P147" s="14"/>
      <c r="Q147" s="14"/>
      <c r="R147" s="14"/>
      <c r="S147" s="14"/>
      <c r="T147" s="14"/>
      <c r="U147" s="13"/>
      <c r="V147" s="13"/>
      <c r="W147" s="13"/>
      <c r="X147" s="187"/>
      <c r="Y147" s="187"/>
    </row>
    <row r="148" spans="1:25" s="154" customFormat="1" x14ac:dyDescent="0.25">
      <c r="A148" s="44"/>
      <c r="B148" s="535"/>
      <c r="C148" s="12"/>
      <c r="D148" s="25"/>
      <c r="E148" s="14"/>
      <c r="F148" s="14"/>
      <c r="G148" s="14"/>
      <c r="H148" s="14"/>
      <c r="I148" s="14"/>
      <c r="J148" s="14"/>
      <c r="K148" s="14"/>
      <c r="L148" s="14"/>
      <c r="M148" s="14"/>
      <c r="N148" s="14"/>
      <c r="O148" s="14"/>
      <c r="P148" s="14"/>
      <c r="Q148" s="14"/>
      <c r="R148" s="14"/>
      <c r="S148" s="14"/>
      <c r="T148" s="14"/>
      <c r="U148" s="13"/>
      <c r="V148" s="14"/>
      <c r="W148" s="15"/>
      <c r="X148" s="187"/>
      <c r="Y148" s="187"/>
    </row>
    <row r="149" spans="1:25" s="154" customFormat="1" x14ac:dyDescent="0.25">
      <c r="A149" s="44"/>
      <c r="B149" s="536"/>
      <c r="C149" s="12"/>
      <c r="D149" s="25"/>
      <c r="E149" s="14"/>
      <c r="F149" s="14"/>
      <c r="G149" s="14"/>
      <c r="H149" s="14"/>
      <c r="I149" s="14"/>
      <c r="J149" s="14"/>
      <c r="K149" s="14"/>
      <c r="L149" s="14"/>
      <c r="M149" s="14"/>
      <c r="N149" s="14"/>
      <c r="O149" s="14"/>
      <c r="P149" s="14"/>
      <c r="Q149" s="14"/>
      <c r="R149" s="14"/>
      <c r="S149" s="14"/>
      <c r="T149" s="14"/>
      <c r="U149" s="13"/>
      <c r="V149" s="14"/>
      <c r="W149" s="15"/>
      <c r="X149" s="187"/>
      <c r="Y149" s="187"/>
    </row>
    <row r="150" spans="1:25" s="154" customFormat="1" x14ac:dyDescent="0.25">
      <c r="A150" s="122"/>
      <c r="B150" s="537"/>
      <c r="C150" s="29"/>
      <c r="D150" s="25"/>
      <c r="E150" s="14"/>
      <c r="F150" s="14"/>
      <c r="G150" s="14"/>
      <c r="H150" s="14"/>
      <c r="I150" s="14"/>
      <c r="J150" s="14"/>
      <c r="K150" s="14"/>
      <c r="L150" s="14"/>
      <c r="M150" s="14"/>
      <c r="N150" s="14"/>
      <c r="O150" s="14"/>
      <c r="P150" s="14"/>
      <c r="Q150" s="14"/>
      <c r="R150" s="14"/>
      <c r="S150" s="14"/>
      <c r="T150" s="14"/>
      <c r="U150" s="13"/>
      <c r="V150" s="14"/>
      <c r="W150" s="15"/>
      <c r="X150" s="187"/>
      <c r="Y150" s="187"/>
    </row>
    <row r="151" spans="1:25" s="154" customFormat="1" x14ac:dyDescent="0.25">
      <c r="A151" s="44"/>
      <c r="B151" s="538"/>
      <c r="C151" s="19"/>
      <c r="D151" s="25"/>
      <c r="E151" s="14"/>
      <c r="F151" s="14"/>
      <c r="G151" s="14"/>
      <c r="H151" s="14"/>
      <c r="I151" s="14"/>
      <c r="J151" s="14"/>
      <c r="K151" s="14"/>
      <c r="L151" s="14"/>
      <c r="M151" s="14"/>
      <c r="N151" s="14"/>
      <c r="O151" s="14"/>
      <c r="P151" s="14"/>
      <c r="Q151" s="14"/>
      <c r="R151" s="14"/>
      <c r="S151" s="14"/>
      <c r="T151" s="14"/>
      <c r="U151" s="13"/>
      <c r="V151" s="14"/>
      <c r="W151" s="15"/>
      <c r="X151" s="187"/>
      <c r="Y151" s="187"/>
    </row>
    <row r="152" spans="1:25" s="154" customFormat="1" x14ac:dyDescent="0.25">
      <c r="A152" s="44"/>
      <c r="B152" s="539"/>
      <c r="C152" s="19"/>
      <c r="D152" s="25"/>
      <c r="E152" s="14"/>
      <c r="F152" s="14"/>
      <c r="G152" s="14"/>
      <c r="H152" s="14"/>
      <c r="I152" s="14"/>
      <c r="J152" s="14"/>
      <c r="K152" s="14"/>
      <c r="L152" s="14"/>
      <c r="M152" s="14"/>
      <c r="N152" s="14"/>
      <c r="O152" s="14"/>
      <c r="P152" s="14"/>
      <c r="Q152" s="14"/>
      <c r="R152" s="14"/>
      <c r="S152" s="14"/>
      <c r="T152" s="14"/>
      <c r="U152" s="13"/>
      <c r="V152" s="14"/>
      <c r="W152" s="15"/>
      <c r="X152" s="187"/>
      <c r="Y152" s="187"/>
    </row>
    <row r="153" spans="1:25" s="154" customFormat="1" x14ac:dyDescent="0.25">
      <c r="A153" s="44"/>
      <c r="B153" s="540"/>
      <c r="C153" s="19"/>
      <c r="D153" s="25"/>
      <c r="E153" s="14"/>
      <c r="F153" s="14"/>
      <c r="G153" s="14"/>
      <c r="H153" s="14"/>
      <c r="I153" s="14"/>
      <c r="J153" s="14"/>
      <c r="K153" s="14"/>
      <c r="L153" s="14"/>
      <c r="M153" s="14"/>
      <c r="N153" s="14"/>
      <c r="O153" s="14"/>
      <c r="P153" s="14"/>
      <c r="Q153" s="14"/>
      <c r="R153" s="14"/>
      <c r="S153" s="14"/>
      <c r="T153" s="14"/>
      <c r="U153" s="13"/>
      <c r="V153" s="14"/>
      <c r="W153" s="15"/>
      <c r="X153" s="187"/>
      <c r="Y153" s="187"/>
    </row>
    <row r="154" spans="1:25" s="154" customFormat="1" x14ac:dyDescent="0.25">
      <c r="A154" s="44"/>
      <c r="B154" s="541"/>
      <c r="C154" s="19"/>
      <c r="D154" s="25"/>
      <c r="E154" s="14"/>
      <c r="F154" s="14"/>
      <c r="G154" s="14"/>
      <c r="H154" s="14"/>
      <c r="I154" s="14"/>
      <c r="J154" s="14"/>
      <c r="K154" s="14"/>
      <c r="L154" s="14"/>
      <c r="M154" s="14"/>
      <c r="N154" s="14"/>
      <c r="O154" s="14"/>
      <c r="P154" s="14"/>
      <c r="Q154" s="14"/>
      <c r="R154" s="14"/>
      <c r="S154" s="14"/>
      <c r="T154" s="14"/>
      <c r="U154" s="13"/>
      <c r="V154" s="14"/>
      <c r="W154" s="15"/>
      <c r="X154" s="187"/>
      <c r="Y154" s="187"/>
    </row>
    <row r="155" spans="1:25" s="154" customFormat="1" x14ac:dyDescent="0.25">
      <c r="A155" s="44"/>
      <c r="B155" s="542"/>
      <c r="C155" s="19"/>
      <c r="D155" s="25"/>
      <c r="E155" s="14"/>
      <c r="F155" s="14"/>
      <c r="G155" s="14"/>
      <c r="H155" s="14"/>
      <c r="I155" s="14"/>
      <c r="J155" s="14"/>
      <c r="K155" s="14"/>
      <c r="L155" s="14"/>
      <c r="M155" s="14"/>
      <c r="N155" s="14"/>
      <c r="O155" s="14"/>
      <c r="P155" s="14"/>
      <c r="Q155" s="14"/>
      <c r="R155" s="14"/>
      <c r="S155" s="14"/>
      <c r="T155" s="14"/>
      <c r="U155" s="13"/>
      <c r="V155" s="14"/>
      <c r="W155" s="15"/>
      <c r="X155" s="187"/>
      <c r="Y155" s="187"/>
    </row>
    <row r="156" spans="1:25" s="154" customFormat="1" x14ac:dyDescent="0.25">
      <c r="A156" s="44"/>
      <c r="B156" s="543"/>
      <c r="C156" s="12"/>
      <c r="D156" s="25"/>
      <c r="E156" s="14"/>
      <c r="F156" s="14"/>
      <c r="G156" s="14"/>
      <c r="H156" s="14"/>
      <c r="I156" s="14"/>
      <c r="J156" s="14"/>
      <c r="K156" s="14"/>
      <c r="L156" s="14"/>
      <c r="M156" s="14"/>
      <c r="N156" s="14"/>
      <c r="O156" s="14"/>
      <c r="P156" s="14"/>
      <c r="Q156" s="14"/>
      <c r="R156" s="14"/>
      <c r="S156" s="14"/>
      <c r="T156" s="14"/>
      <c r="U156" s="13"/>
      <c r="V156" s="25"/>
      <c r="W156" s="15"/>
      <c r="X156" s="187"/>
      <c r="Y156" s="187"/>
    </row>
    <row r="157" spans="1:25" s="154" customFormat="1" x14ac:dyDescent="0.25">
      <c r="A157" s="44"/>
      <c r="B157" s="544"/>
      <c r="C157" s="12"/>
      <c r="D157" s="25"/>
      <c r="E157" s="14"/>
      <c r="F157" s="14"/>
      <c r="G157" s="14"/>
      <c r="H157" s="14"/>
      <c r="I157" s="14"/>
      <c r="J157" s="14"/>
      <c r="K157" s="14"/>
      <c r="L157" s="14"/>
      <c r="M157" s="14"/>
      <c r="N157" s="14"/>
      <c r="O157" s="14"/>
      <c r="P157" s="14"/>
      <c r="Q157" s="14"/>
      <c r="R157" s="14"/>
      <c r="S157" s="14"/>
      <c r="T157" s="14"/>
      <c r="U157" s="13"/>
      <c r="V157" s="25"/>
      <c r="W157" s="15"/>
      <c r="X157" s="187"/>
      <c r="Y157" s="187"/>
    </row>
    <row r="158" spans="1:25" s="154" customFormat="1" x14ac:dyDescent="0.25">
      <c r="A158" s="44"/>
      <c r="B158" s="545"/>
      <c r="C158" s="20"/>
      <c r="D158" s="20"/>
      <c r="E158" s="20"/>
      <c r="F158" s="20"/>
      <c r="G158" s="20"/>
      <c r="H158" s="20"/>
      <c r="I158" s="20"/>
      <c r="J158" s="20"/>
      <c r="K158" s="20"/>
      <c r="L158" s="20"/>
      <c r="M158" s="20"/>
      <c r="N158" s="20"/>
      <c r="O158" s="20"/>
      <c r="P158" s="20"/>
      <c r="Q158" s="20"/>
      <c r="R158" s="20"/>
      <c r="S158" s="20"/>
      <c r="T158" s="20"/>
      <c r="U158" s="13"/>
      <c r="V158" s="20"/>
      <c r="W158" s="20"/>
      <c r="X158" s="187"/>
      <c r="Y158" s="187"/>
    </row>
    <row r="159" spans="1:25" s="154" customFormat="1" x14ac:dyDescent="0.25">
      <c r="A159" s="44"/>
      <c r="B159" s="546"/>
      <c r="C159" s="12"/>
      <c r="D159" s="25"/>
      <c r="E159" s="14"/>
      <c r="F159" s="14"/>
      <c r="G159" s="14"/>
      <c r="H159" s="14"/>
      <c r="I159" s="14"/>
      <c r="J159" s="14"/>
      <c r="K159" s="14"/>
      <c r="L159" s="14"/>
      <c r="M159" s="14"/>
      <c r="N159" s="14"/>
      <c r="O159" s="14"/>
      <c r="P159" s="14"/>
      <c r="Q159" s="14"/>
      <c r="R159" s="14"/>
      <c r="S159" s="14"/>
      <c r="T159" s="14"/>
      <c r="U159" s="13"/>
      <c r="V159" s="14"/>
      <c r="W159" s="15"/>
      <c r="X159" s="187"/>
      <c r="Y159" s="187"/>
    </row>
    <row r="160" spans="1:25" s="154" customFormat="1" x14ac:dyDescent="0.25">
      <c r="A160" s="44"/>
      <c r="B160" s="547"/>
      <c r="C160" s="19"/>
      <c r="D160" s="25"/>
      <c r="E160" s="14"/>
      <c r="F160" s="14"/>
      <c r="G160" s="14"/>
      <c r="H160" s="14"/>
      <c r="I160" s="14"/>
      <c r="J160" s="14"/>
      <c r="K160" s="14"/>
      <c r="L160" s="14"/>
      <c r="M160" s="14"/>
      <c r="N160" s="14"/>
      <c r="O160" s="14"/>
      <c r="P160" s="14"/>
      <c r="Q160" s="14"/>
      <c r="R160" s="14"/>
      <c r="S160" s="14"/>
      <c r="T160" s="14"/>
      <c r="U160" s="13"/>
      <c r="V160" s="25"/>
      <c r="W160" s="15"/>
      <c r="X160" s="187"/>
      <c r="Y160" s="187"/>
    </row>
    <row r="161" spans="1:25" s="154" customFormat="1" x14ac:dyDescent="0.25">
      <c r="A161" s="44"/>
      <c r="B161" s="548"/>
      <c r="C161" s="19"/>
      <c r="D161" s="25"/>
      <c r="E161" s="14"/>
      <c r="F161" s="14"/>
      <c r="G161" s="14"/>
      <c r="H161" s="14"/>
      <c r="I161" s="14"/>
      <c r="J161" s="14"/>
      <c r="K161" s="14"/>
      <c r="L161" s="14"/>
      <c r="M161" s="14"/>
      <c r="N161" s="14"/>
      <c r="O161" s="14"/>
      <c r="P161" s="14"/>
      <c r="Q161" s="14"/>
      <c r="R161" s="14"/>
      <c r="S161" s="14"/>
      <c r="T161" s="14"/>
      <c r="U161" s="13"/>
      <c r="V161" s="25"/>
      <c r="W161" s="15"/>
      <c r="X161" s="187"/>
      <c r="Y161" s="187"/>
    </row>
    <row r="162" spans="1:25" s="154" customFormat="1" x14ac:dyDescent="0.25">
      <c r="A162" s="44"/>
      <c r="B162" s="549"/>
      <c r="C162" s="19"/>
      <c r="D162" s="25"/>
      <c r="E162" s="14"/>
      <c r="F162" s="14"/>
      <c r="G162" s="14"/>
      <c r="H162" s="14"/>
      <c r="I162" s="14"/>
      <c r="J162" s="14"/>
      <c r="K162" s="14"/>
      <c r="L162" s="14"/>
      <c r="M162" s="14"/>
      <c r="N162" s="14"/>
      <c r="O162" s="14"/>
      <c r="P162" s="14"/>
      <c r="Q162" s="14"/>
      <c r="R162" s="14"/>
      <c r="S162" s="14"/>
      <c r="T162" s="14"/>
      <c r="U162" s="13"/>
      <c r="V162" s="25"/>
      <c r="W162" s="15"/>
      <c r="X162" s="187"/>
      <c r="Y162" s="187"/>
    </row>
    <row r="163" spans="1:25" s="154" customFormat="1" x14ac:dyDescent="0.25">
      <c r="A163" s="44"/>
      <c r="B163" s="479"/>
      <c r="C163" s="36"/>
      <c r="D163" s="25"/>
      <c r="E163" s="14"/>
      <c r="F163" s="14"/>
      <c r="G163" s="14"/>
      <c r="H163" s="14"/>
      <c r="I163" s="14"/>
      <c r="J163" s="14"/>
      <c r="K163" s="14"/>
      <c r="L163" s="14"/>
      <c r="M163" s="14"/>
      <c r="N163" s="14"/>
      <c r="O163" s="14"/>
      <c r="P163" s="14"/>
      <c r="Q163" s="14"/>
      <c r="R163" s="14"/>
      <c r="S163" s="14"/>
      <c r="T163" s="14"/>
      <c r="U163" s="13"/>
      <c r="V163" s="25"/>
      <c r="W163" s="15"/>
      <c r="X163" s="187"/>
      <c r="Y163" s="187"/>
    </row>
    <row r="164" spans="1:25" s="154" customFormat="1" x14ac:dyDescent="0.25">
      <c r="A164" s="44"/>
      <c r="B164" s="550"/>
      <c r="C164" s="37"/>
      <c r="D164" s="25"/>
      <c r="E164" s="14"/>
      <c r="F164" s="14"/>
      <c r="G164" s="14"/>
      <c r="H164" s="14"/>
      <c r="I164" s="14"/>
      <c r="J164" s="14"/>
      <c r="K164" s="14"/>
      <c r="L164" s="14"/>
      <c r="M164" s="14"/>
      <c r="N164" s="14"/>
      <c r="O164" s="14"/>
      <c r="P164" s="14"/>
      <c r="Q164" s="14"/>
      <c r="R164" s="14"/>
      <c r="S164" s="14"/>
      <c r="T164" s="14"/>
      <c r="U164" s="13"/>
      <c r="V164" s="25"/>
      <c r="W164" s="15"/>
      <c r="X164" s="187"/>
      <c r="Y164" s="187"/>
    </row>
    <row r="165" spans="1:25" s="154" customFormat="1" x14ac:dyDescent="0.25">
      <c r="A165" s="44"/>
      <c r="B165" s="551"/>
      <c r="C165" s="37"/>
      <c r="D165" s="25"/>
      <c r="E165" s="14"/>
      <c r="F165" s="14"/>
      <c r="G165" s="14"/>
      <c r="H165" s="14"/>
      <c r="I165" s="14"/>
      <c r="J165" s="14"/>
      <c r="K165" s="14"/>
      <c r="L165" s="14"/>
      <c r="M165" s="14"/>
      <c r="N165" s="14"/>
      <c r="O165" s="14"/>
      <c r="P165" s="14"/>
      <c r="Q165" s="14"/>
      <c r="R165" s="14"/>
      <c r="S165" s="14"/>
      <c r="T165" s="14"/>
      <c r="U165" s="13"/>
      <c r="V165" s="25"/>
      <c r="W165" s="15"/>
      <c r="X165" s="187"/>
      <c r="Y165" s="187"/>
    </row>
    <row r="166" spans="1:25" s="154" customFormat="1" x14ac:dyDescent="0.25">
      <c r="A166" s="44"/>
      <c r="B166" s="552"/>
      <c r="C166" s="19"/>
      <c r="D166" s="25"/>
      <c r="E166" s="14"/>
      <c r="F166" s="14"/>
      <c r="G166" s="14"/>
      <c r="H166" s="14"/>
      <c r="I166" s="14"/>
      <c r="J166" s="14"/>
      <c r="K166" s="14"/>
      <c r="L166" s="14"/>
      <c r="M166" s="14"/>
      <c r="N166" s="14"/>
      <c r="O166" s="14"/>
      <c r="P166" s="14"/>
      <c r="Q166" s="14"/>
      <c r="R166" s="14"/>
      <c r="S166" s="14"/>
      <c r="T166" s="14"/>
      <c r="U166" s="13"/>
      <c r="V166" s="25"/>
      <c r="W166" s="15"/>
      <c r="X166" s="187"/>
      <c r="Y166" s="187"/>
    </row>
    <row r="167" spans="1:25" s="154" customFormat="1" x14ac:dyDescent="0.25">
      <c r="A167" s="44"/>
      <c r="B167" s="553"/>
      <c r="C167" s="19"/>
      <c r="D167" s="25"/>
      <c r="E167" s="14"/>
      <c r="F167" s="14"/>
      <c r="G167" s="14"/>
      <c r="H167" s="14"/>
      <c r="I167" s="14"/>
      <c r="J167" s="14"/>
      <c r="K167" s="14"/>
      <c r="L167" s="14"/>
      <c r="M167" s="14"/>
      <c r="N167" s="14"/>
      <c r="O167" s="14"/>
      <c r="P167" s="14"/>
      <c r="Q167" s="14"/>
      <c r="R167" s="14"/>
      <c r="S167" s="14"/>
      <c r="T167" s="14"/>
      <c r="U167" s="13"/>
      <c r="V167" s="25"/>
      <c r="W167" s="15"/>
      <c r="X167" s="187"/>
      <c r="Y167" s="187"/>
    </row>
    <row r="168" spans="1:25" s="154" customFormat="1" x14ac:dyDescent="0.25">
      <c r="A168" s="44"/>
      <c r="B168" s="554"/>
      <c r="C168" s="19"/>
      <c r="D168" s="25"/>
      <c r="E168" s="14"/>
      <c r="F168" s="14"/>
      <c r="G168" s="14"/>
      <c r="H168" s="14"/>
      <c r="I168" s="14"/>
      <c r="J168" s="14"/>
      <c r="K168" s="14"/>
      <c r="L168" s="14"/>
      <c r="M168" s="14"/>
      <c r="N168" s="14"/>
      <c r="O168" s="14"/>
      <c r="P168" s="14"/>
      <c r="Q168" s="14"/>
      <c r="R168" s="14"/>
      <c r="S168" s="14"/>
      <c r="T168" s="14"/>
      <c r="U168" s="13"/>
      <c r="V168" s="25"/>
      <c r="W168" s="15"/>
      <c r="X168" s="187"/>
      <c r="Y168" s="187"/>
    </row>
    <row r="169" spans="1:25" s="154" customFormat="1" x14ac:dyDescent="0.25">
      <c r="A169" s="44"/>
      <c r="B169" s="555"/>
      <c r="C169" s="29"/>
      <c r="D169" s="25"/>
      <c r="E169" s="14"/>
      <c r="F169" s="14"/>
      <c r="G169" s="14"/>
      <c r="H169" s="14"/>
      <c r="I169" s="14"/>
      <c r="J169" s="14"/>
      <c r="K169" s="14"/>
      <c r="L169" s="14"/>
      <c r="M169" s="14"/>
      <c r="N169" s="14"/>
      <c r="O169" s="14"/>
      <c r="P169" s="14"/>
      <c r="Q169" s="14"/>
      <c r="R169" s="14"/>
      <c r="S169" s="14"/>
      <c r="T169" s="14"/>
      <c r="U169" s="13"/>
      <c r="V169" s="14"/>
      <c r="W169" s="15"/>
      <c r="X169" s="187"/>
      <c r="Y169" s="187"/>
    </row>
    <row r="170" spans="1:25" s="154" customFormat="1" x14ac:dyDescent="0.25">
      <c r="A170" s="44"/>
      <c r="B170" s="556"/>
      <c r="C170" s="20"/>
      <c r="D170" s="20"/>
      <c r="E170" s="20"/>
      <c r="F170" s="20"/>
      <c r="G170" s="20"/>
      <c r="H170" s="20"/>
      <c r="I170" s="20"/>
      <c r="J170" s="20"/>
      <c r="K170" s="20"/>
      <c r="L170" s="20"/>
      <c r="M170" s="20"/>
      <c r="N170" s="20"/>
      <c r="O170" s="20"/>
      <c r="P170" s="20"/>
      <c r="Q170" s="20"/>
      <c r="R170" s="20"/>
      <c r="S170" s="20"/>
      <c r="T170" s="20"/>
      <c r="U170" s="13"/>
      <c r="V170" s="20"/>
      <c r="W170" s="20"/>
      <c r="X170" s="187"/>
      <c r="Y170" s="187"/>
    </row>
    <row r="171" spans="1:25" s="154" customFormat="1" x14ac:dyDescent="0.25">
      <c r="A171" s="44"/>
      <c r="B171" s="557"/>
      <c r="C171" s="36"/>
      <c r="D171" s="25"/>
      <c r="E171" s="14"/>
      <c r="F171" s="25"/>
      <c r="G171" s="14"/>
      <c r="H171" s="14"/>
      <c r="I171" s="25"/>
      <c r="J171" s="14"/>
      <c r="K171" s="14"/>
      <c r="L171" s="25"/>
      <c r="M171" s="25"/>
      <c r="N171" s="14"/>
      <c r="O171" s="25"/>
      <c r="P171" s="14"/>
      <c r="Q171" s="25"/>
      <c r="R171" s="25"/>
      <c r="S171" s="25"/>
      <c r="T171" s="25"/>
      <c r="U171" s="13"/>
      <c r="V171" s="25"/>
      <c r="W171" s="15"/>
      <c r="X171" s="187"/>
      <c r="Y171" s="187"/>
    </row>
    <row r="172" spans="1:25" s="154" customFormat="1" x14ac:dyDescent="0.25">
      <c r="A172" s="44"/>
      <c r="B172" s="558"/>
      <c r="C172" s="36"/>
      <c r="D172" s="25"/>
      <c r="E172" s="14"/>
      <c r="F172" s="25"/>
      <c r="G172" s="14"/>
      <c r="H172" s="14"/>
      <c r="I172" s="25"/>
      <c r="J172" s="14"/>
      <c r="K172" s="14"/>
      <c r="L172" s="25"/>
      <c r="M172" s="25"/>
      <c r="N172" s="14"/>
      <c r="O172" s="25"/>
      <c r="P172" s="14"/>
      <c r="Q172" s="25"/>
      <c r="R172" s="25"/>
      <c r="S172" s="25"/>
      <c r="T172" s="25"/>
      <c r="U172" s="13"/>
      <c r="V172" s="25"/>
      <c r="W172" s="15"/>
      <c r="X172" s="187"/>
      <c r="Y172" s="187"/>
    </row>
    <row r="173" spans="1:25" s="154" customFormat="1" x14ac:dyDescent="0.25">
      <c r="A173" s="44"/>
      <c r="B173" s="559"/>
      <c r="C173" s="36"/>
      <c r="D173" s="25"/>
      <c r="E173" s="14"/>
      <c r="F173" s="25"/>
      <c r="G173" s="14"/>
      <c r="H173" s="14"/>
      <c r="I173" s="25"/>
      <c r="J173" s="14"/>
      <c r="K173" s="14"/>
      <c r="L173" s="25"/>
      <c r="M173" s="25"/>
      <c r="N173" s="14"/>
      <c r="O173" s="25"/>
      <c r="P173" s="14"/>
      <c r="Q173" s="25"/>
      <c r="R173" s="25"/>
      <c r="S173" s="25"/>
      <c r="T173" s="25"/>
      <c r="U173" s="13"/>
      <c r="V173" s="25"/>
      <c r="W173" s="15"/>
      <c r="X173" s="187"/>
      <c r="Y173" s="187"/>
    </row>
    <row r="174" spans="1:25" s="154" customFormat="1" x14ac:dyDescent="0.25">
      <c r="A174" s="44"/>
      <c r="B174" s="560"/>
      <c r="C174" s="20"/>
      <c r="D174" s="20"/>
      <c r="E174" s="20"/>
      <c r="F174" s="20"/>
      <c r="G174" s="20"/>
      <c r="H174" s="20"/>
      <c r="I174" s="20"/>
      <c r="J174" s="20"/>
      <c r="K174" s="20"/>
      <c r="L174" s="20"/>
      <c r="M174" s="20"/>
      <c r="N174" s="20"/>
      <c r="O174" s="20"/>
      <c r="P174" s="20"/>
      <c r="Q174" s="20"/>
      <c r="R174" s="20"/>
      <c r="S174" s="20"/>
      <c r="T174" s="20"/>
      <c r="U174" s="13"/>
      <c r="V174" s="20"/>
      <c r="W174" s="20"/>
      <c r="X174" s="187"/>
      <c r="Y174" s="187"/>
    </row>
    <row r="175" spans="1:25" s="154" customFormat="1" x14ac:dyDescent="0.25">
      <c r="A175" s="44"/>
      <c r="B175" s="561"/>
      <c r="C175" s="36"/>
      <c r="D175" s="25"/>
      <c r="E175" s="14"/>
      <c r="F175" s="25"/>
      <c r="G175" s="14"/>
      <c r="H175" s="14"/>
      <c r="I175" s="25"/>
      <c r="J175" s="14"/>
      <c r="K175" s="14"/>
      <c r="L175" s="25"/>
      <c r="M175" s="25"/>
      <c r="N175" s="14"/>
      <c r="O175" s="25"/>
      <c r="P175" s="14"/>
      <c r="Q175" s="25"/>
      <c r="R175" s="25"/>
      <c r="S175" s="25"/>
      <c r="T175" s="25"/>
      <c r="U175" s="13"/>
      <c r="V175" s="25"/>
      <c r="W175" s="15"/>
      <c r="X175" s="187"/>
      <c r="Y175" s="187"/>
    </row>
    <row r="176" spans="1:25" s="154" customFormat="1" x14ac:dyDescent="0.25">
      <c r="A176" s="44"/>
      <c r="B176" s="562"/>
      <c r="C176" s="36"/>
      <c r="D176" s="25"/>
      <c r="E176" s="14"/>
      <c r="F176" s="25"/>
      <c r="G176" s="14"/>
      <c r="H176" s="14"/>
      <c r="I176" s="25"/>
      <c r="J176" s="14"/>
      <c r="K176" s="14"/>
      <c r="L176" s="25"/>
      <c r="M176" s="25"/>
      <c r="N176" s="14"/>
      <c r="O176" s="25"/>
      <c r="P176" s="14"/>
      <c r="Q176" s="25"/>
      <c r="R176" s="25"/>
      <c r="S176" s="25"/>
      <c r="T176" s="25"/>
      <c r="U176" s="13"/>
      <c r="V176" s="25"/>
      <c r="W176" s="15"/>
      <c r="X176" s="187"/>
      <c r="Y176" s="187"/>
    </row>
    <row r="177" spans="1:25" s="154" customFormat="1" x14ac:dyDescent="0.25">
      <c r="A177" s="44"/>
      <c r="B177" s="563"/>
      <c r="C177" s="36"/>
      <c r="D177" s="25"/>
      <c r="E177" s="14"/>
      <c r="F177" s="25"/>
      <c r="G177" s="14"/>
      <c r="H177" s="14"/>
      <c r="I177" s="25"/>
      <c r="J177" s="14"/>
      <c r="K177" s="14"/>
      <c r="L177" s="25"/>
      <c r="M177" s="25"/>
      <c r="N177" s="14"/>
      <c r="O177" s="25"/>
      <c r="P177" s="14"/>
      <c r="Q177" s="25"/>
      <c r="R177" s="25"/>
      <c r="S177" s="25"/>
      <c r="T177" s="25"/>
      <c r="U177" s="13"/>
      <c r="V177" s="25"/>
      <c r="W177" s="15"/>
      <c r="X177" s="187"/>
      <c r="Y177" s="187"/>
    </row>
    <row r="178" spans="1:25" s="154" customFormat="1" x14ac:dyDescent="0.25">
      <c r="A178" s="44"/>
      <c r="B178" s="564"/>
      <c r="C178" s="20"/>
      <c r="D178" s="20"/>
      <c r="E178" s="20"/>
      <c r="F178" s="20"/>
      <c r="G178" s="20"/>
      <c r="H178" s="20"/>
      <c r="I178" s="20"/>
      <c r="J178" s="20"/>
      <c r="K178" s="20"/>
      <c r="L178" s="20"/>
      <c r="M178" s="20"/>
      <c r="N178" s="20"/>
      <c r="O178" s="20"/>
      <c r="P178" s="20"/>
      <c r="Q178" s="20"/>
      <c r="R178" s="20"/>
      <c r="S178" s="20"/>
      <c r="T178" s="20"/>
      <c r="U178" s="13"/>
      <c r="V178" s="20"/>
      <c r="W178" s="20"/>
      <c r="X178" s="187"/>
      <c r="Y178" s="187"/>
    </row>
    <row r="179" spans="1:25" s="154" customFormat="1" x14ac:dyDescent="0.25">
      <c r="A179" s="44"/>
      <c r="B179" s="565"/>
      <c r="C179" s="38"/>
      <c r="D179" s="25"/>
      <c r="E179" s="14"/>
      <c r="F179" s="25"/>
      <c r="G179" s="14"/>
      <c r="H179" s="14"/>
      <c r="I179" s="25"/>
      <c r="J179" s="14"/>
      <c r="K179" s="14"/>
      <c r="L179" s="25"/>
      <c r="M179" s="25"/>
      <c r="N179" s="14"/>
      <c r="O179" s="25"/>
      <c r="P179" s="14"/>
      <c r="Q179" s="25"/>
      <c r="R179" s="25"/>
      <c r="S179" s="25"/>
      <c r="T179" s="25"/>
      <c r="U179" s="13"/>
      <c r="V179" s="25"/>
      <c r="W179" s="15"/>
      <c r="X179" s="187"/>
      <c r="Y179" s="187"/>
    </row>
    <row r="180" spans="1:25" s="154" customFormat="1" x14ac:dyDescent="0.25">
      <c r="A180" s="44"/>
      <c r="B180" s="566"/>
      <c r="C180" s="38"/>
      <c r="D180" s="25"/>
      <c r="E180" s="14"/>
      <c r="F180" s="25"/>
      <c r="G180" s="14"/>
      <c r="H180" s="14"/>
      <c r="I180" s="25"/>
      <c r="J180" s="14"/>
      <c r="K180" s="14"/>
      <c r="L180" s="25"/>
      <c r="M180" s="25"/>
      <c r="N180" s="14"/>
      <c r="O180" s="25"/>
      <c r="P180" s="14"/>
      <c r="Q180" s="25"/>
      <c r="R180" s="25"/>
      <c r="S180" s="25"/>
      <c r="T180" s="25"/>
      <c r="U180" s="13"/>
      <c r="V180" s="25"/>
      <c r="W180" s="15"/>
      <c r="X180" s="187"/>
      <c r="Y180" s="187"/>
    </row>
    <row r="181" spans="1:25" s="154" customFormat="1" x14ac:dyDescent="0.25">
      <c r="A181" s="44"/>
      <c r="B181" s="567"/>
      <c r="C181" s="38"/>
      <c r="D181" s="25"/>
      <c r="E181" s="14"/>
      <c r="F181" s="25"/>
      <c r="G181" s="14"/>
      <c r="H181" s="14"/>
      <c r="I181" s="25"/>
      <c r="J181" s="14"/>
      <c r="K181" s="14"/>
      <c r="L181" s="25"/>
      <c r="M181" s="25"/>
      <c r="N181" s="14"/>
      <c r="O181" s="25"/>
      <c r="P181" s="14"/>
      <c r="Q181" s="25"/>
      <c r="R181" s="25"/>
      <c r="S181" s="25"/>
      <c r="T181" s="25"/>
      <c r="U181" s="13"/>
      <c r="V181" s="25"/>
      <c r="W181" s="15"/>
      <c r="X181" s="187"/>
      <c r="Y181" s="187"/>
    </row>
    <row r="182" spans="1:25" s="154" customFormat="1" x14ac:dyDescent="0.25">
      <c r="A182" s="44"/>
      <c r="B182" s="568"/>
      <c r="C182" s="38"/>
      <c r="D182" s="25"/>
      <c r="E182" s="14"/>
      <c r="F182" s="25"/>
      <c r="G182" s="14"/>
      <c r="H182" s="14"/>
      <c r="I182" s="25"/>
      <c r="J182" s="14"/>
      <c r="K182" s="14"/>
      <c r="L182" s="25"/>
      <c r="M182" s="25"/>
      <c r="N182" s="14"/>
      <c r="O182" s="25"/>
      <c r="P182" s="14"/>
      <c r="Q182" s="25"/>
      <c r="R182" s="25"/>
      <c r="S182" s="25"/>
      <c r="T182" s="25"/>
      <c r="U182" s="13"/>
      <c r="V182" s="25"/>
      <c r="W182" s="15"/>
      <c r="X182" s="187"/>
      <c r="Y182" s="187"/>
    </row>
    <row r="183" spans="1:25" s="154" customFormat="1" x14ac:dyDescent="0.25">
      <c r="A183" s="44"/>
      <c r="B183" s="569"/>
      <c r="C183" s="38"/>
      <c r="D183" s="25"/>
      <c r="E183" s="14"/>
      <c r="F183" s="25"/>
      <c r="G183" s="14"/>
      <c r="H183" s="14"/>
      <c r="I183" s="25"/>
      <c r="J183" s="14"/>
      <c r="K183" s="14"/>
      <c r="L183" s="25"/>
      <c r="M183" s="25"/>
      <c r="N183" s="14"/>
      <c r="O183" s="25"/>
      <c r="P183" s="14"/>
      <c r="Q183" s="25"/>
      <c r="R183" s="25"/>
      <c r="S183" s="25"/>
      <c r="T183" s="25"/>
      <c r="U183" s="13"/>
      <c r="V183" s="25"/>
      <c r="W183" s="15"/>
      <c r="X183" s="187"/>
      <c r="Y183" s="187"/>
    </row>
    <row r="184" spans="1:25" s="154" customFormat="1" x14ac:dyDescent="0.25">
      <c r="A184" s="44"/>
      <c r="B184" s="570"/>
      <c r="C184" s="38"/>
      <c r="D184" s="25"/>
      <c r="E184" s="14"/>
      <c r="F184" s="25"/>
      <c r="G184" s="14"/>
      <c r="H184" s="14"/>
      <c r="I184" s="25"/>
      <c r="J184" s="14"/>
      <c r="K184" s="14"/>
      <c r="L184" s="25"/>
      <c r="M184" s="25"/>
      <c r="N184" s="14"/>
      <c r="O184" s="25"/>
      <c r="P184" s="14"/>
      <c r="Q184" s="25"/>
      <c r="R184" s="25"/>
      <c r="S184" s="25"/>
      <c r="T184" s="25"/>
      <c r="U184" s="13"/>
      <c r="V184" s="25"/>
      <c r="W184" s="15"/>
      <c r="X184" s="187"/>
      <c r="Y184" s="187"/>
    </row>
    <row r="185" spans="1:25" s="154" customFormat="1" x14ac:dyDescent="0.25">
      <c r="A185" s="44"/>
      <c r="B185" s="571"/>
      <c r="C185" s="38"/>
      <c r="D185" s="25"/>
      <c r="E185" s="14"/>
      <c r="F185" s="25"/>
      <c r="G185" s="14"/>
      <c r="H185" s="14"/>
      <c r="I185" s="25"/>
      <c r="J185" s="14"/>
      <c r="K185" s="14"/>
      <c r="L185" s="25"/>
      <c r="M185" s="25"/>
      <c r="N185" s="14"/>
      <c r="O185" s="25"/>
      <c r="P185" s="14"/>
      <c r="Q185" s="25"/>
      <c r="R185" s="25"/>
      <c r="S185" s="25"/>
      <c r="T185" s="25"/>
      <c r="U185" s="13"/>
      <c r="V185" s="25"/>
      <c r="W185" s="15"/>
      <c r="X185" s="187"/>
      <c r="Y185" s="187"/>
    </row>
    <row r="186" spans="1:25" s="154" customFormat="1" x14ac:dyDescent="0.25">
      <c r="A186" s="44"/>
      <c r="B186" s="572"/>
      <c r="C186" s="37"/>
      <c r="D186" s="25"/>
      <c r="E186" s="14"/>
      <c r="F186" s="25"/>
      <c r="G186" s="14"/>
      <c r="H186" s="14"/>
      <c r="I186" s="25"/>
      <c r="J186" s="14"/>
      <c r="K186" s="14"/>
      <c r="L186" s="25"/>
      <c r="M186" s="25"/>
      <c r="N186" s="14"/>
      <c r="O186" s="25"/>
      <c r="P186" s="14"/>
      <c r="Q186" s="25"/>
      <c r="R186" s="25"/>
      <c r="S186" s="25"/>
      <c r="T186" s="25"/>
      <c r="U186" s="13"/>
      <c r="V186" s="25"/>
      <c r="W186" s="15"/>
      <c r="X186" s="187"/>
      <c r="Y186" s="187"/>
    </row>
    <row r="187" spans="1:25" s="154" customFormat="1" x14ac:dyDescent="0.25">
      <c r="A187" s="44"/>
      <c r="B187" s="573"/>
      <c r="C187" s="37"/>
      <c r="D187" s="25"/>
      <c r="E187" s="14"/>
      <c r="F187" s="25"/>
      <c r="G187" s="14"/>
      <c r="H187" s="14"/>
      <c r="I187" s="25"/>
      <c r="J187" s="14"/>
      <c r="K187" s="14"/>
      <c r="L187" s="25"/>
      <c r="M187" s="25"/>
      <c r="N187" s="14"/>
      <c r="O187" s="25"/>
      <c r="P187" s="14"/>
      <c r="Q187" s="25"/>
      <c r="R187" s="25"/>
      <c r="S187" s="25"/>
      <c r="T187" s="25"/>
      <c r="U187" s="13"/>
      <c r="V187" s="25"/>
      <c r="W187" s="15"/>
      <c r="X187" s="187"/>
      <c r="Y187" s="187"/>
    </row>
    <row r="188" spans="1:25" x14ac:dyDescent="0.25">
      <c r="A188" s="44"/>
      <c r="B188" s="574"/>
      <c r="C188" s="37"/>
      <c r="D188" s="25"/>
      <c r="E188" s="14"/>
      <c r="F188" s="25"/>
      <c r="G188" s="14"/>
      <c r="H188" s="14"/>
      <c r="I188" s="25"/>
      <c r="J188" s="14"/>
      <c r="K188" s="14"/>
      <c r="L188" s="25"/>
      <c r="M188" s="25"/>
      <c r="N188" s="14"/>
      <c r="O188" s="25"/>
      <c r="P188" s="14"/>
      <c r="Q188" s="25"/>
      <c r="R188" s="25"/>
      <c r="S188" s="25"/>
      <c r="T188" s="25"/>
      <c r="U188" s="13"/>
      <c r="V188" s="25"/>
      <c r="W188" s="15"/>
      <c r="X188" s="187"/>
      <c r="Y188" s="187"/>
    </row>
    <row r="189" spans="1:25" x14ac:dyDescent="0.25">
      <c r="A189" s="44"/>
      <c r="B189" s="575"/>
      <c r="C189" s="37"/>
      <c r="D189" s="25"/>
      <c r="E189" s="14"/>
      <c r="F189" s="25"/>
      <c r="G189" s="14"/>
      <c r="H189" s="14"/>
      <c r="I189" s="25"/>
      <c r="J189" s="14"/>
      <c r="K189" s="14"/>
      <c r="L189" s="25"/>
      <c r="M189" s="25"/>
      <c r="N189" s="14"/>
      <c r="O189" s="25"/>
      <c r="P189" s="14"/>
      <c r="Q189" s="25"/>
      <c r="R189" s="25"/>
      <c r="S189" s="25"/>
      <c r="T189" s="25"/>
      <c r="U189" s="13"/>
      <c r="V189" s="25"/>
      <c r="W189" s="15"/>
      <c r="X189" s="187"/>
      <c r="Y189" s="187"/>
    </row>
    <row r="190" spans="1:25" x14ac:dyDescent="0.25">
      <c r="A190" s="44"/>
      <c r="B190" s="576"/>
      <c r="C190" s="37"/>
      <c r="D190" s="25"/>
      <c r="E190" s="14"/>
      <c r="F190" s="25"/>
      <c r="G190" s="14"/>
      <c r="H190" s="14"/>
      <c r="I190" s="25"/>
      <c r="J190" s="14"/>
      <c r="K190" s="14"/>
      <c r="L190" s="25"/>
      <c r="M190" s="25"/>
      <c r="N190" s="14"/>
      <c r="O190" s="25"/>
      <c r="P190" s="14"/>
      <c r="Q190" s="25"/>
      <c r="R190" s="25"/>
      <c r="S190" s="25"/>
      <c r="T190" s="25"/>
      <c r="U190" s="13"/>
      <c r="V190" s="25"/>
      <c r="W190" s="15"/>
      <c r="X190" s="187"/>
      <c r="Y190" s="187"/>
    </row>
    <row r="191" spans="1:25" x14ac:dyDescent="0.25">
      <c r="A191" s="44"/>
      <c r="B191" s="577"/>
      <c r="C191" s="37"/>
      <c r="D191" s="25"/>
      <c r="E191" s="14"/>
      <c r="F191" s="25"/>
      <c r="G191" s="14"/>
      <c r="H191" s="14"/>
      <c r="I191" s="25"/>
      <c r="J191" s="14"/>
      <c r="K191" s="14"/>
      <c r="L191" s="25"/>
      <c r="M191" s="25"/>
      <c r="N191" s="14"/>
      <c r="O191" s="25"/>
      <c r="P191" s="14"/>
      <c r="Q191" s="25"/>
      <c r="R191" s="25"/>
      <c r="S191" s="25"/>
      <c r="T191" s="25"/>
      <c r="U191" s="13"/>
      <c r="V191" s="25"/>
      <c r="W191" s="15"/>
      <c r="X191" s="187"/>
      <c r="Y191" s="187"/>
    </row>
    <row r="192" spans="1:25" x14ac:dyDescent="0.25">
      <c r="A192" s="44"/>
      <c r="B192" s="450"/>
      <c r="C192" s="22"/>
      <c r="D192" s="22"/>
      <c r="E192" s="22"/>
      <c r="F192" s="22"/>
      <c r="G192" s="22"/>
      <c r="H192" s="22"/>
      <c r="I192" s="22"/>
      <c r="J192" s="22"/>
      <c r="K192" s="22"/>
      <c r="L192" s="22"/>
      <c r="M192" s="22"/>
      <c r="N192" s="22"/>
      <c r="O192" s="22"/>
      <c r="P192" s="22"/>
      <c r="Q192" s="22"/>
      <c r="R192" s="22"/>
      <c r="S192" s="22"/>
      <c r="T192" s="22"/>
      <c r="U192" s="13"/>
      <c r="V192" s="22"/>
      <c r="W192" s="22"/>
      <c r="X192" s="187"/>
      <c r="Y192" s="187"/>
    </row>
    <row r="193" spans="1:26" x14ac:dyDescent="0.25">
      <c r="A193" s="44"/>
      <c r="B193" s="492"/>
      <c r="C193" s="12"/>
      <c r="D193" s="25"/>
      <c r="E193" s="14"/>
      <c r="F193" s="14"/>
      <c r="G193" s="14"/>
      <c r="H193" s="14"/>
      <c r="I193" s="14"/>
      <c r="J193" s="14"/>
      <c r="K193" s="14"/>
      <c r="L193" s="14"/>
      <c r="M193" s="14"/>
      <c r="N193" s="14"/>
      <c r="O193" s="14"/>
      <c r="P193" s="14"/>
      <c r="Q193" s="14"/>
      <c r="R193" s="14"/>
      <c r="S193" s="14"/>
      <c r="T193" s="14"/>
      <c r="U193" s="13"/>
      <c r="V193" s="13"/>
      <c r="W193" s="15"/>
      <c r="X193" s="187"/>
      <c r="Y193" s="187"/>
    </row>
    <row r="194" spans="1:26" x14ac:dyDescent="0.25">
      <c r="A194" s="44"/>
      <c r="B194" s="460"/>
      <c r="C194" s="12"/>
      <c r="D194" s="25"/>
      <c r="E194" s="14"/>
      <c r="F194" s="14"/>
      <c r="G194" s="14"/>
      <c r="H194" s="14"/>
      <c r="I194" s="14"/>
      <c r="J194" s="14"/>
      <c r="K194" s="14"/>
      <c r="L194" s="14"/>
      <c r="M194" s="14"/>
      <c r="N194" s="14"/>
      <c r="O194" s="14"/>
      <c r="P194" s="14"/>
      <c r="Q194" s="14"/>
      <c r="R194" s="14"/>
      <c r="S194" s="14"/>
      <c r="T194" s="14"/>
      <c r="U194" s="13"/>
      <c r="V194" s="13"/>
      <c r="W194" s="15"/>
      <c r="X194" s="187"/>
      <c r="Y194" s="187"/>
    </row>
    <row r="195" spans="1:26" x14ac:dyDescent="0.25">
      <c r="A195" s="44"/>
      <c r="B195" s="578"/>
      <c r="C195" s="12"/>
      <c r="D195" s="25"/>
      <c r="E195" s="14"/>
      <c r="F195" s="14"/>
      <c r="G195" s="14"/>
      <c r="H195" s="14"/>
      <c r="I195" s="14"/>
      <c r="J195" s="14"/>
      <c r="K195" s="14"/>
      <c r="L195" s="14"/>
      <c r="M195" s="14"/>
      <c r="N195" s="14"/>
      <c r="O195" s="14"/>
      <c r="P195" s="14"/>
      <c r="Q195" s="14"/>
      <c r="R195" s="14"/>
      <c r="S195" s="14"/>
      <c r="T195" s="14"/>
      <c r="U195" s="13"/>
      <c r="V195" s="13"/>
      <c r="W195" s="15"/>
      <c r="X195" s="187"/>
      <c r="Y195" s="187"/>
    </row>
    <row r="196" spans="1:26" x14ac:dyDescent="0.25">
      <c r="A196" s="44"/>
      <c r="B196" s="579"/>
      <c r="C196" s="12"/>
      <c r="D196" s="25"/>
      <c r="E196" s="14"/>
      <c r="F196" s="14"/>
      <c r="G196" s="14"/>
      <c r="H196" s="14"/>
      <c r="I196" s="14"/>
      <c r="J196" s="14"/>
      <c r="K196" s="14"/>
      <c r="L196" s="14"/>
      <c r="M196" s="14"/>
      <c r="N196" s="14"/>
      <c r="O196" s="14"/>
      <c r="P196" s="14"/>
      <c r="Q196" s="14"/>
      <c r="R196" s="14"/>
      <c r="S196" s="14"/>
      <c r="T196" s="14"/>
      <c r="U196" s="13"/>
      <c r="V196" s="13"/>
      <c r="W196" s="15"/>
      <c r="X196" s="187"/>
      <c r="Y196" s="187"/>
    </row>
    <row r="197" spans="1:26" s="154" customFormat="1" ht="22.5" x14ac:dyDescent="0.25">
      <c r="A197" s="198"/>
      <c r="B197" s="580"/>
      <c r="C197" s="101"/>
      <c r="D197" s="101"/>
      <c r="E197" s="101"/>
      <c r="F197" s="101"/>
      <c r="G197" s="101"/>
      <c r="H197" s="101"/>
      <c r="I197" s="101"/>
      <c r="J197" s="101"/>
      <c r="K197" s="101"/>
      <c r="L197" s="101"/>
      <c r="M197" s="101"/>
      <c r="N197" s="101"/>
      <c r="O197" s="101"/>
      <c r="P197" s="101"/>
      <c r="Q197" s="101"/>
      <c r="R197" s="101"/>
      <c r="S197" s="101"/>
      <c r="T197" s="101"/>
      <c r="U197" s="101"/>
      <c r="V197" s="101"/>
      <c r="W197" s="101"/>
    </row>
    <row r="198" spans="1:26" s="154" customFormat="1" x14ac:dyDescent="0.25">
      <c r="A198" s="118"/>
      <c r="B198" s="471"/>
      <c r="C198" s="12"/>
      <c r="D198" s="25"/>
      <c r="E198" s="14"/>
      <c r="F198" s="14"/>
      <c r="G198" s="14"/>
      <c r="H198" s="14"/>
      <c r="I198" s="14"/>
      <c r="J198" s="14"/>
      <c r="K198" s="14"/>
      <c r="L198" s="14"/>
      <c r="M198" s="14"/>
      <c r="N198" s="14"/>
      <c r="O198" s="14"/>
      <c r="P198" s="14"/>
      <c r="Q198" s="14"/>
      <c r="R198" s="14"/>
      <c r="S198" s="14"/>
      <c r="T198" s="14"/>
      <c r="U198" s="13"/>
      <c r="V198" s="14"/>
      <c r="W198" s="15"/>
      <c r="X198" s="191"/>
      <c r="Z198" s="195"/>
    </row>
    <row r="199" spans="1:26" s="154" customFormat="1" x14ac:dyDescent="0.25">
      <c r="A199" s="118"/>
      <c r="B199" s="505"/>
      <c r="C199" s="12"/>
      <c r="D199" s="25"/>
      <c r="E199" s="14"/>
      <c r="F199" s="14"/>
      <c r="G199" s="14"/>
      <c r="H199" s="14"/>
      <c r="I199" s="14"/>
      <c r="J199" s="14"/>
      <c r="K199" s="14"/>
      <c r="L199" s="14"/>
      <c r="M199" s="14"/>
      <c r="N199" s="14"/>
      <c r="O199" s="14"/>
      <c r="P199" s="14"/>
      <c r="Q199" s="14"/>
      <c r="R199" s="14"/>
      <c r="S199" s="14"/>
      <c r="T199" s="14"/>
      <c r="U199" s="13"/>
      <c r="V199" s="14"/>
      <c r="W199" s="15"/>
      <c r="Z199" s="195"/>
    </row>
    <row r="200" spans="1:26" s="154" customFormat="1" x14ac:dyDescent="0.25">
      <c r="A200" s="987"/>
      <c r="B200" s="442"/>
      <c r="C200" s="20"/>
      <c r="D200" s="20"/>
      <c r="E200" s="20"/>
      <c r="F200" s="20"/>
      <c r="G200" s="20"/>
      <c r="H200" s="20"/>
      <c r="I200" s="20"/>
      <c r="J200" s="20"/>
      <c r="K200" s="20"/>
      <c r="L200" s="20"/>
      <c r="M200" s="20"/>
      <c r="N200" s="20"/>
      <c r="O200" s="20"/>
      <c r="P200" s="20"/>
      <c r="Q200" s="20"/>
      <c r="R200" s="20"/>
      <c r="S200" s="20"/>
      <c r="T200" s="20"/>
      <c r="U200" s="13"/>
      <c r="V200" s="20"/>
      <c r="W200" s="20"/>
      <c r="Z200" s="195"/>
    </row>
    <row r="201" spans="1:26" s="154" customFormat="1" x14ac:dyDescent="0.25">
      <c r="A201" s="988"/>
      <c r="B201" s="443"/>
      <c r="C201" s="12"/>
      <c r="D201" s="25"/>
      <c r="E201" s="14"/>
      <c r="F201" s="14"/>
      <c r="G201" s="14"/>
      <c r="H201" s="14"/>
      <c r="I201" s="14"/>
      <c r="J201" s="14"/>
      <c r="K201" s="14"/>
      <c r="L201" s="14"/>
      <c r="M201" s="14"/>
      <c r="N201" s="14"/>
      <c r="O201" s="14"/>
      <c r="P201" s="14"/>
      <c r="Q201" s="14"/>
      <c r="R201" s="14"/>
      <c r="S201" s="14"/>
      <c r="T201" s="14"/>
      <c r="U201" s="13"/>
      <c r="V201" s="14"/>
      <c r="W201" s="15"/>
      <c r="Z201" s="195"/>
    </row>
    <row r="202" spans="1:26" s="154" customFormat="1" x14ac:dyDescent="0.25">
      <c r="A202" s="989"/>
      <c r="B202" s="472"/>
      <c r="C202" s="12"/>
      <c r="D202" s="25"/>
      <c r="E202" s="14"/>
      <c r="F202" s="14"/>
      <c r="G202" s="14"/>
      <c r="H202" s="14"/>
      <c r="I202" s="14"/>
      <c r="J202" s="14"/>
      <c r="K202" s="14"/>
      <c r="L202" s="14"/>
      <c r="M202" s="14"/>
      <c r="N202" s="14"/>
      <c r="O202" s="14"/>
      <c r="P202" s="14"/>
      <c r="Q202" s="14"/>
      <c r="R202" s="14"/>
      <c r="S202" s="14"/>
      <c r="T202" s="14"/>
      <c r="U202" s="13"/>
      <c r="V202" s="14"/>
      <c r="W202" s="15"/>
      <c r="Z202" s="194"/>
    </row>
    <row r="203" spans="1:26" s="154" customFormat="1" x14ac:dyDescent="0.25">
      <c r="A203" s="44"/>
      <c r="B203" s="581"/>
      <c r="C203" s="29"/>
      <c r="D203" s="25"/>
      <c r="E203" s="14"/>
      <c r="F203" s="14"/>
      <c r="G203" s="14"/>
      <c r="H203" s="14"/>
      <c r="I203" s="14"/>
      <c r="J203" s="14"/>
      <c r="K203" s="14"/>
      <c r="L203" s="14"/>
      <c r="M203" s="14"/>
      <c r="N203" s="14"/>
      <c r="O203" s="14"/>
      <c r="P203" s="14"/>
      <c r="Q203" s="14"/>
      <c r="R203" s="14"/>
      <c r="S203" s="14"/>
      <c r="T203" s="14"/>
      <c r="U203" s="13"/>
      <c r="V203" s="30"/>
      <c r="W203" s="15"/>
      <c r="Z203" s="191"/>
    </row>
    <row r="204" spans="1:26" s="154" customFormat="1" x14ac:dyDescent="0.25">
      <c r="A204" s="44"/>
      <c r="B204" s="474"/>
      <c r="C204" s="20"/>
      <c r="D204" s="20"/>
      <c r="E204" s="20"/>
      <c r="F204" s="20"/>
      <c r="G204" s="20"/>
      <c r="H204" s="20"/>
      <c r="I204" s="20"/>
      <c r="J204" s="20"/>
      <c r="K204" s="20"/>
      <c r="L204" s="20"/>
      <c r="M204" s="20"/>
      <c r="N204" s="20"/>
      <c r="O204" s="20"/>
      <c r="P204" s="20"/>
      <c r="Q204" s="20"/>
      <c r="R204" s="20"/>
      <c r="S204" s="20"/>
      <c r="T204" s="20"/>
      <c r="U204" s="13"/>
      <c r="V204" s="20"/>
      <c r="W204" s="20"/>
    </row>
    <row r="205" spans="1:26" s="154" customFormat="1" x14ac:dyDescent="0.25">
      <c r="A205" s="44"/>
      <c r="B205" s="582"/>
      <c r="C205" s="12"/>
      <c r="D205" s="25"/>
      <c r="E205" s="14"/>
      <c r="F205" s="14"/>
      <c r="G205" s="14"/>
      <c r="H205" s="14"/>
      <c r="I205" s="14"/>
      <c r="J205" s="14"/>
      <c r="K205" s="14"/>
      <c r="L205" s="14"/>
      <c r="M205" s="14"/>
      <c r="N205" s="14"/>
      <c r="O205" s="14"/>
      <c r="P205" s="14"/>
      <c r="Q205" s="14"/>
      <c r="R205" s="14"/>
      <c r="S205" s="14"/>
      <c r="T205" s="14"/>
      <c r="U205" s="13"/>
      <c r="V205" s="14"/>
      <c r="W205" s="15"/>
    </row>
    <row r="206" spans="1:26" s="154" customFormat="1" x14ac:dyDescent="0.25">
      <c r="A206" s="44"/>
      <c r="B206" s="583"/>
      <c r="C206" s="12"/>
      <c r="D206" s="25"/>
      <c r="E206" s="14"/>
      <c r="F206" s="14"/>
      <c r="G206" s="14"/>
      <c r="H206" s="14"/>
      <c r="I206" s="14"/>
      <c r="J206" s="14"/>
      <c r="K206" s="14"/>
      <c r="L206" s="14"/>
      <c r="M206" s="14"/>
      <c r="N206" s="14"/>
      <c r="O206" s="14"/>
      <c r="P206" s="14"/>
      <c r="Q206" s="14"/>
      <c r="R206" s="14"/>
      <c r="S206" s="14"/>
      <c r="T206" s="14"/>
      <c r="U206" s="13"/>
      <c r="V206" s="14"/>
      <c r="W206" s="15"/>
    </row>
    <row r="207" spans="1:26" s="154" customFormat="1" x14ac:dyDescent="0.25">
      <c r="A207" s="44"/>
      <c r="B207" s="478"/>
      <c r="C207" s="19"/>
      <c r="D207" s="25"/>
      <c r="E207" s="14"/>
      <c r="F207" s="14"/>
      <c r="G207" s="14"/>
      <c r="H207" s="14"/>
      <c r="I207" s="14"/>
      <c r="J207" s="14"/>
      <c r="K207" s="14"/>
      <c r="L207" s="14"/>
      <c r="M207" s="14"/>
      <c r="N207" s="14"/>
      <c r="O207" s="14"/>
      <c r="P207" s="14"/>
      <c r="Q207" s="14"/>
      <c r="R207" s="14"/>
      <c r="S207" s="14"/>
      <c r="T207" s="14"/>
      <c r="U207" s="13"/>
      <c r="V207" s="25"/>
      <c r="W207" s="15"/>
    </row>
    <row r="208" spans="1:26" s="154" customFormat="1" x14ac:dyDescent="0.25">
      <c r="A208" s="44"/>
      <c r="B208" s="584"/>
      <c r="C208" s="19"/>
      <c r="D208" s="25"/>
      <c r="E208" s="14"/>
      <c r="F208" s="14"/>
      <c r="G208" s="14"/>
      <c r="H208" s="14"/>
      <c r="I208" s="14"/>
      <c r="J208" s="14"/>
      <c r="K208" s="14"/>
      <c r="L208" s="14"/>
      <c r="M208" s="14"/>
      <c r="N208" s="14"/>
      <c r="O208" s="14"/>
      <c r="P208" s="14"/>
      <c r="Q208" s="14"/>
      <c r="R208" s="14"/>
      <c r="S208" s="14"/>
      <c r="T208" s="14"/>
      <c r="U208" s="13"/>
      <c r="V208" s="14"/>
      <c r="W208" s="15"/>
    </row>
    <row r="209" spans="1:23" s="154" customFormat="1" x14ac:dyDescent="0.25">
      <c r="A209" s="44"/>
      <c r="B209" s="542"/>
      <c r="C209" s="19"/>
      <c r="D209" s="25"/>
      <c r="E209" s="14"/>
      <c r="F209" s="14"/>
      <c r="G209" s="14"/>
      <c r="H209" s="14"/>
      <c r="I209" s="14"/>
      <c r="J209" s="14"/>
      <c r="K209" s="14"/>
      <c r="L209" s="14"/>
      <c r="M209" s="14"/>
      <c r="N209" s="14"/>
      <c r="O209" s="14"/>
      <c r="P209" s="14"/>
      <c r="Q209" s="14"/>
      <c r="R209" s="14"/>
      <c r="S209" s="14"/>
      <c r="T209" s="14"/>
      <c r="U209" s="13"/>
      <c r="V209" s="14"/>
      <c r="W209" s="15"/>
    </row>
    <row r="210" spans="1:23" s="154" customFormat="1" x14ac:dyDescent="0.25">
      <c r="A210" s="44"/>
      <c r="B210" s="479"/>
      <c r="C210" s="36"/>
      <c r="D210" s="25"/>
      <c r="E210" s="14"/>
      <c r="F210" s="14"/>
      <c r="G210" s="14"/>
      <c r="H210" s="14"/>
      <c r="I210" s="14"/>
      <c r="J210" s="14"/>
      <c r="K210" s="14"/>
      <c r="L210" s="14"/>
      <c r="M210" s="14"/>
      <c r="N210" s="14"/>
      <c r="O210" s="14"/>
      <c r="P210" s="14"/>
      <c r="Q210" s="14"/>
      <c r="R210" s="14"/>
      <c r="S210" s="14"/>
      <c r="T210" s="14"/>
      <c r="U210" s="13"/>
      <c r="V210" s="25"/>
      <c r="W210" s="15"/>
    </row>
    <row r="211" spans="1:23" s="154" customFormat="1" x14ac:dyDescent="0.25">
      <c r="A211" s="44"/>
      <c r="B211" s="550"/>
      <c r="C211" s="37"/>
      <c r="D211" s="25"/>
      <c r="E211" s="14"/>
      <c r="F211" s="14"/>
      <c r="G211" s="14"/>
      <c r="H211" s="14"/>
      <c r="I211" s="14"/>
      <c r="J211" s="14"/>
      <c r="K211" s="14"/>
      <c r="L211" s="14"/>
      <c r="M211" s="14"/>
      <c r="N211" s="14"/>
      <c r="O211" s="14"/>
      <c r="P211" s="14"/>
      <c r="Q211" s="14"/>
      <c r="R211" s="14"/>
      <c r="S211" s="14"/>
      <c r="T211" s="14"/>
      <c r="U211" s="13"/>
      <c r="V211" s="25"/>
      <c r="W211" s="15"/>
    </row>
    <row r="212" spans="1:23" s="154" customFormat="1" x14ac:dyDescent="0.25">
      <c r="A212" s="44"/>
      <c r="B212" s="551"/>
      <c r="C212" s="37"/>
      <c r="D212" s="25"/>
      <c r="E212" s="14"/>
      <c r="F212" s="14"/>
      <c r="G212" s="14"/>
      <c r="H212" s="14"/>
      <c r="I212" s="14"/>
      <c r="J212" s="14"/>
      <c r="K212" s="14"/>
      <c r="L212" s="14"/>
      <c r="M212" s="14"/>
      <c r="N212" s="14"/>
      <c r="O212" s="14"/>
      <c r="P212" s="14"/>
      <c r="Q212" s="14"/>
      <c r="R212" s="14"/>
      <c r="S212" s="14"/>
      <c r="T212" s="14"/>
      <c r="U212" s="13"/>
      <c r="V212" s="25"/>
      <c r="W212" s="15"/>
    </row>
    <row r="213" spans="1:23" s="154" customFormat="1" x14ac:dyDescent="0.25">
      <c r="A213" s="44"/>
      <c r="B213" s="585"/>
      <c r="C213" s="22"/>
      <c r="D213" s="25"/>
      <c r="E213" s="14"/>
      <c r="F213" s="14"/>
      <c r="G213" s="14"/>
      <c r="H213" s="14"/>
      <c r="I213" s="14"/>
      <c r="J213" s="14"/>
      <c r="K213" s="14"/>
      <c r="L213" s="14"/>
      <c r="M213" s="14"/>
      <c r="N213" s="14"/>
      <c r="O213" s="14"/>
      <c r="P213" s="14"/>
      <c r="Q213" s="14"/>
      <c r="R213" s="14"/>
      <c r="S213" s="14"/>
      <c r="T213" s="14"/>
      <c r="U213" s="13"/>
      <c r="V213" s="14"/>
      <c r="W213" s="15"/>
    </row>
    <row r="214" spans="1:23" s="154" customFormat="1" x14ac:dyDescent="0.25">
      <c r="A214" s="44"/>
      <c r="B214" s="586"/>
      <c r="C214" s="19"/>
      <c r="D214" s="25"/>
      <c r="E214" s="14"/>
      <c r="F214" s="14"/>
      <c r="G214" s="14"/>
      <c r="H214" s="14"/>
      <c r="I214" s="14"/>
      <c r="J214" s="14"/>
      <c r="K214" s="14"/>
      <c r="L214" s="14"/>
      <c r="M214" s="14"/>
      <c r="N214" s="14"/>
      <c r="O214" s="14"/>
      <c r="P214" s="14"/>
      <c r="Q214" s="14"/>
      <c r="R214" s="14"/>
      <c r="S214" s="14"/>
      <c r="T214" s="14"/>
      <c r="U214" s="13"/>
      <c r="V214" s="14"/>
      <c r="W214" s="15"/>
    </row>
    <row r="215" spans="1:23" s="154" customFormat="1" x14ac:dyDescent="0.25">
      <c r="A215" s="44"/>
      <c r="B215" s="587"/>
      <c r="C215" s="19"/>
      <c r="D215" s="25"/>
      <c r="E215" s="14"/>
      <c r="F215" s="14"/>
      <c r="G215" s="14"/>
      <c r="H215" s="14"/>
      <c r="I215" s="14"/>
      <c r="J215" s="14"/>
      <c r="K215" s="14"/>
      <c r="L215" s="14"/>
      <c r="M215" s="14"/>
      <c r="N215" s="14"/>
      <c r="O215" s="14"/>
      <c r="P215" s="14"/>
      <c r="Q215" s="14"/>
      <c r="R215" s="14"/>
      <c r="S215" s="14"/>
      <c r="T215" s="14"/>
      <c r="U215" s="13"/>
      <c r="V215" s="25"/>
      <c r="W215" s="15"/>
    </row>
    <row r="216" spans="1:23" s="154" customFormat="1" x14ac:dyDescent="0.25">
      <c r="A216" s="44"/>
      <c r="B216" s="553"/>
      <c r="C216" s="19"/>
      <c r="D216" s="25"/>
      <c r="E216" s="14"/>
      <c r="F216" s="14"/>
      <c r="G216" s="14"/>
      <c r="H216" s="14"/>
      <c r="I216" s="14"/>
      <c r="J216" s="14"/>
      <c r="K216" s="14"/>
      <c r="L216" s="14"/>
      <c r="M216" s="14"/>
      <c r="N216" s="14"/>
      <c r="O216" s="14"/>
      <c r="P216" s="14"/>
      <c r="Q216" s="14"/>
      <c r="R216" s="14"/>
      <c r="S216" s="14"/>
      <c r="T216" s="14"/>
      <c r="U216" s="13"/>
      <c r="V216" s="25"/>
      <c r="W216" s="15"/>
    </row>
    <row r="217" spans="1:23" s="154" customFormat="1" x14ac:dyDescent="0.25">
      <c r="A217" s="44"/>
      <c r="B217" s="554"/>
      <c r="C217" s="19"/>
      <c r="D217" s="25"/>
      <c r="E217" s="14"/>
      <c r="F217" s="14"/>
      <c r="G217" s="14"/>
      <c r="H217" s="14"/>
      <c r="I217" s="14"/>
      <c r="J217" s="14"/>
      <c r="K217" s="14"/>
      <c r="L217" s="14"/>
      <c r="M217" s="14"/>
      <c r="N217" s="14"/>
      <c r="O217" s="14"/>
      <c r="P217" s="14"/>
      <c r="Q217" s="14"/>
      <c r="R217" s="14"/>
      <c r="S217" s="14"/>
      <c r="T217" s="14"/>
      <c r="U217" s="13"/>
      <c r="V217" s="25"/>
      <c r="W217" s="15"/>
    </row>
    <row r="218" spans="1:23" s="154" customFormat="1" x14ac:dyDescent="0.25">
      <c r="A218" s="44"/>
      <c r="B218" s="588"/>
      <c r="C218" s="37"/>
      <c r="D218" s="25"/>
      <c r="E218" s="14"/>
      <c r="F218" s="14"/>
      <c r="G218" s="14"/>
      <c r="H218" s="14"/>
      <c r="I218" s="14"/>
      <c r="J218" s="14"/>
      <c r="K218" s="14"/>
      <c r="L218" s="14"/>
      <c r="M218" s="14"/>
      <c r="N218" s="14"/>
      <c r="O218" s="14"/>
      <c r="P218" s="14"/>
      <c r="Q218" s="14"/>
      <c r="R218" s="14"/>
      <c r="S218" s="14"/>
      <c r="T218" s="14"/>
      <c r="U218" s="13"/>
      <c r="V218" s="25"/>
      <c r="W218" s="15"/>
    </row>
    <row r="219" spans="1:23" s="154" customFormat="1" x14ac:dyDescent="0.25">
      <c r="A219" s="44"/>
      <c r="B219" s="589"/>
      <c r="C219" s="36"/>
      <c r="D219" s="25"/>
      <c r="E219" s="14"/>
      <c r="F219" s="14"/>
      <c r="G219" s="14"/>
      <c r="H219" s="14"/>
      <c r="I219" s="14"/>
      <c r="J219" s="14"/>
      <c r="K219" s="14"/>
      <c r="L219" s="14"/>
      <c r="M219" s="16"/>
      <c r="N219" s="14"/>
      <c r="O219" s="14"/>
      <c r="P219" s="14"/>
      <c r="Q219" s="14"/>
      <c r="R219" s="14"/>
      <c r="S219" s="14"/>
      <c r="T219" s="14"/>
      <c r="U219" s="13"/>
      <c r="V219" s="25"/>
      <c r="W219" s="15"/>
    </row>
    <row r="220" spans="1:23" s="154" customFormat="1" x14ac:dyDescent="0.25">
      <c r="A220" s="44"/>
      <c r="B220" s="590"/>
      <c r="C220" s="19"/>
      <c r="D220" s="25"/>
      <c r="E220" s="14"/>
      <c r="F220" s="14"/>
      <c r="G220" s="14"/>
      <c r="H220" s="14"/>
      <c r="I220" s="14"/>
      <c r="J220" s="14"/>
      <c r="K220" s="14"/>
      <c r="L220" s="14"/>
      <c r="M220" s="14"/>
      <c r="N220" s="14"/>
      <c r="O220" s="14"/>
      <c r="P220" s="14"/>
      <c r="Q220" s="14"/>
      <c r="R220" s="14"/>
      <c r="S220" s="14"/>
      <c r="T220" s="14"/>
      <c r="U220" s="13"/>
      <c r="V220" s="25"/>
      <c r="W220" s="15"/>
    </row>
    <row r="221" spans="1:23" s="154" customFormat="1" x14ac:dyDescent="0.25">
      <c r="A221" s="44"/>
      <c r="B221" s="591"/>
      <c r="C221" s="19"/>
      <c r="D221" s="25"/>
      <c r="E221" s="14"/>
      <c r="F221" s="14"/>
      <c r="G221" s="14"/>
      <c r="H221" s="14"/>
      <c r="I221" s="14"/>
      <c r="J221" s="14"/>
      <c r="K221" s="14"/>
      <c r="L221" s="14"/>
      <c r="M221" s="14"/>
      <c r="N221" s="14"/>
      <c r="O221" s="14"/>
      <c r="P221" s="14"/>
      <c r="Q221" s="14"/>
      <c r="R221" s="14"/>
      <c r="S221" s="14"/>
      <c r="T221" s="14"/>
      <c r="U221" s="13"/>
      <c r="V221" s="25"/>
      <c r="W221" s="15"/>
    </row>
    <row r="222" spans="1:23" s="154" customFormat="1" x14ac:dyDescent="0.25">
      <c r="A222" s="44"/>
      <c r="B222" s="592"/>
      <c r="C222" s="12"/>
      <c r="D222" s="25"/>
      <c r="E222" s="14"/>
      <c r="F222" s="14"/>
      <c r="G222" s="14"/>
      <c r="H222" s="14"/>
      <c r="I222" s="14"/>
      <c r="J222" s="14"/>
      <c r="K222" s="14"/>
      <c r="L222" s="14"/>
      <c r="M222" s="14"/>
      <c r="N222" s="14"/>
      <c r="O222" s="14"/>
      <c r="P222" s="14"/>
      <c r="Q222" s="14"/>
      <c r="R222" s="14"/>
      <c r="S222" s="14"/>
      <c r="T222" s="14"/>
      <c r="U222" s="13"/>
      <c r="V222" s="25"/>
      <c r="W222" s="15"/>
    </row>
    <row r="223" spans="1:23" s="154" customFormat="1" x14ac:dyDescent="0.25">
      <c r="A223" s="44"/>
      <c r="B223" s="593"/>
      <c r="C223" s="19"/>
      <c r="D223" s="25"/>
      <c r="E223" s="25"/>
      <c r="F223" s="25"/>
      <c r="G223" s="25"/>
      <c r="H223" s="25"/>
      <c r="I223" s="25"/>
      <c r="J223" s="25"/>
      <c r="K223" s="25"/>
      <c r="L223" s="25"/>
      <c r="M223" s="25"/>
      <c r="N223" s="25"/>
      <c r="O223" s="25"/>
      <c r="P223" s="25"/>
      <c r="Q223" s="25"/>
      <c r="R223" s="25"/>
      <c r="S223" s="25"/>
      <c r="T223" s="25"/>
      <c r="U223" s="13"/>
      <c r="V223" s="25"/>
      <c r="W223" s="15"/>
    </row>
    <row r="224" spans="1:23" s="154" customFormat="1" x14ac:dyDescent="0.25">
      <c r="A224" s="44"/>
      <c r="B224" s="594"/>
      <c r="C224" s="19"/>
      <c r="D224" s="25"/>
      <c r="E224" s="25"/>
      <c r="F224" s="25"/>
      <c r="G224" s="25"/>
      <c r="H224" s="25"/>
      <c r="I224" s="25"/>
      <c r="J224" s="25"/>
      <c r="K224" s="25"/>
      <c r="L224" s="25"/>
      <c r="M224" s="25"/>
      <c r="N224" s="25"/>
      <c r="O224" s="25"/>
      <c r="P224" s="25"/>
      <c r="Q224" s="25"/>
      <c r="R224" s="25"/>
      <c r="S224" s="25"/>
      <c r="T224" s="25"/>
      <c r="U224" s="13"/>
      <c r="V224" s="25"/>
      <c r="W224" s="15"/>
    </row>
    <row r="225" spans="1:23" s="154" customFormat="1" x14ac:dyDescent="0.25">
      <c r="A225" s="44"/>
      <c r="B225" s="595"/>
      <c r="C225" s="36"/>
      <c r="D225" s="25"/>
      <c r="E225" s="25"/>
      <c r="F225" s="25"/>
      <c r="G225" s="25"/>
      <c r="H225" s="25"/>
      <c r="I225" s="25"/>
      <c r="J225" s="25"/>
      <c r="K225" s="25"/>
      <c r="L225" s="25"/>
      <c r="M225" s="25"/>
      <c r="N225" s="25"/>
      <c r="O225" s="25"/>
      <c r="P225" s="25"/>
      <c r="Q225" s="25"/>
      <c r="R225" s="25"/>
      <c r="S225" s="25"/>
      <c r="T225" s="25"/>
      <c r="U225" s="13"/>
      <c r="V225" s="25"/>
      <c r="W225" s="15"/>
    </row>
    <row r="226" spans="1:23" s="154" customFormat="1" x14ac:dyDescent="0.25">
      <c r="A226" s="44"/>
      <c r="B226" s="477"/>
      <c r="C226" s="36"/>
      <c r="D226" s="25"/>
      <c r="E226" s="14"/>
      <c r="F226" s="14"/>
      <c r="G226" s="14"/>
      <c r="H226" s="14"/>
      <c r="I226" s="14"/>
      <c r="J226" s="14"/>
      <c r="K226" s="14"/>
      <c r="L226" s="14"/>
      <c r="M226" s="14"/>
      <c r="N226" s="14"/>
      <c r="O226" s="14"/>
      <c r="P226" s="14"/>
      <c r="Q226" s="14"/>
      <c r="R226" s="14"/>
      <c r="S226" s="14"/>
      <c r="T226" s="14"/>
      <c r="U226" s="13"/>
      <c r="V226" s="14"/>
      <c r="W226" s="15"/>
    </row>
    <row r="227" spans="1:23" s="154" customFormat="1" x14ac:dyDescent="0.25">
      <c r="A227" s="44"/>
      <c r="B227" s="556"/>
      <c r="C227" s="20"/>
      <c r="D227" s="20"/>
      <c r="E227" s="20"/>
      <c r="F227" s="20"/>
      <c r="G227" s="20"/>
      <c r="H227" s="20"/>
      <c r="I227" s="20"/>
      <c r="J227" s="20"/>
      <c r="K227" s="20"/>
      <c r="L227" s="20"/>
      <c r="M227" s="20"/>
      <c r="N227" s="20"/>
      <c r="O227" s="20"/>
      <c r="P227" s="20"/>
      <c r="Q227" s="20"/>
      <c r="R227" s="20"/>
      <c r="S227" s="20"/>
      <c r="T227" s="20"/>
      <c r="U227" s="13"/>
      <c r="V227" s="20"/>
      <c r="W227" s="20"/>
    </row>
    <row r="228" spans="1:23" s="154" customFormat="1" x14ac:dyDescent="0.25">
      <c r="A228" s="44"/>
      <c r="B228" s="596"/>
      <c r="C228" s="36"/>
      <c r="D228" s="25"/>
      <c r="E228" s="14"/>
      <c r="F228" s="14"/>
      <c r="G228" s="14"/>
      <c r="H228" s="14"/>
      <c r="I228" s="14"/>
      <c r="J228" s="14"/>
      <c r="K228" s="14"/>
      <c r="L228" s="14"/>
      <c r="M228" s="14"/>
      <c r="N228" s="14"/>
      <c r="O228" s="14"/>
      <c r="P228" s="14"/>
      <c r="Q228" s="14"/>
      <c r="R228" s="14"/>
      <c r="S228" s="14"/>
      <c r="T228" s="14"/>
      <c r="U228" s="13"/>
      <c r="V228" s="25"/>
      <c r="W228" s="15"/>
    </row>
    <row r="229" spans="1:23" s="154" customFormat="1" x14ac:dyDescent="0.25">
      <c r="A229" s="44"/>
      <c r="B229" s="597"/>
      <c r="C229" s="36"/>
      <c r="D229" s="25"/>
      <c r="E229" s="14"/>
      <c r="F229" s="14"/>
      <c r="G229" s="14"/>
      <c r="H229" s="14"/>
      <c r="I229" s="14"/>
      <c r="J229" s="14"/>
      <c r="K229" s="14"/>
      <c r="L229" s="14"/>
      <c r="M229" s="14"/>
      <c r="N229" s="14"/>
      <c r="O229" s="14"/>
      <c r="P229" s="14"/>
      <c r="Q229" s="14"/>
      <c r="R229" s="14"/>
      <c r="S229" s="14"/>
      <c r="T229" s="14"/>
      <c r="U229" s="13"/>
      <c r="V229" s="25"/>
      <c r="W229" s="15"/>
    </row>
    <row r="230" spans="1:23" s="154" customFormat="1" x14ac:dyDescent="0.25">
      <c r="A230" s="44"/>
      <c r="B230" s="560"/>
      <c r="C230" s="20"/>
      <c r="D230" s="20"/>
      <c r="E230" s="20"/>
      <c r="F230" s="20"/>
      <c r="G230" s="20"/>
      <c r="H230" s="20"/>
      <c r="I230" s="20"/>
      <c r="J230" s="20"/>
      <c r="K230" s="20"/>
      <c r="L230" s="20"/>
      <c r="M230" s="20"/>
      <c r="N230" s="20"/>
      <c r="O230" s="20"/>
      <c r="P230" s="20"/>
      <c r="Q230" s="20"/>
      <c r="R230" s="20"/>
      <c r="S230" s="20"/>
      <c r="T230" s="20"/>
      <c r="U230" s="13"/>
      <c r="V230" s="20"/>
      <c r="W230" s="20"/>
    </row>
    <row r="231" spans="1:23" s="154" customFormat="1" x14ac:dyDescent="0.25">
      <c r="A231" s="44"/>
      <c r="B231" s="598"/>
      <c r="C231" s="36"/>
      <c r="D231" s="25"/>
      <c r="E231" s="14"/>
      <c r="F231" s="14"/>
      <c r="G231" s="14"/>
      <c r="H231" s="14"/>
      <c r="I231" s="14"/>
      <c r="J231" s="14"/>
      <c r="K231" s="14"/>
      <c r="L231" s="14"/>
      <c r="M231" s="14"/>
      <c r="N231" s="14"/>
      <c r="O231" s="14"/>
      <c r="P231" s="14"/>
      <c r="Q231" s="14"/>
      <c r="R231" s="14"/>
      <c r="S231" s="14"/>
      <c r="T231" s="14"/>
      <c r="U231" s="13"/>
      <c r="V231" s="25"/>
      <c r="W231" s="15"/>
    </row>
    <row r="232" spans="1:23" s="154" customFormat="1" x14ac:dyDescent="0.25">
      <c r="A232" s="44"/>
      <c r="B232" s="599"/>
      <c r="C232" s="36"/>
      <c r="D232" s="25"/>
      <c r="E232" s="14"/>
      <c r="F232" s="14"/>
      <c r="G232" s="14"/>
      <c r="H232" s="14"/>
      <c r="I232" s="14"/>
      <c r="J232" s="14"/>
      <c r="K232" s="14"/>
      <c r="L232" s="14"/>
      <c r="M232" s="14"/>
      <c r="N232" s="14"/>
      <c r="O232" s="14"/>
      <c r="P232" s="14"/>
      <c r="Q232" s="14"/>
      <c r="R232" s="14"/>
      <c r="S232" s="14"/>
      <c r="T232" s="14"/>
      <c r="U232" s="13"/>
      <c r="V232" s="25"/>
      <c r="W232" s="15"/>
    </row>
    <row r="233" spans="1:23" s="154" customFormat="1" x14ac:dyDescent="0.25">
      <c r="A233" s="44"/>
      <c r="B233" s="564"/>
      <c r="C233" s="20"/>
      <c r="D233" s="20"/>
      <c r="E233" s="20"/>
      <c r="F233" s="20"/>
      <c r="G233" s="20"/>
      <c r="H233" s="20"/>
      <c r="I233" s="20"/>
      <c r="J233" s="20"/>
      <c r="K233" s="20"/>
      <c r="L233" s="20"/>
      <c r="M233" s="20"/>
      <c r="N233" s="20"/>
      <c r="O233" s="20"/>
      <c r="P233" s="20"/>
      <c r="Q233" s="20"/>
      <c r="R233" s="20"/>
      <c r="S233" s="20"/>
      <c r="T233" s="20"/>
      <c r="U233" s="13"/>
      <c r="V233" s="20"/>
      <c r="W233" s="20"/>
    </row>
    <row r="234" spans="1:23" s="154" customFormat="1" x14ac:dyDescent="0.25">
      <c r="A234" s="44"/>
      <c r="B234" s="600"/>
      <c r="C234" s="38"/>
      <c r="D234" s="25"/>
      <c r="E234" s="14"/>
      <c r="F234" s="14"/>
      <c r="G234" s="14"/>
      <c r="H234" s="14"/>
      <c r="I234" s="14"/>
      <c r="J234" s="14"/>
      <c r="K234" s="14"/>
      <c r="L234" s="14"/>
      <c r="M234" s="14"/>
      <c r="N234" s="14"/>
      <c r="O234" s="14"/>
      <c r="P234" s="14"/>
      <c r="Q234" s="14"/>
      <c r="R234" s="14"/>
      <c r="S234" s="14"/>
      <c r="T234" s="14"/>
      <c r="U234" s="13"/>
      <c r="V234" s="25"/>
      <c r="W234" s="15"/>
    </row>
    <row r="235" spans="1:23" s="154" customFormat="1" x14ac:dyDescent="0.25">
      <c r="A235" s="44"/>
      <c r="B235" s="601"/>
      <c r="C235" s="38"/>
      <c r="D235" s="25"/>
      <c r="E235" s="14"/>
      <c r="F235" s="14"/>
      <c r="G235" s="14"/>
      <c r="H235" s="14"/>
      <c r="I235" s="14"/>
      <c r="J235" s="14"/>
      <c r="K235" s="14"/>
      <c r="L235" s="14"/>
      <c r="M235" s="14"/>
      <c r="N235" s="14"/>
      <c r="O235" s="14"/>
      <c r="P235" s="14"/>
      <c r="Q235" s="14"/>
      <c r="R235" s="14"/>
      <c r="S235" s="14"/>
      <c r="T235" s="14"/>
      <c r="U235" s="13"/>
      <c r="V235" s="25"/>
      <c r="W235" s="15"/>
    </row>
    <row r="236" spans="1:23" s="154" customFormat="1" x14ac:dyDescent="0.25">
      <c r="A236" s="44"/>
      <c r="B236" s="602"/>
      <c r="C236" s="38"/>
      <c r="D236" s="25"/>
      <c r="E236" s="14"/>
      <c r="F236" s="14"/>
      <c r="G236" s="14"/>
      <c r="H236" s="14"/>
      <c r="I236" s="14"/>
      <c r="J236" s="14"/>
      <c r="K236" s="14"/>
      <c r="L236" s="14"/>
      <c r="M236" s="14"/>
      <c r="N236" s="14"/>
      <c r="O236" s="14"/>
      <c r="P236" s="14"/>
      <c r="Q236" s="14"/>
      <c r="R236" s="14"/>
      <c r="S236" s="14"/>
      <c r="T236" s="14"/>
      <c r="U236" s="13"/>
      <c r="V236" s="25"/>
      <c r="W236" s="15"/>
    </row>
    <row r="237" spans="1:23" s="154" customFormat="1" x14ac:dyDescent="0.25">
      <c r="A237" s="44"/>
      <c r="B237" s="569"/>
      <c r="C237" s="38"/>
      <c r="D237" s="25"/>
      <c r="E237" s="14"/>
      <c r="F237" s="14"/>
      <c r="G237" s="14"/>
      <c r="H237" s="14"/>
      <c r="I237" s="14"/>
      <c r="J237" s="14"/>
      <c r="K237" s="14"/>
      <c r="L237" s="14"/>
      <c r="M237" s="14"/>
      <c r="N237" s="14"/>
      <c r="O237" s="14"/>
      <c r="P237" s="14"/>
      <c r="Q237" s="14"/>
      <c r="R237" s="14"/>
      <c r="S237" s="14"/>
      <c r="T237" s="14"/>
      <c r="U237" s="13"/>
      <c r="V237" s="25"/>
      <c r="W237" s="15"/>
    </row>
    <row r="238" spans="1:23" s="154" customFormat="1" x14ac:dyDescent="0.25">
      <c r="A238" s="44"/>
      <c r="B238" s="603"/>
      <c r="C238" s="37"/>
      <c r="D238" s="25"/>
      <c r="E238" s="14"/>
      <c r="F238" s="14"/>
      <c r="G238" s="14"/>
      <c r="H238" s="14"/>
      <c r="I238" s="14"/>
      <c r="J238" s="14"/>
      <c r="K238" s="14"/>
      <c r="L238" s="14"/>
      <c r="M238" s="14"/>
      <c r="N238" s="14"/>
      <c r="O238" s="14"/>
      <c r="P238" s="14"/>
      <c r="Q238" s="14"/>
      <c r="R238" s="14"/>
      <c r="S238" s="14"/>
      <c r="T238" s="14"/>
      <c r="U238" s="13"/>
      <c r="V238" s="25"/>
      <c r="W238" s="15"/>
    </row>
    <row r="239" spans="1:23" s="154" customFormat="1" x14ac:dyDescent="0.25">
      <c r="A239" s="44"/>
      <c r="B239" s="573"/>
      <c r="C239" s="37"/>
      <c r="D239" s="25"/>
      <c r="E239" s="14"/>
      <c r="F239" s="14"/>
      <c r="G239" s="14"/>
      <c r="H239" s="14"/>
      <c r="I239" s="14"/>
      <c r="J239" s="14"/>
      <c r="K239" s="14"/>
      <c r="L239" s="14"/>
      <c r="M239" s="14"/>
      <c r="N239" s="14"/>
      <c r="O239" s="14"/>
      <c r="P239" s="14"/>
      <c r="Q239" s="14"/>
      <c r="R239" s="14"/>
      <c r="S239" s="14"/>
      <c r="T239" s="14"/>
      <c r="U239" s="13"/>
      <c r="V239" s="25"/>
      <c r="W239" s="15"/>
    </row>
    <row r="240" spans="1:23" s="154" customFormat="1" x14ac:dyDescent="0.25">
      <c r="A240" s="44"/>
      <c r="B240" s="604"/>
      <c r="C240" s="38"/>
      <c r="D240" s="25"/>
      <c r="E240" s="14"/>
      <c r="F240" s="14"/>
      <c r="G240" s="14"/>
      <c r="H240" s="14"/>
      <c r="I240" s="14"/>
      <c r="J240" s="14"/>
      <c r="K240" s="14"/>
      <c r="L240" s="14"/>
      <c r="M240" s="14"/>
      <c r="N240" s="14"/>
      <c r="O240" s="14"/>
      <c r="P240" s="14"/>
      <c r="Q240" s="14"/>
      <c r="R240" s="14"/>
      <c r="S240" s="14"/>
      <c r="T240" s="14"/>
      <c r="U240" s="13"/>
      <c r="V240" s="25"/>
      <c r="W240" s="15"/>
    </row>
    <row r="241" spans="1:24" s="154" customFormat="1" x14ac:dyDescent="0.25">
      <c r="A241" s="44"/>
      <c r="B241" s="576"/>
      <c r="C241" s="37"/>
      <c r="D241" s="25"/>
      <c r="E241" s="14"/>
      <c r="F241" s="14"/>
      <c r="G241" s="14"/>
      <c r="H241" s="14"/>
      <c r="I241" s="14"/>
      <c r="J241" s="14"/>
      <c r="K241" s="14"/>
      <c r="L241" s="14"/>
      <c r="M241" s="14"/>
      <c r="N241" s="14"/>
      <c r="O241" s="14"/>
      <c r="P241" s="14"/>
      <c r="Q241" s="14"/>
      <c r="R241" s="14"/>
      <c r="S241" s="14"/>
      <c r="T241" s="14"/>
      <c r="U241" s="13"/>
      <c r="V241" s="25"/>
      <c r="W241" s="15"/>
    </row>
    <row r="242" spans="1:24" s="154" customFormat="1" x14ac:dyDescent="0.25">
      <c r="A242" s="44"/>
      <c r="B242" s="605"/>
      <c r="C242" s="42"/>
      <c r="D242" s="42"/>
      <c r="E242" s="42"/>
      <c r="F242" s="42"/>
      <c r="G242" s="42"/>
      <c r="H242" s="42"/>
      <c r="I242" s="42"/>
      <c r="J242" s="42"/>
      <c r="K242" s="42"/>
      <c r="L242" s="42"/>
      <c r="M242" s="42"/>
      <c r="N242" s="42"/>
      <c r="O242" s="42"/>
      <c r="P242" s="42"/>
      <c r="Q242" s="42"/>
      <c r="R242" s="42"/>
      <c r="S242" s="42"/>
      <c r="T242" s="42"/>
      <c r="U242" s="13"/>
      <c r="V242" s="42"/>
      <c r="W242" s="42"/>
    </row>
    <row r="243" spans="1:24" s="154" customFormat="1" x14ac:dyDescent="0.25">
      <c r="A243" s="120"/>
      <c r="B243" s="606"/>
      <c r="C243" s="12"/>
      <c r="D243" s="102"/>
      <c r="E243" s="14"/>
      <c r="F243" s="14"/>
      <c r="G243" s="14"/>
      <c r="H243" s="14"/>
      <c r="I243" s="14"/>
      <c r="J243" s="14"/>
      <c r="K243" s="14"/>
      <c r="L243" s="14"/>
      <c r="M243" s="14"/>
      <c r="N243" s="14"/>
      <c r="O243" s="14"/>
      <c r="P243" s="14"/>
      <c r="Q243" s="14"/>
      <c r="R243" s="14"/>
      <c r="S243" s="14"/>
      <c r="T243" s="14"/>
      <c r="U243" s="13"/>
      <c r="V243" s="25"/>
      <c r="W243" s="15"/>
    </row>
    <row r="244" spans="1:24" s="154" customFormat="1" x14ac:dyDescent="0.25">
      <c r="A244" s="120"/>
      <c r="B244" s="607"/>
      <c r="C244" s="12"/>
      <c r="D244" s="102"/>
      <c r="E244" s="14"/>
      <c r="F244" s="14"/>
      <c r="G244" s="14"/>
      <c r="H244" s="14"/>
      <c r="I244" s="14"/>
      <c r="J244" s="14"/>
      <c r="K244" s="14"/>
      <c r="L244" s="14"/>
      <c r="M244" s="14"/>
      <c r="N244" s="14"/>
      <c r="O244" s="14"/>
      <c r="P244" s="14"/>
      <c r="Q244" s="14"/>
      <c r="R244" s="14"/>
      <c r="S244" s="14"/>
      <c r="T244" s="14"/>
      <c r="U244" s="13"/>
      <c r="V244" s="25"/>
      <c r="W244" s="15"/>
    </row>
    <row r="245" spans="1:24" s="154" customFormat="1" x14ac:dyDescent="0.25">
      <c r="A245" s="120"/>
      <c r="B245" s="608"/>
      <c r="C245" s="12"/>
      <c r="D245" s="102"/>
      <c r="E245" s="14"/>
      <c r="F245" s="14"/>
      <c r="G245" s="14"/>
      <c r="H245" s="14"/>
      <c r="I245" s="14"/>
      <c r="J245" s="14"/>
      <c r="K245" s="14"/>
      <c r="L245" s="14"/>
      <c r="M245" s="14"/>
      <c r="N245" s="14"/>
      <c r="O245" s="14"/>
      <c r="P245" s="14"/>
      <c r="Q245" s="14"/>
      <c r="R245" s="14"/>
      <c r="S245" s="14"/>
      <c r="T245" s="14"/>
      <c r="U245" s="13"/>
      <c r="V245" s="25"/>
      <c r="W245" s="15"/>
    </row>
    <row r="246" spans="1:24" s="154" customFormat="1" x14ac:dyDescent="0.25">
      <c r="A246" s="120"/>
      <c r="B246" s="609"/>
      <c r="C246" s="43"/>
      <c r="D246" s="43"/>
      <c r="E246" s="43"/>
      <c r="F246" s="43"/>
      <c r="G246" s="43"/>
      <c r="H246" s="43"/>
      <c r="I246" s="43"/>
      <c r="J246" s="43"/>
      <c r="K246" s="43"/>
      <c r="L246" s="43"/>
      <c r="M246" s="43"/>
      <c r="N246" s="43"/>
      <c r="O246" s="43"/>
      <c r="P246" s="43"/>
      <c r="Q246" s="43"/>
      <c r="R246" s="43"/>
      <c r="S246" s="43"/>
      <c r="T246" s="43"/>
      <c r="U246" s="13"/>
      <c r="V246" s="43"/>
      <c r="W246" s="43"/>
    </row>
    <row r="247" spans="1:24" s="154" customFormat="1" x14ac:dyDescent="0.25">
      <c r="A247" s="120"/>
      <c r="B247" s="610"/>
      <c r="C247" s="19"/>
      <c r="D247" s="102"/>
      <c r="E247" s="13"/>
      <c r="F247" s="13"/>
      <c r="G247" s="13"/>
      <c r="H247" s="13"/>
      <c r="I247" s="13"/>
      <c r="J247" s="13"/>
      <c r="K247" s="13"/>
      <c r="L247" s="13"/>
      <c r="M247" s="13"/>
      <c r="N247" s="13"/>
      <c r="O247" s="13"/>
      <c r="P247" s="13"/>
      <c r="Q247" s="13"/>
      <c r="R247" s="13"/>
      <c r="S247" s="13"/>
      <c r="T247" s="13"/>
      <c r="U247" s="13"/>
      <c r="V247" s="14"/>
      <c r="W247" s="15"/>
    </row>
    <row r="248" spans="1:24" s="154" customFormat="1" x14ac:dyDescent="0.25">
      <c r="A248" s="120"/>
      <c r="B248" s="611"/>
      <c r="C248" s="19"/>
      <c r="D248" s="102"/>
      <c r="E248" s="13"/>
      <c r="F248" s="13"/>
      <c r="G248" s="13"/>
      <c r="H248" s="13"/>
      <c r="I248" s="13"/>
      <c r="J248" s="13"/>
      <c r="K248" s="13"/>
      <c r="L248" s="13"/>
      <c r="M248" s="13"/>
      <c r="N248" s="13"/>
      <c r="O248" s="13"/>
      <c r="P248" s="13"/>
      <c r="Q248" s="13"/>
      <c r="R248" s="13"/>
      <c r="S248" s="13"/>
      <c r="T248" s="13"/>
      <c r="U248" s="13"/>
      <c r="V248" s="14"/>
      <c r="W248" s="15"/>
    </row>
    <row r="249" spans="1:24" s="154" customFormat="1" x14ac:dyDescent="0.25">
      <c r="A249" s="120"/>
      <c r="B249" s="612"/>
      <c r="C249" s="43"/>
      <c r="D249" s="43"/>
      <c r="E249" s="43"/>
      <c r="F249" s="43"/>
      <c r="G249" s="43"/>
      <c r="H249" s="43"/>
      <c r="I249" s="43"/>
      <c r="J249" s="43"/>
      <c r="K249" s="43"/>
      <c r="L249" s="43"/>
      <c r="M249" s="43"/>
      <c r="N249" s="43"/>
      <c r="O249" s="43"/>
      <c r="P249" s="43"/>
      <c r="Q249" s="43"/>
      <c r="R249" s="43"/>
      <c r="S249" s="43"/>
      <c r="T249" s="43"/>
      <c r="U249" s="13"/>
      <c r="V249" s="43"/>
      <c r="W249" s="43"/>
    </row>
    <row r="250" spans="1:24" s="154" customFormat="1" x14ac:dyDescent="0.25">
      <c r="A250" s="120"/>
      <c r="B250" s="613"/>
      <c r="C250" s="12"/>
      <c r="D250" s="102"/>
      <c r="E250" s="14"/>
      <c r="F250" s="14"/>
      <c r="G250" s="14"/>
      <c r="H250" s="14"/>
      <c r="I250" s="14"/>
      <c r="J250" s="14"/>
      <c r="K250" s="14"/>
      <c r="L250" s="14"/>
      <c r="M250" s="14"/>
      <c r="N250" s="14"/>
      <c r="O250" s="14"/>
      <c r="P250" s="14"/>
      <c r="Q250" s="14"/>
      <c r="R250" s="14"/>
      <c r="S250" s="14"/>
      <c r="T250" s="14"/>
      <c r="U250" s="13"/>
      <c r="V250" s="13"/>
      <c r="W250" s="15"/>
    </row>
    <row r="251" spans="1:24" s="154" customFormat="1" x14ac:dyDescent="0.25">
      <c r="A251" s="120"/>
      <c r="B251" s="614"/>
      <c r="C251" s="12"/>
      <c r="D251" s="102"/>
      <c r="E251" s="14"/>
      <c r="F251" s="14"/>
      <c r="G251" s="14"/>
      <c r="H251" s="14"/>
      <c r="I251" s="14"/>
      <c r="J251" s="14"/>
      <c r="K251" s="14"/>
      <c r="L251" s="14"/>
      <c r="M251" s="14"/>
      <c r="N251" s="14"/>
      <c r="O251" s="14"/>
      <c r="P251" s="14"/>
      <c r="Q251" s="14"/>
      <c r="R251" s="14"/>
      <c r="S251" s="14"/>
      <c r="T251" s="14"/>
      <c r="U251" s="13"/>
      <c r="V251" s="13"/>
      <c r="W251" s="15"/>
    </row>
    <row r="252" spans="1:24" s="154" customFormat="1" x14ac:dyDescent="0.25">
      <c r="A252" s="120"/>
      <c r="B252" s="615"/>
      <c r="C252" s="36"/>
      <c r="D252" s="102"/>
      <c r="E252" s="14"/>
      <c r="F252" s="14"/>
      <c r="G252" s="14"/>
      <c r="H252" s="14"/>
      <c r="I252" s="14"/>
      <c r="J252" s="14"/>
      <c r="K252" s="14"/>
      <c r="L252" s="14"/>
      <c r="M252" s="14"/>
      <c r="N252" s="14"/>
      <c r="O252" s="14"/>
      <c r="P252" s="14"/>
      <c r="Q252" s="14"/>
      <c r="R252" s="14"/>
      <c r="S252" s="14"/>
      <c r="T252" s="14"/>
      <c r="U252" s="13"/>
      <c r="V252" s="14"/>
      <c r="W252" s="15"/>
    </row>
    <row r="253" spans="1:24" s="154" customFormat="1" x14ac:dyDescent="0.25">
      <c r="A253" s="120"/>
      <c r="B253" s="616"/>
      <c r="C253" s="19"/>
      <c r="D253" s="102"/>
      <c r="E253" s="14"/>
      <c r="F253" s="14"/>
      <c r="G253" s="14"/>
      <c r="H253" s="14"/>
      <c r="I253" s="14"/>
      <c r="J253" s="14"/>
      <c r="K253" s="14"/>
      <c r="L253" s="14"/>
      <c r="M253" s="14"/>
      <c r="N253" s="14"/>
      <c r="O253" s="14"/>
      <c r="P253" s="14"/>
      <c r="Q253" s="14"/>
      <c r="R253" s="14"/>
      <c r="S253" s="14"/>
      <c r="T253" s="14"/>
      <c r="U253" s="13"/>
      <c r="V253" s="25"/>
      <c r="W253" s="15"/>
    </row>
    <row r="254" spans="1:24" s="154" customFormat="1" ht="22.5" x14ac:dyDescent="0.25">
      <c r="A254" s="198"/>
      <c r="B254" s="617"/>
      <c r="C254" s="101"/>
      <c r="D254" s="101"/>
      <c r="E254" s="101"/>
      <c r="F254" s="101"/>
      <c r="G254" s="101"/>
      <c r="H254" s="101"/>
      <c r="I254" s="101"/>
      <c r="J254" s="101"/>
      <c r="K254" s="101"/>
      <c r="L254" s="101"/>
      <c r="M254" s="101"/>
      <c r="N254" s="101"/>
      <c r="O254" s="101"/>
      <c r="P254" s="101"/>
      <c r="Q254" s="101"/>
      <c r="R254" s="101"/>
      <c r="S254" s="101"/>
      <c r="T254" s="101"/>
      <c r="U254" s="101"/>
      <c r="V254" s="101"/>
      <c r="W254" s="101"/>
    </row>
    <row r="255" spans="1:24" s="154" customFormat="1" x14ac:dyDescent="0.25">
      <c r="A255" s="118"/>
      <c r="B255" s="618"/>
      <c r="C255" s="12"/>
      <c r="D255" s="25"/>
      <c r="E255" s="14"/>
      <c r="F255" s="14"/>
      <c r="G255" s="14"/>
      <c r="H255" s="14"/>
      <c r="I255" s="14"/>
      <c r="J255" s="14"/>
      <c r="K255" s="14"/>
      <c r="L255" s="14"/>
      <c r="M255" s="14"/>
      <c r="N255" s="14"/>
      <c r="O255" s="14"/>
      <c r="P255" s="14"/>
      <c r="Q255" s="14"/>
      <c r="R255" s="14"/>
      <c r="S255" s="14"/>
      <c r="T255" s="14"/>
      <c r="U255" s="13"/>
      <c r="V255" s="14"/>
      <c r="W255" s="15"/>
      <c r="X255" s="191"/>
    </row>
    <row r="256" spans="1:24" s="154" customFormat="1" x14ac:dyDescent="0.25">
      <c r="A256" s="44"/>
      <c r="B256" s="545"/>
      <c r="C256" s="11"/>
      <c r="D256" s="11"/>
      <c r="E256" s="11"/>
      <c r="F256" s="11"/>
      <c r="G256" s="11"/>
      <c r="H256" s="11"/>
      <c r="I256" s="11"/>
      <c r="J256" s="11"/>
      <c r="K256" s="11"/>
      <c r="L256" s="11"/>
      <c r="M256" s="11"/>
      <c r="N256" s="11"/>
      <c r="O256" s="11"/>
      <c r="P256" s="11"/>
      <c r="Q256" s="11"/>
      <c r="R256" s="11"/>
      <c r="S256" s="11"/>
      <c r="T256" s="11"/>
      <c r="U256" s="13"/>
      <c r="V256" s="11"/>
      <c r="W256" s="11"/>
      <c r="X256" s="187"/>
    </row>
    <row r="257" spans="1:24" s="154" customFormat="1" x14ac:dyDescent="0.25">
      <c r="A257" s="44"/>
      <c r="B257" s="619"/>
      <c r="C257" s="12"/>
      <c r="D257" s="25"/>
      <c r="E257" s="14"/>
      <c r="F257" s="14"/>
      <c r="G257" s="14"/>
      <c r="H257" s="14"/>
      <c r="I257" s="14"/>
      <c r="J257" s="14"/>
      <c r="K257" s="14"/>
      <c r="L257" s="14"/>
      <c r="M257" s="14"/>
      <c r="N257" s="14"/>
      <c r="O257" s="14"/>
      <c r="P257" s="14"/>
      <c r="Q257" s="14"/>
      <c r="R257" s="14"/>
      <c r="S257" s="14"/>
      <c r="T257" s="14"/>
      <c r="U257" s="13"/>
      <c r="V257" s="14"/>
      <c r="W257" s="15"/>
    </row>
    <row r="258" spans="1:24" s="154" customFormat="1" x14ac:dyDescent="0.25">
      <c r="A258" s="44"/>
      <c r="B258" s="546"/>
      <c r="C258" s="12"/>
      <c r="D258" s="25"/>
      <c r="E258" s="14"/>
      <c r="F258" s="14"/>
      <c r="G258" s="14"/>
      <c r="H258" s="14"/>
      <c r="I258" s="14"/>
      <c r="J258" s="14"/>
      <c r="K258" s="14"/>
      <c r="L258" s="14"/>
      <c r="M258" s="14"/>
      <c r="N258" s="14"/>
      <c r="O258" s="14"/>
      <c r="P258" s="14"/>
      <c r="Q258" s="14"/>
      <c r="R258" s="14"/>
      <c r="S258" s="14"/>
      <c r="T258" s="14"/>
      <c r="U258" s="13"/>
      <c r="V258" s="14"/>
      <c r="W258" s="15"/>
    </row>
    <row r="259" spans="1:24" s="154" customFormat="1" x14ac:dyDescent="0.25">
      <c r="A259" s="44"/>
      <c r="B259" s="508"/>
      <c r="C259" s="12"/>
      <c r="D259" s="25"/>
      <c r="E259" s="14"/>
      <c r="F259" s="14"/>
      <c r="G259" s="14"/>
      <c r="H259" s="14"/>
      <c r="I259" s="14"/>
      <c r="J259" s="14"/>
      <c r="K259" s="14"/>
      <c r="L259" s="14"/>
      <c r="M259" s="14"/>
      <c r="N259" s="14"/>
      <c r="O259" s="14"/>
      <c r="P259" s="14"/>
      <c r="Q259" s="14"/>
      <c r="R259" s="14"/>
      <c r="S259" s="14"/>
      <c r="T259" s="14"/>
      <c r="U259" s="13"/>
      <c r="V259" s="14"/>
      <c r="W259" s="15"/>
    </row>
    <row r="260" spans="1:24" s="154" customFormat="1" x14ac:dyDescent="0.25">
      <c r="A260" s="44"/>
      <c r="B260" s="474"/>
      <c r="C260" s="20"/>
      <c r="D260" s="20"/>
      <c r="E260" s="20"/>
      <c r="F260" s="20"/>
      <c r="G260" s="20"/>
      <c r="H260" s="20"/>
      <c r="I260" s="20"/>
      <c r="J260" s="20"/>
      <c r="K260" s="20"/>
      <c r="L260" s="20"/>
      <c r="M260" s="20"/>
      <c r="N260" s="20"/>
      <c r="O260" s="20"/>
      <c r="P260" s="20"/>
      <c r="Q260" s="20"/>
      <c r="R260" s="20"/>
      <c r="S260" s="20"/>
      <c r="T260" s="20"/>
      <c r="U260" s="13"/>
      <c r="V260" s="20"/>
      <c r="W260" s="20"/>
    </row>
    <row r="261" spans="1:24" s="154" customFormat="1" x14ac:dyDescent="0.25">
      <c r="A261" s="122"/>
      <c r="B261" s="620"/>
      <c r="C261" s="12"/>
      <c r="D261" s="25"/>
      <c r="E261" s="14"/>
      <c r="F261" s="14"/>
      <c r="G261" s="14"/>
      <c r="H261" s="14"/>
      <c r="I261" s="14"/>
      <c r="J261" s="14"/>
      <c r="K261" s="14"/>
      <c r="L261" s="14"/>
      <c r="M261" s="14"/>
      <c r="N261" s="14"/>
      <c r="O261" s="14"/>
      <c r="P261" s="14"/>
      <c r="Q261" s="14"/>
      <c r="R261" s="14"/>
      <c r="S261" s="14"/>
      <c r="T261" s="14"/>
      <c r="U261" s="13"/>
      <c r="V261" s="14"/>
      <c r="W261" s="15"/>
    </row>
    <row r="262" spans="1:24" s="154" customFormat="1" x14ac:dyDescent="0.25">
      <c r="A262" s="122"/>
      <c r="B262" s="621"/>
      <c r="C262" s="12"/>
      <c r="D262" s="25"/>
      <c r="E262" s="14"/>
      <c r="F262" s="14"/>
      <c r="G262" s="14"/>
      <c r="H262" s="14"/>
      <c r="I262" s="14"/>
      <c r="J262" s="14"/>
      <c r="K262" s="14"/>
      <c r="L262" s="14"/>
      <c r="M262" s="14"/>
      <c r="N262" s="14"/>
      <c r="O262" s="14"/>
      <c r="P262" s="14"/>
      <c r="Q262" s="14"/>
      <c r="R262" s="14"/>
      <c r="S262" s="14"/>
      <c r="T262" s="14"/>
      <c r="U262" s="13"/>
      <c r="V262" s="14"/>
      <c r="W262" s="15"/>
    </row>
    <row r="263" spans="1:24" s="154" customFormat="1" x14ac:dyDescent="0.25">
      <c r="A263" s="122"/>
      <c r="B263" s="622"/>
      <c r="C263" s="29"/>
      <c r="D263" s="25"/>
      <c r="E263" s="14"/>
      <c r="F263" s="14"/>
      <c r="G263" s="14"/>
      <c r="H263" s="14"/>
      <c r="I263" s="14"/>
      <c r="J263" s="14"/>
      <c r="K263" s="14"/>
      <c r="L263" s="14"/>
      <c r="M263" s="14"/>
      <c r="N263" s="14"/>
      <c r="O263" s="14"/>
      <c r="P263" s="14"/>
      <c r="Q263" s="14"/>
      <c r="R263" s="14"/>
      <c r="S263" s="14"/>
      <c r="T263" s="14"/>
      <c r="U263" s="13"/>
      <c r="V263" s="30"/>
      <c r="W263" s="15"/>
    </row>
    <row r="264" spans="1:24" s="154" customFormat="1" x14ac:dyDescent="0.25">
      <c r="A264" s="44"/>
      <c r="B264" s="623"/>
      <c r="C264" s="12"/>
      <c r="D264" s="25"/>
      <c r="E264" s="14"/>
      <c r="F264" s="14"/>
      <c r="G264" s="14"/>
      <c r="H264" s="14"/>
      <c r="I264" s="14"/>
      <c r="J264" s="14"/>
      <c r="K264" s="14"/>
      <c r="L264" s="14"/>
      <c r="M264" s="14"/>
      <c r="N264" s="14"/>
      <c r="O264" s="14"/>
      <c r="P264" s="14"/>
      <c r="Q264" s="14"/>
      <c r="R264" s="14"/>
      <c r="S264" s="14"/>
      <c r="T264" s="14"/>
      <c r="U264" s="13"/>
      <c r="V264" s="25"/>
      <c r="W264" s="15"/>
    </row>
    <row r="265" spans="1:24" s="154" customFormat="1" x14ac:dyDescent="0.25">
      <c r="A265" s="44"/>
      <c r="B265" s="491"/>
      <c r="C265" s="12"/>
      <c r="D265" s="25"/>
      <c r="E265" s="14"/>
      <c r="F265" s="14"/>
      <c r="G265" s="14"/>
      <c r="H265" s="14"/>
      <c r="I265" s="14"/>
      <c r="J265" s="14"/>
      <c r="K265" s="14"/>
      <c r="L265" s="14"/>
      <c r="M265" s="14"/>
      <c r="N265" s="14"/>
      <c r="O265" s="14"/>
      <c r="P265" s="14"/>
      <c r="Q265" s="14"/>
      <c r="R265" s="14"/>
      <c r="S265" s="14"/>
      <c r="T265" s="14"/>
      <c r="U265" s="13"/>
      <c r="V265" s="13"/>
      <c r="W265" s="15"/>
    </row>
    <row r="266" spans="1:24" s="154" customFormat="1" x14ac:dyDescent="0.25">
      <c r="A266" s="44"/>
      <c r="B266" s="450"/>
      <c r="C266" s="22"/>
      <c r="D266" s="22"/>
      <c r="E266" s="22"/>
      <c r="F266" s="22"/>
      <c r="G266" s="22"/>
      <c r="H266" s="22"/>
      <c r="I266" s="22"/>
      <c r="J266" s="22"/>
      <c r="K266" s="22"/>
      <c r="L266" s="22"/>
      <c r="M266" s="22"/>
      <c r="N266" s="22"/>
      <c r="O266" s="22"/>
      <c r="P266" s="22"/>
      <c r="Q266" s="22"/>
      <c r="R266" s="22"/>
      <c r="S266" s="22"/>
      <c r="T266" s="22"/>
      <c r="U266" s="13"/>
      <c r="V266" s="22"/>
      <c r="W266" s="22"/>
    </row>
    <row r="267" spans="1:24" s="154" customFormat="1" x14ac:dyDescent="0.25">
      <c r="A267" s="44"/>
      <c r="B267" s="492"/>
      <c r="C267" s="12"/>
      <c r="D267" s="25"/>
      <c r="E267" s="14"/>
      <c r="F267" s="14"/>
      <c r="G267" s="14"/>
      <c r="H267" s="14"/>
      <c r="I267" s="14"/>
      <c r="J267" s="14"/>
      <c r="K267" s="14"/>
      <c r="L267" s="14"/>
      <c r="M267" s="14"/>
      <c r="N267" s="14"/>
      <c r="O267" s="14"/>
      <c r="P267" s="14"/>
      <c r="Q267" s="14"/>
      <c r="R267" s="14"/>
      <c r="S267" s="14"/>
      <c r="T267" s="14"/>
      <c r="U267" s="13"/>
      <c r="V267" s="13"/>
      <c r="W267" s="15"/>
    </row>
    <row r="268" spans="1:24" s="154" customFormat="1" x14ac:dyDescent="0.25">
      <c r="A268" s="44"/>
      <c r="B268" s="460"/>
      <c r="C268" s="12"/>
      <c r="D268" s="25"/>
      <c r="E268" s="14"/>
      <c r="F268" s="14"/>
      <c r="G268" s="14"/>
      <c r="H268" s="14"/>
      <c r="I268" s="14"/>
      <c r="J268" s="14"/>
      <c r="K268" s="14"/>
      <c r="L268" s="14"/>
      <c r="M268" s="14"/>
      <c r="N268" s="14"/>
      <c r="O268" s="14"/>
      <c r="P268" s="14"/>
      <c r="Q268" s="14"/>
      <c r="R268" s="14"/>
      <c r="S268" s="14"/>
      <c r="T268" s="14"/>
      <c r="U268" s="13"/>
      <c r="V268" s="13"/>
      <c r="W268" s="15"/>
    </row>
    <row r="269" spans="1:24" s="154" customFormat="1" x14ac:dyDescent="0.25">
      <c r="A269" s="44"/>
      <c r="B269" s="493"/>
      <c r="C269" s="12"/>
      <c r="D269" s="25"/>
      <c r="E269" s="14"/>
      <c r="F269" s="14"/>
      <c r="G269" s="14"/>
      <c r="H269" s="14"/>
      <c r="I269" s="14"/>
      <c r="J269" s="14"/>
      <c r="K269" s="14"/>
      <c r="L269" s="14"/>
      <c r="M269" s="14"/>
      <c r="N269" s="14"/>
      <c r="O269" s="14"/>
      <c r="P269" s="14"/>
      <c r="Q269" s="14"/>
      <c r="R269" s="14"/>
      <c r="S269" s="14"/>
      <c r="T269" s="14"/>
      <c r="U269" s="13"/>
      <c r="V269" s="13"/>
      <c r="W269" s="15"/>
    </row>
    <row r="270" spans="1:24" s="154" customFormat="1" x14ac:dyDescent="0.25">
      <c r="A270" s="44"/>
      <c r="B270" s="624"/>
      <c r="C270" s="12"/>
      <c r="D270" s="25"/>
      <c r="E270" s="14"/>
      <c r="F270" s="14"/>
      <c r="G270" s="14"/>
      <c r="H270" s="14"/>
      <c r="I270" s="14"/>
      <c r="J270" s="14"/>
      <c r="K270" s="14"/>
      <c r="L270" s="14"/>
      <c r="M270" s="14"/>
      <c r="N270" s="14"/>
      <c r="O270" s="14"/>
      <c r="P270" s="14"/>
      <c r="Q270" s="14"/>
      <c r="R270" s="14"/>
      <c r="S270" s="14"/>
      <c r="T270" s="14"/>
      <c r="U270" s="13"/>
      <c r="V270" s="13"/>
      <c r="W270" s="15"/>
    </row>
    <row r="271" spans="1:24" ht="22.5" x14ac:dyDescent="0.25">
      <c r="A271" s="198"/>
      <c r="B271" s="625"/>
      <c r="C271" s="101"/>
      <c r="D271" s="101"/>
      <c r="E271" s="101"/>
      <c r="F271" s="101"/>
      <c r="G271" s="101"/>
      <c r="H271" s="101"/>
      <c r="I271" s="101"/>
      <c r="J271" s="101"/>
      <c r="K271" s="101"/>
      <c r="L271" s="101"/>
      <c r="M271" s="101"/>
      <c r="N271" s="101"/>
      <c r="O271" s="101"/>
      <c r="P271" s="101"/>
      <c r="Q271" s="101"/>
      <c r="R271" s="101"/>
      <c r="S271" s="101"/>
      <c r="T271" s="101"/>
      <c r="U271" s="101"/>
      <c r="V271" s="101"/>
      <c r="W271" s="101"/>
    </row>
    <row r="272" spans="1:24" x14ac:dyDescent="0.25">
      <c r="A272" s="118"/>
      <c r="B272" s="626"/>
      <c r="C272" s="12"/>
      <c r="D272" s="25"/>
      <c r="E272" s="25"/>
      <c r="F272" s="25"/>
      <c r="G272" s="25"/>
      <c r="H272" s="25"/>
      <c r="I272" s="25"/>
      <c r="J272" s="25"/>
      <c r="K272" s="25"/>
      <c r="L272" s="25"/>
      <c r="M272" s="25"/>
      <c r="N272" s="25"/>
      <c r="O272" s="25"/>
      <c r="P272" s="25"/>
      <c r="Q272" s="25"/>
      <c r="R272" s="25"/>
      <c r="S272" s="25"/>
      <c r="T272" s="25"/>
      <c r="U272" s="13"/>
      <c r="V272" s="14"/>
      <c r="W272" s="15"/>
      <c r="X272" s="186"/>
    </row>
    <row r="273" spans="1:23" x14ac:dyDescent="0.25">
      <c r="A273" s="118"/>
      <c r="B273" s="627"/>
      <c r="C273" s="19"/>
      <c r="D273" s="25"/>
      <c r="E273" s="25"/>
      <c r="F273" s="25"/>
      <c r="G273" s="25"/>
      <c r="H273" s="25"/>
      <c r="I273" s="25"/>
      <c r="J273" s="25"/>
      <c r="K273" s="25"/>
      <c r="L273" s="25"/>
      <c r="M273" s="25"/>
      <c r="N273" s="25"/>
      <c r="O273" s="25"/>
      <c r="P273" s="25"/>
      <c r="Q273" s="25"/>
      <c r="R273" s="25"/>
      <c r="S273" s="25"/>
      <c r="T273" s="25"/>
      <c r="U273" s="13"/>
      <c r="V273" s="25"/>
      <c r="W273" s="15"/>
    </row>
    <row r="274" spans="1:23" x14ac:dyDescent="0.25">
      <c r="A274" s="44"/>
      <c r="B274" s="442"/>
      <c r="C274" s="22"/>
      <c r="D274" s="22"/>
      <c r="E274" s="22"/>
      <c r="F274" s="22"/>
      <c r="G274" s="22"/>
      <c r="H274" s="22"/>
      <c r="I274" s="22"/>
      <c r="J274" s="22"/>
      <c r="K274" s="22"/>
      <c r="L274" s="22"/>
      <c r="M274" s="22"/>
      <c r="N274" s="22"/>
      <c r="O274" s="22"/>
      <c r="P274" s="22"/>
      <c r="Q274" s="22"/>
      <c r="R274" s="22"/>
      <c r="S274" s="22"/>
      <c r="T274" s="22"/>
      <c r="U274" s="13"/>
      <c r="V274" s="22"/>
      <c r="W274" s="22"/>
    </row>
    <row r="275" spans="1:23" x14ac:dyDescent="0.25">
      <c r="A275" s="44"/>
      <c r="B275" s="443"/>
      <c r="C275" s="12"/>
      <c r="D275" s="25"/>
      <c r="E275" s="14"/>
      <c r="F275" s="14"/>
      <c r="G275" s="14"/>
      <c r="H275" s="14"/>
      <c r="I275" s="14"/>
      <c r="J275" s="14"/>
      <c r="K275" s="14"/>
      <c r="L275" s="14"/>
      <c r="M275" s="14"/>
      <c r="N275" s="14"/>
      <c r="O275" s="14"/>
      <c r="P275" s="14"/>
      <c r="Q275" s="14"/>
      <c r="R275" s="14"/>
      <c r="S275" s="14"/>
      <c r="T275" s="14"/>
      <c r="U275" s="13"/>
      <c r="V275" s="14"/>
      <c r="W275" s="15"/>
    </row>
    <row r="276" spans="1:23" x14ac:dyDescent="0.25">
      <c r="A276" s="44"/>
      <c r="B276" s="444"/>
      <c r="C276" s="12"/>
      <c r="D276" s="25"/>
      <c r="E276" s="14"/>
      <c r="F276" s="14"/>
      <c r="G276" s="14"/>
      <c r="H276" s="14"/>
      <c r="I276" s="14"/>
      <c r="J276" s="14"/>
      <c r="K276" s="14"/>
      <c r="L276" s="14"/>
      <c r="M276" s="14"/>
      <c r="N276" s="14"/>
      <c r="O276" s="14"/>
      <c r="P276" s="14"/>
      <c r="Q276" s="14"/>
      <c r="R276" s="14"/>
      <c r="S276" s="14"/>
      <c r="T276" s="14"/>
      <c r="U276" s="13"/>
      <c r="V276" s="14"/>
      <c r="W276" s="15"/>
    </row>
    <row r="277" spans="1:23" x14ac:dyDescent="0.25">
      <c r="A277" s="44"/>
      <c r="B277" s="531"/>
      <c r="C277" s="19"/>
      <c r="D277" s="25"/>
      <c r="E277" s="14"/>
      <c r="F277" s="14"/>
      <c r="G277" s="14"/>
      <c r="H277" s="14"/>
      <c r="I277" s="14"/>
      <c r="J277" s="14"/>
      <c r="K277" s="14"/>
      <c r="L277" s="14"/>
      <c r="M277" s="14"/>
      <c r="N277" s="14"/>
      <c r="O277" s="14"/>
      <c r="P277" s="14"/>
      <c r="Q277" s="14"/>
      <c r="R277" s="14"/>
      <c r="S277" s="14"/>
      <c r="T277" s="14"/>
      <c r="U277" s="13"/>
      <c r="V277" s="14"/>
      <c r="W277" s="15"/>
    </row>
    <row r="278" spans="1:23" x14ac:dyDescent="0.25">
      <c r="A278" s="44"/>
      <c r="B278" s="532"/>
      <c r="C278" s="19"/>
      <c r="D278" s="25"/>
      <c r="E278" s="14"/>
      <c r="F278" s="14"/>
      <c r="G278" s="14"/>
      <c r="H278" s="14"/>
      <c r="I278" s="14"/>
      <c r="J278" s="14"/>
      <c r="K278" s="14"/>
      <c r="L278" s="14"/>
      <c r="M278" s="14"/>
      <c r="N278" s="14"/>
      <c r="O278" s="14"/>
      <c r="P278" s="14"/>
      <c r="Q278" s="14"/>
      <c r="R278" s="14"/>
      <c r="S278" s="14"/>
      <c r="T278" s="14"/>
      <c r="U278" s="13"/>
      <c r="V278" s="14"/>
      <c r="W278" s="15"/>
    </row>
    <row r="279" spans="1:23" x14ac:dyDescent="0.25">
      <c r="A279" s="44"/>
      <c r="B279" s="533"/>
      <c r="C279" s="12"/>
      <c r="D279" s="25"/>
      <c r="E279" s="14"/>
      <c r="F279" s="14"/>
      <c r="G279" s="14"/>
      <c r="H279" s="14"/>
      <c r="I279" s="14"/>
      <c r="J279" s="14"/>
      <c r="K279" s="14"/>
      <c r="L279" s="14"/>
      <c r="M279" s="14"/>
      <c r="N279" s="14"/>
      <c r="O279" s="14"/>
      <c r="P279" s="14"/>
      <c r="Q279" s="14"/>
      <c r="R279" s="14"/>
      <c r="S279" s="14"/>
      <c r="T279" s="14"/>
      <c r="U279" s="13"/>
      <c r="V279" s="14"/>
      <c r="W279" s="15"/>
    </row>
    <row r="280" spans="1:23" x14ac:dyDescent="0.25">
      <c r="A280" s="44"/>
      <c r="B280" s="628"/>
      <c r="C280" s="12"/>
      <c r="D280" s="25"/>
      <c r="E280" s="14"/>
      <c r="F280" s="14"/>
      <c r="G280" s="14"/>
      <c r="H280" s="14"/>
      <c r="I280" s="14"/>
      <c r="J280" s="14"/>
      <c r="K280" s="14"/>
      <c r="L280" s="14"/>
      <c r="M280" s="14"/>
      <c r="N280" s="14"/>
      <c r="O280" s="14"/>
      <c r="P280" s="14"/>
      <c r="Q280" s="14"/>
      <c r="R280" s="14"/>
      <c r="S280" s="14"/>
      <c r="T280" s="14"/>
      <c r="U280" s="13"/>
      <c r="V280" s="14"/>
      <c r="W280" s="15"/>
    </row>
    <row r="281" spans="1:23" s="154" customFormat="1" x14ac:dyDescent="0.25">
      <c r="A281" s="122"/>
      <c r="B281" s="629"/>
      <c r="C281" s="12"/>
      <c r="D281" s="25"/>
      <c r="E281" s="14"/>
      <c r="F281" s="14"/>
      <c r="G281" s="14"/>
      <c r="H281" s="14"/>
      <c r="I281" s="14"/>
      <c r="J281" s="14"/>
      <c r="K281" s="14"/>
      <c r="L281" s="14"/>
      <c r="M281" s="14"/>
      <c r="N281" s="14"/>
      <c r="O281" s="14"/>
      <c r="P281" s="14"/>
      <c r="Q281" s="14"/>
      <c r="R281" s="14"/>
      <c r="S281" s="14"/>
      <c r="T281" s="14"/>
      <c r="U281" s="13"/>
      <c r="V281" s="14"/>
      <c r="W281" s="15"/>
    </row>
    <row r="282" spans="1:23" s="154" customFormat="1" x14ac:dyDescent="0.25">
      <c r="A282" s="122"/>
      <c r="B282" s="537"/>
      <c r="C282" s="29"/>
      <c r="D282" s="25"/>
      <c r="E282" s="14"/>
      <c r="F282" s="14"/>
      <c r="G282" s="14"/>
      <c r="H282" s="14"/>
      <c r="I282" s="14"/>
      <c r="J282" s="14"/>
      <c r="K282" s="14"/>
      <c r="L282" s="14"/>
      <c r="M282" s="14"/>
      <c r="N282" s="14"/>
      <c r="O282" s="14"/>
      <c r="P282" s="14"/>
      <c r="Q282" s="14"/>
      <c r="R282" s="14"/>
      <c r="S282" s="14"/>
      <c r="T282" s="14"/>
      <c r="U282" s="13"/>
      <c r="V282" s="14"/>
      <c r="W282" s="15"/>
    </row>
    <row r="283" spans="1:23" s="154" customFormat="1" x14ac:dyDescent="0.25">
      <c r="A283" s="44"/>
      <c r="B283" s="538"/>
      <c r="C283" s="19"/>
      <c r="D283" s="25"/>
      <c r="E283" s="14"/>
      <c r="F283" s="14"/>
      <c r="G283" s="14"/>
      <c r="H283" s="14"/>
      <c r="I283" s="14"/>
      <c r="J283" s="14"/>
      <c r="K283" s="14"/>
      <c r="L283" s="14"/>
      <c r="M283" s="14"/>
      <c r="N283" s="14"/>
      <c r="O283" s="14"/>
      <c r="P283" s="14"/>
      <c r="Q283" s="14"/>
      <c r="R283" s="14"/>
      <c r="S283" s="14"/>
      <c r="T283" s="14"/>
      <c r="U283" s="13"/>
      <c r="V283" s="14"/>
      <c r="W283" s="15"/>
    </row>
    <row r="284" spans="1:23" s="154" customFormat="1" x14ac:dyDescent="0.25">
      <c r="A284" s="44"/>
      <c r="B284" s="539"/>
      <c r="C284" s="19"/>
      <c r="D284" s="25"/>
      <c r="E284" s="14"/>
      <c r="F284" s="14"/>
      <c r="G284" s="14"/>
      <c r="H284" s="14"/>
      <c r="I284" s="14"/>
      <c r="J284" s="14"/>
      <c r="K284" s="14"/>
      <c r="L284" s="14"/>
      <c r="M284" s="14"/>
      <c r="N284" s="14"/>
      <c r="O284" s="14"/>
      <c r="P284" s="14"/>
      <c r="Q284" s="14"/>
      <c r="R284" s="14"/>
      <c r="S284" s="14"/>
      <c r="T284" s="14"/>
      <c r="U284" s="13"/>
      <c r="V284" s="14"/>
      <c r="W284" s="15"/>
    </row>
    <row r="285" spans="1:23" s="154" customFormat="1" x14ac:dyDescent="0.25">
      <c r="A285" s="44"/>
      <c r="B285" s="630"/>
      <c r="C285" s="19"/>
      <c r="D285" s="25"/>
      <c r="E285" s="14"/>
      <c r="F285" s="14"/>
      <c r="G285" s="14"/>
      <c r="H285" s="14"/>
      <c r="I285" s="14"/>
      <c r="J285" s="14"/>
      <c r="K285" s="14"/>
      <c r="L285" s="14"/>
      <c r="M285" s="14"/>
      <c r="N285" s="14"/>
      <c r="O285" s="14"/>
      <c r="P285" s="14"/>
      <c r="Q285" s="14"/>
      <c r="R285" s="14"/>
      <c r="S285" s="14"/>
      <c r="T285" s="14"/>
      <c r="U285" s="13"/>
      <c r="V285" s="14"/>
      <c r="W285" s="15"/>
    </row>
    <row r="286" spans="1:23" s="154" customFormat="1" x14ac:dyDescent="0.25">
      <c r="A286" s="118"/>
      <c r="B286" s="541"/>
      <c r="C286" s="19"/>
      <c r="D286" s="25"/>
      <c r="E286" s="14"/>
      <c r="F286" s="14"/>
      <c r="G286" s="14"/>
      <c r="H286" s="14"/>
      <c r="I286" s="14"/>
      <c r="J286" s="14"/>
      <c r="K286" s="14"/>
      <c r="L286" s="14"/>
      <c r="M286" s="14"/>
      <c r="N286" s="14"/>
      <c r="O286" s="14"/>
      <c r="P286" s="14"/>
      <c r="Q286" s="14"/>
      <c r="R286" s="14"/>
      <c r="S286" s="14"/>
      <c r="T286" s="14"/>
      <c r="U286" s="13"/>
      <c r="V286" s="14"/>
      <c r="W286" s="15"/>
    </row>
    <row r="287" spans="1:23" s="154" customFormat="1" x14ac:dyDescent="0.25">
      <c r="A287" s="118"/>
      <c r="B287" s="542"/>
      <c r="C287" s="19"/>
      <c r="D287" s="25"/>
      <c r="E287" s="14"/>
      <c r="F287" s="14"/>
      <c r="G287" s="14"/>
      <c r="H287" s="14"/>
      <c r="I287" s="14"/>
      <c r="J287" s="14"/>
      <c r="K287" s="14"/>
      <c r="L287" s="14"/>
      <c r="M287" s="14"/>
      <c r="N287" s="14"/>
      <c r="O287" s="14"/>
      <c r="P287" s="14"/>
      <c r="Q287" s="14"/>
      <c r="R287" s="14"/>
      <c r="S287" s="14"/>
      <c r="T287" s="14"/>
      <c r="U287" s="13"/>
      <c r="V287" s="14"/>
      <c r="W287" s="15"/>
    </row>
    <row r="288" spans="1:23" s="154" customFormat="1" x14ac:dyDescent="0.25">
      <c r="A288" s="44"/>
      <c r="B288" s="543"/>
      <c r="C288" s="12"/>
      <c r="D288" s="25"/>
      <c r="E288" s="14"/>
      <c r="F288" s="14"/>
      <c r="G288" s="14"/>
      <c r="H288" s="14"/>
      <c r="I288" s="14"/>
      <c r="J288" s="14"/>
      <c r="K288" s="14"/>
      <c r="L288" s="14"/>
      <c r="M288" s="14"/>
      <c r="N288" s="14"/>
      <c r="O288" s="14"/>
      <c r="P288" s="14"/>
      <c r="Q288" s="14"/>
      <c r="R288" s="14"/>
      <c r="S288" s="14"/>
      <c r="T288" s="14"/>
      <c r="U288" s="13"/>
      <c r="V288" s="25"/>
      <c r="W288" s="15"/>
    </row>
    <row r="289" spans="1:23" s="154" customFormat="1" x14ac:dyDescent="0.25">
      <c r="A289" s="118"/>
      <c r="B289" s="544"/>
      <c r="C289" s="12"/>
      <c r="D289" s="25"/>
      <c r="E289" s="25"/>
      <c r="F289" s="25"/>
      <c r="G289" s="25"/>
      <c r="H289" s="25"/>
      <c r="I289" s="25"/>
      <c r="J289" s="25"/>
      <c r="K289" s="25"/>
      <c r="L289" s="25"/>
      <c r="M289" s="25"/>
      <c r="N289" s="25"/>
      <c r="O289" s="25"/>
      <c r="P289" s="25"/>
      <c r="Q289" s="25"/>
      <c r="R289" s="25"/>
      <c r="S289" s="25"/>
      <c r="T289" s="25"/>
      <c r="U289" s="13"/>
      <c r="V289" s="25"/>
      <c r="W289" s="15"/>
    </row>
    <row r="290" spans="1:23" s="154" customFormat="1" x14ac:dyDescent="0.25">
      <c r="A290" s="118"/>
      <c r="B290" s="631"/>
      <c r="C290" s="19"/>
      <c r="D290" s="25"/>
      <c r="E290" s="25"/>
      <c r="F290" s="25"/>
      <c r="G290" s="25"/>
      <c r="H290" s="25"/>
      <c r="I290" s="25"/>
      <c r="J290" s="25"/>
      <c r="K290" s="25"/>
      <c r="L290" s="25"/>
      <c r="M290" s="25"/>
      <c r="N290" s="25"/>
      <c r="O290" s="25"/>
      <c r="P290" s="25"/>
      <c r="Q290" s="25"/>
      <c r="R290" s="25"/>
      <c r="S290" s="25"/>
      <c r="T290" s="25"/>
      <c r="U290" s="13"/>
      <c r="V290" s="25"/>
      <c r="W290" s="15"/>
    </row>
    <row r="291" spans="1:23" s="154" customFormat="1" x14ac:dyDescent="0.25">
      <c r="A291" s="118"/>
      <c r="B291" s="594"/>
      <c r="C291" s="19"/>
      <c r="D291" s="25"/>
      <c r="E291" s="25"/>
      <c r="F291" s="25"/>
      <c r="G291" s="25"/>
      <c r="H291" s="25"/>
      <c r="I291" s="25"/>
      <c r="J291" s="25"/>
      <c r="K291" s="25"/>
      <c r="L291" s="25"/>
      <c r="M291" s="25"/>
      <c r="N291" s="25"/>
      <c r="O291" s="25"/>
      <c r="P291" s="25"/>
      <c r="Q291" s="25"/>
      <c r="R291" s="25"/>
      <c r="S291" s="25"/>
      <c r="T291" s="25"/>
      <c r="U291" s="13"/>
      <c r="V291" s="25"/>
      <c r="W291" s="15"/>
    </row>
    <row r="292" spans="1:23" s="154" customFormat="1" x14ac:dyDescent="0.25">
      <c r="A292" s="118"/>
      <c r="B292" s="632"/>
      <c r="C292" s="36"/>
      <c r="D292" s="25"/>
      <c r="E292" s="25"/>
      <c r="F292" s="25"/>
      <c r="G292" s="25"/>
      <c r="H292" s="25"/>
      <c r="I292" s="25"/>
      <c r="J292" s="25"/>
      <c r="K292" s="25"/>
      <c r="L292" s="25"/>
      <c r="M292" s="25"/>
      <c r="N292" s="25"/>
      <c r="O292" s="25"/>
      <c r="P292" s="25"/>
      <c r="Q292" s="25"/>
      <c r="R292" s="25"/>
      <c r="S292" s="25"/>
      <c r="T292" s="25"/>
      <c r="U292" s="13"/>
      <c r="V292" s="25"/>
      <c r="W292" s="15"/>
    </row>
    <row r="293" spans="1:23" s="154" customFormat="1" x14ac:dyDescent="0.25">
      <c r="A293" s="44"/>
      <c r="B293" s="545"/>
      <c r="C293" s="20"/>
      <c r="D293" s="20"/>
      <c r="E293" s="20"/>
      <c r="F293" s="20"/>
      <c r="G293" s="20"/>
      <c r="H293" s="20"/>
      <c r="I293" s="20"/>
      <c r="J293" s="20"/>
      <c r="K293" s="20"/>
      <c r="L293" s="20"/>
      <c r="M293" s="20"/>
      <c r="N293" s="20"/>
      <c r="O293" s="20"/>
      <c r="P293" s="20"/>
      <c r="Q293" s="20"/>
      <c r="R293" s="20"/>
      <c r="S293" s="20"/>
      <c r="T293" s="20"/>
      <c r="U293" s="13"/>
      <c r="V293" s="20"/>
      <c r="W293" s="20"/>
    </row>
    <row r="294" spans="1:23" s="154" customFormat="1" x14ac:dyDescent="0.25">
      <c r="A294" s="44"/>
      <c r="B294" s="546"/>
      <c r="C294" s="12"/>
      <c r="D294" s="25"/>
      <c r="E294" s="14"/>
      <c r="F294" s="14"/>
      <c r="G294" s="14"/>
      <c r="H294" s="14"/>
      <c r="I294" s="14"/>
      <c r="J294" s="14"/>
      <c r="K294" s="14"/>
      <c r="L294" s="14"/>
      <c r="M294" s="14"/>
      <c r="N294" s="14"/>
      <c r="O294" s="14"/>
      <c r="P294" s="14"/>
      <c r="Q294" s="14"/>
      <c r="R294" s="14"/>
      <c r="S294" s="14"/>
      <c r="T294" s="14"/>
      <c r="U294" s="13"/>
      <c r="V294" s="14"/>
      <c r="W294" s="15"/>
    </row>
    <row r="295" spans="1:23" s="154" customFormat="1" x14ac:dyDescent="0.25">
      <c r="A295" s="44"/>
      <c r="B295" s="547"/>
      <c r="C295" s="19"/>
      <c r="D295" s="33"/>
      <c r="E295" s="33"/>
      <c r="F295" s="33"/>
      <c r="G295" s="33"/>
      <c r="H295" s="33"/>
      <c r="I295" s="33"/>
      <c r="J295" s="33"/>
      <c r="K295" s="33"/>
      <c r="L295" s="33"/>
      <c r="M295" s="33"/>
      <c r="N295" s="33"/>
      <c r="O295" s="33"/>
      <c r="P295" s="33"/>
      <c r="Q295" s="33"/>
      <c r="R295" s="33"/>
      <c r="S295" s="33"/>
      <c r="T295" s="33"/>
      <c r="U295" s="13"/>
      <c r="V295" s="25"/>
      <c r="W295" s="15"/>
    </row>
    <row r="296" spans="1:23" s="154" customFormat="1" x14ac:dyDescent="0.25">
      <c r="A296" s="44"/>
      <c r="B296" s="633"/>
      <c r="C296" s="19"/>
      <c r="D296" s="25"/>
      <c r="E296" s="14"/>
      <c r="F296" s="14"/>
      <c r="G296" s="14"/>
      <c r="H296" s="14"/>
      <c r="I296" s="14"/>
      <c r="J296" s="14"/>
      <c r="K296" s="14"/>
      <c r="L296" s="14"/>
      <c r="M296" s="14"/>
      <c r="N296" s="14"/>
      <c r="O296" s="14"/>
      <c r="P296" s="14"/>
      <c r="Q296" s="14"/>
      <c r="R296" s="14"/>
      <c r="S296" s="14"/>
      <c r="T296" s="14"/>
      <c r="U296" s="13"/>
      <c r="V296" s="25"/>
      <c r="W296" s="15"/>
    </row>
    <row r="297" spans="1:23" s="154" customFormat="1" x14ac:dyDescent="0.25">
      <c r="A297" s="44"/>
      <c r="B297" s="552"/>
      <c r="C297" s="19"/>
      <c r="D297" s="25"/>
      <c r="E297" s="14"/>
      <c r="F297" s="14"/>
      <c r="G297" s="14"/>
      <c r="H297" s="14"/>
      <c r="I297" s="14"/>
      <c r="J297" s="14"/>
      <c r="K297" s="14"/>
      <c r="L297" s="14"/>
      <c r="M297" s="14"/>
      <c r="N297" s="14"/>
      <c r="O297" s="14"/>
      <c r="P297" s="14"/>
      <c r="Q297" s="14"/>
      <c r="R297" s="14"/>
      <c r="S297" s="14"/>
      <c r="T297" s="14"/>
      <c r="U297" s="13"/>
      <c r="V297" s="25"/>
      <c r="W297" s="15"/>
    </row>
    <row r="298" spans="1:23" s="154" customFormat="1" x14ac:dyDescent="0.25">
      <c r="A298" s="44"/>
      <c r="B298" s="553"/>
      <c r="C298" s="19"/>
      <c r="D298" s="25"/>
      <c r="E298" s="14"/>
      <c r="F298" s="14"/>
      <c r="G298" s="14"/>
      <c r="H298" s="14"/>
      <c r="I298" s="14"/>
      <c r="J298" s="14"/>
      <c r="K298" s="14"/>
      <c r="L298" s="14"/>
      <c r="M298" s="14"/>
      <c r="N298" s="14"/>
      <c r="O298" s="14"/>
      <c r="P298" s="14"/>
      <c r="Q298" s="14"/>
      <c r="R298" s="14"/>
      <c r="S298" s="14"/>
      <c r="T298" s="14"/>
      <c r="U298" s="13"/>
      <c r="V298" s="25"/>
      <c r="W298" s="15"/>
    </row>
    <row r="299" spans="1:23" s="154" customFormat="1" x14ac:dyDescent="0.25">
      <c r="A299" s="44"/>
      <c r="B299" s="549"/>
      <c r="C299" s="19"/>
      <c r="D299" s="25"/>
      <c r="E299" s="14"/>
      <c r="F299" s="14"/>
      <c r="G299" s="14"/>
      <c r="H299" s="14"/>
      <c r="I299" s="14"/>
      <c r="J299" s="14"/>
      <c r="K299" s="14"/>
      <c r="L299" s="14"/>
      <c r="M299" s="14"/>
      <c r="N299" s="14"/>
      <c r="O299" s="14"/>
      <c r="P299" s="14"/>
      <c r="Q299" s="14"/>
      <c r="R299" s="14"/>
      <c r="S299" s="14"/>
      <c r="T299" s="14"/>
      <c r="U299" s="13"/>
      <c r="V299" s="25"/>
      <c r="W299" s="15"/>
    </row>
    <row r="300" spans="1:23" s="154" customFormat="1" x14ac:dyDescent="0.25">
      <c r="A300" s="44"/>
      <c r="B300" s="479"/>
      <c r="C300" s="36"/>
      <c r="D300" s="25"/>
      <c r="E300" s="14"/>
      <c r="F300" s="14"/>
      <c r="G300" s="14"/>
      <c r="H300" s="14"/>
      <c r="I300" s="14"/>
      <c r="J300" s="14"/>
      <c r="K300" s="14"/>
      <c r="L300" s="14"/>
      <c r="M300" s="14"/>
      <c r="N300" s="14"/>
      <c r="O300" s="14"/>
      <c r="P300" s="14"/>
      <c r="Q300" s="14"/>
      <c r="R300" s="14"/>
      <c r="S300" s="14"/>
      <c r="T300" s="14"/>
      <c r="U300" s="13"/>
      <c r="V300" s="25"/>
      <c r="W300" s="15"/>
    </row>
    <row r="301" spans="1:23" s="154" customFormat="1" x14ac:dyDescent="0.25">
      <c r="A301" s="44"/>
      <c r="B301" s="550"/>
      <c r="C301" s="37"/>
      <c r="D301" s="25"/>
      <c r="E301" s="14"/>
      <c r="F301" s="14"/>
      <c r="G301" s="14"/>
      <c r="H301" s="14"/>
      <c r="I301" s="14"/>
      <c r="J301" s="14"/>
      <c r="K301" s="14"/>
      <c r="L301" s="14"/>
      <c r="M301" s="14"/>
      <c r="N301" s="14"/>
      <c r="O301" s="14"/>
      <c r="P301" s="14"/>
      <c r="Q301" s="14"/>
      <c r="R301" s="14"/>
      <c r="S301" s="14"/>
      <c r="T301" s="14"/>
      <c r="U301" s="13"/>
      <c r="V301" s="25"/>
      <c r="W301" s="15"/>
    </row>
    <row r="302" spans="1:23" s="154" customFormat="1" x14ac:dyDescent="0.25">
      <c r="A302" s="44"/>
      <c r="B302" s="551"/>
      <c r="C302" s="37"/>
      <c r="D302" s="25"/>
      <c r="E302" s="14"/>
      <c r="F302" s="14"/>
      <c r="G302" s="14"/>
      <c r="H302" s="14"/>
      <c r="I302" s="14"/>
      <c r="J302" s="14"/>
      <c r="K302" s="14"/>
      <c r="L302" s="14"/>
      <c r="M302" s="14"/>
      <c r="N302" s="14"/>
      <c r="O302" s="14"/>
      <c r="P302" s="14"/>
      <c r="Q302" s="14"/>
      <c r="R302" s="14"/>
      <c r="S302" s="14"/>
      <c r="T302" s="14"/>
      <c r="U302" s="13"/>
      <c r="V302" s="25"/>
      <c r="W302" s="15"/>
    </row>
    <row r="303" spans="1:23" s="154" customFormat="1" x14ac:dyDescent="0.25">
      <c r="A303" s="44"/>
      <c r="B303" s="634"/>
      <c r="C303" s="37"/>
      <c r="D303" s="25"/>
      <c r="E303" s="14"/>
      <c r="F303" s="14"/>
      <c r="G303" s="14"/>
      <c r="H303" s="14"/>
      <c r="I303" s="14"/>
      <c r="J303" s="14"/>
      <c r="K303" s="14"/>
      <c r="L303" s="14"/>
      <c r="M303" s="14"/>
      <c r="N303" s="14"/>
      <c r="O303" s="14"/>
      <c r="P303" s="14"/>
      <c r="Q303" s="14"/>
      <c r="R303" s="14"/>
      <c r="S303" s="14"/>
      <c r="T303" s="14"/>
      <c r="U303" s="13"/>
      <c r="V303" s="25"/>
      <c r="W303" s="15"/>
    </row>
    <row r="304" spans="1:23" s="154" customFormat="1" x14ac:dyDescent="0.25">
      <c r="A304" s="44"/>
      <c r="B304" s="635"/>
      <c r="C304" s="19"/>
      <c r="D304" s="25"/>
      <c r="E304" s="14"/>
      <c r="F304" s="14"/>
      <c r="G304" s="14"/>
      <c r="H304" s="14"/>
      <c r="I304" s="14"/>
      <c r="J304" s="14"/>
      <c r="K304" s="14"/>
      <c r="L304" s="14"/>
      <c r="M304" s="14"/>
      <c r="N304" s="14"/>
      <c r="O304" s="14"/>
      <c r="P304" s="14"/>
      <c r="Q304" s="14"/>
      <c r="R304" s="14"/>
      <c r="S304" s="14"/>
      <c r="T304" s="14"/>
      <c r="U304" s="13"/>
      <c r="V304" s="25"/>
      <c r="W304" s="15"/>
    </row>
    <row r="305" spans="1:23" s="154" customFormat="1" x14ac:dyDescent="0.25">
      <c r="A305" s="44"/>
      <c r="B305" s="636"/>
      <c r="C305" s="38"/>
      <c r="D305" s="25"/>
      <c r="E305" s="14"/>
      <c r="F305" s="14"/>
      <c r="G305" s="14"/>
      <c r="H305" s="14"/>
      <c r="I305" s="14"/>
      <c r="J305" s="14"/>
      <c r="K305" s="14"/>
      <c r="L305" s="14"/>
      <c r="M305" s="14"/>
      <c r="N305" s="14"/>
      <c r="O305" s="14"/>
      <c r="P305" s="14"/>
      <c r="Q305" s="14"/>
      <c r="R305" s="14"/>
      <c r="S305" s="14"/>
      <c r="T305" s="14"/>
      <c r="U305" s="13"/>
      <c r="V305" s="25"/>
      <c r="W305" s="15"/>
    </row>
    <row r="306" spans="1:23" s="154" customFormat="1" x14ac:dyDescent="0.25">
      <c r="A306" s="44"/>
      <c r="B306" s="637"/>
      <c r="C306" s="38"/>
      <c r="D306" s="25"/>
      <c r="E306" s="14"/>
      <c r="F306" s="14"/>
      <c r="G306" s="14"/>
      <c r="H306" s="14"/>
      <c r="I306" s="14"/>
      <c r="J306" s="14"/>
      <c r="K306" s="14"/>
      <c r="L306" s="14"/>
      <c r="M306" s="14"/>
      <c r="N306" s="14"/>
      <c r="O306" s="14"/>
      <c r="P306" s="14"/>
      <c r="Q306" s="14"/>
      <c r="R306" s="14"/>
      <c r="S306" s="14"/>
      <c r="T306" s="14"/>
      <c r="U306" s="13"/>
      <c r="V306" s="25"/>
      <c r="W306" s="15"/>
    </row>
    <row r="307" spans="1:23" s="154" customFormat="1" x14ac:dyDescent="0.25">
      <c r="A307" s="44"/>
      <c r="B307" s="638"/>
      <c r="C307" s="38"/>
      <c r="D307" s="25"/>
      <c r="E307" s="14"/>
      <c r="F307" s="14"/>
      <c r="G307" s="14"/>
      <c r="H307" s="14"/>
      <c r="I307" s="14"/>
      <c r="J307" s="14"/>
      <c r="K307" s="14"/>
      <c r="L307" s="14"/>
      <c r="M307" s="14"/>
      <c r="N307" s="14"/>
      <c r="O307" s="14"/>
      <c r="P307" s="14"/>
      <c r="Q307" s="14"/>
      <c r="R307" s="14"/>
      <c r="S307" s="14"/>
      <c r="T307" s="14"/>
      <c r="U307" s="13"/>
      <c r="V307" s="25"/>
      <c r="W307" s="15"/>
    </row>
    <row r="308" spans="1:23" s="154" customFormat="1" x14ac:dyDescent="0.25">
      <c r="A308" s="44"/>
      <c r="B308" s="639"/>
      <c r="C308" s="38"/>
      <c r="D308" s="25"/>
      <c r="E308" s="14"/>
      <c r="F308" s="14"/>
      <c r="G308" s="14"/>
      <c r="H308" s="14"/>
      <c r="I308" s="14"/>
      <c r="J308" s="14"/>
      <c r="K308" s="14"/>
      <c r="L308" s="14"/>
      <c r="M308" s="14"/>
      <c r="N308" s="14"/>
      <c r="O308" s="14"/>
      <c r="P308" s="14"/>
      <c r="Q308" s="14"/>
      <c r="R308" s="14"/>
      <c r="S308" s="14"/>
      <c r="T308" s="14"/>
      <c r="U308" s="13"/>
      <c r="V308" s="25"/>
      <c r="W308" s="15"/>
    </row>
    <row r="309" spans="1:23" s="154" customFormat="1" x14ac:dyDescent="0.25">
      <c r="A309" s="44"/>
      <c r="B309" s="479"/>
      <c r="C309" s="36"/>
      <c r="D309" s="25"/>
      <c r="E309" s="14"/>
      <c r="F309" s="14"/>
      <c r="G309" s="14"/>
      <c r="H309" s="14"/>
      <c r="I309" s="14"/>
      <c r="J309" s="14"/>
      <c r="K309" s="14"/>
      <c r="L309" s="14"/>
      <c r="M309" s="14"/>
      <c r="N309" s="14"/>
      <c r="O309" s="14"/>
      <c r="P309" s="14"/>
      <c r="Q309" s="14"/>
      <c r="R309" s="14"/>
      <c r="S309" s="14"/>
      <c r="T309" s="14"/>
      <c r="U309" s="13"/>
      <c r="V309" s="25"/>
      <c r="W309" s="15"/>
    </row>
    <row r="310" spans="1:23" s="154" customFormat="1" x14ac:dyDescent="0.25">
      <c r="A310" s="44"/>
      <c r="B310" s="550"/>
      <c r="C310" s="37"/>
      <c r="D310" s="25"/>
      <c r="E310" s="14"/>
      <c r="F310" s="14"/>
      <c r="G310" s="14"/>
      <c r="H310" s="14"/>
      <c r="I310" s="14"/>
      <c r="J310" s="14"/>
      <c r="K310" s="14"/>
      <c r="L310" s="14"/>
      <c r="M310" s="14"/>
      <c r="N310" s="14"/>
      <c r="O310" s="14"/>
      <c r="P310" s="14"/>
      <c r="Q310" s="14"/>
      <c r="R310" s="14"/>
      <c r="S310" s="14"/>
      <c r="T310" s="14"/>
      <c r="U310" s="13"/>
      <c r="V310" s="25"/>
      <c r="W310" s="15"/>
    </row>
    <row r="311" spans="1:23" s="154" customFormat="1" x14ac:dyDescent="0.25">
      <c r="A311" s="44"/>
      <c r="B311" s="640"/>
      <c r="C311" s="37"/>
      <c r="D311" s="25"/>
      <c r="E311" s="14"/>
      <c r="F311" s="14"/>
      <c r="G311" s="14"/>
      <c r="H311" s="14"/>
      <c r="I311" s="14"/>
      <c r="J311" s="14"/>
      <c r="K311" s="14"/>
      <c r="L311" s="14"/>
      <c r="M311" s="14"/>
      <c r="N311" s="14"/>
      <c r="O311" s="14"/>
      <c r="P311" s="14"/>
      <c r="Q311" s="14"/>
      <c r="R311" s="14"/>
      <c r="S311" s="14"/>
      <c r="T311" s="14"/>
      <c r="U311" s="13"/>
      <c r="V311" s="25"/>
      <c r="W311" s="15"/>
    </row>
    <row r="312" spans="1:23" s="154" customFormat="1" x14ac:dyDescent="0.25">
      <c r="A312" s="44"/>
      <c r="B312" s="641"/>
      <c r="C312" s="20"/>
      <c r="D312" s="20"/>
      <c r="E312" s="20"/>
      <c r="F312" s="20"/>
      <c r="G312" s="20"/>
      <c r="H312" s="20"/>
      <c r="I312" s="20"/>
      <c r="J312" s="20"/>
      <c r="K312" s="20"/>
      <c r="L312" s="20"/>
      <c r="M312" s="20"/>
      <c r="N312" s="20"/>
      <c r="O312" s="20"/>
      <c r="P312" s="20"/>
      <c r="Q312" s="20"/>
      <c r="R312" s="20"/>
      <c r="S312" s="20"/>
      <c r="T312" s="20"/>
      <c r="U312" s="13"/>
      <c r="V312" s="20"/>
      <c r="W312" s="20"/>
    </row>
    <row r="313" spans="1:23" s="154" customFormat="1" x14ac:dyDescent="0.25">
      <c r="A313" s="44"/>
      <c r="B313" s="642"/>
      <c r="C313" s="36"/>
      <c r="D313" s="25"/>
      <c r="E313" s="14"/>
      <c r="F313" s="14"/>
      <c r="G313" s="14"/>
      <c r="H313" s="14"/>
      <c r="I313" s="14"/>
      <c r="J313" s="14"/>
      <c r="K313" s="14"/>
      <c r="L313" s="14"/>
      <c r="M313" s="14"/>
      <c r="N313" s="14"/>
      <c r="O313" s="14"/>
      <c r="P313" s="14"/>
      <c r="Q313" s="14"/>
      <c r="R313" s="14"/>
      <c r="S313" s="14"/>
      <c r="T313" s="14"/>
      <c r="U313" s="13"/>
      <c r="V313" s="25"/>
      <c r="W313" s="15"/>
    </row>
    <row r="314" spans="1:23" s="154" customFormat="1" x14ac:dyDescent="0.25">
      <c r="A314" s="44"/>
      <c r="B314" s="643"/>
      <c r="C314" s="36"/>
      <c r="D314" s="25"/>
      <c r="E314" s="14"/>
      <c r="F314" s="14"/>
      <c r="G314" s="14"/>
      <c r="H314" s="14"/>
      <c r="I314" s="14"/>
      <c r="J314" s="14"/>
      <c r="K314" s="14"/>
      <c r="L314" s="14"/>
      <c r="M314" s="14"/>
      <c r="N314" s="14"/>
      <c r="O314" s="14"/>
      <c r="P314" s="14"/>
      <c r="Q314" s="14"/>
      <c r="R314" s="14"/>
      <c r="S314" s="14"/>
      <c r="T314" s="14"/>
      <c r="U314" s="13"/>
      <c r="V314" s="25"/>
      <c r="W314" s="15"/>
    </row>
    <row r="315" spans="1:23" s="154" customFormat="1" x14ac:dyDescent="0.25">
      <c r="A315" s="44"/>
      <c r="B315" s="644"/>
      <c r="C315" s="38"/>
      <c r="D315" s="25"/>
      <c r="E315" s="14"/>
      <c r="F315" s="14"/>
      <c r="G315" s="14"/>
      <c r="H315" s="14"/>
      <c r="I315" s="14"/>
      <c r="J315" s="14"/>
      <c r="K315" s="14"/>
      <c r="L315" s="14"/>
      <c r="M315" s="14"/>
      <c r="N315" s="14"/>
      <c r="O315" s="14"/>
      <c r="P315" s="14"/>
      <c r="Q315" s="14"/>
      <c r="R315" s="14"/>
      <c r="S315" s="14"/>
      <c r="T315" s="14"/>
      <c r="U315" s="13"/>
      <c r="V315" s="25"/>
      <c r="W315" s="15"/>
    </row>
    <row r="316" spans="1:23" s="154" customFormat="1" x14ac:dyDescent="0.25">
      <c r="A316" s="44"/>
      <c r="B316" s="645"/>
      <c r="C316" s="38"/>
      <c r="D316" s="25"/>
      <c r="E316" s="14"/>
      <c r="F316" s="14"/>
      <c r="G316" s="14"/>
      <c r="H316" s="14"/>
      <c r="I316" s="14"/>
      <c r="J316" s="14"/>
      <c r="K316" s="14"/>
      <c r="L316" s="14"/>
      <c r="M316" s="14"/>
      <c r="N316" s="14"/>
      <c r="O316" s="14"/>
      <c r="P316" s="14"/>
      <c r="Q316" s="14"/>
      <c r="R316" s="14"/>
      <c r="S316" s="14"/>
      <c r="T316" s="14"/>
      <c r="U316" s="13"/>
      <c r="V316" s="25"/>
      <c r="W316" s="15"/>
    </row>
    <row r="317" spans="1:23" s="154" customFormat="1" x14ac:dyDescent="0.25">
      <c r="A317" s="44"/>
      <c r="B317" s="646"/>
      <c r="C317" s="25"/>
      <c r="D317" s="25"/>
      <c r="E317" s="25"/>
      <c r="F317" s="25"/>
      <c r="G317" s="25"/>
      <c r="H317" s="25"/>
      <c r="I317" s="25"/>
      <c r="J317" s="25"/>
      <c r="K317" s="25"/>
      <c r="L317" s="25"/>
      <c r="M317" s="25"/>
      <c r="N317" s="25"/>
      <c r="O317" s="25"/>
      <c r="P317" s="25"/>
      <c r="Q317" s="25"/>
      <c r="R317" s="25"/>
      <c r="S317" s="25"/>
      <c r="T317" s="25"/>
      <c r="U317" s="13"/>
      <c r="V317" s="25"/>
      <c r="W317" s="25"/>
    </row>
    <row r="318" spans="1:23" s="154" customFormat="1" x14ac:dyDescent="0.25">
      <c r="A318" s="44"/>
      <c r="B318" s="647"/>
      <c r="C318" s="38"/>
      <c r="D318" s="25"/>
      <c r="E318" s="14"/>
      <c r="F318" s="14"/>
      <c r="G318" s="14"/>
      <c r="H318" s="14"/>
      <c r="I318" s="14"/>
      <c r="J318" s="14"/>
      <c r="K318" s="14"/>
      <c r="L318" s="14"/>
      <c r="M318" s="14"/>
      <c r="N318" s="14"/>
      <c r="O318" s="14"/>
      <c r="P318" s="14"/>
      <c r="Q318" s="14"/>
      <c r="R318" s="14"/>
      <c r="S318" s="14"/>
      <c r="T318" s="14"/>
      <c r="U318" s="13"/>
      <c r="V318" s="25"/>
      <c r="W318" s="15"/>
    </row>
    <row r="319" spans="1:23" s="154" customFormat="1" x14ac:dyDescent="0.25">
      <c r="A319" s="44"/>
      <c r="B319" s="648"/>
      <c r="C319" s="38"/>
      <c r="D319" s="25"/>
      <c r="E319" s="14"/>
      <c r="F319" s="14"/>
      <c r="G319" s="14"/>
      <c r="H319" s="14"/>
      <c r="I319" s="14"/>
      <c r="J319" s="14"/>
      <c r="K319" s="14"/>
      <c r="L319" s="14"/>
      <c r="M319" s="14"/>
      <c r="N319" s="14"/>
      <c r="O319" s="14"/>
      <c r="P319" s="14"/>
      <c r="Q319" s="14"/>
      <c r="R319" s="14"/>
      <c r="S319" s="14"/>
      <c r="T319" s="14"/>
      <c r="U319" s="13"/>
      <c r="V319" s="25"/>
      <c r="W319" s="15"/>
    </row>
    <row r="320" spans="1:23" s="154" customFormat="1" x14ac:dyDescent="0.25">
      <c r="A320" s="44"/>
      <c r="B320" s="649"/>
      <c r="C320" s="38"/>
      <c r="D320" s="25"/>
      <c r="E320" s="14"/>
      <c r="F320" s="14"/>
      <c r="G320" s="14"/>
      <c r="H320" s="14"/>
      <c r="I320" s="14"/>
      <c r="J320" s="14"/>
      <c r="K320" s="14"/>
      <c r="L320" s="14"/>
      <c r="M320" s="14"/>
      <c r="N320" s="14"/>
      <c r="O320" s="14"/>
      <c r="P320" s="14"/>
      <c r="Q320" s="14"/>
      <c r="R320" s="14"/>
      <c r="S320" s="14"/>
      <c r="T320" s="14"/>
      <c r="U320" s="13"/>
      <c r="V320" s="25"/>
      <c r="W320" s="15"/>
    </row>
    <row r="321" spans="1:23" s="154" customFormat="1" x14ac:dyDescent="0.25">
      <c r="A321" s="44"/>
      <c r="B321" s="650"/>
      <c r="C321" s="38"/>
      <c r="D321" s="25"/>
      <c r="E321" s="14"/>
      <c r="F321" s="14"/>
      <c r="G321" s="14"/>
      <c r="H321" s="14"/>
      <c r="I321" s="14"/>
      <c r="J321" s="14"/>
      <c r="K321" s="14"/>
      <c r="L321" s="14"/>
      <c r="M321" s="14"/>
      <c r="N321" s="14"/>
      <c r="O321" s="14"/>
      <c r="P321" s="14"/>
      <c r="Q321" s="14"/>
      <c r="R321" s="14"/>
      <c r="S321" s="14"/>
      <c r="T321" s="14"/>
      <c r="U321" s="13"/>
      <c r="V321" s="25"/>
      <c r="W321" s="15"/>
    </row>
    <row r="322" spans="1:23" s="154" customFormat="1" x14ac:dyDescent="0.25">
      <c r="A322" s="44"/>
      <c r="B322" s="556"/>
      <c r="C322" s="20"/>
      <c r="D322" s="20"/>
      <c r="E322" s="20"/>
      <c r="F322" s="20"/>
      <c r="G322" s="20"/>
      <c r="H322" s="20"/>
      <c r="I322" s="20"/>
      <c r="J322" s="20"/>
      <c r="K322" s="20"/>
      <c r="L322" s="20"/>
      <c r="M322" s="20"/>
      <c r="N322" s="20"/>
      <c r="O322" s="20"/>
      <c r="P322" s="20"/>
      <c r="Q322" s="20"/>
      <c r="R322" s="20"/>
      <c r="S322" s="20"/>
      <c r="T322" s="20"/>
      <c r="U322" s="13"/>
      <c r="V322" s="20"/>
      <c r="W322" s="20"/>
    </row>
    <row r="323" spans="1:23" s="154" customFormat="1" x14ac:dyDescent="0.25">
      <c r="A323" s="44"/>
      <c r="B323" s="596"/>
      <c r="C323" s="36"/>
      <c r="D323" s="25"/>
      <c r="E323" s="14"/>
      <c r="F323" s="14"/>
      <c r="G323" s="14"/>
      <c r="H323" s="14"/>
      <c r="I323" s="14"/>
      <c r="J323" s="14"/>
      <c r="K323" s="14"/>
      <c r="L323" s="14"/>
      <c r="M323" s="14"/>
      <c r="N323" s="14"/>
      <c r="O323" s="14"/>
      <c r="P323" s="14"/>
      <c r="Q323" s="14"/>
      <c r="R323" s="14"/>
      <c r="S323" s="14"/>
      <c r="T323" s="14"/>
      <c r="U323" s="13"/>
      <c r="V323" s="25"/>
      <c r="W323" s="15"/>
    </row>
    <row r="324" spans="1:23" s="154" customFormat="1" x14ac:dyDescent="0.25">
      <c r="A324" s="44"/>
      <c r="B324" s="597"/>
      <c r="C324" s="36"/>
      <c r="D324" s="25"/>
      <c r="E324" s="14"/>
      <c r="F324" s="14"/>
      <c r="G324" s="14"/>
      <c r="H324" s="14"/>
      <c r="I324" s="14"/>
      <c r="J324" s="14"/>
      <c r="K324" s="14"/>
      <c r="L324" s="14"/>
      <c r="M324" s="14"/>
      <c r="N324" s="14"/>
      <c r="O324" s="14"/>
      <c r="P324" s="14"/>
      <c r="Q324" s="14"/>
      <c r="R324" s="14"/>
      <c r="S324" s="14"/>
      <c r="T324" s="14"/>
      <c r="U324" s="13"/>
      <c r="V324" s="25"/>
      <c r="W324" s="15"/>
    </row>
    <row r="325" spans="1:23" s="154" customFormat="1" x14ac:dyDescent="0.25">
      <c r="A325" s="44"/>
      <c r="B325" s="560"/>
      <c r="C325" s="20"/>
      <c r="D325" s="20"/>
      <c r="E325" s="20"/>
      <c r="F325" s="20"/>
      <c r="G325" s="20"/>
      <c r="H325" s="20"/>
      <c r="I325" s="20"/>
      <c r="J325" s="20"/>
      <c r="K325" s="20"/>
      <c r="L325" s="20"/>
      <c r="M325" s="20"/>
      <c r="N325" s="20"/>
      <c r="O325" s="20"/>
      <c r="P325" s="20"/>
      <c r="Q325" s="20"/>
      <c r="R325" s="20"/>
      <c r="S325" s="20"/>
      <c r="T325" s="20"/>
      <c r="U325" s="13"/>
      <c r="V325" s="20"/>
      <c r="W325" s="20"/>
    </row>
    <row r="326" spans="1:23" s="154" customFormat="1" x14ac:dyDescent="0.25">
      <c r="A326" s="44"/>
      <c r="B326" s="598"/>
      <c r="C326" s="36"/>
      <c r="D326" s="25"/>
      <c r="E326" s="14"/>
      <c r="F326" s="14"/>
      <c r="G326" s="14"/>
      <c r="H326" s="14"/>
      <c r="I326" s="14"/>
      <c r="J326" s="14"/>
      <c r="K326" s="14"/>
      <c r="L326" s="14"/>
      <c r="M326" s="14"/>
      <c r="N326" s="14"/>
      <c r="O326" s="14"/>
      <c r="P326" s="14"/>
      <c r="Q326" s="14"/>
      <c r="R326" s="14"/>
      <c r="S326" s="14"/>
      <c r="T326" s="14"/>
      <c r="U326" s="13"/>
      <c r="V326" s="25"/>
      <c r="W326" s="15"/>
    </row>
    <row r="327" spans="1:23" s="154" customFormat="1" x14ac:dyDescent="0.25">
      <c r="A327" s="44"/>
      <c r="B327" s="599"/>
      <c r="C327" s="36"/>
      <c r="D327" s="25"/>
      <c r="E327" s="14"/>
      <c r="F327" s="14"/>
      <c r="G327" s="14"/>
      <c r="H327" s="14"/>
      <c r="I327" s="14"/>
      <c r="J327" s="14"/>
      <c r="K327" s="14"/>
      <c r="L327" s="14"/>
      <c r="M327" s="14"/>
      <c r="N327" s="14"/>
      <c r="O327" s="14"/>
      <c r="P327" s="14"/>
      <c r="Q327" s="14"/>
      <c r="R327" s="14"/>
      <c r="S327" s="14"/>
      <c r="T327" s="14"/>
      <c r="U327" s="13"/>
      <c r="V327" s="25"/>
      <c r="W327" s="15"/>
    </row>
    <row r="328" spans="1:23" s="154" customFormat="1" x14ac:dyDescent="0.25">
      <c r="A328" s="44"/>
      <c r="B328" s="563"/>
      <c r="C328" s="36"/>
      <c r="D328" s="25"/>
      <c r="E328" s="14"/>
      <c r="F328" s="14"/>
      <c r="G328" s="14"/>
      <c r="H328" s="14"/>
      <c r="I328" s="14"/>
      <c r="J328" s="14"/>
      <c r="K328" s="14"/>
      <c r="L328" s="14"/>
      <c r="M328" s="14"/>
      <c r="N328" s="14"/>
      <c r="O328" s="14"/>
      <c r="P328" s="14"/>
      <c r="Q328" s="14"/>
      <c r="R328" s="14"/>
      <c r="S328" s="14"/>
      <c r="T328" s="14"/>
      <c r="U328" s="13"/>
      <c r="V328" s="25"/>
      <c r="W328" s="15"/>
    </row>
    <row r="329" spans="1:23" s="154" customFormat="1" x14ac:dyDescent="0.25">
      <c r="A329" s="44"/>
      <c r="B329" s="564"/>
      <c r="C329" s="20"/>
      <c r="D329" s="20"/>
      <c r="E329" s="20"/>
      <c r="F329" s="20"/>
      <c r="G329" s="20"/>
      <c r="H329" s="20"/>
      <c r="I329" s="20"/>
      <c r="J329" s="20"/>
      <c r="K329" s="20"/>
      <c r="L329" s="20"/>
      <c r="M329" s="20"/>
      <c r="N329" s="20"/>
      <c r="O329" s="20"/>
      <c r="P329" s="20"/>
      <c r="Q329" s="20"/>
      <c r="R329" s="20"/>
      <c r="S329" s="20"/>
      <c r="T329" s="20"/>
      <c r="U329" s="13"/>
      <c r="V329" s="20"/>
      <c r="W329" s="20"/>
    </row>
    <row r="330" spans="1:23" s="154" customFormat="1" x14ac:dyDescent="0.25">
      <c r="A330" s="44"/>
      <c r="B330" s="651"/>
      <c r="C330" s="38"/>
      <c r="D330" s="25"/>
      <c r="E330" s="14"/>
      <c r="F330" s="14"/>
      <c r="G330" s="14"/>
      <c r="H330" s="14"/>
      <c r="I330" s="14"/>
      <c r="J330" s="14"/>
      <c r="K330" s="14"/>
      <c r="L330" s="14"/>
      <c r="M330" s="14"/>
      <c r="N330" s="14"/>
      <c r="O330" s="14"/>
      <c r="P330" s="14"/>
      <c r="Q330" s="14"/>
      <c r="R330" s="14"/>
      <c r="S330" s="14"/>
      <c r="T330" s="14"/>
      <c r="U330" s="13"/>
      <c r="V330" s="25"/>
      <c r="W330" s="15"/>
    </row>
    <row r="331" spans="1:23" s="154" customFormat="1" x14ac:dyDescent="0.25">
      <c r="A331" s="44"/>
      <c r="B331" s="600"/>
      <c r="C331" s="38"/>
      <c r="D331" s="25"/>
      <c r="E331" s="14"/>
      <c r="F331" s="14"/>
      <c r="G331" s="14"/>
      <c r="H331" s="14"/>
      <c r="I331" s="14"/>
      <c r="J331" s="14"/>
      <c r="K331" s="14"/>
      <c r="L331" s="14"/>
      <c r="M331" s="14"/>
      <c r="N331" s="14"/>
      <c r="O331" s="14"/>
      <c r="P331" s="14"/>
      <c r="Q331" s="14"/>
      <c r="R331" s="14"/>
      <c r="S331" s="14"/>
      <c r="T331" s="14"/>
      <c r="U331" s="13"/>
      <c r="V331" s="25"/>
      <c r="W331" s="15"/>
    </row>
    <row r="332" spans="1:23" s="154" customFormat="1" x14ac:dyDescent="0.25">
      <c r="A332" s="44"/>
      <c r="B332" s="652"/>
      <c r="C332" s="38"/>
      <c r="D332" s="25"/>
      <c r="E332" s="14"/>
      <c r="F332" s="14"/>
      <c r="G332" s="14"/>
      <c r="H332" s="14"/>
      <c r="I332" s="14"/>
      <c r="J332" s="14"/>
      <c r="K332" s="14"/>
      <c r="L332" s="14"/>
      <c r="M332" s="14"/>
      <c r="N332" s="14"/>
      <c r="O332" s="14"/>
      <c r="P332" s="14"/>
      <c r="Q332" s="14"/>
      <c r="R332" s="14"/>
      <c r="S332" s="14"/>
      <c r="T332" s="14"/>
      <c r="U332" s="13"/>
      <c r="V332" s="25"/>
      <c r="W332" s="15"/>
    </row>
    <row r="333" spans="1:23" s="154" customFormat="1" x14ac:dyDescent="0.25">
      <c r="A333" s="44"/>
      <c r="B333" s="568"/>
      <c r="C333" s="38"/>
      <c r="D333" s="25"/>
      <c r="E333" s="14"/>
      <c r="F333" s="14"/>
      <c r="G333" s="14"/>
      <c r="H333" s="14"/>
      <c r="I333" s="14"/>
      <c r="J333" s="14"/>
      <c r="K333" s="14"/>
      <c r="L333" s="14"/>
      <c r="M333" s="14"/>
      <c r="N333" s="14"/>
      <c r="O333" s="14"/>
      <c r="P333" s="14"/>
      <c r="Q333" s="14"/>
      <c r="R333" s="14"/>
      <c r="S333" s="14"/>
      <c r="T333" s="14"/>
      <c r="U333" s="13"/>
      <c r="V333" s="25"/>
      <c r="W333" s="15"/>
    </row>
    <row r="334" spans="1:23" s="154" customFormat="1" x14ac:dyDescent="0.25">
      <c r="A334" s="44"/>
      <c r="B334" s="602"/>
      <c r="C334" s="38"/>
      <c r="D334" s="25"/>
      <c r="E334" s="14"/>
      <c r="F334" s="14"/>
      <c r="G334" s="14"/>
      <c r="H334" s="14"/>
      <c r="I334" s="14"/>
      <c r="J334" s="14"/>
      <c r="K334" s="14"/>
      <c r="L334" s="14"/>
      <c r="M334" s="14"/>
      <c r="N334" s="14"/>
      <c r="O334" s="14"/>
      <c r="P334" s="14"/>
      <c r="Q334" s="14"/>
      <c r="R334" s="14"/>
      <c r="S334" s="14"/>
      <c r="T334" s="14"/>
      <c r="U334" s="13"/>
      <c r="V334" s="25"/>
      <c r="W334" s="15"/>
    </row>
    <row r="335" spans="1:23" s="154" customFormat="1" x14ac:dyDescent="0.25">
      <c r="A335" s="44"/>
      <c r="B335" s="569"/>
      <c r="C335" s="38"/>
      <c r="D335" s="25"/>
      <c r="E335" s="14"/>
      <c r="F335" s="14"/>
      <c r="G335" s="14"/>
      <c r="H335" s="14"/>
      <c r="I335" s="14"/>
      <c r="J335" s="14"/>
      <c r="K335" s="14"/>
      <c r="L335" s="14"/>
      <c r="M335" s="14"/>
      <c r="N335" s="14"/>
      <c r="O335" s="14"/>
      <c r="P335" s="14"/>
      <c r="Q335" s="14"/>
      <c r="R335" s="14"/>
      <c r="S335" s="14"/>
      <c r="T335" s="14"/>
      <c r="U335" s="13"/>
      <c r="V335" s="25"/>
      <c r="W335" s="15"/>
    </row>
    <row r="336" spans="1:23" s="154" customFormat="1" x14ac:dyDescent="0.25">
      <c r="A336" s="44"/>
      <c r="B336" s="570"/>
      <c r="C336" s="38"/>
      <c r="D336" s="25"/>
      <c r="E336" s="14"/>
      <c r="F336" s="14"/>
      <c r="G336" s="14"/>
      <c r="H336" s="14"/>
      <c r="I336" s="14"/>
      <c r="J336" s="14"/>
      <c r="K336" s="14"/>
      <c r="L336" s="14"/>
      <c r="M336" s="14"/>
      <c r="N336" s="14"/>
      <c r="O336" s="14"/>
      <c r="P336" s="14"/>
      <c r="Q336" s="14"/>
      <c r="R336" s="14"/>
      <c r="S336" s="14"/>
      <c r="T336" s="14"/>
      <c r="U336" s="13"/>
      <c r="V336" s="25"/>
      <c r="W336" s="15"/>
    </row>
    <row r="337" spans="1:24" s="154" customFormat="1" x14ac:dyDescent="0.25">
      <c r="A337" s="44"/>
      <c r="B337" s="653"/>
      <c r="C337" s="38"/>
      <c r="D337" s="25"/>
      <c r="E337" s="14"/>
      <c r="F337" s="14"/>
      <c r="G337" s="14"/>
      <c r="H337" s="14"/>
      <c r="I337" s="14"/>
      <c r="J337" s="14"/>
      <c r="K337" s="14"/>
      <c r="L337" s="14"/>
      <c r="M337" s="14"/>
      <c r="N337" s="14"/>
      <c r="O337" s="14"/>
      <c r="P337" s="14"/>
      <c r="Q337" s="14"/>
      <c r="R337" s="14"/>
      <c r="S337" s="14"/>
      <c r="T337" s="14"/>
      <c r="U337" s="13"/>
      <c r="V337" s="25"/>
      <c r="W337" s="15"/>
    </row>
    <row r="338" spans="1:24" s="154" customFormat="1" x14ac:dyDescent="0.25">
      <c r="A338" s="44"/>
      <c r="B338" s="654"/>
      <c r="C338" s="37"/>
      <c r="D338" s="25"/>
      <c r="E338" s="14"/>
      <c r="F338" s="14"/>
      <c r="G338" s="14"/>
      <c r="H338" s="14"/>
      <c r="I338" s="14"/>
      <c r="J338" s="14"/>
      <c r="K338" s="14"/>
      <c r="L338" s="14"/>
      <c r="M338" s="14"/>
      <c r="N338" s="14"/>
      <c r="O338" s="14"/>
      <c r="P338" s="14"/>
      <c r="Q338" s="14"/>
      <c r="R338" s="14"/>
      <c r="S338" s="14"/>
      <c r="T338" s="14"/>
      <c r="U338" s="13"/>
      <c r="V338" s="25"/>
      <c r="W338" s="15"/>
    </row>
    <row r="339" spans="1:24" s="154" customFormat="1" x14ac:dyDescent="0.25">
      <c r="A339" s="44"/>
      <c r="B339" s="603"/>
      <c r="C339" s="37"/>
      <c r="D339" s="25"/>
      <c r="E339" s="14"/>
      <c r="F339" s="14"/>
      <c r="G339" s="14"/>
      <c r="H339" s="14"/>
      <c r="I339" s="14"/>
      <c r="J339" s="14"/>
      <c r="K339" s="14"/>
      <c r="L339" s="14"/>
      <c r="M339" s="14"/>
      <c r="N339" s="14"/>
      <c r="O339" s="14"/>
      <c r="P339" s="14"/>
      <c r="Q339" s="14"/>
      <c r="R339" s="14"/>
      <c r="S339" s="14"/>
      <c r="T339" s="14"/>
      <c r="U339" s="13"/>
      <c r="V339" s="25"/>
      <c r="W339" s="15"/>
    </row>
    <row r="340" spans="1:24" s="154" customFormat="1" x14ac:dyDescent="0.25">
      <c r="A340" s="44"/>
      <c r="B340" s="573"/>
      <c r="C340" s="37"/>
      <c r="D340" s="25"/>
      <c r="E340" s="14"/>
      <c r="F340" s="14"/>
      <c r="G340" s="14"/>
      <c r="H340" s="14"/>
      <c r="I340" s="14"/>
      <c r="J340" s="14"/>
      <c r="K340" s="14"/>
      <c r="L340" s="14"/>
      <c r="M340" s="14"/>
      <c r="N340" s="14"/>
      <c r="O340" s="14"/>
      <c r="P340" s="14"/>
      <c r="Q340" s="14"/>
      <c r="R340" s="14"/>
      <c r="S340" s="14"/>
      <c r="T340" s="14"/>
      <c r="U340" s="13"/>
      <c r="V340" s="25"/>
      <c r="W340" s="15"/>
    </row>
    <row r="341" spans="1:24" s="154" customFormat="1" x14ac:dyDescent="0.25">
      <c r="A341" s="44"/>
      <c r="B341" s="655"/>
      <c r="C341" s="38"/>
      <c r="D341" s="25"/>
      <c r="E341" s="14"/>
      <c r="F341" s="14"/>
      <c r="G341" s="14"/>
      <c r="H341" s="14"/>
      <c r="I341" s="14"/>
      <c r="J341" s="14"/>
      <c r="K341" s="14"/>
      <c r="L341" s="14"/>
      <c r="M341" s="14"/>
      <c r="N341" s="14"/>
      <c r="O341" s="14"/>
      <c r="P341" s="14"/>
      <c r="Q341" s="14"/>
      <c r="R341" s="14"/>
      <c r="S341" s="14"/>
      <c r="T341" s="14"/>
      <c r="U341" s="13"/>
      <c r="V341" s="25"/>
      <c r="W341" s="15"/>
    </row>
    <row r="342" spans="1:24" s="154" customFormat="1" x14ac:dyDescent="0.25">
      <c r="A342" s="44"/>
      <c r="B342" s="656"/>
      <c r="C342" s="38"/>
      <c r="D342" s="25"/>
      <c r="E342" s="14"/>
      <c r="F342" s="14"/>
      <c r="G342" s="14"/>
      <c r="H342" s="14"/>
      <c r="I342" s="14"/>
      <c r="J342" s="14"/>
      <c r="K342" s="14"/>
      <c r="L342" s="14"/>
      <c r="M342" s="14"/>
      <c r="N342" s="14"/>
      <c r="O342" s="14"/>
      <c r="P342" s="14"/>
      <c r="Q342" s="14"/>
      <c r="R342" s="14"/>
      <c r="S342" s="14"/>
      <c r="T342" s="14"/>
      <c r="U342" s="13"/>
      <c r="V342" s="25"/>
      <c r="W342" s="15"/>
    </row>
    <row r="343" spans="1:24" s="154" customFormat="1" x14ac:dyDescent="0.25">
      <c r="A343" s="44"/>
      <c r="B343" s="657"/>
      <c r="C343" s="38"/>
      <c r="D343" s="25"/>
      <c r="E343" s="14"/>
      <c r="F343" s="14"/>
      <c r="G343" s="14"/>
      <c r="H343" s="14"/>
      <c r="I343" s="14"/>
      <c r="J343" s="14"/>
      <c r="K343" s="14"/>
      <c r="L343" s="14"/>
      <c r="M343" s="14"/>
      <c r="N343" s="14"/>
      <c r="O343" s="14"/>
      <c r="P343" s="14"/>
      <c r="Q343" s="14"/>
      <c r="R343" s="14"/>
      <c r="S343" s="14"/>
      <c r="T343" s="14"/>
      <c r="U343" s="13"/>
      <c r="V343" s="25"/>
      <c r="W343" s="15"/>
    </row>
    <row r="344" spans="1:24" s="154" customFormat="1" x14ac:dyDescent="0.25">
      <c r="A344" s="44"/>
      <c r="B344" s="576"/>
      <c r="C344" s="37"/>
      <c r="D344" s="25"/>
      <c r="E344" s="14"/>
      <c r="F344" s="14"/>
      <c r="G344" s="14"/>
      <c r="H344" s="14"/>
      <c r="I344" s="14"/>
      <c r="J344" s="14"/>
      <c r="K344" s="14"/>
      <c r="L344" s="14"/>
      <c r="M344" s="14"/>
      <c r="N344" s="14"/>
      <c r="O344" s="14"/>
      <c r="P344" s="14"/>
      <c r="Q344" s="14"/>
      <c r="R344" s="14"/>
      <c r="S344" s="14"/>
      <c r="T344" s="14"/>
      <c r="U344" s="13"/>
      <c r="V344" s="25"/>
      <c r="W344" s="15"/>
    </row>
    <row r="345" spans="1:24" x14ac:dyDescent="0.25">
      <c r="A345" s="44"/>
      <c r="B345" s="658"/>
      <c r="C345" s="38"/>
      <c r="D345" s="25"/>
      <c r="E345" s="14"/>
      <c r="F345" s="14"/>
      <c r="G345" s="14"/>
      <c r="H345" s="14"/>
      <c r="I345" s="14"/>
      <c r="J345" s="14"/>
      <c r="K345" s="14"/>
      <c r="L345" s="14"/>
      <c r="M345" s="14"/>
      <c r="N345" s="14"/>
      <c r="O345" s="14"/>
      <c r="P345" s="14"/>
      <c r="Q345" s="14"/>
      <c r="R345" s="14"/>
      <c r="S345" s="14"/>
      <c r="T345" s="14"/>
      <c r="U345" s="13"/>
      <c r="V345" s="25"/>
      <c r="W345" s="15"/>
    </row>
    <row r="346" spans="1:24" x14ac:dyDescent="0.25">
      <c r="A346" s="44"/>
      <c r="B346" s="450"/>
      <c r="C346" s="22"/>
      <c r="D346" s="22"/>
      <c r="E346" s="22"/>
      <c r="F346" s="22"/>
      <c r="G346" s="22"/>
      <c r="H346" s="22"/>
      <c r="I346" s="22"/>
      <c r="J346" s="22"/>
      <c r="K346" s="22"/>
      <c r="L346" s="22"/>
      <c r="M346" s="22"/>
      <c r="N346" s="22"/>
      <c r="O346" s="22"/>
      <c r="P346" s="22"/>
      <c r="Q346" s="22"/>
      <c r="R346" s="22"/>
      <c r="S346" s="22"/>
      <c r="T346" s="22"/>
      <c r="U346" s="13"/>
      <c r="V346" s="22"/>
      <c r="W346" s="22"/>
    </row>
    <row r="347" spans="1:24" x14ac:dyDescent="0.25">
      <c r="A347" s="44"/>
      <c r="B347" s="492"/>
      <c r="C347" s="12"/>
      <c r="D347" s="25"/>
      <c r="E347" s="14"/>
      <c r="F347" s="14"/>
      <c r="G347" s="14"/>
      <c r="H347" s="14"/>
      <c r="I347" s="14"/>
      <c r="J347" s="14"/>
      <c r="K347" s="14"/>
      <c r="L347" s="14"/>
      <c r="M347" s="14"/>
      <c r="N347" s="14"/>
      <c r="O347" s="14"/>
      <c r="P347" s="14"/>
      <c r="Q347" s="14"/>
      <c r="R347" s="14"/>
      <c r="S347" s="14"/>
      <c r="T347" s="14"/>
      <c r="U347" s="13"/>
      <c r="V347" s="13"/>
      <c r="W347" s="15"/>
    </row>
    <row r="348" spans="1:24" x14ac:dyDescent="0.25">
      <c r="A348" s="44"/>
      <c r="B348" s="460"/>
      <c r="C348" s="12"/>
      <c r="D348" s="25"/>
      <c r="E348" s="14"/>
      <c r="F348" s="14"/>
      <c r="G348" s="14"/>
      <c r="H348" s="14"/>
      <c r="I348" s="14"/>
      <c r="J348" s="14"/>
      <c r="K348" s="14"/>
      <c r="L348" s="14"/>
      <c r="M348" s="14"/>
      <c r="N348" s="14"/>
      <c r="O348" s="14"/>
      <c r="P348" s="14"/>
      <c r="Q348" s="14"/>
      <c r="R348" s="14"/>
      <c r="S348" s="14"/>
      <c r="T348" s="14"/>
      <c r="U348" s="13"/>
      <c r="V348" s="13"/>
      <c r="W348" s="15"/>
    </row>
    <row r="349" spans="1:24" x14ac:dyDescent="0.25">
      <c r="A349" s="44"/>
      <c r="B349" s="578"/>
      <c r="C349" s="12"/>
      <c r="D349" s="25"/>
      <c r="E349" s="14"/>
      <c r="F349" s="14"/>
      <c r="G349" s="14"/>
      <c r="H349" s="14"/>
      <c r="I349" s="14"/>
      <c r="J349" s="14"/>
      <c r="K349" s="14"/>
      <c r="L349" s="14"/>
      <c r="M349" s="14"/>
      <c r="N349" s="14"/>
      <c r="O349" s="14"/>
      <c r="P349" s="14"/>
      <c r="Q349" s="14"/>
      <c r="R349" s="14"/>
      <c r="S349" s="14"/>
      <c r="T349" s="14"/>
      <c r="U349" s="13"/>
      <c r="V349" s="13"/>
      <c r="W349" s="15"/>
    </row>
    <row r="350" spans="1:24" x14ac:dyDescent="0.25">
      <c r="A350" s="44"/>
      <c r="B350" s="579"/>
      <c r="C350" s="12"/>
      <c r="D350" s="25"/>
      <c r="E350" s="14"/>
      <c r="F350" s="14"/>
      <c r="G350" s="14"/>
      <c r="H350" s="14"/>
      <c r="I350" s="14"/>
      <c r="J350" s="14"/>
      <c r="K350" s="14"/>
      <c r="L350" s="14"/>
      <c r="M350" s="14"/>
      <c r="N350" s="14"/>
      <c r="O350" s="14"/>
      <c r="P350" s="14"/>
      <c r="Q350" s="14"/>
      <c r="R350" s="14"/>
      <c r="S350" s="14"/>
      <c r="T350" s="14"/>
      <c r="U350" s="13"/>
      <c r="V350" s="13"/>
      <c r="W350" s="15"/>
      <c r="X350" s="186"/>
    </row>
    <row r="351" spans="1:24" s="155" customFormat="1" ht="22.5" x14ac:dyDescent="0.25">
      <c r="A351" s="198"/>
      <c r="B351" s="659"/>
      <c r="C351" s="406"/>
      <c r="D351" s="406"/>
      <c r="E351" s="406"/>
      <c r="F351" s="406"/>
      <c r="G351" s="406"/>
      <c r="H351" s="406"/>
      <c r="I351" s="406"/>
      <c r="J351" s="406"/>
      <c r="K351" s="406"/>
      <c r="L351" s="406"/>
      <c r="M351" s="406"/>
      <c r="N351" s="406"/>
      <c r="O351" s="406"/>
      <c r="P351" s="406"/>
      <c r="Q351" s="406"/>
      <c r="R351" s="406"/>
      <c r="S351" s="406"/>
      <c r="T351" s="406"/>
      <c r="U351" s="406"/>
      <c r="V351" s="406"/>
      <c r="W351" s="406"/>
    </row>
    <row r="352" spans="1:24" s="155" customFormat="1" x14ac:dyDescent="0.25">
      <c r="A352" s="123"/>
      <c r="B352" s="660"/>
      <c r="C352" s="106"/>
      <c r="D352" s="4"/>
      <c r="E352" s="5"/>
      <c r="F352" s="5"/>
      <c r="G352" s="5"/>
      <c r="H352" s="5"/>
      <c r="I352" s="5"/>
      <c r="J352" s="5"/>
      <c r="K352" s="5"/>
      <c r="L352" s="5"/>
      <c r="M352" s="5"/>
      <c r="N352" s="5"/>
      <c r="O352" s="5"/>
      <c r="P352" s="5"/>
      <c r="Q352" s="5"/>
      <c r="R352" s="5"/>
      <c r="S352" s="5"/>
      <c r="T352" s="5"/>
      <c r="U352" s="13"/>
      <c r="V352" s="5"/>
      <c r="W352" s="105"/>
    </row>
    <row r="353" spans="1:24" s="155" customFormat="1" x14ac:dyDescent="0.25">
      <c r="A353" s="123"/>
      <c r="B353" s="661"/>
      <c r="C353" s="106"/>
      <c r="D353" s="4"/>
      <c r="E353" s="5"/>
      <c r="F353" s="5"/>
      <c r="G353" s="5"/>
      <c r="H353" s="5"/>
      <c r="I353" s="5"/>
      <c r="J353" s="5"/>
      <c r="K353" s="5"/>
      <c r="L353" s="5"/>
      <c r="M353" s="5"/>
      <c r="N353" s="5"/>
      <c r="O353" s="5"/>
      <c r="P353" s="5"/>
      <c r="Q353" s="5"/>
      <c r="R353" s="5"/>
      <c r="S353" s="5"/>
      <c r="T353" s="5"/>
      <c r="U353" s="13"/>
      <c r="V353" s="5"/>
      <c r="W353" s="15"/>
    </row>
    <row r="354" spans="1:24" s="155" customFormat="1" x14ac:dyDescent="0.25">
      <c r="A354" s="123"/>
      <c r="B354" s="662"/>
      <c r="C354" s="106"/>
      <c r="D354" s="4"/>
      <c r="E354" s="5"/>
      <c r="F354" s="5"/>
      <c r="G354" s="5"/>
      <c r="H354" s="5"/>
      <c r="I354" s="5"/>
      <c r="J354" s="5"/>
      <c r="K354" s="5"/>
      <c r="L354" s="5"/>
      <c r="M354" s="5"/>
      <c r="N354" s="5"/>
      <c r="O354" s="5"/>
      <c r="P354" s="5"/>
      <c r="Q354" s="5"/>
      <c r="R354" s="5"/>
      <c r="S354" s="5"/>
      <c r="T354" s="5"/>
      <c r="U354" s="13"/>
      <c r="V354" s="5"/>
      <c r="W354" s="15"/>
    </row>
    <row r="355" spans="1:24" s="155" customFormat="1" x14ac:dyDescent="0.25">
      <c r="A355" s="123"/>
      <c r="B355" s="663"/>
      <c r="C355" s="106"/>
      <c r="D355" s="4"/>
      <c r="E355" s="5"/>
      <c r="F355" s="5"/>
      <c r="G355" s="5"/>
      <c r="H355" s="5"/>
      <c r="I355" s="5"/>
      <c r="J355" s="5"/>
      <c r="K355" s="5"/>
      <c r="L355" s="5"/>
      <c r="M355" s="5"/>
      <c r="N355" s="5"/>
      <c r="O355" s="5"/>
      <c r="P355" s="5"/>
      <c r="Q355" s="5"/>
      <c r="R355" s="5"/>
      <c r="S355" s="5"/>
      <c r="T355" s="5"/>
      <c r="U355" s="13"/>
      <c r="V355" s="5"/>
      <c r="W355" s="15"/>
    </row>
    <row r="356" spans="1:24" s="155" customFormat="1" x14ac:dyDescent="0.25">
      <c r="A356" s="123"/>
      <c r="B356" s="664"/>
      <c r="C356" s="106"/>
      <c r="D356" s="4"/>
      <c r="E356" s="5"/>
      <c r="F356" s="5"/>
      <c r="G356" s="5"/>
      <c r="H356" s="5"/>
      <c r="I356" s="5"/>
      <c r="J356" s="5"/>
      <c r="K356" s="5"/>
      <c r="L356" s="5"/>
      <c r="M356" s="5"/>
      <c r="N356" s="5"/>
      <c r="O356" s="5"/>
      <c r="P356" s="5"/>
      <c r="Q356" s="5"/>
      <c r="R356" s="5"/>
      <c r="S356" s="5"/>
      <c r="T356" s="5"/>
      <c r="U356" s="13"/>
      <c r="V356" s="5"/>
      <c r="W356" s="15"/>
    </row>
    <row r="357" spans="1:24" s="155" customFormat="1" x14ac:dyDescent="0.25">
      <c r="A357" s="123"/>
      <c r="B357" s="665"/>
      <c r="C357" s="106"/>
      <c r="D357" s="4"/>
      <c r="E357" s="5"/>
      <c r="F357" s="5"/>
      <c r="G357" s="5"/>
      <c r="H357" s="5"/>
      <c r="I357" s="5"/>
      <c r="J357" s="5"/>
      <c r="K357" s="5"/>
      <c r="L357" s="5"/>
      <c r="M357" s="5"/>
      <c r="N357" s="5"/>
      <c r="O357" s="5"/>
      <c r="P357" s="5"/>
      <c r="Q357" s="5"/>
      <c r="R357" s="5"/>
      <c r="S357" s="5"/>
      <c r="T357" s="5"/>
      <c r="U357" s="13"/>
      <c r="V357" s="5"/>
      <c r="W357" s="15"/>
    </row>
    <row r="358" spans="1:24" s="155" customFormat="1" x14ac:dyDescent="0.25">
      <c r="A358" s="123"/>
      <c r="B358" s="666"/>
      <c r="C358" s="106"/>
      <c r="D358" s="4"/>
      <c r="E358" s="5"/>
      <c r="F358" s="5"/>
      <c r="G358" s="5"/>
      <c r="H358" s="5"/>
      <c r="I358" s="5"/>
      <c r="J358" s="5"/>
      <c r="K358" s="5"/>
      <c r="L358" s="5"/>
      <c r="M358" s="5"/>
      <c r="N358" s="5"/>
      <c r="O358" s="5"/>
      <c r="P358" s="5"/>
      <c r="Q358" s="5"/>
      <c r="R358" s="5"/>
      <c r="S358" s="5"/>
      <c r="T358" s="5"/>
      <c r="U358" s="13"/>
      <c r="V358" s="5"/>
      <c r="W358" s="15"/>
    </row>
    <row r="359" spans="1:24" s="155" customFormat="1" x14ac:dyDescent="0.25">
      <c r="A359" s="123"/>
      <c r="B359" s="667"/>
      <c r="C359" s="106"/>
      <c r="D359" s="4"/>
      <c r="E359" s="5"/>
      <c r="F359" s="5"/>
      <c r="G359" s="5"/>
      <c r="H359" s="5"/>
      <c r="I359" s="5"/>
      <c r="J359" s="5"/>
      <c r="K359" s="5"/>
      <c r="L359" s="5"/>
      <c r="M359" s="5"/>
      <c r="N359" s="5"/>
      <c r="O359" s="5"/>
      <c r="P359" s="5"/>
      <c r="Q359" s="5"/>
      <c r="R359" s="5"/>
      <c r="S359" s="5"/>
      <c r="T359" s="5"/>
      <c r="U359" s="13"/>
      <c r="V359" s="5"/>
      <c r="W359" s="15"/>
    </row>
    <row r="360" spans="1:24" s="155" customFormat="1" x14ac:dyDescent="0.25">
      <c r="A360" s="123"/>
      <c r="B360" s="668"/>
      <c r="C360" s="106"/>
      <c r="D360" s="4"/>
      <c r="E360" s="5"/>
      <c r="F360" s="5"/>
      <c r="G360" s="5"/>
      <c r="H360" s="5"/>
      <c r="I360" s="5"/>
      <c r="J360" s="5"/>
      <c r="K360" s="5"/>
      <c r="L360" s="5"/>
      <c r="M360" s="5"/>
      <c r="N360" s="5"/>
      <c r="O360" s="5"/>
      <c r="P360" s="5"/>
      <c r="Q360" s="5"/>
      <c r="R360" s="5"/>
      <c r="S360" s="5"/>
      <c r="T360" s="5"/>
      <c r="U360" s="13"/>
      <c r="V360" s="5"/>
      <c r="W360" s="15"/>
    </row>
    <row r="361" spans="1:24" s="155" customFormat="1" x14ac:dyDescent="0.25">
      <c r="A361" s="123"/>
      <c r="B361" s="669"/>
      <c r="C361" s="106"/>
      <c r="D361" s="4"/>
      <c r="E361" s="5"/>
      <c r="F361" s="5"/>
      <c r="G361" s="5"/>
      <c r="H361" s="5"/>
      <c r="I361" s="5"/>
      <c r="J361" s="5"/>
      <c r="K361" s="5"/>
      <c r="L361" s="5"/>
      <c r="M361" s="5"/>
      <c r="N361" s="5"/>
      <c r="O361" s="5"/>
      <c r="P361" s="5"/>
      <c r="Q361" s="5"/>
      <c r="R361" s="5"/>
      <c r="S361" s="5"/>
      <c r="T361" s="5"/>
      <c r="U361" s="13"/>
      <c r="V361" s="5"/>
      <c r="W361" s="15"/>
    </row>
    <row r="362" spans="1:24" s="155" customFormat="1" x14ac:dyDescent="0.25">
      <c r="A362" s="123"/>
      <c r="B362" s="670"/>
      <c r="C362" s="106"/>
      <c r="D362" s="4"/>
      <c r="E362" s="5"/>
      <c r="F362" s="5"/>
      <c r="G362" s="5"/>
      <c r="H362" s="5"/>
      <c r="I362" s="5"/>
      <c r="J362" s="5"/>
      <c r="K362" s="5"/>
      <c r="L362" s="5"/>
      <c r="M362" s="5"/>
      <c r="N362" s="5"/>
      <c r="O362" s="5"/>
      <c r="P362" s="5"/>
      <c r="Q362" s="5"/>
      <c r="R362" s="5"/>
      <c r="S362" s="5"/>
      <c r="T362" s="5"/>
      <c r="U362" s="13"/>
      <c r="V362" s="5"/>
      <c r="W362" s="15"/>
    </row>
    <row r="363" spans="1:24" s="155" customFormat="1" x14ac:dyDescent="0.25">
      <c r="A363" s="123"/>
      <c r="B363" s="671"/>
      <c r="C363" s="106"/>
      <c r="D363" s="4"/>
      <c r="E363" s="5"/>
      <c r="F363" s="5"/>
      <c r="G363" s="5"/>
      <c r="H363" s="5"/>
      <c r="I363" s="5"/>
      <c r="J363" s="5"/>
      <c r="K363" s="5"/>
      <c r="L363" s="5"/>
      <c r="M363" s="5"/>
      <c r="N363" s="5"/>
      <c r="O363" s="5"/>
      <c r="P363" s="5"/>
      <c r="Q363" s="5"/>
      <c r="R363" s="5"/>
      <c r="S363" s="5"/>
      <c r="T363" s="5"/>
      <c r="U363" s="13"/>
      <c r="V363" s="5"/>
      <c r="W363" s="15"/>
    </row>
    <row r="364" spans="1:24" s="155" customFormat="1" x14ac:dyDescent="0.25">
      <c r="A364" s="123"/>
      <c r="B364" s="672"/>
      <c r="C364" s="106"/>
      <c r="D364" s="4"/>
      <c r="E364" s="5"/>
      <c r="F364" s="5"/>
      <c r="G364" s="5"/>
      <c r="H364" s="5"/>
      <c r="I364" s="5"/>
      <c r="J364" s="5"/>
      <c r="K364" s="5"/>
      <c r="L364" s="5"/>
      <c r="M364" s="5"/>
      <c r="N364" s="5"/>
      <c r="O364" s="5"/>
      <c r="P364" s="5"/>
      <c r="Q364" s="5"/>
      <c r="R364" s="5"/>
      <c r="S364" s="5"/>
      <c r="T364" s="5"/>
      <c r="U364" s="13"/>
      <c r="V364" s="5"/>
      <c r="W364" s="15"/>
    </row>
    <row r="365" spans="1:24" s="155" customFormat="1" x14ac:dyDescent="0.25">
      <c r="A365" s="123"/>
      <c r="B365" s="673"/>
      <c r="C365" s="107"/>
      <c r="D365" s="4"/>
      <c r="E365" s="5"/>
      <c r="F365" s="5"/>
      <c r="G365" s="5"/>
      <c r="H365" s="5"/>
      <c r="I365" s="5"/>
      <c r="J365" s="5"/>
      <c r="K365" s="5"/>
      <c r="L365" s="5"/>
      <c r="M365" s="5"/>
      <c r="N365" s="5"/>
      <c r="O365" s="5"/>
      <c r="P365" s="5"/>
      <c r="Q365" s="5"/>
      <c r="R365" s="5"/>
      <c r="S365" s="5"/>
      <c r="T365" s="5"/>
      <c r="U365" s="13"/>
      <c r="V365" s="5"/>
      <c r="W365" s="15"/>
    </row>
    <row r="366" spans="1:24" s="155" customFormat="1" x14ac:dyDescent="0.25">
      <c r="A366" s="123"/>
      <c r="B366" s="674"/>
      <c r="C366" s="106"/>
      <c r="D366" s="4"/>
      <c r="E366" s="5"/>
      <c r="F366" s="5"/>
      <c r="G366" s="5"/>
      <c r="H366" s="5"/>
      <c r="I366" s="5"/>
      <c r="J366" s="5"/>
      <c r="K366" s="5"/>
      <c r="L366" s="5"/>
      <c r="M366" s="5"/>
      <c r="N366" s="5"/>
      <c r="O366" s="5"/>
      <c r="P366" s="5"/>
      <c r="Q366" s="5"/>
      <c r="R366" s="5"/>
      <c r="S366" s="5"/>
      <c r="T366" s="5"/>
      <c r="U366" s="13"/>
      <c r="V366" s="5"/>
      <c r="W366" s="15"/>
    </row>
    <row r="367" spans="1:24" s="155" customFormat="1" x14ac:dyDescent="0.25">
      <c r="A367" s="123"/>
      <c r="B367" s="675"/>
      <c r="C367" s="106"/>
      <c r="D367" s="4"/>
      <c r="E367" s="5"/>
      <c r="F367" s="5"/>
      <c r="G367" s="5"/>
      <c r="H367" s="5"/>
      <c r="I367" s="5"/>
      <c r="J367" s="5"/>
      <c r="K367" s="5"/>
      <c r="L367" s="5"/>
      <c r="M367" s="5"/>
      <c r="N367" s="5"/>
      <c r="O367" s="5"/>
      <c r="P367" s="5"/>
      <c r="Q367" s="5"/>
      <c r="R367" s="5"/>
      <c r="S367" s="5"/>
      <c r="T367" s="5"/>
      <c r="U367" s="13"/>
      <c r="V367" s="5"/>
      <c r="W367" s="15"/>
      <c r="X367" s="188"/>
    </row>
    <row r="368" spans="1:24" s="155" customFormat="1" x14ac:dyDescent="0.25">
      <c r="A368" s="123"/>
      <c r="B368" s="676"/>
      <c r="C368" s="106"/>
      <c r="D368" s="4"/>
      <c r="E368" s="5"/>
      <c r="F368" s="5"/>
      <c r="G368" s="5"/>
      <c r="H368" s="5"/>
      <c r="I368" s="5"/>
      <c r="J368" s="5"/>
      <c r="K368" s="5"/>
      <c r="L368" s="5"/>
      <c r="M368" s="5"/>
      <c r="N368" s="5"/>
      <c r="O368" s="5"/>
      <c r="P368" s="5"/>
      <c r="Q368" s="5"/>
      <c r="R368" s="5"/>
      <c r="S368" s="5"/>
      <c r="T368" s="5"/>
      <c r="U368" s="13"/>
      <c r="V368" s="5"/>
      <c r="W368" s="15"/>
    </row>
    <row r="369" spans="1:23" s="155" customFormat="1" x14ac:dyDescent="0.25">
      <c r="A369" s="123"/>
      <c r="B369" s="677"/>
      <c r="C369" s="106"/>
      <c r="D369" s="4"/>
      <c r="E369" s="5"/>
      <c r="F369" s="5"/>
      <c r="G369" s="5"/>
      <c r="H369" s="5"/>
      <c r="I369" s="5"/>
      <c r="J369" s="5"/>
      <c r="K369" s="5"/>
      <c r="L369" s="5"/>
      <c r="M369" s="5"/>
      <c r="N369" s="5"/>
      <c r="O369" s="5"/>
      <c r="P369" s="5"/>
      <c r="Q369" s="5"/>
      <c r="R369" s="5"/>
      <c r="S369" s="5"/>
      <c r="T369" s="5"/>
      <c r="U369" s="13"/>
      <c r="V369" s="5"/>
      <c r="W369" s="15"/>
    </row>
    <row r="370" spans="1:23" s="155" customFormat="1" x14ac:dyDescent="0.25">
      <c r="A370" s="123"/>
      <c r="B370" s="678"/>
      <c r="C370" s="106"/>
      <c r="D370" s="4"/>
      <c r="E370" s="5"/>
      <c r="F370" s="5"/>
      <c r="G370" s="5"/>
      <c r="H370" s="5"/>
      <c r="I370" s="5"/>
      <c r="J370" s="5"/>
      <c r="K370" s="5"/>
      <c r="L370" s="5"/>
      <c r="M370" s="5"/>
      <c r="N370" s="5"/>
      <c r="O370" s="5"/>
      <c r="P370" s="5"/>
      <c r="Q370" s="5"/>
      <c r="R370" s="5"/>
      <c r="S370" s="5"/>
      <c r="T370" s="5"/>
      <c r="U370" s="13"/>
      <c r="V370" s="5"/>
      <c r="W370" s="15"/>
    </row>
    <row r="371" spans="1:23" s="155" customFormat="1" x14ac:dyDescent="0.25">
      <c r="A371" s="123"/>
      <c r="B371" s="679"/>
      <c r="C371" s="106"/>
      <c r="D371" s="4"/>
      <c r="E371" s="5"/>
      <c r="F371" s="5"/>
      <c r="G371" s="5"/>
      <c r="H371" s="5"/>
      <c r="I371" s="5"/>
      <c r="J371" s="5"/>
      <c r="K371" s="5"/>
      <c r="L371" s="5"/>
      <c r="M371" s="5"/>
      <c r="N371" s="5"/>
      <c r="O371" s="5"/>
      <c r="P371" s="5"/>
      <c r="Q371" s="5"/>
      <c r="R371" s="5"/>
      <c r="S371" s="5"/>
      <c r="T371" s="5"/>
      <c r="U371" s="13"/>
      <c r="V371" s="5"/>
      <c r="W371" s="15"/>
    </row>
    <row r="372" spans="1:23" s="155" customFormat="1" x14ac:dyDescent="0.25">
      <c r="A372" s="123"/>
      <c r="B372" s="680"/>
      <c r="C372" s="106"/>
      <c r="D372" s="4"/>
      <c r="E372" s="5"/>
      <c r="F372" s="5"/>
      <c r="G372" s="5"/>
      <c r="H372" s="5"/>
      <c r="I372" s="5"/>
      <c r="J372" s="5"/>
      <c r="K372" s="5"/>
      <c r="L372" s="5"/>
      <c r="M372" s="5"/>
      <c r="N372" s="5"/>
      <c r="O372" s="5"/>
      <c r="P372" s="5"/>
      <c r="Q372" s="5"/>
      <c r="R372" s="5"/>
      <c r="S372" s="5"/>
      <c r="T372" s="5"/>
      <c r="U372" s="13"/>
      <c r="V372" s="5"/>
      <c r="W372" s="15"/>
    </row>
    <row r="373" spans="1:23" s="155" customFormat="1" x14ac:dyDescent="0.25">
      <c r="A373" s="123"/>
      <c r="B373" s="681"/>
      <c r="C373" s="106"/>
      <c r="D373" s="4"/>
      <c r="E373" s="5"/>
      <c r="F373" s="5"/>
      <c r="G373" s="5"/>
      <c r="H373" s="5"/>
      <c r="I373" s="5"/>
      <c r="J373" s="5"/>
      <c r="K373" s="5"/>
      <c r="L373" s="5"/>
      <c r="M373" s="5"/>
      <c r="N373" s="5"/>
      <c r="O373" s="5"/>
      <c r="P373" s="5"/>
      <c r="Q373" s="5"/>
      <c r="R373" s="5"/>
      <c r="S373" s="5"/>
      <c r="T373" s="5"/>
      <c r="U373" s="13"/>
      <c r="V373" s="5"/>
      <c r="W373" s="15"/>
    </row>
    <row r="374" spans="1:23" s="155" customFormat="1" x14ac:dyDescent="0.25">
      <c r="A374" s="123"/>
      <c r="B374" s="682"/>
      <c r="C374" s="106"/>
      <c r="D374" s="4"/>
      <c r="E374" s="5"/>
      <c r="F374" s="5"/>
      <c r="G374" s="5"/>
      <c r="H374" s="5"/>
      <c r="I374" s="5"/>
      <c r="J374" s="5"/>
      <c r="K374" s="5"/>
      <c r="L374" s="5"/>
      <c r="M374" s="5"/>
      <c r="N374" s="5"/>
      <c r="O374" s="5"/>
      <c r="P374" s="5"/>
      <c r="Q374" s="5"/>
      <c r="R374" s="5"/>
      <c r="S374" s="5"/>
      <c r="T374" s="5"/>
      <c r="U374" s="13"/>
      <c r="V374" s="5"/>
      <c r="W374" s="15"/>
    </row>
    <row r="375" spans="1:23" s="155" customFormat="1" x14ac:dyDescent="0.25">
      <c r="A375" s="123"/>
      <c r="B375" s="683"/>
      <c r="C375" s="106"/>
      <c r="D375" s="4"/>
      <c r="E375" s="5"/>
      <c r="F375" s="5"/>
      <c r="G375" s="5"/>
      <c r="H375" s="5"/>
      <c r="I375" s="5"/>
      <c r="J375" s="5"/>
      <c r="K375" s="5"/>
      <c r="L375" s="5"/>
      <c r="M375" s="5"/>
      <c r="N375" s="5"/>
      <c r="O375" s="5"/>
      <c r="P375" s="5"/>
      <c r="Q375" s="5"/>
      <c r="R375" s="5"/>
      <c r="S375" s="5"/>
      <c r="T375" s="5"/>
      <c r="U375" s="13"/>
      <c r="V375" s="5"/>
      <c r="W375" s="15"/>
    </row>
    <row r="376" spans="1:23" s="155" customFormat="1" x14ac:dyDescent="0.25">
      <c r="A376" s="123"/>
      <c r="B376" s="684"/>
      <c r="C376" s="106"/>
      <c r="D376" s="4"/>
      <c r="E376" s="5"/>
      <c r="F376" s="5"/>
      <c r="G376" s="5"/>
      <c r="H376" s="5"/>
      <c r="I376" s="5"/>
      <c r="J376" s="5"/>
      <c r="K376" s="5"/>
      <c r="L376" s="5"/>
      <c r="M376" s="5"/>
      <c r="N376" s="5"/>
      <c r="O376" s="5"/>
      <c r="P376" s="5"/>
      <c r="Q376" s="5"/>
      <c r="R376" s="5"/>
      <c r="S376" s="5"/>
      <c r="T376" s="5"/>
      <c r="U376" s="13"/>
      <c r="V376" s="5"/>
      <c r="W376" s="15"/>
    </row>
    <row r="377" spans="1:23" s="155" customFormat="1" x14ac:dyDescent="0.25">
      <c r="A377" s="123"/>
      <c r="B377" s="685"/>
      <c r="C377" s="106"/>
      <c r="D377" s="4"/>
      <c r="E377" s="5"/>
      <c r="F377" s="5"/>
      <c r="G377" s="5"/>
      <c r="H377" s="5"/>
      <c r="I377" s="5"/>
      <c r="J377" s="5"/>
      <c r="K377" s="5"/>
      <c r="L377" s="5"/>
      <c r="M377" s="5"/>
      <c r="N377" s="5"/>
      <c r="O377" s="5"/>
      <c r="P377" s="5"/>
      <c r="Q377" s="5"/>
      <c r="R377" s="5"/>
      <c r="S377" s="5"/>
      <c r="T377" s="5"/>
      <c r="U377" s="13"/>
      <c r="V377" s="5"/>
      <c r="W377" s="15"/>
    </row>
    <row r="378" spans="1:23" s="155" customFormat="1" x14ac:dyDescent="0.25">
      <c r="A378" s="123"/>
      <c r="B378" s="686"/>
      <c r="C378" s="106"/>
      <c r="D378" s="4"/>
      <c r="E378" s="5"/>
      <c r="F378" s="5"/>
      <c r="G378" s="5"/>
      <c r="H378" s="5"/>
      <c r="I378" s="5"/>
      <c r="J378" s="5"/>
      <c r="K378" s="5"/>
      <c r="L378" s="5"/>
      <c r="M378" s="5"/>
      <c r="N378" s="5"/>
      <c r="O378" s="5"/>
      <c r="P378" s="5"/>
      <c r="Q378" s="5"/>
      <c r="R378" s="5"/>
      <c r="S378" s="5"/>
      <c r="T378" s="5"/>
      <c r="U378" s="13"/>
      <c r="V378" s="5"/>
      <c r="W378" s="15"/>
    </row>
    <row r="379" spans="1:23" s="155" customFormat="1" x14ac:dyDescent="0.25">
      <c r="A379" s="123"/>
      <c r="B379" s="687"/>
      <c r="C379" s="106"/>
      <c r="D379" s="4"/>
      <c r="E379" s="5"/>
      <c r="F379" s="5"/>
      <c r="G379" s="5"/>
      <c r="H379" s="5"/>
      <c r="I379" s="5"/>
      <c r="J379" s="5"/>
      <c r="K379" s="5"/>
      <c r="L379" s="5"/>
      <c r="M379" s="5"/>
      <c r="N379" s="5"/>
      <c r="O379" s="5"/>
      <c r="P379" s="5"/>
      <c r="Q379" s="5"/>
      <c r="R379" s="5"/>
      <c r="S379" s="5"/>
      <c r="T379" s="5"/>
      <c r="U379" s="13"/>
      <c r="V379" s="5"/>
      <c r="W379" s="15"/>
    </row>
    <row r="380" spans="1:23" s="155" customFormat="1" x14ac:dyDescent="0.25">
      <c r="A380" s="123"/>
      <c r="B380" s="688"/>
      <c r="C380" s="106"/>
      <c r="D380" s="4"/>
      <c r="E380" s="5"/>
      <c r="F380" s="5"/>
      <c r="G380" s="5"/>
      <c r="H380" s="5"/>
      <c r="I380" s="5"/>
      <c r="J380" s="5"/>
      <c r="K380" s="5"/>
      <c r="L380" s="5"/>
      <c r="M380" s="5"/>
      <c r="N380" s="5"/>
      <c r="O380" s="5"/>
      <c r="P380" s="5"/>
      <c r="Q380" s="5"/>
      <c r="R380" s="5"/>
      <c r="S380" s="5"/>
      <c r="T380" s="5"/>
      <c r="U380" s="13"/>
      <c r="V380" s="5"/>
      <c r="W380" s="15"/>
    </row>
    <row r="381" spans="1:23" s="155" customFormat="1" x14ac:dyDescent="0.25">
      <c r="A381" s="123"/>
      <c r="B381" s="689"/>
      <c r="C381" s="106"/>
      <c r="D381" s="4"/>
      <c r="E381" s="5"/>
      <c r="F381" s="5"/>
      <c r="G381" s="5"/>
      <c r="H381" s="5"/>
      <c r="I381" s="5"/>
      <c r="J381" s="5"/>
      <c r="K381" s="5"/>
      <c r="L381" s="5"/>
      <c r="M381" s="5"/>
      <c r="N381" s="5"/>
      <c r="O381" s="5"/>
      <c r="P381" s="5"/>
      <c r="Q381" s="5"/>
      <c r="R381" s="5"/>
      <c r="S381" s="5"/>
      <c r="T381" s="5"/>
      <c r="U381" s="13"/>
      <c r="V381" s="5"/>
      <c r="W381" s="15"/>
    </row>
    <row r="382" spans="1:23" s="155" customFormat="1" x14ac:dyDescent="0.25">
      <c r="A382" s="123"/>
      <c r="B382" s="690"/>
      <c r="C382" s="106"/>
      <c r="D382" s="4"/>
      <c r="E382" s="5"/>
      <c r="F382" s="5"/>
      <c r="G382" s="5"/>
      <c r="H382" s="5"/>
      <c r="I382" s="5"/>
      <c r="J382" s="5"/>
      <c r="K382" s="5"/>
      <c r="L382" s="5"/>
      <c r="M382" s="5"/>
      <c r="N382" s="5"/>
      <c r="O382" s="5"/>
      <c r="P382" s="5"/>
      <c r="Q382" s="5"/>
      <c r="R382" s="5"/>
      <c r="S382" s="5"/>
      <c r="T382" s="5"/>
      <c r="U382" s="13"/>
      <c r="V382" s="5"/>
      <c r="W382" s="15"/>
    </row>
    <row r="383" spans="1:23" s="155" customFormat="1" x14ac:dyDescent="0.25">
      <c r="A383" s="123"/>
      <c r="B383" s="662"/>
      <c r="C383" s="106"/>
      <c r="D383" s="4"/>
      <c r="E383" s="5"/>
      <c r="F383" s="5"/>
      <c r="G383" s="5"/>
      <c r="H383" s="5"/>
      <c r="I383" s="5"/>
      <c r="J383" s="5"/>
      <c r="K383" s="5"/>
      <c r="L383" s="5"/>
      <c r="M383" s="5"/>
      <c r="N383" s="5"/>
      <c r="O383" s="5"/>
      <c r="P383" s="5"/>
      <c r="Q383" s="5"/>
      <c r="R383" s="5"/>
      <c r="S383" s="5"/>
      <c r="T383" s="5"/>
      <c r="U383" s="13"/>
      <c r="V383" s="5"/>
      <c r="W383" s="15"/>
    </row>
    <row r="384" spans="1:23" s="155" customFormat="1" x14ac:dyDescent="0.25">
      <c r="A384" s="123"/>
      <c r="B384" s="691"/>
      <c r="C384" s="106"/>
      <c r="D384" s="4"/>
      <c r="E384" s="5"/>
      <c r="F384" s="5"/>
      <c r="G384" s="5"/>
      <c r="H384" s="5"/>
      <c r="I384" s="5"/>
      <c r="J384" s="5"/>
      <c r="K384" s="5"/>
      <c r="L384" s="5"/>
      <c r="M384" s="5"/>
      <c r="N384" s="5"/>
      <c r="O384" s="5"/>
      <c r="P384" s="5"/>
      <c r="Q384" s="5"/>
      <c r="R384" s="5"/>
      <c r="S384" s="5"/>
      <c r="T384" s="5"/>
      <c r="U384" s="13"/>
      <c r="V384" s="5"/>
      <c r="W384" s="15"/>
    </row>
    <row r="385" spans="1:25" s="155" customFormat="1" x14ac:dyDescent="0.25">
      <c r="A385" s="123"/>
      <c r="B385" s="692"/>
      <c r="C385" s="106"/>
      <c r="D385" s="4"/>
      <c r="E385" s="5"/>
      <c r="F385" s="5"/>
      <c r="G385" s="5"/>
      <c r="H385" s="5"/>
      <c r="I385" s="5"/>
      <c r="J385" s="5"/>
      <c r="K385" s="5"/>
      <c r="L385" s="5"/>
      <c r="M385" s="5"/>
      <c r="N385" s="5"/>
      <c r="O385" s="5"/>
      <c r="P385" s="5"/>
      <c r="Q385" s="5"/>
      <c r="R385" s="5"/>
      <c r="S385" s="5"/>
      <c r="T385" s="5"/>
      <c r="U385" s="13"/>
      <c r="V385" s="5"/>
      <c r="W385" s="15"/>
    </row>
    <row r="386" spans="1:25" s="155" customFormat="1" x14ac:dyDescent="0.25">
      <c r="A386" s="123"/>
      <c r="B386" s="693"/>
      <c r="C386" s="106"/>
      <c r="D386" s="4"/>
      <c r="E386" s="5"/>
      <c r="F386" s="5"/>
      <c r="G386" s="5"/>
      <c r="H386" s="5"/>
      <c r="I386" s="5"/>
      <c r="J386" s="5"/>
      <c r="K386" s="5"/>
      <c r="L386" s="5"/>
      <c r="M386" s="5"/>
      <c r="N386" s="5"/>
      <c r="O386" s="5"/>
      <c r="P386" s="5"/>
      <c r="Q386" s="5"/>
      <c r="R386" s="5"/>
      <c r="S386" s="5"/>
      <c r="T386" s="5"/>
      <c r="U386" s="13"/>
      <c r="V386" s="5"/>
      <c r="W386" s="15"/>
    </row>
    <row r="387" spans="1:25" s="155" customFormat="1" x14ac:dyDescent="0.25">
      <c r="A387" s="123"/>
      <c r="B387" s="694"/>
      <c r="C387" s="106"/>
      <c r="D387" s="4"/>
      <c r="E387" s="5"/>
      <c r="F387" s="5"/>
      <c r="G387" s="5"/>
      <c r="H387" s="5"/>
      <c r="I387" s="5"/>
      <c r="J387" s="5"/>
      <c r="K387" s="5"/>
      <c r="L387" s="5"/>
      <c r="M387" s="5"/>
      <c r="N387" s="5"/>
      <c r="O387" s="5"/>
      <c r="P387" s="5"/>
      <c r="Q387" s="5"/>
      <c r="R387" s="5"/>
      <c r="S387" s="5"/>
      <c r="T387" s="5"/>
      <c r="U387" s="13"/>
      <c r="V387" s="5"/>
      <c r="W387" s="15"/>
    </row>
    <row r="388" spans="1:25" s="155" customFormat="1" x14ac:dyDescent="0.25">
      <c r="A388" s="123"/>
      <c r="B388" s="695"/>
      <c r="C388" s="106"/>
      <c r="D388" s="4"/>
      <c r="E388" s="5"/>
      <c r="F388" s="5"/>
      <c r="G388" s="5"/>
      <c r="H388" s="5"/>
      <c r="I388" s="5"/>
      <c r="J388" s="5"/>
      <c r="K388" s="5"/>
      <c r="L388" s="5"/>
      <c r="M388" s="5"/>
      <c r="N388" s="5"/>
      <c r="O388" s="5"/>
      <c r="P388" s="5"/>
      <c r="Q388" s="5"/>
      <c r="R388" s="5"/>
      <c r="S388" s="5"/>
      <c r="T388" s="5"/>
      <c r="U388" s="13"/>
      <c r="V388" s="3"/>
      <c r="W388" s="15"/>
    </row>
    <row r="389" spans="1:25" s="155" customFormat="1" x14ac:dyDescent="0.25">
      <c r="A389" s="123"/>
      <c r="B389" s="696"/>
      <c r="C389" s="106"/>
      <c r="D389" s="4"/>
      <c r="E389" s="5"/>
      <c r="F389" s="5"/>
      <c r="G389" s="5"/>
      <c r="H389" s="5"/>
      <c r="I389" s="5"/>
      <c r="J389" s="5"/>
      <c r="K389" s="5"/>
      <c r="L389" s="5"/>
      <c r="M389" s="5"/>
      <c r="N389" s="5"/>
      <c r="O389" s="5"/>
      <c r="P389" s="5"/>
      <c r="Q389" s="5"/>
      <c r="R389" s="5"/>
      <c r="S389" s="5"/>
      <c r="T389" s="5"/>
      <c r="U389" s="13"/>
      <c r="V389" s="3"/>
      <c r="W389" s="15"/>
    </row>
    <row r="390" spans="1:25" s="155" customFormat="1" x14ac:dyDescent="0.25">
      <c r="A390" s="123"/>
      <c r="B390" s="697"/>
      <c r="C390" s="106"/>
      <c r="D390" s="4"/>
      <c r="E390" s="5"/>
      <c r="F390" s="5"/>
      <c r="G390" s="5"/>
      <c r="H390" s="5"/>
      <c r="I390" s="5"/>
      <c r="J390" s="5"/>
      <c r="K390" s="5"/>
      <c r="L390" s="5"/>
      <c r="M390" s="5"/>
      <c r="N390" s="5"/>
      <c r="O390" s="5"/>
      <c r="P390" s="5"/>
      <c r="Q390" s="5"/>
      <c r="R390" s="5"/>
      <c r="S390" s="5"/>
      <c r="T390" s="5"/>
      <c r="U390" s="13"/>
      <c r="V390" s="3"/>
      <c r="W390" s="15"/>
    </row>
    <row r="391" spans="1:25" s="155" customFormat="1" x14ac:dyDescent="0.25">
      <c r="A391" s="123"/>
      <c r="B391" s="698"/>
      <c r="C391" s="108"/>
      <c r="D391" s="103"/>
      <c r="E391" s="10"/>
      <c r="F391" s="10"/>
      <c r="G391" s="10"/>
      <c r="H391" s="10"/>
      <c r="I391" s="10"/>
      <c r="J391" s="10"/>
      <c r="K391" s="10"/>
      <c r="L391" s="10"/>
      <c r="M391" s="10"/>
      <c r="N391" s="10"/>
      <c r="O391" s="10"/>
      <c r="P391" s="10"/>
      <c r="Q391" s="10"/>
      <c r="R391" s="10"/>
      <c r="S391" s="10"/>
      <c r="T391" s="10"/>
      <c r="U391" s="13"/>
      <c r="V391" s="5"/>
      <c r="W391" s="15"/>
      <c r="X391" s="188"/>
    </row>
    <row r="392" spans="1:25" s="155" customFormat="1" x14ac:dyDescent="0.25">
      <c r="A392" s="123"/>
      <c r="B392" s="699"/>
      <c r="C392" s="108"/>
      <c r="D392" s="103"/>
      <c r="E392" s="10"/>
      <c r="F392" s="10"/>
      <c r="G392" s="10"/>
      <c r="H392" s="10"/>
      <c r="I392" s="10"/>
      <c r="J392" s="10"/>
      <c r="K392" s="10"/>
      <c r="L392" s="10"/>
      <c r="M392" s="10"/>
      <c r="N392" s="10"/>
      <c r="O392" s="10"/>
      <c r="P392" s="10"/>
      <c r="Q392" s="10"/>
      <c r="R392" s="10"/>
      <c r="S392" s="10"/>
      <c r="T392" s="10"/>
      <c r="U392" s="13"/>
      <c r="V392" s="5"/>
      <c r="W392" s="15"/>
      <c r="Y392" s="189"/>
    </row>
    <row r="393" spans="1:25" s="155" customFormat="1" x14ac:dyDescent="0.25">
      <c r="A393" s="123"/>
      <c r="B393" s="700"/>
      <c r="C393" s="108"/>
      <c r="D393" s="103"/>
      <c r="E393" s="10"/>
      <c r="F393" s="10"/>
      <c r="G393" s="10"/>
      <c r="H393" s="10"/>
      <c r="I393" s="10"/>
      <c r="J393" s="10"/>
      <c r="K393" s="10"/>
      <c r="L393" s="10"/>
      <c r="M393" s="10"/>
      <c r="N393" s="10"/>
      <c r="O393" s="10"/>
      <c r="P393" s="10"/>
      <c r="Q393" s="10"/>
      <c r="R393" s="10"/>
      <c r="S393" s="10"/>
      <c r="T393" s="10"/>
      <c r="U393" s="13"/>
      <c r="V393" s="5"/>
      <c r="W393" s="15"/>
    </row>
    <row r="394" spans="1:25" s="155" customFormat="1" x14ac:dyDescent="0.25">
      <c r="A394" s="123"/>
      <c r="B394" s="701"/>
      <c r="C394" s="108"/>
      <c r="D394" s="103"/>
      <c r="E394" s="10"/>
      <c r="F394" s="10"/>
      <c r="G394" s="10"/>
      <c r="H394" s="10"/>
      <c r="I394" s="10"/>
      <c r="J394" s="10"/>
      <c r="K394" s="10"/>
      <c r="L394" s="10"/>
      <c r="M394" s="10"/>
      <c r="N394" s="10"/>
      <c r="O394" s="10"/>
      <c r="P394" s="10"/>
      <c r="Q394" s="10"/>
      <c r="R394" s="10"/>
      <c r="S394" s="10"/>
      <c r="T394" s="10"/>
      <c r="U394" s="13"/>
      <c r="V394" s="5"/>
      <c r="W394" s="15"/>
    </row>
    <row r="395" spans="1:25" s="155" customFormat="1" x14ac:dyDescent="0.25">
      <c r="A395" s="123"/>
      <c r="B395" s="702"/>
      <c r="C395" s="108"/>
      <c r="D395" s="103"/>
      <c r="E395" s="10"/>
      <c r="F395" s="10"/>
      <c r="G395" s="10"/>
      <c r="H395" s="10"/>
      <c r="I395" s="10"/>
      <c r="J395" s="10"/>
      <c r="K395" s="10"/>
      <c r="L395" s="10"/>
      <c r="M395" s="10"/>
      <c r="N395" s="10"/>
      <c r="O395" s="10"/>
      <c r="P395" s="10"/>
      <c r="Q395" s="10"/>
      <c r="R395" s="10"/>
      <c r="S395" s="10"/>
      <c r="T395" s="10"/>
      <c r="U395" s="13"/>
      <c r="V395" s="5"/>
      <c r="W395" s="15"/>
    </row>
    <row r="396" spans="1:25" s="155" customFormat="1" x14ac:dyDescent="0.25">
      <c r="A396" s="123"/>
      <c r="B396" s="703"/>
      <c r="C396" s="108"/>
      <c r="D396" s="103"/>
      <c r="E396" s="10"/>
      <c r="F396" s="10"/>
      <c r="G396" s="10"/>
      <c r="H396" s="10"/>
      <c r="I396" s="10"/>
      <c r="J396" s="10"/>
      <c r="K396" s="10"/>
      <c r="L396" s="10"/>
      <c r="M396" s="10"/>
      <c r="N396" s="10"/>
      <c r="O396" s="10"/>
      <c r="P396" s="10"/>
      <c r="Q396" s="10"/>
      <c r="R396" s="10"/>
      <c r="S396" s="10"/>
      <c r="T396" s="10"/>
      <c r="U396" s="13"/>
      <c r="V396" s="5"/>
      <c r="W396" s="15"/>
    </row>
    <row r="397" spans="1:25" s="155" customFormat="1" x14ac:dyDescent="0.25">
      <c r="A397" s="123"/>
      <c r="B397" s="704"/>
      <c r="C397" s="108"/>
      <c r="D397" s="4"/>
      <c r="E397" s="5"/>
      <c r="F397" s="5"/>
      <c r="G397" s="5"/>
      <c r="H397" s="5"/>
      <c r="I397" s="5"/>
      <c r="J397" s="5"/>
      <c r="K397" s="5"/>
      <c r="L397" s="5"/>
      <c r="M397" s="5"/>
      <c r="N397" s="5"/>
      <c r="O397" s="5"/>
      <c r="P397" s="5"/>
      <c r="Q397" s="5"/>
      <c r="R397" s="5"/>
      <c r="S397" s="5"/>
      <c r="T397" s="5"/>
      <c r="U397" s="13"/>
      <c r="V397" s="5"/>
      <c r="W397" s="15"/>
    </row>
    <row r="398" spans="1:25" s="155" customFormat="1" x14ac:dyDescent="0.25">
      <c r="A398" s="123"/>
      <c r="B398" s="705"/>
      <c r="C398" s="108"/>
      <c r="D398" s="4"/>
      <c r="E398" s="5"/>
      <c r="F398" s="5"/>
      <c r="G398" s="5"/>
      <c r="H398" s="5"/>
      <c r="I398" s="5"/>
      <c r="J398" s="5"/>
      <c r="K398" s="5"/>
      <c r="L398" s="5"/>
      <c r="M398" s="5"/>
      <c r="N398" s="5"/>
      <c r="O398" s="5"/>
      <c r="P398" s="5"/>
      <c r="Q398" s="5"/>
      <c r="R398" s="5"/>
      <c r="S398" s="5"/>
      <c r="T398" s="5"/>
      <c r="U398" s="13"/>
      <c r="V398" s="5"/>
      <c r="W398" s="15"/>
    </row>
    <row r="399" spans="1:25" s="155" customFormat="1" x14ac:dyDescent="0.25">
      <c r="A399" s="123"/>
      <c r="B399" s="706"/>
      <c r="C399" s="108"/>
      <c r="D399" s="4"/>
      <c r="E399" s="5"/>
      <c r="F399" s="5"/>
      <c r="G399" s="5"/>
      <c r="H399" s="5"/>
      <c r="I399" s="5"/>
      <c r="J399" s="5"/>
      <c r="K399" s="5"/>
      <c r="L399" s="5"/>
      <c r="M399" s="5"/>
      <c r="N399" s="5"/>
      <c r="O399" s="5"/>
      <c r="P399" s="5"/>
      <c r="Q399" s="5"/>
      <c r="R399" s="5"/>
      <c r="S399" s="5"/>
      <c r="T399" s="5"/>
      <c r="U399" s="13"/>
      <c r="V399" s="5"/>
      <c r="W399" s="15"/>
    </row>
    <row r="400" spans="1:25" s="155" customFormat="1" x14ac:dyDescent="0.25">
      <c r="A400" s="123"/>
      <c r="B400" s="707"/>
      <c r="C400" s="108"/>
      <c r="D400" s="4"/>
      <c r="E400" s="5"/>
      <c r="F400" s="5"/>
      <c r="G400" s="5"/>
      <c r="H400" s="5"/>
      <c r="I400" s="5"/>
      <c r="J400" s="5"/>
      <c r="K400" s="5"/>
      <c r="L400" s="5"/>
      <c r="M400" s="5"/>
      <c r="N400" s="5"/>
      <c r="O400" s="5"/>
      <c r="P400" s="5"/>
      <c r="Q400" s="5"/>
      <c r="R400" s="5"/>
      <c r="S400" s="5"/>
      <c r="T400" s="5"/>
      <c r="U400" s="13"/>
      <c r="V400" s="5"/>
      <c r="W400" s="15"/>
    </row>
    <row r="401" spans="1:23" s="155" customFormat="1" x14ac:dyDescent="0.25">
      <c r="A401" s="123"/>
      <c r="B401" s="708"/>
      <c r="C401" s="107"/>
      <c r="D401" s="4"/>
      <c r="E401" s="5"/>
      <c r="F401" s="5"/>
      <c r="G401" s="5"/>
      <c r="H401" s="5"/>
      <c r="I401" s="5"/>
      <c r="J401" s="5"/>
      <c r="K401" s="5"/>
      <c r="L401" s="5"/>
      <c r="M401" s="5"/>
      <c r="N401" s="5"/>
      <c r="O401" s="5"/>
      <c r="P401" s="5"/>
      <c r="Q401" s="5"/>
      <c r="R401" s="5"/>
      <c r="S401" s="5"/>
      <c r="T401" s="5"/>
      <c r="U401" s="13"/>
      <c r="V401" s="5"/>
      <c r="W401" s="15"/>
    </row>
    <row r="402" spans="1:23" s="155" customFormat="1" x14ac:dyDescent="0.25">
      <c r="A402" s="123"/>
      <c r="B402" s="709"/>
      <c r="C402" s="108"/>
      <c r="D402" s="4"/>
      <c r="E402" s="5"/>
      <c r="F402" s="5"/>
      <c r="G402" s="5"/>
      <c r="H402" s="5"/>
      <c r="I402" s="5"/>
      <c r="J402" s="5"/>
      <c r="K402" s="5"/>
      <c r="L402" s="5"/>
      <c r="M402" s="5"/>
      <c r="N402" s="5"/>
      <c r="O402" s="5"/>
      <c r="P402" s="5"/>
      <c r="Q402" s="5"/>
      <c r="R402" s="5"/>
      <c r="S402" s="5"/>
      <c r="T402" s="5"/>
      <c r="U402" s="13"/>
      <c r="V402" s="5"/>
      <c r="W402" s="15"/>
    </row>
    <row r="403" spans="1:23" s="155" customFormat="1" x14ac:dyDescent="0.25">
      <c r="A403" s="123"/>
      <c r="B403" s="710"/>
      <c r="C403" s="108"/>
      <c r="D403" s="4"/>
      <c r="E403" s="5"/>
      <c r="F403" s="5"/>
      <c r="G403" s="5"/>
      <c r="H403" s="5"/>
      <c r="I403" s="5"/>
      <c r="J403" s="5"/>
      <c r="K403" s="5"/>
      <c r="L403" s="5"/>
      <c r="M403" s="5"/>
      <c r="N403" s="5"/>
      <c r="O403" s="5"/>
      <c r="P403" s="5"/>
      <c r="Q403" s="5"/>
      <c r="R403" s="5"/>
      <c r="S403" s="5"/>
      <c r="T403" s="5"/>
      <c r="U403" s="13"/>
      <c r="V403" s="5"/>
      <c r="W403" s="15"/>
    </row>
    <row r="404" spans="1:23" s="155" customFormat="1" x14ac:dyDescent="0.25">
      <c r="A404" s="123"/>
      <c r="B404" s="711"/>
      <c r="C404" s="108"/>
      <c r="D404" s="4"/>
      <c r="E404" s="5"/>
      <c r="F404" s="5"/>
      <c r="G404" s="5"/>
      <c r="H404" s="5"/>
      <c r="I404" s="5"/>
      <c r="J404" s="5"/>
      <c r="K404" s="5"/>
      <c r="L404" s="5"/>
      <c r="M404" s="5"/>
      <c r="N404" s="5"/>
      <c r="O404" s="5"/>
      <c r="P404" s="5"/>
      <c r="Q404" s="5"/>
      <c r="R404" s="5"/>
      <c r="S404" s="5"/>
      <c r="T404" s="5"/>
      <c r="U404" s="13"/>
      <c r="V404" s="5"/>
      <c r="W404" s="15"/>
    </row>
    <row r="405" spans="1:23" s="155" customFormat="1" x14ac:dyDescent="0.25">
      <c r="A405" s="123"/>
      <c r="B405" s="712"/>
      <c r="C405" s="108"/>
      <c r="D405" s="4"/>
      <c r="E405" s="5"/>
      <c r="F405" s="5"/>
      <c r="G405" s="5"/>
      <c r="H405" s="5"/>
      <c r="I405" s="5"/>
      <c r="J405" s="5"/>
      <c r="K405" s="5"/>
      <c r="L405" s="5"/>
      <c r="M405" s="5"/>
      <c r="N405" s="5"/>
      <c r="O405" s="5"/>
      <c r="P405" s="5"/>
      <c r="Q405" s="5"/>
      <c r="R405" s="5"/>
      <c r="S405" s="5"/>
      <c r="T405" s="5"/>
      <c r="U405" s="13"/>
      <c r="V405" s="5"/>
      <c r="W405" s="15"/>
    </row>
    <row r="406" spans="1:23" s="155" customFormat="1" x14ac:dyDescent="0.25">
      <c r="A406" s="123"/>
      <c r="B406" s="713"/>
      <c r="C406" s="108"/>
      <c r="D406" s="4"/>
      <c r="E406" s="5"/>
      <c r="F406" s="5"/>
      <c r="G406" s="5"/>
      <c r="H406" s="5"/>
      <c r="I406" s="5"/>
      <c r="J406" s="5"/>
      <c r="K406" s="5"/>
      <c r="L406" s="5"/>
      <c r="M406" s="5"/>
      <c r="N406" s="5"/>
      <c r="O406" s="5"/>
      <c r="P406" s="5"/>
      <c r="Q406" s="5"/>
      <c r="R406" s="5"/>
      <c r="S406" s="5"/>
      <c r="T406" s="5"/>
      <c r="U406" s="13"/>
      <c r="V406" s="5"/>
      <c r="W406" s="15"/>
    </row>
    <row r="407" spans="1:23" s="155" customFormat="1" x14ac:dyDescent="0.25">
      <c r="A407" s="123"/>
      <c r="B407" s="714"/>
      <c r="C407" s="107"/>
      <c r="D407" s="4"/>
      <c r="E407" s="5"/>
      <c r="F407" s="5"/>
      <c r="G407" s="5"/>
      <c r="H407" s="5"/>
      <c r="I407" s="5"/>
      <c r="J407" s="5"/>
      <c r="K407" s="5"/>
      <c r="L407" s="5"/>
      <c r="M407" s="5"/>
      <c r="N407" s="5"/>
      <c r="O407" s="5"/>
      <c r="P407" s="5"/>
      <c r="Q407" s="5"/>
      <c r="R407" s="5"/>
      <c r="S407" s="5"/>
      <c r="T407" s="5"/>
      <c r="U407" s="13"/>
      <c r="V407" s="5"/>
      <c r="W407" s="15"/>
    </row>
    <row r="408" spans="1:23" s="155" customFormat="1" x14ac:dyDescent="0.25">
      <c r="A408" s="123"/>
      <c r="B408" s="715"/>
      <c r="C408" s="107"/>
      <c r="D408" s="4"/>
      <c r="E408" s="5"/>
      <c r="F408" s="5"/>
      <c r="G408" s="5"/>
      <c r="H408" s="5"/>
      <c r="I408" s="5"/>
      <c r="J408" s="5"/>
      <c r="K408" s="5"/>
      <c r="L408" s="5"/>
      <c r="M408" s="5"/>
      <c r="N408" s="5"/>
      <c r="O408" s="5"/>
      <c r="P408" s="5"/>
      <c r="Q408" s="5"/>
      <c r="R408" s="5"/>
      <c r="S408" s="5"/>
      <c r="T408" s="5"/>
      <c r="U408" s="13"/>
      <c r="V408" s="5"/>
      <c r="W408" s="15"/>
    </row>
    <row r="409" spans="1:23" s="155" customFormat="1" x14ac:dyDescent="0.25">
      <c r="A409" s="123"/>
      <c r="B409" s="680"/>
      <c r="C409" s="110"/>
      <c r="D409" s="4"/>
      <c r="E409" s="5"/>
      <c r="F409" s="5"/>
      <c r="G409" s="5"/>
      <c r="H409" s="5"/>
      <c r="I409" s="5"/>
      <c r="J409" s="5"/>
      <c r="K409" s="5"/>
      <c r="L409" s="5"/>
      <c r="M409" s="5"/>
      <c r="N409" s="5"/>
      <c r="O409" s="5"/>
      <c r="P409" s="5"/>
      <c r="Q409" s="5"/>
      <c r="R409" s="5"/>
      <c r="S409" s="5"/>
      <c r="T409" s="5"/>
      <c r="U409" s="13"/>
      <c r="V409" s="5"/>
      <c r="W409" s="15"/>
    </row>
    <row r="410" spans="1:23" s="155" customFormat="1" x14ac:dyDescent="0.25">
      <c r="A410" s="123"/>
      <c r="B410" s="716"/>
      <c r="C410" s="108"/>
      <c r="D410" s="4"/>
      <c r="E410" s="5"/>
      <c r="F410" s="5"/>
      <c r="G410" s="5"/>
      <c r="H410" s="5"/>
      <c r="I410" s="5"/>
      <c r="J410" s="5"/>
      <c r="K410" s="5"/>
      <c r="L410" s="5"/>
      <c r="M410" s="5"/>
      <c r="N410" s="5"/>
      <c r="O410" s="5"/>
      <c r="P410" s="5"/>
      <c r="Q410" s="5"/>
      <c r="R410" s="5"/>
      <c r="S410" s="5"/>
      <c r="T410" s="5"/>
      <c r="U410" s="13"/>
      <c r="V410" s="5"/>
      <c r="W410" s="15"/>
    </row>
    <row r="411" spans="1:23" s="155" customFormat="1" x14ac:dyDescent="0.25">
      <c r="A411" s="123"/>
      <c r="B411" s="717"/>
      <c r="C411" s="89"/>
      <c r="D411" s="90"/>
      <c r="E411" s="50"/>
      <c r="F411" s="50"/>
      <c r="G411" s="50"/>
      <c r="H411" s="50"/>
      <c r="I411" s="50"/>
      <c r="J411" s="50"/>
      <c r="K411" s="50"/>
      <c r="L411" s="50"/>
      <c r="M411" s="50"/>
      <c r="N411" s="50"/>
      <c r="O411" s="50"/>
      <c r="P411" s="48"/>
      <c r="Q411" s="50"/>
      <c r="R411" s="50"/>
      <c r="S411" s="50"/>
      <c r="T411" s="50"/>
      <c r="U411" s="13"/>
      <c r="V411" s="51"/>
      <c r="W411" s="15"/>
    </row>
    <row r="412" spans="1:23" s="155" customFormat="1" x14ac:dyDescent="0.25">
      <c r="A412" s="123"/>
      <c r="B412" s="718"/>
      <c r="C412" s="91"/>
      <c r="D412" s="90"/>
      <c r="E412" s="52"/>
      <c r="F412" s="52"/>
      <c r="G412" s="52"/>
      <c r="H412" s="52"/>
      <c r="I412" s="52"/>
      <c r="J412" s="52"/>
      <c r="K412" s="52"/>
      <c r="L412" s="52"/>
      <c r="M412" s="52"/>
      <c r="N412" s="52"/>
      <c r="O412" s="52"/>
      <c r="P412" s="48"/>
      <c r="Q412" s="52"/>
      <c r="R412" s="52"/>
      <c r="S412" s="52"/>
      <c r="T412" s="52"/>
      <c r="U412" s="13"/>
      <c r="V412" s="51"/>
      <c r="W412" s="15"/>
    </row>
    <row r="413" spans="1:23" s="155" customFormat="1" x14ac:dyDescent="0.25">
      <c r="A413" s="123"/>
      <c r="B413" s="719"/>
      <c r="C413" s="91"/>
      <c r="D413" s="90"/>
      <c r="E413" s="52"/>
      <c r="F413" s="52"/>
      <c r="G413" s="52"/>
      <c r="H413" s="52"/>
      <c r="I413" s="52"/>
      <c r="J413" s="52"/>
      <c r="K413" s="52"/>
      <c r="L413" s="52"/>
      <c r="M413" s="52"/>
      <c r="N413" s="52"/>
      <c r="O413" s="52"/>
      <c r="P413" s="48"/>
      <c r="Q413" s="52"/>
      <c r="R413" s="52"/>
      <c r="S413" s="52"/>
      <c r="T413" s="52"/>
      <c r="U413" s="13"/>
      <c r="V413" s="51"/>
      <c r="W413" s="15"/>
    </row>
    <row r="414" spans="1:23" s="155" customFormat="1" x14ac:dyDescent="0.25">
      <c r="A414" s="123"/>
      <c r="B414" s="720"/>
      <c r="C414" s="91"/>
      <c r="D414" s="90"/>
      <c r="E414" s="52"/>
      <c r="F414" s="52"/>
      <c r="G414" s="52"/>
      <c r="H414" s="52"/>
      <c r="I414" s="52"/>
      <c r="J414" s="52"/>
      <c r="K414" s="52"/>
      <c r="L414" s="52"/>
      <c r="M414" s="52"/>
      <c r="N414" s="52"/>
      <c r="O414" s="52"/>
      <c r="P414" s="48"/>
      <c r="Q414" s="52"/>
      <c r="R414" s="52"/>
      <c r="S414" s="52"/>
      <c r="T414" s="52"/>
      <c r="U414" s="13"/>
      <c r="V414" s="51"/>
      <c r="W414" s="15"/>
    </row>
    <row r="415" spans="1:23" s="155" customFormat="1" x14ac:dyDescent="0.25">
      <c r="A415" s="123"/>
      <c r="B415" s="721"/>
      <c r="C415" s="53"/>
      <c r="D415" s="90"/>
      <c r="E415" s="53"/>
      <c r="F415" s="53"/>
      <c r="G415" s="53"/>
      <c r="H415" s="53"/>
      <c r="I415" s="53"/>
      <c r="J415" s="53"/>
      <c r="K415" s="53"/>
      <c r="L415" s="53"/>
      <c r="M415" s="53"/>
      <c r="N415" s="53"/>
      <c r="O415" s="53"/>
      <c r="P415" s="48"/>
      <c r="Q415" s="53"/>
      <c r="R415" s="53"/>
      <c r="S415" s="53"/>
      <c r="T415" s="53"/>
      <c r="U415" s="13"/>
      <c r="V415" s="51"/>
      <c r="W415" s="15"/>
    </row>
    <row r="416" spans="1:23" s="155" customFormat="1" x14ac:dyDescent="0.25">
      <c r="A416" s="123"/>
      <c r="B416" s="722"/>
      <c r="C416" s="91"/>
      <c r="D416" s="90"/>
      <c r="E416" s="52"/>
      <c r="F416" s="52"/>
      <c r="G416" s="52"/>
      <c r="H416" s="52"/>
      <c r="I416" s="52"/>
      <c r="J416" s="52"/>
      <c r="K416" s="52"/>
      <c r="L416" s="52"/>
      <c r="M416" s="52"/>
      <c r="N416" s="52"/>
      <c r="O416" s="52"/>
      <c r="P416" s="48"/>
      <c r="Q416" s="52"/>
      <c r="R416" s="52"/>
      <c r="S416" s="52"/>
      <c r="T416" s="52"/>
      <c r="U416" s="13"/>
      <c r="V416" s="51"/>
      <c r="W416" s="15"/>
    </row>
    <row r="417" spans="1:24" s="155" customFormat="1" x14ac:dyDescent="0.25">
      <c r="A417" s="123"/>
      <c r="B417" s="723"/>
      <c r="C417" s="53"/>
      <c r="D417" s="90"/>
      <c r="E417" s="54"/>
      <c r="F417" s="54"/>
      <c r="G417" s="54"/>
      <c r="H417" s="54"/>
      <c r="I417" s="54"/>
      <c r="J417" s="54"/>
      <c r="K417" s="54"/>
      <c r="L417" s="54"/>
      <c r="M417" s="54"/>
      <c r="N417" s="54"/>
      <c r="O417" s="54"/>
      <c r="P417" s="48"/>
      <c r="Q417" s="54"/>
      <c r="R417" s="54"/>
      <c r="S417" s="54"/>
      <c r="T417" s="54"/>
      <c r="U417" s="13"/>
      <c r="V417" s="51"/>
      <c r="W417" s="15"/>
    </row>
    <row r="418" spans="1:24" s="155" customFormat="1" x14ac:dyDescent="0.25">
      <c r="A418" s="123"/>
      <c r="B418" s="724"/>
      <c r="C418" s="53"/>
      <c r="D418" s="90"/>
      <c r="E418" s="54"/>
      <c r="F418" s="54"/>
      <c r="G418" s="54"/>
      <c r="H418" s="54"/>
      <c r="I418" s="54"/>
      <c r="J418" s="54"/>
      <c r="K418" s="54"/>
      <c r="L418" s="54"/>
      <c r="M418" s="54"/>
      <c r="N418" s="54"/>
      <c r="O418" s="54"/>
      <c r="P418" s="48"/>
      <c r="Q418" s="54"/>
      <c r="R418" s="54"/>
      <c r="S418" s="54"/>
      <c r="T418" s="54"/>
      <c r="U418" s="13"/>
      <c r="V418" s="51"/>
      <c r="W418" s="15"/>
    </row>
    <row r="419" spans="1:24" s="155" customFormat="1" x14ac:dyDescent="0.25">
      <c r="A419" s="123"/>
      <c r="B419" s="725"/>
      <c r="C419" s="89"/>
      <c r="D419" s="90"/>
      <c r="E419" s="50"/>
      <c r="F419" s="50"/>
      <c r="G419" s="50"/>
      <c r="H419" s="50"/>
      <c r="I419" s="50"/>
      <c r="J419" s="50"/>
      <c r="K419" s="50"/>
      <c r="L419" s="50"/>
      <c r="M419" s="50"/>
      <c r="N419" s="50"/>
      <c r="O419" s="50"/>
      <c r="P419" s="48"/>
      <c r="Q419" s="50"/>
      <c r="R419" s="50"/>
      <c r="S419" s="50"/>
      <c r="T419" s="50"/>
      <c r="U419" s="13"/>
      <c r="V419" s="51"/>
      <c r="W419" s="15"/>
    </row>
    <row r="420" spans="1:24" s="155" customFormat="1" x14ac:dyDescent="0.25">
      <c r="A420" s="123"/>
      <c r="B420" s="726"/>
      <c r="C420" s="89"/>
      <c r="D420" s="90"/>
      <c r="E420" s="50"/>
      <c r="F420" s="50"/>
      <c r="G420" s="50"/>
      <c r="H420" s="50"/>
      <c r="I420" s="50"/>
      <c r="J420" s="50"/>
      <c r="K420" s="50"/>
      <c r="L420" s="50"/>
      <c r="M420" s="50"/>
      <c r="N420" s="50"/>
      <c r="O420" s="50"/>
      <c r="P420" s="48"/>
      <c r="Q420" s="50"/>
      <c r="R420" s="50"/>
      <c r="S420" s="50"/>
      <c r="T420" s="50"/>
      <c r="U420" s="13"/>
      <c r="V420" s="51"/>
      <c r="W420" s="15"/>
      <c r="X420" s="188"/>
    </row>
    <row r="421" spans="1:24" customFormat="1" ht="22.5" x14ac:dyDescent="0.25">
      <c r="A421" s="198"/>
      <c r="B421" s="727"/>
      <c r="C421" s="407"/>
      <c r="D421" s="407"/>
      <c r="E421" s="407"/>
      <c r="F421" s="407"/>
      <c r="G421" s="407"/>
      <c r="H421" s="407"/>
      <c r="I421" s="407"/>
      <c r="J421" s="407"/>
      <c r="K421" s="407"/>
      <c r="L421" s="407"/>
      <c r="M421" s="407"/>
      <c r="N421" s="407"/>
      <c r="O421" s="407"/>
      <c r="P421" s="407"/>
      <c r="Q421" s="407"/>
      <c r="R421" s="407"/>
      <c r="S421" s="407"/>
      <c r="T421" s="407"/>
      <c r="U421" s="407"/>
      <c r="V421" s="407"/>
      <c r="W421" s="407"/>
    </row>
    <row r="422" spans="1:24" customFormat="1" ht="15" x14ac:dyDescent="0.25">
      <c r="A422" s="124"/>
      <c r="B422" s="728"/>
      <c r="C422" s="37"/>
      <c r="D422" s="55"/>
      <c r="E422" s="55"/>
      <c r="F422" s="55"/>
      <c r="G422" s="55"/>
      <c r="H422" s="55"/>
      <c r="I422" s="55"/>
      <c r="J422" s="55"/>
      <c r="K422" s="55"/>
      <c r="L422" s="55"/>
      <c r="M422" s="55"/>
      <c r="N422" s="55"/>
      <c r="O422" s="55"/>
      <c r="P422" s="55"/>
      <c r="Q422" s="55"/>
      <c r="R422" s="55"/>
      <c r="S422" s="55"/>
      <c r="T422" s="55"/>
      <c r="U422" s="13"/>
      <c r="V422" s="56"/>
      <c r="W422" s="15"/>
    </row>
    <row r="423" spans="1:24" customFormat="1" ht="15" x14ac:dyDescent="0.25">
      <c r="A423" s="124"/>
      <c r="B423" s="729"/>
      <c r="C423" s="37"/>
      <c r="D423" s="47"/>
      <c r="E423" s="55"/>
      <c r="F423" s="55"/>
      <c r="G423" s="55"/>
      <c r="H423" s="55"/>
      <c r="I423" s="55"/>
      <c r="J423" s="55"/>
      <c r="K423" s="55"/>
      <c r="L423" s="55"/>
      <c r="M423" s="55"/>
      <c r="N423" s="55"/>
      <c r="O423" s="55"/>
      <c r="P423" s="55"/>
      <c r="Q423" s="55"/>
      <c r="R423" s="55"/>
      <c r="S423" s="55"/>
      <c r="T423" s="55"/>
      <c r="U423" s="13"/>
      <c r="V423" s="60"/>
      <c r="W423" s="15"/>
    </row>
    <row r="424" spans="1:24" customFormat="1" x14ac:dyDescent="0.25">
      <c r="A424" s="125"/>
      <c r="B424" s="730"/>
      <c r="C424" s="111"/>
      <c r="D424" s="25"/>
      <c r="E424" s="14"/>
      <c r="F424" s="14"/>
      <c r="G424" s="14"/>
      <c r="H424" s="14"/>
      <c r="I424" s="14"/>
      <c r="J424" s="14"/>
      <c r="K424" s="14"/>
      <c r="L424" s="14"/>
      <c r="M424" s="14"/>
      <c r="N424" s="14"/>
      <c r="O424" s="14"/>
      <c r="P424" s="14"/>
      <c r="Q424" s="14"/>
      <c r="R424" s="14"/>
      <c r="S424" s="14"/>
      <c r="T424" s="14"/>
      <c r="U424" s="13"/>
      <c r="V424" s="64"/>
      <c r="W424" s="15"/>
    </row>
    <row r="425" spans="1:24" customFormat="1" ht="15" x14ac:dyDescent="0.25">
      <c r="A425" s="124"/>
      <c r="B425" s="731"/>
      <c r="C425" s="37"/>
      <c r="D425" s="47"/>
      <c r="E425" s="55"/>
      <c r="F425" s="55"/>
      <c r="G425" s="55"/>
      <c r="H425" s="55"/>
      <c r="I425" s="55"/>
      <c r="J425" s="55"/>
      <c r="K425" s="55"/>
      <c r="L425" s="55"/>
      <c r="M425" s="55"/>
      <c r="N425" s="55"/>
      <c r="O425" s="55"/>
      <c r="P425" s="55"/>
      <c r="Q425" s="55"/>
      <c r="R425" s="55"/>
      <c r="S425" s="55"/>
      <c r="T425" s="55"/>
      <c r="U425" s="13"/>
      <c r="V425" s="59"/>
      <c r="W425" s="15"/>
    </row>
    <row r="426" spans="1:24" customFormat="1" ht="15" x14ac:dyDescent="0.25">
      <c r="A426" s="124"/>
      <c r="B426" s="732"/>
      <c r="C426" s="37"/>
      <c r="D426" s="55"/>
      <c r="E426" s="55"/>
      <c r="F426" s="55"/>
      <c r="G426" s="55"/>
      <c r="H426" s="55"/>
      <c r="I426" s="55"/>
      <c r="J426" s="55"/>
      <c r="K426" s="55"/>
      <c r="L426" s="55"/>
      <c r="M426" s="55"/>
      <c r="N426" s="55"/>
      <c r="O426" s="55"/>
      <c r="P426" s="55"/>
      <c r="Q426" s="55"/>
      <c r="R426" s="55"/>
      <c r="S426" s="55"/>
      <c r="T426" s="55"/>
      <c r="U426" s="13"/>
      <c r="V426" s="59"/>
      <c r="W426" s="15"/>
    </row>
    <row r="427" spans="1:24" customFormat="1" ht="15" x14ac:dyDescent="0.25">
      <c r="A427" s="124"/>
      <c r="B427" s="733"/>
      <c r="C427" s="37"/>
      <c r="D427" s="47"/>
      <c r="E427" s="55"/>
      <c r="F427" s="55"/>
      <c r="G427" s="55"/>
      <c r="H427" s="55"/>
      <c r="I427" s="55"/>
      <c r="J427" s="55"/>
      <c r="K427" s="55"/>
      <c r="L427" s="55"/>
      <c r="M427" s="55"/>
      <c r="N427" s="55"/>
      <c r="O427" s="55"/>
      <c r="P427" s="55"/>
      <c r="Q427" s="55"/>
      <c r="R427" s="55"/>
      <c r="S427" s="55"/>
      <c r="T427" s="55"/>
      <c r="U427" s="13"/>
      <c r="V427" s="59"/>
      <c r="W427" s="15"/>
    </row>
    <row r="428" spans="1:24" customFormat="1" ht="15" x14ac:dyDescent="0.25">
      <c r="A428" s="124"/>
      <c r="B428" s="733"/>
      <c r="C428" s="37"/>
      <c r="D428" s="47"/>
      <c r="E428" s="55"/>
      <c r="F428" s="55"/>
      <c r="G428" s="55"/>
      <c r="H428" s="55"/>
      <c r="I428" s="55"/>
      <c r="J428" s="55"/>
      <c r="K428" s="55"/>
      <c r="L428" s="55"/>
      <c r="M428" s="55"/>
      <c r="N428" s="55"/>
      <c r="O428" s="55"/>
      <c r="P428" s="55"/>
      <c r="Q428" s="55"/>
      <c r="R428" s="55"/>
      <c r="S428" s="55"/>
      <c r="T428" s="55"/>
      <c r="U428" s="13"/>
      <c r="V428" s="59"/>
      <c r="W428" s="15"/>
    </row>
    <row r="429" spans="1:24" customFormat="1" ht="15" x14ac:dyDescent="0.25">
      <c r="A429" s="124"/>
      <c r="B429" s="734"/>
      <c r="C429" s="37"/>
      <c r="D429" s="47"/>
      <c r="E429" s="55"/>
      <c r="F429" s="55"/>
      <c r="G429" s="55"/>
      <c r="H429" s="55"/>
      <c r="I429" s="55"/>
      <c r="J429" s="55"/>
      <c r="K429" s="55"/>
      <c r="L429" s="55"/>
      <c r="M429" s="55"/>
      <c r="N429" s="55"/>
      <c r="O429" s="55"/>
      <c r="P429" s="55"/>
      <c r="Q429" s="55"/>
      <c r="R429" s="55"/>
      <c r="S429" s="55"/>
      <c r="T429" s="55"/>
      <c r="U429" s="13"/>
      <c r="V429" s="59"/>
      <c r="W429" s="15"/>
    </row>
    <row r="430" spans="1:24" customFormat="1" ht="15" x14ac:dyDescent="0.25">
      <c r="A430" s="126"/>
      <c r="B430" s="735"/>
      <c r="C430" s="47"/>
      <c r="D430" s="47"/>
      <c r="E430" s="47"/>
      <c r="F430" s="47"/>
      <c r="G430" s="47"/>
      <c r="H430" s="47"/>
      <c r="I430" s="47"/>
      <c r="J430" s="47"/>
      <c r="K430" s="47"/>
      <c r="L430" s="47"/>
      <c r="M430" s="47"/>
      <c r="N430" s="47"/>
      <c r="O430" s="47"/>
      <c r="P430" s="47"/>
      <c r="Q430" s="47"/>
      <c r="R430" s="47"/>
      <c r="S430" s="47"/>
      <c r="T430" s="47"/>
      <c r="U430" s="13"/>
      <c r="V430" s="47"/>
      <c r="W430" s="15"/>
    </row>
    <row r="431" spans="1:24" customFormat="1" ht="15" x14ac:dyDescent="0.25">
      <c r="A431" s="124"/>
      <c r="B431" s="736"/>
      <c r="C431" s="37"/>
      <c r="D431" s="47"/>
      <c r="E431" s="47"/>
      <c r="F431" s="47"/>
      <c r="G431" s="47"/>
      <c r="H431" s="47"/>
      <c r="I431" s="47"/>
      <c r="J431" s="47"/>
      <c r="K431" s="47"/>
      <c r="L431" s="47"/>
      <c r="M431" s="47"/>
      <c r="N431" s="47"/>
      <c r="O431" s="47"/>
      <c r="P431" s="47"/>
      <c r="Q431" s="47"/>
      <c r="R431" s="47"/>
      <c r="S431" s="47"/>
      <c r="T431" s="47"/>
      <c r="U431" s="13"/>
      <c r="V431" s="47"/>
      <c r="W431" s="15"/>
    </row>
    <row r="432" spans="1:24" customFormat="1" ht="15" x14ac:dyDescent="0.25">
      <c r="A432" s="126"/>
      <c r="B432" s="737"/>
      <c r="C432" s="57"/>
      <c r="D432" s="47"/>
      <c r="E432" s="47"/>
      <c r="F432" s="47"/>
      <c r="G432" s="47"/>
      <c r="H432" s="47"/>
      <c r="I432" s="47"/>
      <c r="J432" s="47"/>
      <c r="K432" s="47"/>
      <c r="L432" s="47"/>
      <c r="M432" s="47"/>
      <c r="N432" s="47"/>
      <c r="O432" s="47"/>
      <c r="P432" s="47"/>
      <c r="Q432" s="47"/>
      <c r="R432" s="47"/>
      <c r="S432" s="47"/>
      <c r="T432" s="47"/>
      <c r="U432" s="13"/>
      <c r="V432" s="47"/>
      <c r="W432" s="15"/>
    </row>
    <row r="433" spans="1:24" customFormat="1" ht="15" x14ac:dyDescent="0.25">
      <c r="A433" s="124"/>
      <c r="B433" s="738"/>
      <c r="C433" s="47"/>
      <c r="D433" s="47"/>
      <c r="E433" s="47"/>
      <c r="F433" s="47"/>
      <c r="G433" s="47"/>
      <c r="H433" s="47"/>
      <c r="I433" s="47"/>
      <c r="J433" s="47"/>
      <c r="K433" s="47"/>
      <c r="L433" s="47"/>
      <c r="M433" s="47"/>
      <c r="N433" s="47"/>
      <c r="O433" s="47"/>
      <c r="P433" s="47"/>
      <c r="Q433" s="47"/>
      <c r="R433" s="47"/>
      <c r="S433" s="47"/>
      <c r="T433" s="47"/>
      <c r="U433" s="13"/>
      <c r="V433" s="47"/>
      <c r="W433" s="15"/>
    </row>
    <row r="434" spans="1:24" customFormat="1" ht="15" x14ac:dyDescent="0.25">
      <c r="A434" s="126"/>
      <c r="B434" s="739"/>
      <c r="C434" s="37"/>
      <c r="D434" s="47"/>
      <c r="E434" s="47"/>
      <c r="F434" s="47"/>
      <c r="G434" s="47"/>
      <c r="H434" s="47"/>
      <c r="I434" s="47"/>
      <c r="J434" s="47"/>
      <c r="K434" s="47"/>
      <c r="L434" s="47"/>
      <c r="M434" s="47"/>
      <c r="N434" s="47"/>
      <c r="O434" s="47"/>
      <c r="P434" s="47"/>
      <c r="Q434" s="47"/>
      <c r="R434" s="47"/>
      <c r="S434" s="47"/>
      <c r="T434" s="47"/>
      <c r="U434" s="13"/>
      <c r="V434" s="47"/>
      <c r="W434" s="15"/>
    </row>
    <row r="435" spans="1:24" customFormat="1" ht="15" x14ac:dyDescent="0.25">
      <c r="A435" s="124"/>
      <c r="B435" s="740"/>
      <c r="C435" s="47"/>
      <c r="D435" s="47"/>
      <c r="E435" s="47"/>
      <c r="F435" s="47"/>
      <c r="G435" s="47"/>
      <c r="H435" s="47"/>
      <c r="I435" s="47"/>
      <c r="J435" s="47"/>
      <c r="K435" s="47"/>
      <c r="L435" s="47"/>
      <c r="M435" s="47"/>
      <c r="N435" s="47"/>
      <c r="O435" s="47"/>
      <c r="P435" s="47"/>
      <c r="Q435" s="47"/>
      <c r="R435" s="47"/>
      <c r="S435" s="47"/>
      <c r="T435" s="47"/>
      <c r="U435" s="13"/>
      <c r="V435" s="47"/>
      <c r="W435" s="15"/>
    </row>
    <row r="436" spans="1:24" customFormat="1" ht="15" x14ac:dyDescent="0.25">
      <c r="A436" s="126"/>
      <c r="B436" s="741"/>
      <c r="C436" s="47"/>
      <c r="D436" s="47"/>
      <c r="E436" s="47"/>
      <c r="F436" s="47"/>
      <c r="G436" s="47"/>
      <c r="H436" s="47"/>
      <c r="I436" s="47"/>
      <c r="J436" s="47"/>
      <c r="K436" s="47"/>
      <c r="L436" s="47"/>
      <c r="M436" s="47"/>
      <c r="N436" s="47"/>
      <c r="O436" s="47"/>
      <c r="P436" s="47"/>
      <c r="Q436" s="47"/>
      <c r="R436" s="47"/>
      <c r="S436" s="47"/>
      <c r="T436" s="47"/>
      <c r="U436" s="13"/>
      <c r="V436" s="47"/>
      <c r="W436" s="15"/>
    </row>
    <row r="437" spans="1:24" customFormat="1" ht="15" x14ac:dyDescent="0.25">
      <c r="A437" s="124"/>
      <c r="B437" s="742"/>
      <c r="C437" s="47"/>
      <c r="D437" s="47"/>
      <c r="E437" s="47"/>
      <c r="F437" s="47"/>
      <c r="G437" s="47"/>
      <c r="H437" s="47"/>
      <c r="I437" s="47"/>
      <c r="J437" s="47"/>
      <c r="K437" s="47"/>
      <c r="L437" s="47"/>
      <c r="M437" s="47"/>
      <c r="N437" s="47"/>
      <c r="O437" s="47"/>
      <c r="P437" s="47"/>
      <c r="Q437" s="47"/>
      <c r="R437" s="47"/>
      <c r="S437" s="47"/>
      <c r="T437" s="47"/>
      <c r="U437" s="13"/>
      <c r="V437" s="47"/>
      <c r="W437" s="15"/>
    </row>
    <row r="438" spans="1:24" customFormat="1" ht="15" x14ac:dyDescent="0.25">
      <c r="A438" s="126"/>
      <c r="B438" s="743"/>
      <c r="C438" s="37"/>
      <c r="D438" s="47"/>
      <c r="E438" s="47"/>
      <c r="F438" s="47"/>
      <c r="G438" s="47"/>
      <c r="H438" s="47"/>
      <c r="I438" s="47"/>
      <c r="J438" s="47"/>
      <c r="K438" s="47"/>
      <c r="L438" s="47"/>
      <c r="M438" s="47"/>
      <c r="N438" s="47"/>
      <c r="O438" s="47"/>
      <c r="P438" s="47"/>
      <c r="Q438" s="47"/>
      <c r="R438" s="47"/>
      <c r="S438" s="47"/>
      <c r="T438" s="47"/>
      <c r="U438" s="13"/>
      <c r="V438" s="47"/>
      <c r="W438" s="15"/>
    </row>
    <row r="439" spans="1:24" customFormat="1" ht="15" x14ac:dyDescent="0.25">
      <c r="A439" s="124"/>
      <c r="B439" s="744"/>
      <c r="C439" s="47"/>
      <c r="D439" s="47"/>
      <c r="E439" s="47"/>
      <c r="F439" s="47"/>
      <c r="G439" s="47"/>
      <c r="H439" s="47"/>
      <c r="I439" s="47"/>
      <c r="J439" s="47"/>
      <c r="K439" s="47"/>
      <c r="L439" s="47"/>
      <c r="M439" s="47"/>
      <c r="N439" s="47"/>
      <c r="O439" s="47"/>
      <c r="P439" s="47"/>
      <c r="Q439" s="47"/>
      <c r="R439" s="47"/>
      <c r="S439" s="47"/>
      <c r="T439" s="47"/>
      <c r="U439" s="13"/>
      <c r="V439" s="47"/>
      <c r="W439" s="15"/>
    </row>
    <row r="440" spans="1:24" customFormat="1" ht="15" x14ac:dyDescent="0.25">
      <c r="A440" s="126"/>
      <c r="B440" s="745"/>
      <c r="C440" s="47"/>
      <c r="D440" s="47"/>
      <c r="E440" s="47"/>
      <c r="F440" s="47"/>
      <c r="G440" s="47"/>
      <c r="H440" s="47"/>
      <c r="I440" s="47"/>
      <c r="J440" s="47"/>
      <c r="K440" s="47"/>
      <c r="L440" s="47"/>
      <c r="M440" s="47"/>
      <c r="N440" s="47"/>
      <c r="O440" s="47"/>
      <c r="P440" s="47"/>
      <c r="Q440" s="47"/>
      <c r="R440" s="47"/>
      <c r="S440" s="47"/>
      <c r="T440" s="47"/>
      <c r="U440" s="13"/>
      <c r="V440" s="47"/>
      <c r="W440" s="15"/>
    </row>
    <row r="441" spans="1:24" customFormat="1" ht="15" x14ac:dyDescent="0.25">
      <c r="A441" s="124"/>
      <c r="B441" s="746"/>
      <c r="C441" s="47"/>
      <c r="D441" s="47"/>
      <c r="E441" s="47"/>
      <c r="F441" s="47"/>
      <c r="G441" s="47"/>
      <c r="H441" s="47"/>
      <c r="I441" s="47"/>
      <c r="J441" s="47"/>
      <c r="K441" s="47"/>
      <c r="L441" s="47"/>
      <c r="M441" s="47"/>
      <c r="N441" s="47"/>
      <c r="O441" s="47"/>
      <c r="P441" s="47"/>
      <c r="Q441" s="47"/>
      <c r="R441" s="47"/>
      <c r="S441" s="47"/>
      <c r="T441" s="47"/>
      <c r="U441" s="13"/>
      <c r="V441" s="47"/>
      <c r="W441" s="15"/>
    </row>
    <row r="442" spans="1:24" customFormat="1" ht="15" x14ac:dyDescent="0.25">
      <c r="A442" s="126"/>
      <c r="B442" s="747"/>
      <c r="C442" s="58"/>
      <c r="D442" s="47"/>
      <c r="E442" s="47"/>
      <c r="F442" s="47"/>
      <c r="G442" s="47"/>
      <c r="H442" s="47"/>
      <c r="I442" s="47"/>
      <c r="J442" s="47"/>
      <c r="K442" s="47"/>
      <c r="L442" s="47"/>
      <c r="M442" s="47"/>
      <c r="N442" s="47"/>
      <c r="O442" s="47"/>
      <c r="P442" s="47"/>
      <c r="Q442" s="47"/>
      <c r="R442" s="47"/>
      <c r="S442" s="47"/>
      <c r="T442" s="47"/>
      <c r="U442" s="13"/>
      <c r="V442" s="47"/>
      <c r="W442" s="15"/>
    </row>
    <row r="443" spans="1:24" customFormat="1" ht="15" x14ac:dyDescent="0.25">
      <c r="A443" s="124"/>
      <c r="B443" s="748"/>
      <c r="C443" s="58"/>
      <c r="D443" s="47"/>
      <c r="E443" s="47"/>
      <c r="F443" s="47"/>
      <c r="G443" s="47"/>
      <c r="H443" s="47"/>
      <c r="I443" s="47"/>
      <c r="J443" s="47"/>
      <c r="K443" s="47"/>
      <c r="L443" s="47"/>
      <c r="M443" s="47"/>
      <c r="N443" s="47"/>
      <c r="O443" s="47"/>
      <c r="P443" s="47"/>
      <c r="Q443" s="47"/>
      <c r="R443" s="47"/>
      <c r="S443" s="47"/>
      <c r="T443" s="47"/>
      <c r="U443" s="13"/>
      <c r="V443" s="47"/>
      <c r="W443" s="15"/>
    </row>
    <row r="444" spans="1:24" customFormat="1" ht="15" x14ac:dyDescent="0.25">
      <c r="A444" s="126"/>
      <c r="B444" s="749"/>
      <c r="C444" s="47"/>
      <c r="D444" s="47"/>
      <c r="E444" s="47"/>
      <c r="F444" s="47"/>
      <c r="G444" s="47"/>
      <c r="H444" s="47"/>
      <c r="I444" s="47"/>
      <c r="J444" s="47"/>
      <c r="K444" s="47"/>
      <c r="L444" s="47"/>
      <c r="M444" s="47"/>
      <c r="N444" s="47"/>
      <c r="O444" s="47"/>
      <c r="P444" s="47"/>
      <c r="Q444" s="47"/>
      <c r="R444" s="47"/>
      <c r="S444" s="47"/>
      <c r="T444" s="47"/>
      <c r="U444" s="13"/>
      <c r="V444" s="47"/>
      <c r="W444" s="15"/>
    </row>
    <row r="445" spans="1:24" customFormat="1" ht="15" x14ac:dyDescent="0.25">
      <c r="A445" s="124"/>
      <c r="B445" s="750"/>
      <c r="C445" s="47"/>
      <c r="D445" s="47"/>
      <c r="E445" s="47"/>
      <c r="F445" s="47"/>
      <c r="G445" s="47"/>
      <c r="H445" s="47"/>
      <c r="I445" s="47"/>
      <c r="J445" s="47"/>
      <c r="K445" s="47"/>
      <c r="L445" s="47"/>
      <c r="M445" s="47"/>
      <c r="N445" s="47"/>
      <c r="O445" s="47"/>
      <c r="P445" s="47"/>
      <c r="Q445" s="47"/>
      <c r="R445" s="47"/>
      <c r="S445" s="47"/>
      <c r="T445" s="47"/>
      <c r="U445" s="13"/>
      <c r="V445" s="47"/>
      <c r="W445" s="15"/>
      <c r="X445" s="190"/>
    </row>
    <row r="446" spans="1:24" customFormat="1" ht="22.5" x14ac:dyDescent="0.25">
      <c r="A446" s="198"/>
      <c r="B446" s="751"/>
      <c r="C446" s="407"/>
      <c r="D446" s="407"/>
      <c r="E446" s="407"/>
      <c r="F446" s="407"/>
      <c r="G446" s="407"/>
      <c r="H446" s="407"/>
      <c r="I446" s="407"/>
      <c r="J446" s="407"/>
      <c r="K446" s="407"/>
      <c r="L446" s="407"/>
      <c r="M446" s="407"/>
      <c r="N446" s="407"/>
      <c r="O446" s="407"/>
      <c r="P446" s="407"/>
      <c r="Q446" s="407"/>
      <c r="R446" s="407"/>
      <c r="S446" s="407"/>
      <c r="T446" s="407"/>
      <c r="U446" s="407"/>
      <c r="V446" s="407"/>
      <c r="W446" s="407"/>
    </row>
    <row r="447" spans="1:24" customFormat="1" x14ac:dyDescent="0.25">
      <c r="A447" s="126"/>
      <c r="B447" s="752"/>
      <c r="C447" s="37"/>
      <c r="D447" s="4"/>
      <c r="E447" s="60"/>
      <c r="F447" s="60"/>
      <c r="G447" s="60"/>
      <c r="H447" s="60"/>
      <c r="I447" s="60"/>
      <c r="J447" s="60"/>
      <c r="K447" s="60"/>
      <c r="L447" s="60"/>
      <c r="M447" s="60"/>
      <c r="N447" s="60"/>
      <c r="O447" s="60"/>
      <c r="P447" s="60"/>
      <c r="Q447" s="60"/>
      <c r="R447" s="60"/>
      <c r="S447" s="60"/>
      <c r="T447" s="60"/>
      <c r="U447" s="13"/>
      <c r="V447" s="60"/>
      <c r="W447" s="15"/>
    </row>
    <row r="448" spans="1:24" customFormat="1" ht="15" x14ac:dyDescent="0.25">
      <c r="A448" s="124"/>
      <c r="B448" s="753"/>
      <c r="C448" s="37"/>
      <c r="D448" s="49"/>
      <c r="E448" s="49"/>
      <c r="F448" s="49"/>
      <c r="G448" s="49"/>
      <c r="H448" s="49"/>
      <c r="I448" s="49"/>
      <c r="J448" s="49"/>
      <c r="K448" s="49"/>
      <c r="L448" s="49"/>
      <c r="M448" s="49"/>
      <c r="N448" s="49"/>
      <c r="O448" s="49"/>
      <c r="P448" s="49"/>
      <c r="Q448" s="49"/>
      <c r="R448" s="49"/>
      <c r="S448" s="49"/>
      <c r="T448" s="49"/>
      <c r="U448" s="13"/>
      <c r="V448" s="65"/>
      <c r="W448" s="15"/>
    </row>
    <row r="449" spans="1:23" customFormat="1" ht="15" x14ac:dyDescent="0.25">
      <c r="A449" s="124"/>
      <c r="B449" s="754"/>
      <c r="C449" s="37"/>
      <c r="D449" s="49"/>
      <c r="E449" s="49"/>
      <c r="F449" s="49"/>
      <c r="G449" s="49"/>
      <c r="H449" s="49"/>
      <c r="I449" s="49"/>
      <c r="J449" s="49"/>
      <c r="K449" s="49"/>
      <c r="L449" s="49"/>
      <c r="M449" s="49"/>
      <c r="N449" s="49"/>
      <c r="O449" s="49"/>
      <c r="P449" s="49"/>
      <c r="Q449" s="49"/>
      <c r="R449" s="49"/>
      <c r="S449" s="49"/>
      <c r="T449" s="49"/>
      <c r="U449" s="13"/>
      <c r="V449" s="65"/>
      <c r="W449" s="15"/>
    </row>
    <row r="450" spans="1:23" customFormat="1" ht="15" x14ac:dyDescent="0.25">
      <c r="A450" s="124"/>
      <c r="B450" s="755"/>
      <c r="C450" s="37"/>
      <c r="D450" s="49"/>
      <c r="E450" s="49"/>
      <c r="F450" s="49"/>
      <c r="G450" s="49"/>
      <c r="H450" s="49"/>
      <c r="I450" s="49"/>
      <c r="J450" s="49"/>
      <c r="K450" s="49"/>
      <c r="L450" s="49"/>
      <c r="M450" s="49"/>
      <c r="N450" s="49"/>
      <c r="O450" s="49"/>
      <c r="P450" s="49"/>
      <c r="Q450" s="49"/>
      <c r="R450" s="49"/>
      <c r="S450" s="49"/>
      <c r="T450" s="49"/>
      <c r="U450" s="13"/>
      <c r="V450" s="49"/>
      <c r="W450" s="15"/>
    </row>
    <row r="451" spans="1:23" customFormat="1" ht="15" x14ac:dyDescent="0.25">
      <c r="A451" s="124"/>
      <c r="B451" s="756"/>
      <c r="C451" s="37"/>
      <c r="D451" s="49"/>
      <c r="E451" s="49"/>
      <c r="F451" s="49"/>
      <c r="G451" s="49"/>
      <c r="H451" s="49"/>
      <c r="I451" s="49"/>
      <c r="J451" s="49"/>
      <c r="K451" s="49"/>
      <c r="L451" s="49"/>
      <c r="M451" s="49"/>
      <c r="N451" s="49"/>
      <c r="O451" s="49"/>
      <c r="P451" s="49"/>
      <c r="Q451" s="49"/>
      <c r="R451" s="49"/>
      <c r="S451" s="49"/>
      <c r="T451" s="49"/>
      <c r="U451" s="13"/>
      <c r="V451" s="49"/>
      <c r="W451" s="15"/>
    </row>
    <row r="452" spans="1:23" customFormat="1" ht="15" x14ac:dyDescent="0.25">
      <c r="A452" s="124"/>
      <c r="B452" s="757"/>
      <c r="C452" s="37"/>
      <c r="D452" s="49"/>
      <c r="E452" s="49"/>
      <c r="F452" s="49"/>
      <c r="G452" s="49"/>
      <c r="H452" s="49"/>
      <c r="I452" s="49"/>
      <c r="J452" s="49"/>
      <c r="K452" s="49"/>
      <c r="L452" s="49"/>
      <c r="M452" s="49"/>
      <c r="N452" s="49"/>
      <c r="O452" s="49"/>
      <c r="P452" s="49"/>
      <c r="Q452" s="49"/>
      <c r="R452" s="49"/>
      <c r="S452" s="49"/>
      <c r="T452" s="49"/>
      <c r="U452" s="13"/>
      <c r="V452" s="49"/>
      <c r="W452" s="15"/>
    </row>
    <row r="453" spans="1:23" customFormat="1" ht="15" x14ac:dyDescent="0.25">
      <c r="A453" s="124"/>
      <c r="B453" s="758"/>
      <c r="C453" s="37"/>
      <c r="D453" s="61"/>
      <c r="E453" s="61"/>
      <c r="F453" s="61"/>
      <c r="G453" s="61"/>
      <c r="H453" s="61"/>
      <c r="I453" s="61"/>
      <c r="J453" s="61"/>
      <c r="K453" s="61"/>
      <c r="L453" s="61"/>
      <c r="M453" s="61"/>
      <c r="N453" s="61"/>
      <c r="O453" s="61"/>
      <c r="P453" s="61"/>
      <c r="Q453" s="61"/>
      <c r="R453" s="61"/>
      <c r="S453" s="61"/>
      <c r="T453" s="61"/>
      <c r="U453" s="13"/>
      <c r="V453" s="66"/>
      <c r="W453" s="15"/>
    </row>
    <row r="454" spans="1:23" customFormat="1" ht="15" x14ac:dyDescent="0.25">
      <c r="A454" s="124"/>
      <c r="B454" s="759"/>
      <c r="C454" s="37"/>
      <c r="D454" s="61"/>
      <c r="E454" s="61"/>
      <c r="F454" s="61"/>
      <c r="G454" s="61"/>
      <c r="H454" s="61"/>
      <c r="I454" s="61"/>
      <c r="J454" s="61"/>
      <c r="K454" s="61"/>
      <c r="L454" s="61"/>
      <c r="M454" s="61"/>
      <c r="N454" s="61"/>
      <c r="O454" s="61"/>
      <c r="P454" s="61"/>
      <c r="Q454" s="61"/>
      <c r="R454" s="61"/>
      <c r="S454" s="61"/>
      <c r="T454" s="61"/>
      <c r="U454" s="13"/>
      <c r="V454" s="66"/>
      <c r="W454" s="15"/>
    </row>
    <row r="455" spans="1:23" customFormat="1" ht="15" x14ac:dyDescent="0.25">
      <c r="A455" s="124"/>
      <c r="B455" s="760"/>
      <c r="C455" s="37"/>
      <c r="D455" s="61"/>
      <c r="E455" s="61"/>
      <c r="F455" s="61"/>
      <c r="G455" s="61"/>
      <c r="H455" s="61"/>
      <c r="I455" s="61"/>
      <c r="J455" s="61"/>
      <c r="K455" s="61"/>
      <c r="L455" s="61"/>
      <c r="M455" s="61"/>
      <c r="N455" s="61"/>
      <c r="O455" s="61"/>
      <c r="P455" s="61"/>
      <c r="Q455" s="61"/>
      <c r="R455" s="61"/>
      <c r="S455" s="61"/>
      <c r="T455" s="61"/>
      <c r="U455" s="13"/>
      <c r="V455" s="66"/>
      <c r="W455" s="15"/>
    </row>
    <row r="456" spans="1:23" s="154" customFormat="1" x14ac:dyDescent="0.25">
      <c r="A456" s="117"/>
      <c r="B456" s="761"/>
      <c r="C456" s="22"/>
      <c r="D456" s="25"/>
      <c r="E456" s="30"/>
      <c r="F456" s="30"/>
      <c r="G456" s="30"/>
      <c r="H456" s="30"/>
      <c r="I456" s="30"/>
      <c r="J456" s="30"/>
      <c r="K456" s="30"/>
      <c r="L456" s="30"/>
      <c r="M456" s="30"/>
      <c r="N456" s="30"/>
      <c r="O456" s="30"/>
      <c r="P456" s="30"/>
      <c r="Q456" s="30"/>
      <c r="R456" s="30"/>
      <c r="S456" s="30"/>
      <c r="T456" s="30"/>
      <c r="U456" s="13"/>
      <c r="V456" s="30"/>
      <c r="W456" s="15"/>
    </row>
    <row r="457" spans="1:23" s="154" customFormat="1" x14ac:dyDescent="0.25">
      <c r="A457" s="117"/>
      <c r="B457" s="762"/>
      <c r="C457" s="22"/>
      <c r="D457" s="25"/>
      <c r="E457" s="30"/>
      <c r="F457" s="30"/>
      <c r="G457" s="30"/>
      <c r="H457" s="30"/>
      <c r="I457" s="30"/>
      <c r="J457" s="30"/>
      <c r="K457" s="30"/>
      <c r="L457" s="30"/>
      <c r="M457" s="30"/>
      <c r="N457" s="30"/>
      <c r="O457" s="30"/>
      <c r="P457" s="30"/>
      <c r="Q457" s="30"/>
      <c r="R457" s="30"/>
      <c r="S457" s="30"/>
      <c r="T457" s="30"/>
      <c r="U457" s="13"/>
      <c r="V457" s="30"/>
      <c r="W457" s="15"/>
    </row>
    <row r="458" spans="1:23" s="154" customFormat="1" x14ac:dyDescent="0.25">
      <c r="A458" s="117"/>
      <c r="B458" s="763"/>
      <c r="C458" s="22"/>
      <c r="D458" s="25"/>
      <c r="E458" s="30"/>
      <c r="F458" s="30"/>
      <c r="G458" s="30"/>
      <c r="H458" s="30"/>
      <c r="I458" s="30"/>
      <c r="J458" s="30"/>
      <c r="K458" s="30"/>
      <c r="L458" s="30"/>
      <c r="M458" s="30"/>
      <c r="N458" s="30"/>
      <c r="O458" s="30"/>
      <c r="P458" s="30"/>
      <c r="Q458" s="30"/>
      <c r="R458" s="30"/>
      <c r="S458" s="30"/>
      <c r="T458" s="30"/>
      <c r="U458" s="13"/>
      <c r="V458" s="30"/>
      <c r="W458" s="15"/>
    </row>
    <row r="459" spans="1:23" s="154" customFormat="1" x14ac:dyDescent="0.25">
      <c r="A459" s="117"/>
      <c r="B459" s="764"/>
      <c r="C459" s="22"/>
      <c r="D459" s="25"/>
      <c r="E459" s="30"/>
      <c r="F459" s="30"/>
      <c r="G459" s="30"/>
      <c r="H459" s="30"/>
      <c r="I459" s="30"/>
      <c r="J459" s="30"/>
      <c r="K459" s="30"/>
      <c r="L459" s="30"/>
      <c r="M459" s="30"/>
      <c r="N459" s="30"/>
      <c r="O459" s="30"/>
      <c r="P459" s="30"/>
      <c r="Q459" s="30"/>
      <c r="R459" s="30"/>
      <c r="S459" s="30"/>
      <c r="T459" s="30"/>
      <c r="U459" s="13"/>
      <c r="V459" s="30"/>
      <c r="W459" s="15"/>
    </row>
    <row r="460" spans="1:23" s="154" customFormat="1" x14ac:dyDescent="0.25">
      <c r="A460" s="117"/>
      <c r="B460" s="765"/>
      <c r="C460" s="22"/>
      <c r="D460" s="25"/>
      <c r="E460" s="30"/>
      <c r="F460" s="30"/>
      <c r="G460" s="30"/>
      <c r="H460" s="30"/>
      <c r="I460" s="30"/>
      <c r="J460" s="30"/>
      <c r="K460" s="30"/>
      <c r="L460" s="30"/>
      <c r="M460" s="30"/>
      <c r="N460" s="30"/>
      <c r="O460" s="30"/>
      <c r="P460" s="30"/>
      <c r="Q460" s="30"/>
      <c r="R460" s="30"/>
      <c r="S460" s="30"/>
      <c r="T460" s="30"/>
      <c r="U460" s="13"/>
      <c r="V460" s="30"/>
      <c r="W460" s="15"/>
    </row>
    <row r="461" spans="1:23" s="154" customFormat="1" x14ac:dyDescent="0.25">
      <c r="A461" s="117"/>
      <c r="B461" s="766"/>
      <c r="C461" s="22"/>
      <c r="D461" s="25"/>
      <c r="E461" s="30"/>
      <c r="F461" s="30"/>
      <c r="G461" s="30"/>
      <c r="H461" s="30"/>
      <c r="I461" s="30"/>
      <c r="J461" s="30"/>
      <c r="K461" s="30"/>
      <c r="L461" s="30"/>
      <c r="M461" s="30"/>
      <c r="N461" s="30"/>
      <c r="O461" s="30"/>
      <c r="P461" s="30"/>
      <c r="Q461" s="30"/>
      <c r="R461" s="30"/>
      <c r="S461" s="30"/>
      <c r="T461" s="30"/>
      <c r="U461" s="13"/>
      <c r="V461" s="30"/>
      <c r="W461" s="15"/>
    </row>
    <row r="462" spans="1:23" s="154" customFormat="1" x14ac:dyDescent="0.25">
      <c r="A462" s="117"/>
      <c r="B462" s="767"/>
      <c r="C462" s="22"/>
      <c r="D462" s="25"/>
      <c r="E462" s="30"/>
      <c r="F462" s="30"/>
      <c r="G462" s="30"/>
      <c r="H462" s="30"/>
      <c r="I462" s="30"/>
      <c r="J462" s="30"/>
      <c r="K462" s="30"/>
      <c r="L462" s="30"/>
      <c r="M462" s="30"/>
      <c r="N462" s="30"/>
      <c r="O462" s="30"/>
      <c r="P462" s="30"/>
      <c r="Q462" s="30"/>
      <c r="R462" s="30"/>
      <c r="S462" s="30"/>
      <c r="T462" s="30"/>
      <c r="U462" s="13"/>
      <c r="V462" s="30"/>
      <c r="W462" s="15"/>
    </row>
    <row r="463" spans="1:23" s="154" customFormat="1" x14ac:dyDescent="0.25">
      <c r="A463" s="117"/>
      <c r="B463" s="768"/>
      <c r="C463" s="22"/>
      <c r="D463" s="33"/>
      <c r="E463" s="40"/>
      <c r="F463" s="40"/>
      <c r="G463" s="40"/>
      <c r="H463" s="40"/>
      <c r="I463" s="40"/>
      <c r="J463" s="40"/>
      <c r="K463" s="40"/>
      <c r="L463" s="40"/>
      <c r="M463" s="40"/>
      <c r="N463" s="40"/>
      <c r="O463" s="40"/>
      <c r="P463" s="40"/>
      <c r="Q463" s="40"/>
      <c r="R463" s="40"/>
      <c r="S463" s="40"/>
      <c r="T463" s="40"/>
      <c r="U463" s="13"/>
      <c r="V463" s="40"/>
      <c r="W463" s="15"/>
    </row>
    <row r="464" spans="1:23" s="154" customFormat="1" x14ac:dyDescent="0.25">
      <c r="A464" s="127"/>
      <c r="B464" s="769"/>
      <c r="C464" s="22"/>
      <c r="D464" s="25"/>
      <c r="E464" s="30"/>
      <c r="F464" s="30"/>
      <c r="G464" s="30"/>
      <c r="H464" s="30"/>
      <c r="I464" s="30"/>
      <c r="J464" s="30"/>
      <c r="K464" s="30"/>
      <c r="L464" s="30"/>
      <c r="M464" s="30"/>
      <c r="N464" s="30"/>
      <c r="O464" s="30"/>
      <c r="P464" s="30"/>
      <c r="Q464" s="30"/>
      <c r="R464" s="30"/>
      <c r="S464" s="30"/>
      <c r="T464" s="30"/>
      <c r="U464" s="13"/>
      <c r="V464" s="30"/>
      <c r="W464" s="15"/>
    </row>
    <row r="465" spans="1:31" s="154" customFormat="1" x14ac:dyDescent="0.25">
      <c r="A465" s="127"/>
      <c r="B465" s="770"/>
      <c r="C465" s="22"/>
      <c r="D465" s="33"/>
      <c r="E465" s="40"/>
      <c r="F465" s="40"/>
      <c r="G465" s="40"/>
      <c r="H465" s="40"/>
      <c r="I465" s="40"/>
      <c r="J465" s="40"/>
      <c r="K465" s="40"/>
      <c r="L465" s="40"/>
      <c r="M465" s="40"/>
      <c r="N465" s="40"/>
      <c r="O465" s="40"/>
      <c r="P465" s="40"/>
      <c r="Q465" s="40"/>
      <c r="R465" s="40"/>
      <c r="S465" s="40"/>
      <c r="T465" s="40"/>
      <c r="U465" s="13"/>
      <c r="V465" s="40"/>
      <c r="W465" s="15"/>
    </row>
    <row r="466" spans="1:31" s="154" customFormat="1" x14ac:dyDescent="0.25">
      <c r="A466" s="127"/>
      <c r="B466" s="771"/>
      <c r="C466" s="22"/>
      <c r="D466" s="25"/>
      <c r="E466" s="30"/>
      <c r="F466" s="30"/>
      <c r="G466" s="30"/>
      <c r="H466" s="30"/>
      <c r="I466" s="30"/>
      <c r="J466" s="30"/>
      <c r="K466" s="30"/>
      <c r="L466" s="30"/>
      <c r="M466" s="30"/>
      <c r="N466" s="30"/>
      <c r="O466" s="30"/>
      <c r="P466" s="30"/>
      <c r="Q466" s="30"/>
      <c r="R466" s="30"/>
      <c r="S466" s="30"/>
      <c r="T466" s="30"/>
      <c r="U466" s="13"/>
      <c r="V466" s="30"/>
      <c r="W466" s="15"/>
    </row>
    <row r="467" spans="1:31" x14ac:dyDescent="0.25">
      <c r="A467" s="117"/>
      <c r="B467" s="772"/>
      <c r="C467" s="22"/>
      <c r="D467" s="33"/>
      <c r="E467" s="40"/>
      <c r="F467" s="40"/>
      <c r="G467" s="40"/>
      <c r="H467" s="40"/>
      <c r="I467" s="40"/>
      <c r="J467" s="40"/>
      <c r="K467" s="40"/>
      <c r="L467" s="40"/>
      <c r="M467" s="40"/>
      <c r="N467" s="40"/>
      <c r="O467" s="40"/>
      <c r="P467" s="40"/>
      <c r="Q467" s="40"/>
      <c r="R467" s="40"/>
      <c r="S467" s="40"/>
      <c r="T467" s="40"/>
      <c r="U467" s="13"/>
      <c r="V467" s="30"/>
      <c r="W467" s="15"/>
    </row>
    <row r="468" spans="1:31" x14ac:dyDescent="0.25">
      <c r="A468" s="117"/>
      <c r="B468" s="773"/>
      <c r="C468" s="22"/>
      <c r="D468" s="33"/>
      <c r="E468" s="40"/>
      <c r="F468" s="40"/>
      <c r="G468" s="40"/>
      <c r="H468" s="40"/>
      <c r="I468" s="40"/>
      <c r="J468" s="40"/>
      <c r="K468" s="40"/>
      <c r="L468" s="40"/>
      <c r="M468" s="40"/>
      <c r="N468" s="40"/>
      <c r="O468" s="40"/>
      <c r="P468" s="40"/>
      <c r="Q468" s="40"/>
      <c r="R468" s="40"/>
      <c r="S468" s="40"/>
      <c r="T468" s="40"/>
      <c r="U468" s="13"/>
      <c r="V468" s="30"/>
      <c r="W468" s="15"/>
      <c r="AC468"/>
      <c r="AD468"/>
      <c r="AE468"/>
    </row>
    <row r="469" spans="1:31" x14ac:dyDescent="0.25">
      <c r="A469" s="117"/>
      <c r="B469" s="774"/>
      <c r="C469" s="22"/>
      <c r="D469" s="33"/>
      <c r="E469" s="40"/>
      <c r="F469" s="40"/>
      <c r="G469" s="40"/>
      <c r="H469" s="40"/>
      <c r="I469" s="40"/>
      <c r="J469" s="40"/>
      <c r="K469" s="40"/>
      <c r="L469" s="40"/>
      <c r="M469" s="40"/>
      <c r="N469" s="40"/>
      <c r="O469" s="40"/>
      <c r="P469" s="40"/>
      <c r="Q469" s="40"/>
      <c r="R469" s="40"/>
      <c r="S469" s="40"/>
      <c r="T469" s="40"/>
      <c r="U469" s="13"/>
      <c r="V469" s="30"/>
      <c r="W469" s="15"/>
      <c r="AC469"/>
      <c r="AD469"/>
      <c r="AE469"/>
    </row>
    <row r="470" spans="1:31" x14ac:dyDescent="0.25">
      <c r="A470" s="117"/>
      <c r="B470" s="775"/>
      <c r="C470" s="22"/>
      <c r="D470" s="33"/>
      <c r="E470" s="40"/>
      <c r="F470" s="40"/>
      <c r="G470" s="40"/>
      <c r="H470" s="40"/>
      <c r="I470" s="40"/>
      <c r="J470" s="40"/>
      <c r="K470" s="40"/>
      <c r="L470" s="40"/>
      <c r="M470" s="40"/>
      <c r="N470" s="40"/>
      <c r="O470" s="40"/>
      <c r="P470" s="40"/>
      <c r="Q470" s="40"/>
      <c r="R470" s="40"/>
      <c r="S470" s="40"/>
      <c r="T470" s="40"/>
      <c r="U470" s="13"/>
      <c r="V470" s="30"/>
      <c r="W470" s="15"/>
      <c r="AC470"/>
      <c r="AD470"/>
      <c r="AE470"/>
    </row>
    <row r="471" spans="1:31" x14ac:dyDescent="0.25">
      <c r="A471" s="117"/>
      <c r="B471" s="776"/>
      <c r="C471" s="22"/>
      <c r="D471" s="33"/>
      <c r="E471" s="40"/>
      <c r="F471" s="40"/>
      <c r="G471" s="40"/>
      <c r="H471" s="40"/>
      <c r="I471" s="40"/>
      <c r="J471" s="40"/>
      <c r="K471" s="40"/>
      <c r="L471" s="40"/>
      <c r="M471" s="40"/>
      <c r="N471" s="40"/>
      <c r="O471" s="40"/>
      <c r="P471" s="40"/>
      <c r="Q471" s="40"/>
      <c r="R471" s="40"/>
      <c r="S471" s="40"/>
      <c r="T471" s="40"/>
      <c r="U471" s="13"/>
      <c r="V471" s="30"/>
      <c r="W471" s="15"/>
      <c r="X471" s="186"/>
      <c r="AC471"/>
      <c r="AD471"/>
      <c r="AE471"/>
    </row>
    <row r="472" spans="1:31" x14ac:dyDescent="0.25">
      <c r="B472" s="157"/>
      <c r="AC472">
        <v>207719.6</v>
      </c>
      <c r="AD472">
        <v>40000</v>
      </c>
      <c r="AE472">
        <f t="shared" ref="AE472:AE477" si="0">AC472+AD472</f>
        <v>247719.6</v>
      </c>
    </row>
    <row r="473" spans="1:31" x14ac:dyDescent="0.25">
      <c r="B473" s="157"/>
      <c r="AC473">
        <v>274993.59999999998</v>
      </c>
      <c r="AD473">
        <v>156780</v>
      </c>
      <c r="AE473">
        <f t="shared" si="0"/>
        <v>431773.6</v>
      </c>
    </row>
    <row r="474" spans="1:31" x14ac:dyDescent="0.25">
      <c r="B474" s="157"/>
      <c r="V474" s="153" t="s">
        <v>415</v>
      </c>
      <c r="W474" s="68">
        <f>SUM(W5:W471)</f>
        <v>0</v>
      </c>
      <c r="AC474">
        <v>141014</v>
      </c>
      <c r="AD474">
        <v>40000</v>
      </c>
      <c r="AE474">
        <f t="shared" si="0"/>
        <v>181014</v>
      </c>
    </row>
    <row r="475" spans="1:31" x14ac:dyDescent="0.25">
      <c r="W475" s="159"/>
      <c r="AC475">
        <v>301093.59999999998</v>
      </c>
      <c r="AD475">
        <v>156780</v>
      </c>
      <c r="AE475">
        <f t="shared" si="0"/>
        <v>457873.6</v>
      </c>
    </row>
    <row r="476" spans="1:31" x14ac:dyDescent="0.25">
      <c r="V476" s="153" t="s">
        <v>416</v>
      </c>
      <c r="W476" s="68">
        <v>2279229198.29</v>
      </c>
      <c r="AC476">
        <v>143304</v>
      </c>
      <c r="AD476">
        <v>40000</v>
      </c>
      <c r="AE476">
        <f t="shared" si="0"/>
        <v>183304</v>
      </c>
    </row>
    <row r="477" spans="1:31" x14ac:dyDescent="0.25">
      <c r="W477" s="159"/>
      <c r="AC477">
        <v>1426668.4</v>
      </c>
      <c r="AD477">
        <v>156780</v>
      </c>
      <c r="AE477">
        <f t="shared" si="0"/>
        <v>1583448.4</v>
      </c>
    </row>
    <row r="478" spans="1:31" x14ac:dyDescent="0.25">
      <c r="V478" s="153" t="s">
        <v>417</v>
      </c>
      <c r="W478" s="165">
        <f>W474-W476</f>
        <v>-2279229198.29</v>
      </c>
      <c r="X478" s="1">
        <f>16069459</f>
        <v>16069459</v>
      </c>
      <c r="AC478"/>
      <c r="AD478"/>
      <c r="AE478">
        <f>SUM(AE468:AE477)</f>
        <v>3085133.1999999997</v>
      </c>
    </row>
    <row r="479" spans="1:31" x14ac:dyDescent="0.25">
      <c r="X479" s="1">
        <v>4726644</v>
      </c>
    </row>
    <row r="480" spans="1:31" x14ac:dyDescent="0.25">
      <c r="W480" s="153">
        <f>W478+X480+X481+X482+Z481+Z485</f>
        <v>-2264256557.29</v>
      </c>
      <c r="X480" s="1">
        <f>X478-X479</f>
        <v>11342815</v>
      </c>
    </row>
    <row r="481" spans="24:29" x14ac:dyDescent="0.25">
      <c r="X481">
        <v>3629203</v>
      </c>
    </row>
    <row r="482" spans="24:29" x14ac:dyDescent="0.25">
      <c r="X482" s="1">
        <v>623</v>
      </c>
    </row>
    <row r="483" spans="24:29" x14ac:dyDescent="0.25">
      <c r="AA483" s="187">
        <f>AA482+AB504</f>
        <v>0</v>
      </c>
    </row>
    <row r="485" spans="24:29" x14ac:dyDescent="0.25">
      <c r="AC485" s="187"/>
    </row>
  </sheetData>
  <mergeCells count="3">
    <mergeCell ref="A1:W1"/>
    <mergeCell ref="A2:W2"/>
    <mergeCell ref="A200:A202"/>
  </mergeCells>
  <conditionalFormatting sqref="B1:B1048576">
    <cfRule type="duplicateValues" dxfId="23" priority="1"/>
  </conditionalFormatting>
  <conditionalFormatting sqref="B60:B62 W352:W420 W447:W471">
    <cfRule type="cellIs" dxfId="22" priority="5" operator="equal">
      <formula>0</formula>
    </cfRule>
  </conditionalFormatting>
  <conditionalFormatting sqref="B72">
    <cfRule type="cellIs" dxfId="21" priority="4" operator="equal">
      <formula>0</formula>
    </cfRule>
  </conditionalFormatting>
  <conditionalFormatting sqref="B78:B85 W70:W80 V78:V80 W89:W100">
    <cfRule type="cellIs" dxfId="20" priority="11" operator="equal">
      <formula>0</formula>
    </cfRule>
  </conditionalFormatting>
  <conditionalFormatting sqref="B113">
    <cfRule type="cellIs" dxfId="19" priority="9" operator="equal">
      <formula>0</formula>
    </cfRule>
  </conditionalFormatting>
  <conditionalFormatting sqref="B226">
    <cfRule type="cellIs" dxfId="18" priority="7" operator="equal">
      <formula>0</formula>
    </cfRule>
  </conditionalFormatting>
  <conditionalFormatting sqref="J78:M80">
    <cfRule type="cellIs" dxfId="17" priority="6" operator="equal">
      <formula>0</formula>
    </cfRule>
  </conditionalFormatting>
  <conditionalFormatting sqref="O78:O80">
    <cfRule type="cellIs" dxfId="16" priority="3" operator="equal">
      <formula>0</formula>
    </cfRule>
  </conditionalFormatting>
  <conditionalFormatting sqref="V72">
    <cfRule type="cellIs" dxfId="15" priority="2" operator="equal">
      <formula>0</formula>
    </cfRule>
  </conditionalFormatting>
  <conditionalFormatting sqref="V113:V114">
    <cfRule type="cellIs" dxfId="14" priority="10" operator="equal">
      <formula>0</formula>
    </cfRule>
  </conditionalFormatting>
  <conditionalFormatting sqref="V226">
    <cfRule type="cellIs" dxfId="13" priority="8" operator="equal">
      <formula>0</formula>
    </cfRule>
  </conditionalFormatting>
  <conditionalFormatting sqref="W3 W5:W6 W8:W22 W24:W32 W34 W36:W42 W44 W46:W51 W53 W55:W58 W60:W64 W66:W68 D78:D80 W82:W87 W102:W103 W105:W107 W109:W115 W117:W119 W121:W136 W138:W139 W141:W146 W148:W157 W159:W169 W171:W173 W175:W177 W179:W191 W193:W196 W198:W199 W201:W203 W205:W226 W228:W229 W231:W232 W234:W241 W243:W245 W247:W248 W250:W253 W255 W257:W259 W261:W265 W267:W270 W272:W273 W275:W292 W294:W311 W313:W316 W318:W321 W323:W324 W326:W328 W330:W345 W347:W350 W422:W445">
    <cfRule type="cellIs" dxfId="12" priority="12" operator="equal">
      <formula>0</formula>
    </cfRule>
  </conditionalFormatting>
  <printOptions horizontalCentered="1"/>
  <pageMargins left="0.39370078740157483" right="7.874015748031496E-2" top="0.27559055118110237" bottom="0.11811023622047245" header="0.31496062992125984" footer="0.31496062992125984"/>
  <pageSetup paperSize="9" scale="7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filterMode="1"/>
  <dimension ref="A1:AE480"/>
  <sheetViews>
    <sheetView view="pageBreakPreview" zoomScale="70" zoomScaleNormal="70" zoomScaleSheetLayoutView="70" workbookViewId="0">
      <pane xSplit="3" ySplit="3" topLeftCell="D179" activePane="bottomRight" state="frozen"/>
      <selection activeCell="C7" sqref="C7"/>
      <selection pane="topRight" activeCell="C7" sqref="C7"/>
      <selection pane="bottomLeft" activeCell="C7" sqref="C7"/>
      <selection pane="bottomRight" activeCell="C7" sqref="C7"/>
    </sheetView>
  </sheetViews>
  <sheetFormatPr defaultColWidth="9.140625" defaultRowHeight="15.75" x14ac:dyDescent="0.25"/>
  <cols>
    <col min="1" max="1" width="5.85546875" style="156" bestFit="1" customWidth="1"/>
    <col min="2" max="2" width="63.7109375" style="160" customWidth="1"/>
    <col min="3" max="3" width="17.7109375" style="7" bestFit="1" customWidth="1"/>
    <col min="4" max="4" width="18.85546875" style="151" customWidth="1"/>
    <col min="5" max="5" width="17.85546875" style="153" customWidth="1"/>
    <col min="6" max="6" width="16.85546875" style="153" bestFit="1" customWidth="1"/>
    <col min="7" max="7" width="17" style="153" customWidth="1"/>
    <col min="8" max="10" width="17.28515625" style="153" bestFit="1" customWidth="1"/>
    <col min="11" max="13" width="16" style="153" bestFit="1" customWidth="1"/>
    <col min="14" max="14" width="14" style="153" bestFit="1" customWidth="1"/>
    <col min="15" max="16" width="16" style="153" bestFit="1" customWidth="1"/>
    <col min="17" max="17" width="16.7109375" style="153" bestFit="1" customWidth="1"/>
    <col min="18" max="18" width="16" style="153" bestFit="1" customWidth="1"/>
    <col min="19" max="19" width="14.42578125" style="153" customWidth="1"/>
    <col min="20" max="20" width="18.7109375" style="153" customWidth="1"/>
    <col min="21" max="21" width="19.140625" style="153" bestFit="1" customWidth="1"/>
    <col min="22" max="22" width="17.85546875" style="153" customWidth="1"/>
    <col min="23" max="23" width="24.7109375" style="153" customWidth="1"/>
    <col min="24" max="26" width="18.42578125" style="1" bestFit="1" customWidth="1"/>
    <col min="27" max="27" width="16.5703125" style="1" bestFit="1" customWidth="1"/>
    <col min="28" max="28" width="17.28515625" style="1" bestFit="1" customWidth="1"/>
    <col min="29" max="29" width="16.5703125" style="1" bestFit="1" customWidth="1"/>
    <col min="30" max="16384" width="9.140625" style="1"/>
  </cols>
  <sheetData>
    <row r="1" spans="1:23" ht="26.25" x14ac:dyDescent="0.25">
      <c r="A1" s="1035" t="s">
        <v>0</v>
      </c>
      <c r="B1" s="1035"/>
      <c r="C1" s="1035"/>
      <c r="D1" s="1035"/>
      <c r="E1" s="1035"/>
      <c r="F1" s="1035"/>
      <c r="G1" s="1035"/>
      <c r="H1" s="1035"/>
      <c r="I1" s="1035"/>
      <c r="J1" s="1035"/>
      <c r="K1" s="1035"/>
      <c r="L1" s="1035"/>
      <c r="M1" s="1035"/>
      <c r="N1" s="1035"/>
      <c r="O1" s="1035"/>
      <c r="P1" s="1035"/>
      <c r="Q1" s="1035"/>
      <c r="R1" s="1035"/>
      <c r="S1" s="1035"/>
      <c r="T1" s="1035"/>
      <c r="U1" s="1035"/>
      <c r="V1" s="1035"/>
      <c r="W1" s="1035"/>
    </row>
    <row r="2" spans="1:23" ht="21" x14ac:dyDescent="0.25">
      <c r="A2" s="1036" t="s">
        <v>1</v>
      </c>
      <c r="B2" s="1036"/>
      <c r="C2" s="1036"/>
      <c r="D2" s="1036"/>
      <c r="E2" s="1036"/>
      <c r="F2" s="1036"/>
      <c r="G2" s="1036"/>
      <c r="H2" s="1036"/>
      <c r="I2" s="1036"/>
      <c r="J2" s="1036"/>
      <c r="K2" s="1036"/>
      <c r="L2" s="1036"/>
      <c r="M2" s="1036"/>
      <c r="N2" s="1036"/>
      <c r="O2" s="1036"/>
      <c r="P2" s="1036"/>
      <c r="Q2" s="1036"/>
      <c r="R2" s="1036"/>
      <c r="S2" s="1036"/>
      <c r="T2" s="1036"/>
      <c r="U2" s="1036"/>
      <c r="V2" s="1036"/>
      <c r="W2" s="1036"/>
    </row>
    <row r="3" spans="1:23" s="2" customFormat="1" ht="72" x14ac:dyDescent="0.3">
      <c r="A3" s="196" t="s">
        <v>2</v>
      </c>
      <c r="B3" s="396" t="s">
        <v>3</v>
      </c>
      <c r="C3" s="396" t="s">
        <v>4</v>
      </c>
      <c r="D3" s="397" t="s">
        <v>366</v>
      </c>
      <c r="E3" s="397" t="s">
        <v>367</v>
      </c>
      <c r="F3" s="397" t="s">
        <v>368</v>
      </c>
      <c r="G3" s="397" t="s">
        <v>369</v>
      </c>
      <c r="H3" s="397" t="s">
        <v>370</v>
      </c>
      <c r="I3" s="397" t="s">
        <v>371</v>
      </c>
      <c r="J3" s="398" t="s">
        <v>372</v>
      </c>
      <c r="K3" s="397" t="s">
        <v>373</v>
      </c>
      <c r="L3" s="398" t="s">
        <v>374</v>
      </c>
      <c r="M3" s="398" t="s">
        <v>375</v>
      </c>
      <c r="N3" s="397" t="s">
        <v>376</v>
      </c>
      <c r="O3" s="397" t="s">
        <v>377</v>
      </c>
      <c r="P3" s="397" t="s">
        <v>379</v>
      </c>
      <c r="Q3" s="397" t="s">
        <v>382</v>
      </c>
      <c r="R3" s="397" t="s">
        <v>383</v>
      </c>
      <c r="S3" s="397" t="s">
        <v>379</v>
      </c>
      <c r="T3" s="398" t="s">
        <v>400</v>
      </c>
      <c r="U3" s="398" t="s">
        <v>391</v>
      </c>
      <c r="V3" s="398" t="s">
        <v>6</v>
      </c>
      <c r="W3" s="397" t="s">
        <v>7</v>
      </c>
    </row>
    <row r="4" spans="1:23" s="161" customFormat="1" ht="22.5" hidden="1" x14ac:dyDescent="0.45">
      <c r="A4" s="197">
        <v>1</v>
      </c>
      <c r="B4" s="198" t="s">
        <v>394</v>
      </c>
      <c r="C4" s="399"/>
      <c r="D4" s="399"/>
      <c r="E4" s="400"/>
      <c r="F4" s="400"/>
      <c r="G4" s="400"/>
      <c r="H4" s="400"/>
      <c r="I4" s="400"/>
      <c r="J4" s="400"/>
      <c r="K4" s="400"/>
      <c r="L4" s="400"/>
      <c r="M4" s="400"/>
      <c r="N4" s="400"/>
      <c r="O4" s="400"/>
      <c r="P4" s="400"/>
      <c r="Q4" s="400"/>
      <c r="R4" s="400"/>
      <c r="S4" s="400"/>
      <c r="T4" s="400"/>
      <c r="U4" s="400"/>
      <c r="V4" s="400"/>
      <c r="W4" s="400"/>
    </row>
    <row r="5" spans="1:23" ht="75" hidden="1" x14ac:dyDescent="0.25">
      <c r="A5" s="116">
        <v>1</v>
      </c>
      <c r="B5" s="92" t="s">
        <v>8</v>
      </c>
      <c r="C5" s="12">
        <v>1000</v>
      </c>
      <c r="D5" s="33">
        <v>616487.5</v>
      </c>
      <c r="E5" s="13">
        <v>590424.88</v>
      </c>
      <c r="F5" s="13">
        <v>203524.5</v>
      </c>
      <c r="G5" s="13">
        <v>2110200</v>
      </c>
      <c r="H5" s="13">
        <v>15023937.5</v>
      </c>
      <c r="I5" s="13">
        <v>10154747.5</v>
      </c>
      <c r="J5" s="13">
        <v>19380715.75</v>
      </c>
      <c r="K5" s="13">
        <v>4710315</v>
      </c>
      <c r="L5" s="13">
        <v>2187776.7000000002</v>
      </c>
      <c r="M5" s="13">
        <v>1671902.1400000001</v>
      </c>
      <c r="N5" s="13">
        <v>307260.39</v>
      </c>
      <c r="O5" s="13">
        <v>4234073.0999999996</v>
      </c>
      <c r="P5" s="13">
        <v>3676695</v>
      </c>
      <c r="Q5" s="13">
        <v>15402.5</v>
      </c>
      <c r="R5" s="13">
        <v>4410982.0599999996</v>
      </c>
      <c r="S5" s="13"/>
      <c r="T5" s="13"/>
      <c r="U5" s="13">
        <f>SUM(D5:T5)</f>
        <v>69294444.519999996</v>
      </c>
      <c r="V5" s="14">
        <v>4640.7</v>
      </c>
      <c r="W5" s="15">
        <f>V5*U5/C5</f>
        <v>321574728.68396401</v>
      </c>
    </row>
    <row r="6" spans="1:23" ht="30" hidden="1" x14ac:dyDescent="0.25">
      <c r="A6" s="116">
        <v>2</v>
      </c>
      <c r="B6" s="92" t="s">
        <v>9</v>
      </c>
      <c r="C6" s="12">
        <v>1000</v>
      </c>
      <c r="D6" s="33">
        <v>174315</v>
      </c>
      <c r="E6" s="13">
        <v>112011.005</v>
      </c>
      <c r="F6" s="13">
        <v>262075.5</v>
      </c>
      <c r="G6" s="13">
        <v>680530</v>
      </c>
      <c r="H6" s="13">
        <v>2113837.5</v>
      </c>
      <c r="I6" s="13">
        <v>4167935</v>
      </c>
      <c r="J6" s="13">
        <v>5396103.75</v>
      </c>
      <c r="K6" s="13">
        <v>2201861.25</v>
      </c>
      <c r="L6" s="13">
        <v>1607647.35</v>
      </c>
      <c r="M6" s="13">
        <v>1638852.06</v>
      </c>
      <c r="N6" s="13">
        <v>392780.14500000002</v>
      </c>
      <c r="O6" s="13">
        <v>1712983.98</v>
      </c>
      <c r="P6" s="13">
        <v>4402362.5</v>
      </c>
      <c r="Q6" s="13">
        <v>51770</v>
      </c>
      <c r="R6" s="13">
        <v>1949662.13</v>
      </c>
      <c r="S6" s="13"/>
      <c r="T6" s="13"/>
      <c r="U6" s="13">
        <f>SUM(D6:T6)</f>
        <v>26864727.169999998</v>
      </c>
      <c r="V6" s="14">
        <v>940.9</v>
      </c>
      <c r="W6" s="15">
        <f t="shared" ref="W6:W68" si="0">V6*U6/C6</f>
        <v>25277021.794252999</v>
      </c>
    </row>
    <row r="7" spans="1:23" ht="45" hidden="1" x14ac:dyDescent="0.25">
      <c r="A7" s="116">
        <v>3</v>
      </c>
      <c r="B7" s="92" t="s">
        <v>10</v>
      </c>
      <c r="C7" s="33"/>
      <c r="D7" s="33"/>
      <c r="E7" s="13"/>
      <c r="F7" s="13"/>
      <c r="G7" s="13"/>
      <c r="H7" s="13"/>
      <c r="I7" s="13"/>
      <c r="J7" s="13"/>
      <c r="K7" s="13"/>
      <c r="L7" s="13"/>
      <c r="M7" s="13"/>
      <c r="N7" s="13"/>
      <c r="O7" s="13"/>
      <c r="P7" s="13"/>
      <c r="Q7" s="13"/>
      <c r="R7" s="13"/>
      <c r="S7" s="13"/>
      <c r="T7" s="13"/>
      <c r="U7" s="13">
        <v>0</v>
      </c>
      <c r="V7" s="14">
        <v>0</v>
      </c>
      <c r="W7" s="14">
        <v>0</v>
      </c>
    </row>
    <row r="8" spans="1:23" x14ac:dyDescent="0.25">
      <c r="A8" s="116"/>
      <c r="B8" s="92" t="s">
        <v>11</v>
      </c>
      <c r="C8" s="12">
        <v>1000</v>
      </c>
      <c r="D8" s="33">
        <v>20640</v>
      </c>
      <c r="E8" s="13">
        <v>4055.6700000000005</v>
      </c>
      <c r="F8" s="13">
        <v>3727.5</v>
      </c>
      <c r="G8" s="13">
        <v>8217.5000000000036</v>
      </c>
      <c r="H8" s="13">
        <v>12747.499999999998</v>
      </c>
      <c r="I8" s="13">
        <v>100405</v>
      </c>
      <c r="J8" s="13">
        <v>10945.75</v>
      </c>
      <c r="K8" s="13">
        <v>17267.5</v>
      </c>
      <c r="L8" s="13">
        <v>1752.5</v>
      </c>
      <c r="M8" s="13">
        <v>10467.499999999996</v>
      </c>
      <c r="N8" s="13"/>
      <c r="O8" s="13">
        <v>70005.000000000015</v>
      </c>
      <c r="P8" s="13">
        <v>137177.5</v>
      </c>
      <c r="Q8" s="13">
        <v>1360</v>
      </c>
      <c r="R8" s="13">
        <v>147378.57999999999</v>
      </c>
      <c r="S8" s="13"/>
      <c r="T8" s="13"/>
      <c r="U8" s="13">
        <f t="shared" ref="U8:U32" si="1">SUM(D8:T8)</f>
        <v>546147.5</v>
      </c>
      <c r="V8" s="14">
        <v>1073.2</v>
      </c>
      <c r="W8" s="15">
        <f t="shared" si="0"/>
        <v>586125.49699999997</v>
      </c>
    </row>
    <row r="9" spans="1:23" hidden="1" x14ac:dyDescent="0.25">
      <c r="A9" s="116"/>
      <c r="B9" s="92" t="s">
        <v>144</v>
      </c>
      <c r="C9" s="12">
        <v>1000</v>
      </c>
      <c r="D9" s="33"/>
      <c r="E9" s="13">
        <v>4805</v>
      </c>
      <c r="F9" s="13">
        <v>5270</v>
      </c>
      <c r="G9" s="13"/>
      <c r="H9" s="13"/>
      <c r="I9" s="13">
        <v>9912.5</v>
      </c>
      <c r="J9" s="13"/>
      <c r="K9" s="13"/>
      <c r="L9" s="13">
        <v>16955</v>
      </c>
      <c r="M9" s="13">
        <v>23964.999999999996</v>
      </c>
      <c r="N9" s="13"/>
      <c r="O9" s="13">
        <v>29937.499999999982</v>
      </c>
      <c r="P9" s="13">
        <v>898790</v>
      </c>
      <c r="Q9" s="13"/>
      <c r="R9" s="13"/>
      <c r="S9" s="13"/>
      <c r="T9" s="13"/>
      <c r="U9" s="13">
        <f t="shared" si="1"/>
        <v>989635</v>
      </c>
      <c r="V9" s="14">
        <v>1743.95</v>
      </c>
      <c r="W9" s="15">
        <f t="shared" si="0"/>
        <v>1725873.9582499999</v>
      </c>
    </row>
    <row r="10" spans="1:23" hidden="1" x14ac:dyDescent="0.25">
      <c r="A10" s="116"/>
      <c r="B10" s="92" t="s">
        <v>12</v>
      </c>
      <c r="C10" s="12">
        <v>1000</v>
      </c>
      <c r="D10" s="33">
        <v>2970</v>
      </c>
      <c r="E10" s="13"/>
      <c r="F10" s="13"/>
      <c r="G10" s="13"/>
      <c r="H10" s="13">
        <v>5975.0000000000018</v>
      </c>
      <c r="I10" s="13">
        <v>24562.5</v>
      </c>
      <c r="J10" s="13"/>
      <c r="K10" s="13"/>
      <c r="L10" s="13"/>
      <c r="M10" s="13">
        <v>5747.4999999999964</v>
      </c>
      <c r="N10" s="13">
        <v>11732.790000000008</v>
      </c>
      <c r="O10" s="13"/>
      <c r="P10" s="13"/>
      <c r="Q10" s="13"/>
      <c r="R10" s="13">
        <v>224897.5</v>
      </c>
      <c r="S10" s="13"/>
      <c r="T10" s="13"/>
      <c r="U10" s="13">
        <f t="shared" si="1"/>
        <v>275885.29000000004</v>
      </c>
      <c r="V10" s="14">
        <v>2414.6999999999998</v>
      </c>
      <c r="W10" s="15">
        <f t="shared" si="0"/>
        <v>666180.20976300002</v>
      </c>
    </row>
    <row r="11" spans="1:23" hidden="1" x14ac:dyDescent="0.25">
      <c r="A11" s="116"/>
      <c r="B11" s="92" t="s">
        <v>13</v>
      </c>
      <c r="C11" s="12">
        <v>1000</v>
      </c>
      <c r="D11" s="33">
        <v>8792.5</v>
      </c>
      <c r="E11" s="13">
        <v>20505</v>
      </c>
      <c r="F11" s="13"/>
      <c r="G11" s="13"/>
      <c r="H11" s="13"/>
      <c r="I11" s="13">
        <v>33180.000000000007</v>
      </c>
      <c r="J11" s="13"/>
      <c r="K11" s="13"/>
      <c r="L11" s="13"/>
      <c r="M11" s="13"/>
      <c r="N11" s="13"/>
      <c r="O11" s="13"/>
      <c r="P11" s="13"/>
      <c r="Q11" s="13"/>
      <c r="R11" s="13"/>
      <c r="S11" s="13"/>
      <c r="T11" s="13"/>
      <c r="U11" s="13">
        <f t="shared" si="1"/>
        <v>62477.500000000007</v>
      </c>
      <c r="V11" s="14">
        <v>6677.8</v>
      </c>
      <c r="W11" s="15">
        <f t="shared" si="0"/>
        <v>417212.24950000003</v>
      </c>
    </row>
    <row r="12" spans="1:23" hidden="1" x14ac:dyDescent="0.25">
      <c r="A12" s="116"/>
      <c r="B12" s="92" t="s">
        <v>14</v>
      </c>
      <c r="C12" s="12">
        <v>1000</v>
      </c>
      <c r="D12" s="33">
        <v>1215</v>
      </c>
      <c r="E12" s="13"/>
      <c r="F12" s="13"/>
      <c r="G12" s="13"/>
      <c r="H12" s="13"/>
      <c r="I12" s="13">
        <v>79555</v>
      </c>
      <c r="J12" s="13"/>
      <c r="K12" s="13"/>
      <c r="L12" s="13"/>
      <c r="M12" s="13"/>
      <c r="N12" s="13"/>
      <c r="O12" s="13"/>
      <c r="P12" s="13"/>
      <c r="Q12" s="13"/>
      <c r="R12" s="13">
        <v>468525</v>
      </c>
      <c r="S12" s="13"/>
      <c r="T12" s="13"/>
      <c r="U12" s="13">
        <f t="shared" si="1"/>
        <v>549295</v>
      </c>
      <c r="V12" s="14">
        <v>6751.2</v>
      </c>
      <c r="W12" s="15">
        <f t="shared" si="0"/>
        <v>3708400.4040000001</v>
      </c>
    </row>
    <row r="13" spans="1:23" hidden="1" x14ac:dyDescent="0.25">
      <c r="A13" s="116"/>
      <c r="B13" s="92" t="s">
        <v>380</v>
      </c>
      <c r="C13" s="12">
        <v>1000</v>
      </c>
      <c r="D13" s="45"/>
      <c r="E13" s="13"/>
      <c r="F13" s="13"/>
      <c r="G13" s="13">
        <v>58687.5</v>
      </c>
      <c r="H13" s="13"/>
      <c r="I13" s="13"/>
      <c r="J13" s="13"/>
      <c r="K13" s="13"/>
      <c r="L13" s="13"/>
      <c r="M13" s="13"/>
      <c r="N13" s="13"/>
      <c r="O13" s="13"/>
      <c r="P13" s="13">
        <v>496885</v>
      </c>
      <c r="Q13" s="13"/>
      <c r="R13" s="13"/>
      <c r="S13" s="13"/>
      <c r="T13" s="13"/>
      <c r="U13" s="13">
        <f t="shared" si="1"/>
        <v>555572.5</v>
      </c>
      <c r="V13" s="39">
        <v>6751.2</v>
      </c>
      <c r="W13" s="15">
        <f t="shared" si="0"/>
        <v>3750781.0619999999</v>
      </c>
    </row>
    <row r="14" spans="1:23" hidden="1" x14ac:dyDescent="0.25">
      <c r="A14" s="116"/>
      <c r="B14" s="92" t="s">
        <v>15</v>
      </c>
      <c r="C14" s="12">
        <v>1000</v>
      </c>
      <c r="D14" s="33">
        <v>18740</v>
      </c>
      <c r="E14" s="13"/>
      <c r="F14" s="13"/>
      <c r="G14" s="13"/>
      <c r="H14" s="13"/>
      <c r="I14" s="13"/>
      <c r="J14" s="13"/>
      <c r="K14" s="13"/>
      <c r="L14" s="13"/>
      <c r="M14" s="13"/>
      <c r="N14" s="13"/>
      <c r="O14" s="13"/>
      <c r="P14" s="13"/>
      <c r="Q14" s="13"/>
      <c r="R14" s="13"/>
      <c r="S14" s="13"/>
      <c r="T14" s="13"/>
      <c r="U14" s="13">
        <f t="shared" si="1"/>
        <v>18740</v>
      </c>
      <c r="V14" s="14">
        <v>6824.6</v>
      </c>
      <c r="W14" s="15">
        <f t="shared" si="0"/>
        <v>127893.004</v>
      </c>
    </row>
    <row r="15" spans="1:23" hidden="1" x14ac:dyDescent="0.25">
      <c r="A15" s="116"/>
      <c r="B15" s="92" t="s">
        <v>187</v>
      </c>
      <c r="C15" s="12">
        <v>1000</v>
      </c>
      <c r="D15" s="33"/>
      <c r="E15" s="13"/>
      <c r="F15" s="13"/>
      <c r="G15" s="13"/>
      <c r="H15" s="13"/>
      <c r="I15" s="13">
        <v>53390</v>
      </c>
      <c r="J15" s="13"/>
      <c r="K15" s="13"/>
      <c r="L15" s="13"/>
      <c r="M15" s="13"/>
      <c r="N15" s="13"/>
      <c r="O15" s="13"/>
      <c r="P15" s="13"/>
      <c r="Q15" s="13"/>
      <c r="R15" s="13"/>
      <c r="S15" s="13"/>
      <c r="T15" s="13"/>
      <c r="U15" s="13">
        <f t="shared" si="1"/>
        <v>53390</v>
      </c>
      <c r="V15" s="33">
        <v>6971.4</v>
      </c>
      <c r="W15" s="15">
        <f t="shared" si="0"/>
        <v>372203.04599999997</v>
      </c>
    </row>
    <row r="16" spans="1:23" hidden="1" x14ac:dyDescent="0.25">
      <c r="A16" s="116"/>
      <c r="B16" s="92" t="s">
        <v>381</v>
      </c>
      <c r="C16" s="12">
        <v>1000</v>
      </c>
      <c r="D16" s="33"/>
      <c r="E16" s="13"/>
      <c r="F16" s="13"/>
      <c r="G16" s="13">
        <v>75040</v>
      </c>
      <c r="H16" s="13"/>
      <c r="I16" s="13"/>
      <c r="J16" s="13"/>
      <c r="K16" s="13"/>
      <c r="L16" s="13"/>
      <c r="M16" s="13"/>
      <c r="N16" s="13"/>
      <c r="O16" s="13"/>
      <c r="P16" s="13"/>
      <c r="Q16" s="13"/>
      <c r="R16" s="13"/>
      <c r="S16" s="13"/>
      <c r="T16" s="13"/>
      <c r="U16" s="13">
        <f t="shared" si="1"/>
        <v>75040</v>
      </c>
      <c r="V16" s="39">
        <v>6971.4</v>
      </c>
      <c r="W16" s="15">
        <f t="shared" si="0"/>
        <v>523133.85600000003</v>
      </c>
    </row>
    <row r="17" spans="1:23" hidden="1" x14ac:dyDescent="0.25">
      <c r="A17" s="116"/>
      <c r="B17" s="92" t="s">
        <v>145</v>
      </c>
      <c r="C17" s="12">
        <v>1000</v>
      </c>
      <c r="D17" s="33"/>
      <c r="E17" s="13">
        <v>1237.5</v>
      </c>
      <c r="F17" s="13"/>
      <c r="G17" s="13"/>
      <c r="H17" s="13"/>
      <c r="I17" s="13"/>
      <c r="J17" s="13"/>
      <c r="K17" s="13"/>
      <c r="L17" s="13">
        <v>97028.25</v>
      </c>
      <c r="M17" s="13"/>
      <c r="N17" s="13"/>
      <c r="O17" s="13"/>
      <c r="P17" s="13"/>
      <c r="Q17" s="13"/>
      <c r="R17" s="13"/>
      <c r="S17" s="13"/>
      <c r="T17" s="13"/>
      <c r="U17" s="13">
        <f t="shared" si="1"/>
        <v>98265.75</v>
      </c>
      <c r="V17" s="14">
        <v>7044.8</v>
      </c>
      <c r="W17" s="15">
        <f t="shared" si="0"/>
        <v>692262.55560000008</v>
      </c>
    </row>
    <row r="18" spans="1:23" hidden="1" x14ac:dyDescent="0.25">
      <c r="A18" s="116"/>
      <c r="B18" s="92" t="s">
        <v>188</v>
      </c>
      <c r="C18" s="12">
        <v>1000</v>
      </c>
      <c r="D18" s="33"/>
      <c r="E18" s="13"/>
      <c r="F18" s="13"/>
      <c r="G18" s="13"/>
      <c r="H18" s="13"/>
      <c r="I18" s="13">
        <v>187560</v>
      </c>
      <c r="J18" s="13"/>
      <c r="K18" s="13"/>
      <c r="L18" s="13"/>
      <c r="M18" s="13"/>
      <c r="N18" s="13"/>
      <c r="O18" s="13"/>
      <c r="P18" s="13"/>
      <c r="Q18" s="13"/>
      <c r="R18" s="13"/>
      <c r="S18" s="13"/>
      <c r="T18" s="13"/>
      <c r="U18" s="13">
        <f t="shared" si="1"/>
        <v>187560</v>
      </c>
      <c r="V18" s="33">
        <v>7191.6</v>
      </c>
      <c r="W18" s="15">
        <f t="shared" si="0"/>
        <v>1348856.496</v>
      </c>
    </row>
    <row r="19" spans="1:23" hidden="1" x14ac:dyDescent="0.25">
      <c r="A19" s="116"/>
      <c r="B19" s="92" t="s">
        <v>16</v>
      </c>
      <c r="C19" s="12">
        <v>1000</v>
      </c>
      <c r="D19" s="33">
        <v>54772.5</v>
      </c>
      <c r="E19" s="13"/>
      <c r="F19" s="13"/>
      <c r="G19" s="13"/>
      <c r="H19" s="13"/>
      <c r="I19" s="13"/>
      <c r="J19" s="13"/>
      <c r="K19" s="13"/>
      <c r="L19" s="13"/>
      <c r="M19" s="13"/>
      <c r="N19" s="13"/>
      <c r="O19" s="13"/>
      <c r="P19" s="13"/>
      <c r="Q19" s="13"/>
      <c r="R19" s="13"/>
      <c r="S19" s="13"/>
      <c r="T19" s="13"/>
      <c r="U19" s="13">
        <f t="shared" si="1"/>
        <v>54772.5</v>
      </c>
      <c r="V19" s="14">
        <v>7338.4</v>
      </c>
      <c r="W19" s="15">
        <f t="shared" si="0"/>
        <v>401942.51400000002</v>
      </c>
    </row>
    <row r="20" spans="1:23" hidden="1" x14ac:dyDescent="0.25">
      <c r="A20" s="116"/>
      <c r="B20" s="92" t="s">
        <v>146</v>
      </c>
      <c r="C20" s="12">
        <v>1000</v>
      </c>
      <c r="D20" s="33"/>
      <c r="E20" s="13">
        <v>15772.5</v>
      </c>
      <c r="F20" s="13">
        <v>109947.5</v>
      </c>
      <c r="G20" s="13"/>
      <c r="H20" s="13"/>
      <c r="I20" s="13"/>
      <c r="J20" s="13"/>
      <c r="K20" s="13"/>
      <c r="L20" s="13"/>
      <c r="M20" s="13"/>
      <c r="N20" s="13"/>
      <c r="O20" s="13"/>
      <c r="P20" s="13"/>
      <c r="Q20" s="13"/>
      <c r="R20" s="13"/>
      <c r="S20" s="13"/>
      <c r="T20" s="13"/>
      <c r="U20" s="13">
        <f t="shared" si="1"/>
        <v>125720</v>
      </c>
      <c r="V20" s="14">
        <v>7411.8</v>
      </c>
      <c r="W20" s="15">
        <f t="shared" si="0"/>
        <v>931811.49600000004</v>
      </c>
    </row>
    <row r="21" spans="1:23" hidden="1" x14ac:dyDescent="0.25">
      <c r="A21" s="116"/>
      <c r="B21" s="115" t="s">
        <v>156</v>
      </c>
      <c r="C21" s="12">
        <v>1000</v>
      </c>
      <c r="D21" s="33"/>
      <c r="E21" s="13"/>
      <c r="F21" s="13">
        <v>70367.5</v>
      </c>
      <c r="G21" s="13"/>
      <c r="H21" s="13"/>
      <c r="I21" s="13"/>
      <c r="J21" s="13"/>
      <c r="K21" s="13"/>
      <c r="L21" s="13"/>
      <c r="M21" s="13"/>
      <c r="N21" s="13"/>
      <c r="O21" s="13"/>
      <c r="P21" s="13"/>
      <c r="Q21" s="13"/>
      <c r="R21" s="13"/>
      <c r="S21" s="13"/>
      <c r="T21" s="13"/>
      <c r="U21" s="13">
        <f t="shared" si="1"/>
        <v>70367.5</v>
      </c>
      <c r="V21" s="14">
        <v>7558.6</v>
      </c>
      <c r="W21" s="15">
        <f t="shared" si="0"/>
        <v>531879.7855</v>
      </c>
    </row>
    <row r="22" spans="1:23" hidden="1" x14ac:dyDescent="0.25">
      <c r="A22" s="116"/>
      <c r="B22" s="92" t="s">
        <v>147</v>
      </c>
      <c r="C22" s="12">
        <v>1000</v>
      </c>
      <c r="D22" s="33"/>
      <c r="E22" s="13">
        <v>4869.33</v>
      </c>
      <c r="F22" s="13"/>
      <c r="G22" s="13"/>
      <c r="H22" s="13"/>
      <c r="I22" s="13"/>
      <c r="J22" s="13"/>
      <c r="K22" s="13"/>
      <c r="L22" s="13"/>
      <c r="M22" s="13"/>
      <c r="N22" s="13"/>
      <c r="O22" s="13"/>
      <c r="P22" s="13"/>
      <c r="Q22" s="13"/>
      <c r="R22" s="13"/>
      <c r="S22" s="13"/>
      <c r="T22" s="13"/>
      <c r="U22" s="13">
        <f t="shared" si="1"/>
        <v>4869.33</v>
      </c>
      <c r="V22" s="14">
        <v>7934.1</v>
      </c>
      <c r="W22" s="15">
        <f t="shared" si="0"/>
        <v>38633.751153000005</v>
      </c>
    </row>
    <row r="23" spans="1:23" hidden="1" x14ac:dyDescent="0.25">
      <c r="A23" s="116">
        <v>4</v>
      </c>
      <c r="B23" s="115" t="s">
        <v>157</v>
      </c>
      <c r="C23" s="12">
        <v>1000</v>
      </c>
      <c r="D23" s="33"/>
      <c r="E23" s="13"/>
      <c r="F23" s="13"/>
      <c r="G23" s="13"/>
      <c r="H23" s="13"/>
      <c r="I23" s="13"/>
      <c r="J23" s="13"/>
      <c r="K23" s="13"/>
      <c r="L23" s="13"/>
      <c r="M23" s="13"/>
      <c r="N23" s="13"/>
      <c r="O23" s="13"/>
      <c r="P23" s="13"/>
      <c r="Q23" s="13"/>
      <c r="R23" s="13"/>
      <c r="S23" s="13"/>
      <c r="T23" s="13"/>
      <c r="U23" s="13">
        <f t="shared" si="1"/>
        <v>0</v>
      </c>
      <c r="V23" s="13">
        <v>0</v>
      </c>
      <c r="W23" s="13">
        <v>0</v>
      </c>
    </row>
    <row r="24" spans="1:23" hidden="1" x14ac:dyDescent="0.25">
      <c r="A24" s="116"/>
      <c r="B24" s="92" t="s">
        <v>384</v>
      </c>
      <c r="C24" s="12">
        <v>1000</v>
      </c>
      <c r="D24" s="33"/>
      <c r="E24" s="13"/>
      <c r="F24" s="13"/>
      <c r="G24" s="13"/>
      <c r="H24" s="13"/>
      <c r="I24" s="13"/>
      <c r="J24" s="13"/>
      <c r="K24" s="13"/>
      <c r="L24" s="13"/>
      <c r="M24" s="13"/>
      <c r="N24" s="13"/>
      <c r="O24" s="13"/>
      <c r="P24" s="13"/>
      <c r="Q24" s="13"/>
      <c r="R24" s="13">
        <v>140702.28500000003</v>
      </c>
      <c r="S24" s="13"/>
      <c r="T24" s="13"/>
      <c r="U24" s="13">
        <f t="shared" si="1"/>
        <v>140702.28500000003</v>
      </c>
      <c r="V24" s="13">
        <v>10936.05</v>
      </c>
      <c r="W24" s="15">
        <f t="shared" si="0"/>
        <v>1538727.2238742502</v>
      </c>
    </row>
    <row r="25" spans="1:23" x14ac:dyDescent="0.25">
      <c r="A25" s="116"/>
      <c r="B25" s="115" t="s">
        <v>11</v>
      </c>
      <c r="C25" s="12">
        <v>1000</v>
      </c>
      <c r="D25" s="33"/>
      <c r="E25" s="13"/>
      <c r="F25" s="13">
        <v>60633</v>
      </c>
      <c r="G25" s="13"/>
      <c r="H25" s="13"/>
      <c r="I25" s="13"/>
      <c r="J25" s="13"/>
      <c r="K25" s="13"/>
      <c r="L25" s="13"/>
      <c r="M25" s="13"/>
      <c r="N25" s="13"/>
      <c r="O25" s="13"/>
      <c r="P25" s="13">
        <v>1780642.5</v>
      </c>
      <c r="Q25" s="13">
        <v>45770</v>
      </c>
      <c r="R25" s="13"/>
      <c r="S25" s="13"/>
      <c r="T25" s="13"/>
      <c r="U25" s="13">
        <f t="shared" si="1"/>
        <v>1887045.5</v>
      </c>
      <c r="V25" s="14">
        <v>11606.8</v>
      </c>
      <c r="W25" s="15">
        <f t="shared" si="0"/>
        <v>21902559.709399998</v>
      </c>
    </row>
    <row r="26" spans="1:23" hidden="1" x14ac:dyDescent="0.25">
      <c r="A26" s="116"/>
      <c r="B26" s="92" t="s">
        <v>209</v>
      </c>
      <c r="C26" s="12">
        <v>1000</v>
      </c>
      <c r="D26" s="33"/>
      <c r="E26" s="13"/>
      <c r="F26" s="13"/>
      <c r="G26" s="13"/>
      <c r="H26" s="13"/>
      <c r="I26" s="13"/>
      <c r="J26" s="13"/>
      <c r="K26" s="13"/>
      <c r="L26" s="13"/>
      <c r="M26" s="13"/>
      <c r="N26" s="13">
        <v>97969.465000000011</v>
      </c>
      <c r="O26" s="13"/>
      <c r="P26" s="13"/>
      <c r="Q26" s="13"/>
      <c r="R26" s="13"/>
      <c r="S26" s="13"/>
      <c r="T26" s="13"/>
      <c r="U26" s="13">
        <f t="shared" si="1"/>
        <v>97969.465000000011</v>
      </c>
      <c r="V26" s="13">
        <v>12948.3</v>
      </c>
      <c r="W26" s="15">
        <f t="shared" si="0"/>
        <v>1268538.0236595001</v>
      </c>
    </row>
    <row r="27" spans="1:23" hidden="1" x14ac:dyDescent="0.25">
      <c r="A27" s="116"/>
      <c r="B27" s="92" t="s">
        <v>208</v>
      </c>
      <c r="C27" s="12">
        <v>1000</v>
      </c>
      <c r="D27" s="45"/>
      <c r="E27" s="13"/>
      <c r="F27" s="13"/>
      <c r="G27" s="13"/>
      <c r="H27" s="13"/>
      <c r="I27" s="13"/>
      <c r="J27" s="13"/>
      <c r="K27" s="13"/>
      <c r="L27" s="13"/>
      <c r="M27" s="13">
        <v>159193.80000000005</v>
      </c>
      <c r="N27" s="13"/>
      <c r="O27" s="13"/>
      <c r="P27" s="13"/>
      <c r="Q27" s="13"/>
      <c r="R27" s="13"/>
      <c r="S27" s="13"/>
      <c r="T27" s="13"/>
      <c r="U27" s="13">
        <f t="shared" si="1"/>
        <v>159193.80000000005</v>
      </c>
      <c r="V27" s="13">
        <v>18092.2</v>
      </c>
      <c r="W27" s="15">
        <f t="shared" si="0"/>
        <v>2880166.0683600013</v>
      </c>
    </row>
    <row r="28" spans="1:23" ht="30" hidden="1" x14ac:dyDescent="0.25">
      <c r="A28" s="116">
        <v>5</v>
      </c>
      <c r="B28" s="130" t="s">
        <v>418</v>
      </c>
      <c r="C28" s="12">
        <v>1000</v>
      </c>
      <c r="D28" s="45"/>
      <c r="E28" s="13"/>
      <c r="F28" s="13"/>
      <c r="G28" s="13"/>
      <c r="H28" s="13"/>
      <c r="I28" s="13"/>
      <c r="J28" s="13"/>
      <c r="K28" s="13"/>
      <c r="L28" s="13"/>
      <c r="M28" s="13"/>
      <c r="N28" s="13"/>
      <c r="O28" s="13"/>
      <c r="P28" s="13"/>
      <c r="Q28" s="13"/>
      <c r="R28" s="13">
        <v>910707.77524999995</v>
      </c>
      <c r="S28" s="13"/>
      <c r="T28" s="13"/>
      <c r="U28" s="13">
        <f t="shared" si="1"/>
        <v>910707.77524999995</v>
      </c>
      <c r="V28" s="13">
        <v>5266.8</v>
      </c>
      <c r="W28" s="15">
        <f t="shared" si="0"/>
        <v>4796515.7106866995</v>
      </c>
    </row>
    <row r="29" spans="1:23" ht="45" hidden="1" x14ac:dyDescent="0.25">
      <c r="A29" s="116">
        <v>6</v>
      </c>
      <c r="B29" s="92" t="s">
        <v>189</v>
      </c>
      <c r="C29" s="37">
        <v>1</v>
      </c>
      <c r="D29" s="100"/>
      <c r="E29" s="13"/>
      <c r="F29" s="13"/>
      <c r="G29" s="13"/>
      <c r="H29" s="13"/>
      <c r="I29" s="13"/>
      <c r="J29" s="13">
        <v>390</v>
      </c>
      <c r="K29" s="13">
        <v>130</v>
      </c>
      <c r="L29" s="13">
        <v>104</v>
      </c>
      <c r="M29" s="13">
        <v>130</v>
      </c>
      <c r="N29" s="13">
        <v>30</v>
      </c>
      <c r="O29" s="13">
        <v>260</v>
      </c>
      <c r="P29" s="13">
        <v>170</v>
      </c>
      <c r="Q29" s="13">
        <v>40</v>
      </c>
      <c r="R29" s="13"/>
      <c r="S29" s="13"/>
      <c r="T29" s="13"/>
      <c r="U29" s="13">
        <v>1254</v>
      </c>
      <c r="V29" s="39">
        <v>1326.2</v>
      </c>
      <c r="W29" s="15">
        <f t="shared" si="0"/>
        <v>1663054.8</v>
      </c>
    </row>
    <row r="30" spans="1:23" ht="45" hidden="1" x14ac:dyDescent="0.25">
      <c r="A30" s="116">
        <v>7</v>
      </c>
      <c r="B30" s="92" t="s">
        <v>17</v>
      </c>
      <c r="C30" s="18">
        <v>1</v>
      </c>
      <c r="D30" s="33">
        <v>410</v>
      </c>
      <c r="E30" s="13">
        <v>255</v>
      </c>
      <c r="F30" s="13">
        <v>215</v>
      </c>
      <c r="G30" s="13">
        <v>95</v>
      </c>
      <c r="H30" s="13">
        <v>720</v>
      </c>
      <c r="I30" s="13">
        <v>45</v>
      </c>
      <c r="J30" s="13"/>
      <c r="K30" s="13"/>
      <c r="L30" s="13"/>
      <c r="M30" s="13"/>
      <c r="N30" s="13"/>
      <c r="O30" s="13"/>
      <c r="P30" s="13"/>
      <c r="Q30" s="13"/>
      <c r="R30" s="13"/>
      <c r="S30" s="13"/>
      <c r="T30" s="13"/>
      <c r="U30" s="13">
        <f t="shared" si="1"/>
        <v>1740</v>
      </c>
      <c r="V30" s="14">
        <v>1935.4</v>
      </c>
      <c r="W30" s="15">
        <f t="shared" si="0"/>
        <v>3367596</v>
      </c>
    </row>
    <row r="31" spans="1:23" hidden="1" x14ac:dyDescent="0.25">
      <c r="A31" s="116">
        <v>8</v>
      </c>
      <c r="B31" s="131" t="s">
        <v>18</v>
      </c>
      <c r="C31" s="19">
        <v>1000</v>
      </c>
      <c r="D31" s="33">
        <v>315680</v>
      </c>
      <c r="E31" s="13">
        <v>180070</v>
      </c>
      <c r="F31" s="13">
        <v>177000</v>
      </c>
      <c r="G31" s="13">
        <v>460000</v>
      </c>
      <c r="H31" s="13">
        <v>2800000</v>
      </c>
      <c r="I31" s="13">
        <v>1680000</v>
      </c>
      <c r="J31" s="13"/>
      <c r="K31" s="13"/>
      <c r="L31" s="13"/>
      <c r="M31" s="13"/>
      <c r="N31" s="13"/>
      <c r="O31" s="13">
        <v>1272300</v>
      </c>
      <c r="P31" s="13"/>
      <c r="Q31" s="13"/>
      <c r="R31" s="13"/>
      <c r="S31" s="13"/>
      <c r="T31" s="13"/>
      <c r="U31" s="13">
        <f t="shared" si="1"/>
        <v>6885050</v>
      </c>
      <c r="V31" s="14">
        <v>376.2</v>
      </c>
      <c r="W31" s="15">
        <f t="shared" si="0"/>
        <v>2590155.81</v>
      </c>
    </row>
    <row r="32" spans="1:23" ht="30" hidden="1" x14ac:dyDescent="0.25">
      <c r="A32" s="116">
        <v>9</v>
      </c>
      <c r="B32" s="92" t="s">
        <v>327</v>
      </c>
      <c r="C32" s="37">
        <v>1</v>
      </c>
      <c r="D32" s="33"/>
      <c r="E32" s="13"/>
      <c r="F32" s="13"/>
      <c r="G32" s="13"/>
      <c r="H32" s="13"/>
      <c r="I32" s="13"/>
      <c r="J32" s="13"/>
      <c r="K32" s="13"/>
      <c r="L32" s="13"/>
      <c r="M32" s="13"/>
      <c r="N32" s="13"/>
      <c r="O32" s="13">
        <v>5</v>
      </c>
      <c r="P32" s="13"/>
      <c r="Q32" s="13"/>
      <c r="R32" s="13"/>
      <c r="S32" s="13"/>
      <c r="T32" s="13"/>
      <c r="U32" s="13">
        <f t="shared" si="1"/>
        <v>5</v>
      </c>
      <c r="V32" s="13">
        <v>14630</v>
      </c>
      <c r="W32" s="15">
        <f t="shared" si="0"/>
        <v>73150</v>
      </c>
    </row>
    <row r="33" spans="1:28" ht="22.5" hidden="1" x14ac:dyDescent="0.25">
      <c r="A33" s="198">
        <v>2</v>
      </c>
      <c r="B33" s="198" t="s">
        <v>393</v>
      </c>
      <c r="C33" s="16"/>
      <c r="D33" s="16"/>
      <c r="E33" s="16"/>
      <c r="F33" s="16"/>
      <c r="G33" s="16"/>
      <c r="H33" s="16"/>
      <c r="I33" s="16"/>
      <c r="J33" s="16"/>
      <c r="K33" s="16"/>
      <c r="L33" s="16"/>
      <c r="M33" s="16"/>
      <c r="N33" s="16"/>
      <c r="O33" s="16"/>
      <c r="P33" s="16"/>
      <c r="Q33" s="16"/>
      <c r="R33" s="16"/>
      <c r="S33" s="16"/>
      <c r="T33" s="16"/>
      <c r="U33" s="16"/>
      <c r="V33" s="16"/>
      <c r="W33" s="16"/>
    </row>
    <row r="34" spans="1:28" ht="60" hidden="1" x14ac:dyDescent="0.25">
      <c r="A34" s="117">
        <v>1</v>
      </c>
      <c r="B34" s="94" t="s">
        <v>19</v>
      </c>
      <c r="C34" s="12">
        <v>1000</v>
      </c>
      <c r="D34" s="21">
        <v>98</v>
      </c>
      <c r="E34" s="21">
        <v>98</v>
      </c>
      <c r="F34" s="21">
        <v>98</v>
      </c>
      <c r="G34" s="21">
        <v>98</v>
      </c>
      <c r="H34" s="21">
        <v>98</v>
      </c>
      <c r="I34" s="21">
        <v>98</v>
      </c>
      <c r="J34" s="21">
        <v>98</v>
      </c>
      <c r="K34" s="21">
        <v>98</v>
      </c>
      <c r="L34" s="21">
        <v>98</v>
      </c>
      <c r="M34" s="21">
        <v>98</v>
      </c>
      <c r="N34" s="21">
        <v>98</v>
      </c>
      <c r="O34" s="21">
        <v>98</v>
      </c>
      <c r="P34" s="21">
        <v>98</v>
      </c>
      <c r="Q34" s="21">
        <v>49</v>
      </c>
      <c r="R34" s="21">
        <v>294</v>
      </c>
      <c r="S34" s="21"/>
      <c r="T34" s="21"/>
      <c r="U34" s="13">
        <f t="shared" ref="U34:U44" si="2">SUM(D34:T34)</f>
        <v>1617</v>
      </c>
      <c r="V34" s="21">
        <v>15824.15</v>
      </c>
      <c r="W34" s="15">
        <f t="shared" si="0"/>
        <v>25587.650550000002</v>
      </c>
    </row>
    <row r="35" spans="1:28" s="152" customFormat="1" ht="45" x14ac:dyDescent="0.2">
      <c r="A35" s="44">
        <v>2</v>
      </c>
      <c r="B35" s="94" t="s">
        <v>20</v>
      </c>
      <c r="C35" s="12">
        <v>100</v>
      </c>
      <c r="D35" s="25"/>
      <c r="E35" s="14"/>
      <c r="F35" s="14"/>
      <c r="G35" s="14"/>
      <c r="H35" s="14"/>
      <c r="I35" s="14"/>
      <c r="J35" s="14"/>
      <c r="K35" s="14"/>
      <c r="L35" s="14"/>
      <c r="M35" s="14"/>
      <c r="N35" s="14"/>
      <c r="O35" s="14"/>
      <c r="P35" s="14"/>
      <c r="Q35" s="14"/>
      <c r="R35" s="14"/>
      <c r="S35" s="14"/>
      <c r="T35" s="14"/>
      <c r="U35" s="13">
        <f t="shared" si="2"/>
        <v>0</v>
      </c>
      <c r="V35" s="13">
        <v>0</v>
      </c>
      <c r="W35" s="13">
        <v>0</v>
      </c>
    </row>
    <row r="36" spans="1:28" s="152" customFormat="1" ht="15" x14ac:dyDescent="0.2">
      <c r="A36" s="44"/>
      <c r="B36" s="94" t="s">
        <v>21</v>
      </c>
      <c r="C36" s="12">
        <v>100</v>
      </c>
      <c r="D36" s="21">
        <v>24.5</v>
      </c>
      <c r="E36" s="21">
        <v>24.5</v>
      </c>
      <c r="F36" s="21">
        <v>24.5</v>
      </c>
      <c r="G36" s="21">
        <v>24.5</v>
      </c>
      <c r="H36" s="21">
        <v>24.5</v>
      </c>
      <c r="I36" s="21">
        <v>24.5</v>
      </c>
      <c r="J36" s="21">
        <v>24.5</v>
      </c>
      <c r="K36" s="21">
        <v>24.5</v>
      </c>
      <c r="L36" s="21">
        <v>24.5</v>
      </c>
      <c r="M36" s="21">
        <v>24.5</v>
      </c>
      <c r="N36" s="21">
        <v>24.5</v>
      </c>
      <c r="O36" s="21">
        <v>24.5</v>
      </c>
      <c r="P36" s="21">
        <v>24.5</v>
      </c>
      <c r="Q36" s="21">
        <v>12.25</v>
      </c>
      <c r="R36" s="21">
        <v>73.5</v>
      </c>
      <c r="S36" s="21"/>
      <c r="T36" s="21"/>
      <c r="U36" s="13">
        <f t="shared" si="2"/>
        <v>404.25</v>
      </c>
      <c r="V36" s="21">
        <v>34694.300000000003</v>
      </c>
      <c r="W36" s="15">
        <f t="shared" si="0"/>
        <v>140251.70775</v>
      </c>
    </row>
    <row r="37" spans="1:28" s="152" customFormat="1" ht="30" x14ac:dyDescent="0.2">
      <c r="A37" s="44">
        <v>3</v>
      </c>
      <c r="B37" s="94" t="s">
        <v>22</v>
      </c>
      <c r="C37" s="12">
        <v>100</v>
      </c>
      <c r="D37" s="21">
        <v>97.5</v>
      </c>
      <c r="E37" s="21">
        <v>97.5</v>
      </c>
      <c r="F37" s="21">
        <v>97.5</v>
      </c>
      <c r="G37" s="21">
        <v>97.5</v>
      </c>
      <c r="H37" s="21">
        <v>97.5</v>
      </c>
      <c r="I37" s="21">
        <v>97.5</v>
      </c>
      <c r="J37" s="21">
        <v>97.5</v>
      </c>
      <c r="K37" s="21">
        <v>97.5</v>
      </c>
      <c r="L37" s="21">
        <v>97.5</v>
      </c>
      <c r="M37" s="21">
        <v>97.5</v>
      </c>
      <c r="N37" s="21">
        <v>97.5</v>
      </c>
      <c r="O37" s="21">
        <v>97.5</v>
      </c>
      <c r="P37" s="21">
        <v>97.5</v>
      </c>
      <c r="Q37" s="21">
        <v>48.75</v>
      </c>
      <c r="R37" s="21">
        <v>292.5</v>
      </c>
      <c r="S37" s="21"/>
      <c r="T37" s="21"/>
      <c r="U37" s="13">
        <v>58371.56</v>
      </c>
      <c r="V37" s="21">
        <v>32675.95</v>
      </c>
      <c r="W37" s="15">
        <f t="shared" si="0"/>
        <v>19073461.759819999</v>
      </c>
      <c r="X37" s="152">
        <v>1608.75</v>
      </c>
      <c r="Y37" s="152">
        <v>11656.480000000003</v>
      </c>
      <c r="Z37" s="152">
        <v>44360.68</v>
      </c>
      <c r="AA37" s="152">
        <v>745.65</v>
      </c>
      <c r="AB37" s="152">
        <f>SUBTOTAL(9,X37:AA37)</f>
        <v>58371.560000000005</v>
      </c>
    </row>
    <row r="38" spans="1:28" s="152" customFormat="1" ht="45" hidden="1" x14ac:dyDescent="0.2">
      <c r="A38" s="44">
        <v>4</v>
      </c>
      <c r="B38" s="94" t="s">
        <v>23</v>
      </c>
      <c r="C38" s="19">
        <v>100</v>
      </c>
      <c r="D38" s="21">
        <v>39</v>
      </c>
      <c r="E38" s="21">
        <v>39</v>
      </c>
      <c r="F38" s="21">
        <v>39</v>
      </c>
      <c r="G38" s="21">
        <v>39</v>
      </c>
      <c r="H38" s="21">
        <v>39</v>
      </c>
      <c r="I38" s="21">
        <v>39</v>
      </c>
      <c r="J38" s="21">
        <v>39</v>
      </c>
      <c r="K38" s="21">
        <v>39</v>
      </c>
      <c r="L38" s="21">
        <v>39</v>
      </c>
      <c r="M38" s="21">
        <v>39</v>
      </c>
      <c r="N38" s="21">
        <v>39</v>
      </c>
      <c r="O38" s="21">
        <v>39</v>
      </c>
      <c r="P38" s="21">
        <v>39</v>
      </c>
      <c r="Q38" s="21">
        <v>19.5</v>
      </c>
      <c r="R38" s="21">
        <v>117</v>
      </c>
      <c r="S38" s="21"/>
      <c r="T38" s="21"/>
      <c r="U38" s="13">
        <f t="shared" si="2"/>
        <v>643.5</v>
      </c>
      <c r="V38" s="21">
        <v>11851.7</v>
      </c>
      <c r="W38" s="15">
        <f t="shared" si="0"/>
        <v>76265.689500000008</v>
      </c>
    </row>
    <row r="39" spans="1:28" ht="30" hidden="1" x14ac:dyDescent="0.25">
      <c r="A39" s="117">
        <v>5</v>
      </c>
      <c r="B39" s="94" t="s">
        <v>24</v>
      </c>
      <c r="C39" s="12">
        <v>100</v>
      </c>
      <c r="D39" s="21">
        <v>81.703125</v>
      </c>
      <c r="E39" s="21">
        <v>81.703125</v>
      </c>
      <c r="F39" s="21">
        <v>81.703125</v>
      </c>
      <c r="G39" s="21">
        <v>81.703125</v>
      </c>
      <c r="H39" s="21">
        <v>81.703125</v>
      </c>
      <c r="I39" s="21">
        <v>81.703125</v>
      </c>
      <c r="J39" s="21">
        <v>81.703125</v>
      </c>
      <c r="K39" s="21">
        <v>81.703125</v>
      </c>
      <c r="L39" s="21">
        <v>81.703125</v>
      </c>
      <c r="M39" s="21">
        <v>81.703125</v>
      </c>
      <c r="N39" s="21">
        <v>81.703125</v>
      </c>
      <c r="O39" s="21">
        <v>81.703125</v>
      </c>
      <c r="P39" s="21">
        <v>81.703125</v>
      </c>
      <c r="Q39" s="21">
        <v>40.8515625</v>
      </c>
      <c r="R39" s="21">
        <v>245.109375</v>
      </c>
      <c r="S39" s="21"/>
      <c r="T39" s="21"/>
      <c r="U39" s="13">
        <f t="shared" si="2"/>
        <v>1348.1015625</v>
      </c>
      <c r="V39" s="21">
        <v>37620.6</v>
      </c>
      <c r="W39" s="15">
        <f t="shared" si="0"/>
        <v>507163.89642187499</v>
      </c>
    </row>
    <row r="40" spans="1:28" hidden="1" x14ac:dyDescent="0.25">
      <c r="A40" s="117">
        <v>6</v>
      </c>
      <c r="B40" s="94" t="s">
        <v>25</v>
      </c>
      <c r="C40" s="19">
        <v>100</v>
      </c>
      <c r="D40" s="21">
        <v>230.64999999999998</v>
      </c>
      <c r="E40" s="21">
        <v>230.64999999999998</v>
      </c>
      <c r="F40" s="21">
        <v>230.64999999999998</v>
      </c>
      <c r="G40" s="21">
        <v>230.64999999999998</v>
      </c>
      <c r="H40" s="21">
        <v>230.64999999999998</v>
      </c>
      <c r="I40" s="21">
        <v>230.64999999999998</v>
      </c>
      <c r="J40" s="21">
        <v>230.64999999999998</v>
      </c>
      <c r="K40" s="21">
        <v>230.64999999999998</v>
      </c>
      <c r="L40" s="21">
        <v>230.64999999999998</v>
      </c>
      <c r="M40" s="21">
        <v>230.64999999999998</v>
      </c>
      <c r="N40" s="21">
        <v>230.64999999999998</v>
      </c>
      <c r="O40" s="21">
        <v>230.64999999999998</v>
      </c>
      <c r="P40" s="21">
        <v>230.64999999999998</v>
      </c>
      <c r="Q40" s="21">
        <v>115.32499999999999</v>
      </c>
      <c r="R40" s="21">
        <v>691.94999999999993</v>
      </c>
      <c r="S40" s="21"/>
      <c r="T40" s="21"/>
      <c r="U40" s="13">
        <f t="shared" si="2"/>
        <v>3805.7250000000004</v>
      </c>
      <c r="V40" s="21">
        <v>4334.75</v>
      </c>
      <c r="W40" s="15">
        <f t="shared" si="0"/>
        <v>164968.6644375</v>
      </c>
    </row>
    <row r="41" spans="1:28" ht="45" hidden="1" x14ac:dyDescent="0.25">
      <c r="A41" s="117">
        <v>7</v>
      </c>
      <c r="B41" s="94" t="s">
        <v>26</v>
      </c>
      <c r="C41" s="19">
        <v>100</v>
      </c>
      <c r="D41" s="21">
        <v>230.64999999999998</v>
      </c>
      <c r="E41" s="21">
        <v>230.64999999999998</v>
      </c>
      <c r="F41" s="21">
        <v>230.64999999999998</v>
      </c>
      <c r="G41" s="21">
        <v>230.64999999999998</v>
      </c>
      <c r="H41" s="21">
        <v>230.64999999999998</v>
      </c>
      <c r="I41" s="21">
        <v>230.64999999999998</v>
      </c>
      <c r="J41" s="21">
        <v>230.64999999999998</v>
      </c>
      <c r="K41" s="21">
        <v>230.64999999999998</v>
      </c>
      <c r="L41" s="21">
        <v>230.64999999999998</v>
      </c>
      <c r="M41" s="21">
        <v>230.64999999999998</v>
      </c>
      <c r="N41" s="21">
        <v>230.64999999999998</v>
      </c>
      <c r="O41" s="21">
        <v>230.64999999999998</v>
      </c>
      <c r="P41" s="21">
        <v>230.64999999999998</v>
      </c>
      <c r="Q41" s="21">
        <v>115.32499999999999</v>
      </c>
      <c r="R41" s="21">
        <v>691.94999999999993</v>
      </c>
      <c r="S41" s="21"/>
      <c r="T41" s="21"/>
      <c r="U41" s="13">
        <f t="shared" si="2"/>
        <v>3805.7250000000004</v>
      </c>
      <c r="V41" s="21">
        <v>7379.1</v>
      </c>
      <c r="W41" s="15">
        <f t="shared" si="0"/>
        <v>280828.25347500003</v>
      </c>
    </row>
    <row r="42" spans="1:28" hidden="1" x14ac:dyDescent="0.25">
      <c r="A42" s="117">
        <v>8</v>
      </c>
      <c r="B42" s="94" t="s">
        <v>27</v>
      </c>
      <c r="C42" s="24">
        <v>1</v>
      </c>
      <c r="D42" s="21">
        <v>500</v>
      </c>
      <c r="E42" s="21">
        <v>500</v>
      </c>
      <c r="F42" s="21">
        <v>500</v>
      </c>
      <c r="G42" s="21">
        <v>500</v>
      </c>
      <c r="H42" s="21">
        <v>500</v>
      </c>
      <c r="I42" s="21">
        <v>500</v>
      </c>
      <c r="J42" s="21">
        <v>500</v>
      </c>
      <c r="K42" s="21">
        <v>500</v>
      </c>
      <c r="L42" s="21">
        <v>500</v>
      </c>
      <c r="M42" s="21">
        <v>500</v>
      </c>
      <c r="N42" s="21">
        <v>500</v>
      </c>
      <c r="O42" s="21">
        <v>500</v>
      </c>
      <c r="P42" s="21">
        <v>500</v>
      </c>
      <c r="Q42" s="21">
        <v>250</v>
      </c>
      <c r="R42" s="21">
        <v>1500</v>
      </c>
      <c r="S42" s="21"/>
      <c r="T42" s="21"/>
      <c r="U42" s="13">
        <f t="shared" si="2"/>
        <v>8250</v>
      </c>
      <c r="V42" s="21">
        <v>30.5</v>
      </c>
      <c r="W42" s="15">
        <f t="shared" si="0"/>
        <v>251625</v>
      </c>
    </row>
    <row r="43" spans="1:28" ht="75" hidden="1" x14ac:dyDescent="0.25">
      <c r="A43" s="117">
        <v>9</v>
      </c>
      <c r="B43" s="94" t="s">
        <v>28</v>
      </c>
      <c r="C43" s="17"/>
      <c r="D43" s="17"/>
      <c r="E43" s="17"/>
      <c r="F43" s="17"/>
      <c r="G43" s="17"/>
      <c r="H43" s="17"/>
      <c r="I43" s="17"/>
      <c r="J43" s="17"/>
      <c r="K43" s="17"/>
      <c r="L43" s="17"/>
      <c r="M43" s="17"/>
      <c r="N43" s="17"/>
      <c r="O43" s="17"/>
      <c r="P43" s="17"/>
      <c r="Q43" s="17"/>
      <c r="R43" s="17"/>
      <c r="S43" s="17"/>
      <c r="T43" s="17"/>
      <c r="U43" s="13">
        <f t="shared" si="2"/>
        <v>0</v>
      </c>
      <c r="V43" s="17"/>
      <c r="W43" s="17"/>
    </row>
    <row r="44" spans="1:28" hidden="1" x14ac:dyDescent="0.25">
      <c r="A44" s="117"/>
      <c r="B44" s="94" t="s">
        <v>29</v>
      </c>
      <c r="C44" s="12">
        <v>100</v>
      </c>
      <c r="D44" s="21">
        <v>4.29</v>
      </c>
      <c r="E44" s="21">
        <v>4.29</v>
      </c>
      <c r="F44" s="21">
        <v>4.29</v>
      </c>
      <c r="G44" s="21">
        <v>4.29</v>
      </c>
      <c r="H44" s="21">
        <v>4.29</v>
      </c>
      <c r="I44" s="21">
        <v>4.29</v>
      </c>
      <c r="J44" s="21">
        <v>4.29</v>
      </c>
      <c r="K44" s="21">
        <v>4.29</v>
      </c>
      <c r="L44" s="21">
        <v>4.29</v>
      </c>
      <c r="M44" s="21">
        <v>4.29</v>
      </c>
      <c r="N44" s="21">
        <v>4.29</v>
      </c>
      <c r="O44" s="21">
        <v>4.29</v>
      </c>
      <c r="P44" s="21">
        <v>4.29</v>
      </c>
      <c r="Q44" s="21">
        <v>2.145</v>
      </c>
      <c r="R44" s="21">
        <v>12.870000000000001</v>
      </c>
      <c r="S44" s="21"/>
      <c r="T44" s="21"/>
      <c r="U44" s="13">
        <f t="shared" si="2"/>
        <v>70.784999999999997</v>
      </c>
      <c r="V44" s="21">
        <v>14042.6</v>
      </c>
      <c r="W44" s="15">
        <f t="shared" si="0"/>
        <v>9940.0544100000006</v>
      </c>
    </row>
    <row r="45" spans="1:28" ht="22.5" hidden="1" x14ac:dyDescent="0.25">
      <c r="A45" s="198">
        <v>3</v>
      </c>
      <c r="B45" s="198" t="s">
        <v>395</v>
      </c>
      <c r="C45" s="16"/>
      <c r="D45" s="16"/>
      <c r="E45" s="16"/>
      <c r="F45" s="16"/>
      <c r="G45" s="16"/>
      <c r="H45" s="16"/>
      <c r="I45" s="16"/>
      <c r="J45" s="16"/>
      <c r="K45" s="16"/>
      <c r="L45" s="16"/>
      <c r="M45" s="16"/>
      <c r="N45" s="16"/>
      <c r="O45" s="16"/>
      <c r="P45" s="16"/>
      <c r="Q45" s="16"/>
      <c r="R45" s="16"/>
      <c r="S45" s="16"/>
      <c r="T45" s="16"/>
      <c r="U45" s="16"/>
      <c r="V45" s="16"/>
      <c r="W45" s="16"/>
    </row>
    <row r="46" spans="1:28" s="152" customFormat="1" ht="15" hidden="1" x14ac:dyDescent="0.2">
      <c r="A46" s="118">
        <v>1</v>
      </c>
      <c r="B46" s="132" t="s">
        <v>30</v>
      </c>
      <c r="C46" s="12">
        <v>1</v>
      </c>
      <c r="D46" s="25">
        <v>55.04</v>
      </c>
      <c r="E46" s="14">
        <v>30.96</v>
      </c>
      <c r="F46" s="14">
        <v>30.96</v>
      </c>
      <c r="G46" s="14">
        <v>39.56</v>
      </c>
      <c r="H46" s="14">
        <v>242.52</v>
      </c>
      <c r="I46" s="14">
        <v>146.19999999999999</v>
      </c>
      <c r="J46" s="14">
        <v>67.08</v>
      </c>
      <c r="K46" s="14">
        <v>22.36</v>
      </c>
      <c r="L46" s="14">
        <v>22.36</v>
      </c>
      <c r="M46" s="14">
        <v>22.36</v>
      </c>
      <c r="N46" s="14">
        <v>5.16</v>
      </c>
      <c r="O46" s="14">
        <v>44.72</v>
      </c>
      <c r="P46" s="14">
        <v>29.24</v>
      </c>
      <c r="Q46" s="14">
        <v>6.88</v>
      </c>
      <c r="R46" s="14">
        <v>20.64</v>
      </c>
      <c r="S46" s="14"/>
      <c r="T46" s="14"/>
      <c r="U46" s="13">
        <f t="shared" ref="U46:U53" si="3">SUM(D46:T46)</f>
        <v>786.04000000000008</v>
      </c>
      <c r="V46" s="25">
        <v>546.95000000000005</v>
      </c>
      <c r="W46" s="15">
        <f t="shared" si="0"/>
        <v>429924.5780000001</v>
      </c>
    </row>
    <row r="47" spans="1:28" s="152" customFormat="1" ht="45" hidden="1" x14ac:dyDescent="0.2">
      <c r="A47" s="118">
        <v>2</v>
      </c>
      <c r="B47" s="132" t="s">
        <v>31</v>
      </c>
      <c r="C47" s="26">
        <v>100</v>
      </c>
      <c r="D47" s="25">
        <v>125.76</v>
      </c>
      <c r="E47" s="14">
        <v>70.740000000000009</v>
      </c>
      <c r="F47" s="14">
        <v>70.740000000000009</v>
      </c>
      <c r="G47" s="14">
        <v>90.39</v>
      </c>
      <c r="H47" s="14">
        <v>554.13</v>
      </c>
      <c r="I47" s="14">
        <v>334.05</v>
      </c>
      <c r="J47" s="14">
        <v>153.27000000000001</v>
      </c>
      <c r="K47" s="14">
        <v>51.09</v>
      </c>
      <c r="L47" s="14">
        <v>51.09</v>
      </c>
      <c r="M47" s="14">
        <v>51.09</v>
      </c>
      <c r="N47" s="14">
        <v>11.790000000000001</v>
      </c>
      <c r="O47" s="14">
        <v>102.18</v>
      </c>
      <c r="P47" s="14">
        <v>66.81</v>
      </c>
      <c r="Q47" s="14">
        <v>15.72</v>
      </c>
      <c r="R47" s="14">
        <v>47.160000000000004</v>
      </c>
      <c r="S47" s="14"/>
      <c r="T47" s="14"/>
      <c r="U47" s="13">
        <f t="shared" si="3"/>
        <v>1796.0099999999998</v>
      </c>
      <c r="V47" s="25">
        <v>30006.1</v>
      </c>
      <c r="W47" s="15">
        <f t="shared" si="0"/>
        <v>538912.55660999985</v>
      </c>
    </row>
    <row r="48" spans="1:28" s="152" customFormat="1" ht="15" hidden="1" x14ac:dyDescent="0.2">
      <c r="A48" s="44">
        <v>3</v>
      </c>
      <c r="B48" s="132" t="s">
        <v>32</v>
      </c>
      <c r="C48" s="24">
        <v>1</v>
      </c>
      <c r="D48" s="25">
        <v>32</v>
      </c>
      <c r="E48" s="14">
        <v>18</v>
      </c>
      <c r="F48" s="14">
        <v>18</v>
      </c>
      <c r="G48" s="14">
        <v>23</v>
      </c>
      <c r="H48" s="14">
        <v>141</v>
      </c>
      <c r="I48" s="14">
        <v>85</v>
      </c>
      <c r="J48" s="14">
        <v>39</v>
      </c>
      <c r="K48" s="14">
        <v>13</v>
      </c>
      <c r="L48" s="14">
        <v>13</v>
      </c>
      <c r="M48" s="14">
        <v>13</v>
      </c>
      <c r="N48" s="14">
        <v>3</v>
      </c>
      <c r="O48" s="14">
        <v>26</v>
      </c>
      <c r="P48" s="14">
        <v>17</v>
      </c>
      <c r="Q48" s="14">
        <v>4</v>
      </c>
      <c r="R48" s="14">
        <v>12</v>
      </c>
      <c r="S48" s="14"/>
      <c r="T48" s="14"/>
      <c r="U48" s="13">
        <f t="shared" si="3"/>
        <v>457</v>
      </c>
      <c r="V48" s="25">
        <v>115.4</v>
      </c>
      <c r="W48" s="15">
        <f t="shared" si="0"/>
        <v>52737.8</v>
      </c>
    </row>
    <row r="49" spans="1:26" s="152" customFormat="1" ht="15" hidden="1" x14ac:dyDescent="0.2">
      <c r="A49" s="44">
        <v>4</v>
      </c>
      <c r="B49" s="132" t="s">
        <v>33</v>
      </c>
      <c r="C49" s="27">
        <v>1</v>
      </c>
      <c r="D49" s="25">
        <v>32</v>
      </c>
      <c r="E49" s="14">
        <v>18</v>
      </c>
      <c r="F49" s="14">
        <v>18</v>
      </c>
      <c r="G49" s="14">
        <v>23</v>
      </c>
      <c r="H49" s="14">
        <v>141</v>
      </c>
      <c r="I49" s="14">
        <v>85</v>
      </c>
      <c r="J49" s="14">
        <v>39</v>
      </c>
      <c r="K49" s="14">
        <v>13</v>
      </c>
      <c r="L49" s="14">
        <v>13</v>
      </c>
      <c r="M49" s="14">
        <v>13</v>
      </c>
      <c r="N49" s="14">
        <v>3</v>
      </c>
      <c r="O49" s="14">
        <v>26</v>
      </c>
      <c r="P49" s="14">
        <v>17</v>
      </c>
      <c r="Q49" s="14">
        <v>4</v>
      </c>
      <c r="R49" s="14">
        <v>12</v>
      </c>
      <c r="S49" s="14"/>
      <c r="T49" s="14"/>
      <c r="U49" s="13">
        <f t="shared" si="3"/>
        <v>457</v>
      </c>
      <c r="V49" s="25">
        <v>141.9</v>
      </c>
      <c r="W49" s="15">
        <f t="shared" si="0"/>
        <v>64848.3</v>
      </c>
    </row>
    <row r="50" spans="1:26" s="152" customFormat="1" ht="15" hidden="1" x14ac:dyDescent="0.2">
      <c r="A50" s="44">
        <v>5</v>
      </c>
      <c r="B50" s="132" t="s">
        <v>34</v>
      </c>
      <c r="C50" s="19">
        <v>100</v>
      </c>
      <c r="D50" s="25">
        <v>112</v>
      </c>
      <c r="E50" s="14">
        <v>63</v>
      </c>
      <c r="F50" s="14">
        <v>63</v>
      </c>
      <c r="G50" s="14">
        <v>80.5</v>
      </c>
      <c r="H50" s="14">
        <v>493.5</v>
      </c>
      <c r="I50" s="14">
        <v>297.5</v>
      </c>
      <c r="J50" s="14">
        <v>136.5</v>
      </c>
      <c r="K50" s="14">
        <v>45.5</v>
      </c>
      <c r="L50" s="14">
        <v>45.5</v>
      </c>
      <c r="M50" s="14">
        <v>45.5</v>
      </c>
      <c r="N50" s="14">
        <v>10.5</v>
      </c>
      <c r="O50" s="14">
        <v>91</v>
      </c>
      <c r="P50" s="14">
        <v>59.5</v>
      </c>
      <c r="Q50" s="14">
        <v>14</v>
      </c>
      <c r="R50" s="14">
        <v>42</v>
      </c>
      <c r="S50" s="14"/>
      <c r="T50" s="14"/>
      <c r="U50" s="13">
        <f t="shared" si="3"/>
        <v>1599.5</v>
      </c>
      <c r="V50" s="25">
        <v>4307.55</v>
      </c>
      <c r="W50" s="15">
        <f t="shared" si="0"/>
        <v>68899.26225</v>
      </c>
    </row>
    <row r="51" spans="1:26" s="152" customFormat="1" ht="30" hidden="1" x14ac:dyDescent="0.2">
      <c r="A51" s="44">
        <v>6</v>
      </c>
      <c r="B51" s="132" t="s">
        <v>35</v>
      </c>
      <c r="C51" s="24">
        <v>1</v>
      </c>
      <c r="D51" s="25">
        <v>320</v>
      </c>
      <c r="E51" s="14">
        <v>180</v>
      </c>
      <c r="F51" s="14">
        <v>180</v>
      </c>
      <c r="G51" s="14">
        <v>230</v>
      </c>
      <c r="H51" s="14">
        <v>1410</v>
      </c>
      <c r="I51" s="14">
        <v>850</v>
      </c>
      <c r="J51" s="14">
        <v>390</v>
      </c>
      <c r="K51" s="14">
        <v>130</v>
      </c>
      <c r="L51" s="14">
        <v>130</v>
      </c>
      <c r="M51" s="14">
        <v>130</v>
      </c>
      <c r="N51" s="14">
        <v>30</v>
      </c>
      <c r="O51" s="14">
        <v>260</v>
      </c>
      <c r="P51" s="14">
        <v>170</v>
      </c>
      <c r="Q51" s="14">
        <v>40</v>
      </c>
      <c r="R51" s="14">
        <v>120</v>
      </c>
      <c r="S51" s="14"/>
      <c r="T51" s="14"/>
      <c r="U51" s="13">
        <f t="shared" si="3"/>
        <v>4570</v>
      </c>
      <c r="V51" s="25">
        <v>30.5</v>
      </c>
      <c r="W51" s="15">
        <f t="shared" si="0"/>
        <v>139385</v>
      </c>
    </row>
    <row r="52" spans="1:26" s="152" customFormat="1" ht="75.75" hidden="1" x14ac:dyDescent="0.2">
      <c r="A52" s="44">
        <v>7</v>
      </c>
      <c r="B52" s="132" t="s">
        <v>36</v>
      </c>
      <c r="C52" s="23"/>
      <c r="D52" s="23"/>
      <c r="E52" s="23"/>
      <c r="F52" s="23"/>
      <c r="G52" s="23"/>
      <c r="H52" s="23"/>
      <c r="I52" s="23"/>
      <c r="J52" s="23"/>
      <c r="K52" s="23"/>
      <c r="L52" s="23"/>
      <c r="M52" s="23"/>
      <c r="N52" s="23"/>
      <c r="O52" s="23"/>
      <c r="P52" s="23"/>
      <c r="Q52" s="23"/>
      <c r="R52" s="23"/>
      <c r="S52" s="23"/>
      <c r="T52" s="23"/>
      <c r="U52" s="13">
        <f t="shared" si="3"/>
        <v>0</v>
      </c>
      <c r="V52" s="23"/>
      <c r="W52" s="23"/>
    </row>
    <row r="53" spans="1:26" s="152" customFormat="1" ht="15" x14ac:dyDescent="0.2">
      <c r="A53" s="44" t="s">
        <v>37</v>
      </c>
      <c r="B53" s="94" t="s">
        <v>38</v>
      </c>
      <c r="C53" s="12">
        <v>100</v>
      </c>
      <c r="D53" s="25">
        <v>48.435200000000002</v>
      </c>
      <c r="E53" s="14">
        <v>27.244800000000001</v>
      </c>
      <c r="F53" s="14">
        <v>27.244800000000001</v>
      </c>
      <c r="G53" s="14">
        <v>34.812800000000003</v>
      </c>
      <c r="H53" s="14">
        <v>213.41760000000002</v>
      </c>
      <c r="I53" s="14">
        <v>128.65600000000001</v>
      </c>
      <c r="J53" s="14">
        <v>59.0304</v>
      </c>
      <c r="K53" s="14">
        <v>19.6768</v>
      </c>
      <c r="L53" s="14">
        <v>19.6768</v>
      </c>
      <c r="M53" s="14">
        <v>19.6768</v>
      </c>
      <c r="N53" s="14">
        <v>4.5407999999999999</v>
      </c>
      <c r="O53" s="14">
        <v>39.3536</v>
      </c>
      <c r="P53" s="14">
        <v>25.731200000000001</v>
      </c>
      <c r="Q53" s="14">
        <v>6.0544000000000002</v>
      </c>
      <c r="R53" s="14">
        <v>18.1632</v>
      </c>
      <c r="S53" s="25"/>
      <c r="T53" s="25"/>
      <c r="U53" s="13">
        <f t="shared" si="3"/>
        <v>691.71519999999987</v>
      </c>
      <c r="V53" s="25">
        <v>14042.6</v>
      </c>
      <c r="W53" s="15">
        <f t="shared" si="0"/>
        <v>97134.798675199985</v>
      </c>
    </row>
    <row r="54" spans="1:26" ht="22.5" hidden="1" x14ac:dyDescent="0.25">
      <c r="A54" s="198">
        <v>4</v>
      </c>
      <c r="B54" s="198" t="s">
        <v>378</v>
      </c>
      <c r="C54" s="101"/>
      <c r="D54" s="401"/>
      <c r="E54" s="402"/>
      <c r="F54" s="9"/>
      <c r="G54" s="9"/>
      <c r="H54" s="9"/>
      <c r="I54" s="9"/>
      <c r="J54" s="9"/>
      <c r="K54" s="9"/>
      <c r="L54" s="9"/>
      <c r="M54" s="9"/>
      <c r="N54" s="9"/>
      <c r="O54" s="9"/>
      <c r="P54" s="9"/>
      <c r="Q54" s="9"/>
      <c r="R54" s="9"/>
      <c r="S54" s="9"/>
      <c r="T54" s="9"/>
      <c r="U54" s="16"/>
      <c r="V54" s="16"/>
      <c r="W54" s="16"/>
    </row>
    <row r="55" spans="1:26" s="152" customFormat="1" ht="30" hidden="1" x14ac:dyDescent="0.2">
      <c r="A55" s="118">
        <v>1</v>
      </c>
      <c r="B55" s="94" t="s">
        <v>328</v>
      </c>
      <c r="C55" s="179">
        <v>1000</v>
      </c>
      <c r="D55" s="25"/>
      <c r="E55" s="14"/>
      <c r="F55" s="14"/>
      <c r="G55" s="14"/>
      <c r="H55" s="14"/>
      <c r="I55" s="14"/>
      <c r="J55" s="14"/>
      <c r="K55" s="14"/>
      <c r="L55" s="14"/>
      <c r="M55" s="14"/>
      <c r="N55" s="14"/>
      <c r="O55" s="40">
        <v>245</v>
      </c>
      <c r="P55" s="14"/>
      <c r="Q55" s="14"/>
      <c r="R55" s="14"/>
      <c r="S55" s="14"/>
      <c r="T55" s="14"/>
      <c r="U55" s="13">
        <f>SUM(D55:T55)</f>
        <v>245</v>
      </c>
      <c r="V55" s="25">
        <v>546.95000000000005</v>
      </c>
      <c r="W55" s="15">
        <f t="shared" si="0"/>
        <v>134.00274999999999</v>
      </c>
    </row>
    <row r="56" spans="1:26" s="152" customFormat="1" ht="45" hidden="1" x14ac:dyDescent="0.2">
      <c r="A56" s="118">
        <v>2</v>
      </c>
      <c r="B56" s="94" t="s">
        <v>329</v>
      </c>
      <c r="C56" s="180">
        <v>100</v>
      </c>
      <c r="D56" s="25"/>
      <c r="E56" s="14"/>
      <c r="F56" s="14"/>
      <c r="G56" s="14"/>
      <c r="H56" s="14"/>
      <c r="I56" s="14"/>
      <c r="J56" s="14"/>
      <c r="K56" s="14"/>
      <c r="L56" s="14"/>
      <c r="M56" s="14"/>
      <c r="N56" s="14"/>
      <c r="O56" s="40">
        <v>367.5</v>
      </c>
      <c r="P56" s="14"/>
      <c r="Q56" s="14"/>
      <c r="R56" s="14"/>
      <c r="S56" s="14"/>
      <c r="T56" s="14"/>
      <c r="U56" s="13">
        <f>SUM(D56:T56)</f>
        <v>367.5</v>
      </c>
      <c r="V56" s="25">
        <v>30006.1</v>
      </c>
      <c r="W56" s="15">
        <f t="shared" si="0"/>
        <v>110272.4175</v>
      </c>
    </row>
    <row r="57" spans="1:26" s="152" customFormat="1" ht="75" hidden="1" x14ac:dyDescent="0.2">
      <c r="A57" s="44">
        <v>3</v>
      </c>
      <c r="B57" s="94" t="s">
        <v>330</v>
      </c>
      <c r="C57" s="181">
        <v>1</v>
      </c>
      <c r="D57" s="25"/>
      <c r="E57" s="14"/>
      <c r="F57" s="14"/>
      <c r="G57" s="14"/>
      <c r="H57" s="14"/>
      <c r="I57" s="14"/>
      <c r="J57" s="14"/>
      <c r="K57" s="14"/>
      <c r="L57" s="14"/>
      <c r="M57" s="14"/>
      <c r="N57" s="14"/>
      <c r="O57" s="40">
        <v>560</v>
      </c>
      <c r="P57" s="14"/>
      <c r="Q57" s="14"/>
      <c r="R57" s="14"/>
      <c r="S57" s="14"/>
      <c r="T57" s="14"/>
      <c r="U57" s="13">
        <f>SUM(D57:T57)</f>
        <v>560</v>
      </c>
      <c r="V57" s="25">
        <v>115.4</v>
      </c>
      <c r="W57" s="15">
        <f t="shared" si="0"/>
        <v>64624</v>
      </c>
    </row>
    <row r="58" spans="1:26" s="152" customFormat="1" ht="60" hidden="1" x14ac:dyDescent="0.2">
      <c r="A58" s="44">
        <v>4</v>
      </c>
      <c r="B58" s="94" t="s">
        <v>331</v>
      </c>
      <c r="C58" s="180">
        <v>100</v>
      </c>
      <c r="D58" s="25"/>
      <c r="E58" s="14"/>
      <c r="F58" s="14"/>
      <c r="G58" s="14"/>
      <c r="H58" s="14"/>
      <c r="I58" s="14"/>
      <c r="J58" s="14"/>
      <c r="K58" s="14"/>
      <c r="L58" s="14"/>
      <c r="M58" s="14"/>
      <c r="N58" s="14"/>
      <c r="O58" s="40">
        <v>323.40000000000003</v>
      </c>
      <c r="P58" s="14"/>
      <c r="Q58" s="14"/>
      <c r="R58" s="14"/>
      <c r="S58" s="14"/>
      <c r="T58" s="14"/>
      <c r="U58" s="13">
        <f>SUM(D58:T58)</f>
        <v>323.40000000000003</v>
      </c>
      <c r="V58" s="25">
        <v>141.9</v>
      </c>
      <c r="W58" s="15">
        <f t="shared" si="0"/>
        <v>458.90460000000007</v>
      </c>
    </row>
    <row r="59" spans="1:26" ht="22.5" hidden="1" x14ac:dyDescent="0.25">
      <c r="A59" s="198">
        <v>5</v>
      </c>
      <c r="B59" s="198" t="s">
        <v>396</v>
      </c>
      <c r="C59" s="101"/>
      <c r="D59" s="403"/>
      <c r="E59" s="404"/>
      <c r="F59" s="9"/>
      <c r="G59" s="9"/>
      <c r="H59" s="9"/>
      <c r="I59" s="9"/>
      <c r="J59" s="9"/>
      <c r="K59" s="9"/>
      <c r="L59" s="9"/>
      <c r="M59" s="9"/>
      <c r="N59" s="9"/>
      <c r="O59" s="9"/>
      <c r="P59" s="9"/>
      <c r="Q59" s="9"/>
      <c r="R59" s="9"/>
      <c r="S59" s="9"/>
      <c r="T59" s="9"/>
      <c r="U59" s="16"/>
      <c r="V59" s="16"/>
      <c r="W59" s="16"/>
    </row>
    <row r="60" spans="1:26" hidden="1" x14ac:dyDescent="0.25">
      <c r="A60" s="119">
        <v>1</v>
      </c>
      <c r="B60" s="133" t="s">
        <v>333</v>
      </c>
      <c r="C60" s="62">
        <v>100</v>
      </c>
      <c r="D60" s="101"/>
      <c r="E60" s="9"/>
      <c r="F60" s="9"/>
      <c r="G60" s="9"/>
      <c r="H60" s="9"/>
      <c r="I60" s="9"/>
      <c r="J60" s="9"/>
      <c r="K60" s="9"/>
      <c r="L60" s="9"/>
      <c r="M60" s="9"/>
      <c r="N60" s="9"/>
      <c r="O60" s="25">
        <f>507.9375+511.88</f>
        <v>1019.8175</v>
      </c>
      <c r="P60" s="17"/>
      <c r="Q60" s="25">
        <v>803.25</v>
      </c>
      <c r="R60" s="14"/>
      <c r="S60" s="9"/>
      <c r="T60" s="9"/>
      <c r="U60" s="13">
        <f t="shared" ref="U60:U97" si="4">SUM(D60:T60)</f>
        <v>1823.0675000000001</v>
      </c>
      <c r="V60" s="25">
        <v>2633.4</v>
      </c>
      <c r="W60" s="15">
        <f t="shared" si="0"/>
        <v>48008.659545000002</v>
      </c>
    </row>
    <row r="61" spans="1:26" ht="45" x14ac:dyDescent="0.25">
      <c r="A61" s="119">
        <v>2</v>
      </c>
      <c r="B61" s="133" t="s">
        <v>57</v>
      </c>
      <c r="C61" s="12">
        <v>100</v>
      </c>
      <c r="D61" s="101"/>
      <c r="E61" s="9"/>
      <c r="F61" s="9"/>
      <c r="G61" s="9"/>
      <c r="H61" s="9"/>
      <c r="I61" s="9"/>
      <c r="J61" s="9"/>
      <c r="K61" s="9"/>
      <c r="L61" s="9"/>
      <c r="M61" s="9"/>
      <c r="N61" s="9"/>
      <c r="O61" s="25">
        <f>1155</f>
        <v>1155</v>
      </c>
      <c r="P61" s="17"/>
      <c r="Q61" s="25"/>
      <c r="R61" s="9"/>
      <c r="S61" s="9"/>
      <c r="T61" s="9"/>
      <c r="U61" s="13">
        <f>1155+3480</f>
        <v>4635</v>
      </c>
      <c r="V61" s="25">
        <v>4017.8</v>
      </c>
      <c r="W61" s="15">
        <f t="shared" si="0"/>
        <v>186225.03</v>
      </c>
    </row>
    <row r="62" spans="1:26" ht="45" hidden="1" x14ac:dyDescent="0.25">
      <c r="A62" s="119">
        <v>3</v>
      </c>
      <c r="B62" s="133" t="s">
        <v>336</v>
      </c>
      <c r="C62" s="12">
        <v>100</v>
      </c>
      <c r="D62" s="101">
        <v>307</v>
      </c>
      <c r="E62" s="9"/>
      <c r="F62" s="9"/>
      <c r="G62" s="9">
        <v>384</v>
      </c>
      <c r="H62" s="9">
        <v>11823.77</v>
      </c>
      <c r="I62" s="9"/>
      <c r="J62" s="9"/>
      <c r="K62" s="9"/>
      <c r="L62" s="9"/>
      <c r="M62" s="9"/>
      <c r="N62" s="9"/>
      <c r="O62" s="25">
        <f>422.5+403</f>
        <v>825.5</v>
      </c>
      <c r="P62" s="17"/>
      <c r="Q62" s="25"/>
      <c r="R62" s="9"/>
      <c r="S62" s="9"/>
      <c r="T62" s="9"/>
      <c r="U62" s="13">
        <f t="shared" si="4"/>
        <v>13340.27</v>
      </c>
      <c r="V62" s="25">
        <v>27086.400000000001</v>
      </c>
      <c r="W62" s="15">
        <f t="shared" si="0"/>
        <v>3613398.89328</v>
      </c>
    </row>
    <row r="63" spans="1:26" ht="84.6" customHeight="1" x14ac:dyDescent="0.25">
      <c r="A63" s="119">
        <v>4</v>
      </c>
      <c r="B63" s="94" t="s">
        <v>74</v>
      </c>
      <c r="C63" s="12">
        <v>1000</v>
      </c>
      <c r="D63" s="101"/>
      <c r="E63" s="9"/>
      <c r="F63" s="9"/>
      <c r="G63" s="9"/>
      <c r="H63" s="9"/>
      <c r="I63" s="9"/>
      <c r="J63" s="9"/>
      <c r="K63" s="9"/>
      <c r="L63" s="9"/>
      <c r="M63" s="9"/>
      <c r="N63" s="9"/>
      <c r="O63" s="14">
        <f>32500+3274.04</f>
        <v>35774.04</v>
      </c>
      <c r="P63" s="17"/>
      <c r="Q63" s="14">
        <v>8700</v>
      </c>
      <c r="R63" s="14"/>
      <c r="S63" s="9"/>
      <c r="T63" s="9"/>
      <c r="U63" s="13">
        <v>480799.43999999994</v>
      </c>
      <c r="V63" s="14">
        <v>4640.7</v>
      </c>
      <c r="W63" s="15">
        <f t="shared" si="0"/>
        <v>2231245.9612079998</v>
      </c>
      <c r="X63" s="1">
        <v>436325.39999999997</v>
      </c>
      <c r="Y63" s="1">
        <v>44474.04</v>
      </c>
      <c r="Z63" s="1">
        <f>SUBTOTAL(9,X63:Y63)</f>
        <v>480799.43999999994</v>
      </c>
    </row>
    <row r="64" spans="1:26" ht="75" x14ac:dyDescent="0.25">
      <c r="A64" s="118">
        <v>5</v>
      </c>
      <c r="B64" s="94" t="s">
        <v>39</v>
      </c>
      <c r="C64" s="12">
        <v>1000</v>
      </c>
      <c r="D64" s="25">
        <v>6406.1200000000063</v>
      </c>
      <c r="E64" s="14"/>
      <c r="F64" s="14"/>
      <c r="G64" s="14"/>
      <c r="H64" s="14">
        <f>1489.6+1776</f>
        <v>3265.6</v>
      </c>
      <c r="I64" s="14"/>
      <c r="J64" s="14">
        <v>91276.01999999996</v>
      </c>
      <c r="K64" s="14">
        <v>36435.200000000041</v>
      </c>
      <c r="L64" s="14">
        <v>29517.97999999997</v>
      </c>
      <c r="M64" s="14">
        <v>21204.327294117251</v>
      </c>
      <c r="N64" s="14">
        <v>11161.160000000029</v>
      </c>
      <c r="O64" s="14">
        <f>2658.1+3274.04</f>
        <v>5932.1399999999994</v>
      </c>
      <c r="P64" s="14">
        <f>19789.77+23091.93</f>
        <v>42881.7</v>
      </c>
      <c r="Q64" s="14">
        <v>6543.0099999999993</v>
      </c>
      <c r="R64" s="14"/>
      <c r="S64" s="14"/>
      <c r="T64" s="13"/>
      <c r="U64" s="13">
        <f t="shared" si="4"/>
        <v>254623.2572941173</v>
      </c>
      <c r="V64" s="14">
        <v>12735.6</v>
      </c>
      <c r="W64" s="15">
        <f t="shared" si="0"/>
        <v>3242779.9555949601</v>
      </c>
    </row>
    <row r="65" spans="1:23" ht="45" x14ac:dyDescent="0.25">
      <c r="A65" s="44">
        <v>6</v>
      </c>
      <c r="B65" s="94" t="s">
        <v>20</v>
      </c>
      <c r="C65" s="12"/>
      <c r="D65" s="25"/>
      <c r="E65" s="14"/>
      <c r="F65" s="14"/>
      <c r="G65" s="14"/>
      <c r="H65" s="14"/>
      <c r="I65" s="14"/>
      <c r="J65" s="14"/>
      <c r="K65" s="14"/>
      <c r="L65" s="14"/>
      <c r="M65" s="14"/>
      <c r="N65" s="14"/>
      <c r="O65" s="14"/>
      <c r="P65" s="67"/>
      <c r="Q65" s="14"/>
      <c r="R65" s="14"/>
      <c r="S65" s="14"/>
      <c r="T65" s="14"/>
      <c r="U65" s="13">
        <f t="shared" si="4"/>
        <v>0</v>
      </c>
      <c r="V65" s="16"/>
      <c r="W65" s="16"/>
    </row>
    <row r="66" spans="1:23" x14ac:dyDescent="0.25">
      <c r="A66" s="44"/>
      <c r="B66" s="94" t="s">
        <v>21</v>
      </c>
      <c r="C66" s="12">
        <v>100</v>
      </c>
      <c r="D66" s="25">
        <v>361</v>
      </c>
      <c r="E66" s="14"/>
      <c r="F66" s="14"/>
      <c r="G66" s="14"/>
      <c r="H66" s="14">
        <f>132+73.5</f>
        <v>205.5</v>
      </c>
      <c r="I66" s="14"/>
      <c r="J66" s="14">
        <v>1441.5</v>
      </c>
      <c r="K66" s="14">
        <v>510</v>
      </c>
      <c r="L66" s="14">
        <v>768</v>
      </c>
      <c r="M66" s="14">
        <v>564.5</v>
      </c>
      <c r="N66" s="14">
        <v>252</v>
      </c>
      <c r="O66" s="14">
        <f>531.56+158</f>
        <v>689.56</v>
      </c>
      <c r="P66" s="14">
        <f>358.89+358.89</f>
        <v>717.78</v>
      </c>
      <c r="Q66" s="14">
        <v>435.94000000000005</v>
      </c>
      <c r="R66" s="14"/>
      <c r="S66" s="14"/>
      <c r="T66" s="13"/>
      <c r="U66" s="13">
        <f t="shared" si="4"/>
        <v>5945.7799999999988</v>
      </c>
      <c r="V66" s="14">
        <v>34694.300000000003</v>
      </c>
      <c r="W66" s="15">
        <f t="shared" si="0"/>
        <v>2062846.7505399999</v>
      </c>
    </row>
    <row r="67" spans="1:23" x14ac:dyDescent="0.25">
      <c r="A67" s="44"/>
      <c r="B67" s="94" t="s">
        <v>107</v>
      </c>
      <c r="C67" s="12">
        <v>100</v>
      </c>
      <c r="D67" s="25">
        <v>157.9</v>
      </c>
      <c r="E67" s="14">
        <v>136.80000000000001</v>
      </c>
      <c r="F67" s="14"/>
      <c r="G67" s="14">
        <v>966.72</v>
      </c>
      <c r="H67" s="14">
        <v>2414.0700000000002</v>
      </c>
      <c r="I67" s="14">
        <v>976.25</v>
      </c>
      <c r="J67" s="14"/>
      <c r="K67" s="14"/>
      <c r="L67" s="14"/>
      <c r="M67" s="14"/>
      <c r="N67" s="14"/>
      <c r="O67" s="14"/>
      <c r="P67" s="14">
        <f>100.31+100.31</f>
        <v>200.62</v>
      </c>
      <c r="Q67" s="14"/>
      <c r="R67" s="14"/>
      <c r="S67" s="14"/>
      <c r="T67" s="13"/>
      <c r="U67" s="13">
        <f t="shared" si="4"/>
        <v>4852.3599999999997</v>
      </c>
      <c r="V67" s="14">
        <v>47135.9</v>
      </c>
      <c r="W67" s="15">
        <f t="shared" si="0"/>
        <v>2287203.55724</v>
      </c>
    </row>
    <row r="68" spans="1:23" ht="90" hidden="1" x14ac:dyDescent="0.25">
      <c r="A68" s="44">
        <v>7</v>
      </c>
      <c r="B68" s="94" t="s">
        <v>40</v>
      </c>
      <c r="C68" s="29">
        <v>100</v>
      </c>
      <c r="D68" s="25">
        <f>12000.72+1992.52</f>
        <v>13993.24</v>
      </c>
      <c r="E68" s="14"/>
      <c r="F68" s="14"/>
      <c r="G68" s="14">
        <v>2080</v>
      </c>
      <c r="H68" s="14">
        <f>4803+61090.96</f>
        <v>65893.959999999992</v>
      </c>
      <c r="I68" s="14"/>
      <c r="J68" s="14">
        <v>71071.979999999967</v>
      </c>
      <c r="K68" s="14">
        <v>26990.400000000012</v>
      </c>
      <c r="L68" s="14">
        <v>29348.939999999984</v>
      </c>
      <c r="M68" s="14">
        <v>22179.123529411605</v>
      </c>
      <c r="N68" s="14">
        <v>10673.280000000015</v>
      </c>
      <c r="O68" s="14">
        <f>27968.8197405425+5932.68</f>
        <v>33901.499740542502</v>
      </c>
      <c r="P68" s="14">
        <f>12287.5941213826+15546.38</f>
        <v>27833.974121382598</v>
      </c>
      <c r="Q68" s="14">
        <v>20607.389095527535</v>
      </c>
      <c r="R68" s="14"/>
      <c r="S68" s="14"/>
      <c r="T68" s="13"/>
      <c r="U68" s="13">
        <f t="shared" si="4"/>
        <v>324573.78648686421</v>
      </c>
      <c r="V68" s="30">
        <v>30376.9</v>
      </c>
      <c r="W68" s="15">
        <f t="shared" si="0"/>
        <v>98595454.547328264</v>
      </c>
    </row>
    <row r="69" spans="1:23" ht="120.75" hidden="1" x14ac:dyDescent="0.25">
      <c r="A69" s="44">
        <v>8</v>
      </c>
      <c r="B69" s="94" t="s">
        <v>41</v>
      </c>
      <c r="C69" s="12"/>
      <c r="D69" s="25"/>
      <c r="E69" s="14"/>
      <c r="F69" s="14"/>
      <c r="G69" s="14"/>
      <c r="H69" s="14"/>
      <c r="I69" s="14"/>
      <c r="J69" s="14"/>
      <c r="K69" s="14"/>
      <c r="L69" s="14"/>
      <c r="M69" s="14"/>
      <c r="N69" s="14"/>
      <c r="O69" s="14"/>
      <c r="P69" s="14"/>
      <c r="Q69" s="14"/>
      <c r="R69" s="14"/>
      <c r="S69" s="14"/>
      <c r="T69" s="35"/>
      <c r="U69" s="13">
        <f t="shared" si="4"/>
        <v>0</v>
      </c>
      <c r="V69" s="16"/>
      <c r="W69" s="16"/>
    </row>
    <row r="70" spans="1:23" ht="75" x14ac:dyDescent="0.25">
      <c r="A70" s="44" t="s">
        <v>42</v>
      </c>
      <c r="B70" s="94" t="s">
        <v>43</v>
      </c>
      <c r="C70" s="12">
        <v>1</v>
      </c>
      <c r="D70" s="25">
        <f>2556.24000000001+499.88</f>
        <v>3056.1200000000099</v>
      </c>
      <c r="E70" s="14"/>
      <c r="F70" s="14"/>
      <c r="G70" s="14">
        <v>520</v>
      </c>
      <c r="H70" s="14">
        <f>1073+13743.27</f>
        <v>14816.27</v>
      </c>
      <c r="I70" s="14"/>
      <c r="J70" s="14">
        <v>17924.659999999996</v>
      </c>
      <c r="K70" s="14">
        <v>6956.8000000000038</v>
      </c>
      <c r="L70" s="14">
        <v>6710.9799999999941</v>
      </c>
      <c r="M70" s="14">
        <v>5135.041176470535</v>
      </c>
      <c r="N70" s="14">
        <v>2549.7600000000048</v>
      </c>
      <c r="O70" s="14">
        <f>6010.66+1345.56</f>
        <v>7356.2199999999993</v>
      </c>
      <c r="P70" s="14">
        <f>2130.79+3157.12</f>
        <v>5287.91</v>
      </c>
      <c r="Q70" s="14">
        <v>4517.97</v>
      </c>
      <c r="R70" s="14"/>
      <c r="S70" s="14"/>
      <c r="T70" s="13"/>
      <c r="U70" s="13">
        <f t="shared" si="4"/>
        <v>74831.731176470537</v>
      </c>
      <c r="V70" s="14">
        <v>817.55</v>
      </c>
      <c r="W70" s="15">
        <f t="shared" ref="W70:W118" si="5">V70*U70/C70</f>
        <v>61178681.823323481</v>
      </c>
    </row>
    <row r="71" spans="1:23" ht="75" x14ac:dyDescent="0.25">
      <c r="A71" s="44" t="s">
        <v>44</v>
      </c>
      <c r="B71" s="94" t="s">
        <v>45</v>
      </c>
      <c r="C71" s="12">
        <v>1</v>
      </c>
      <c r="D71" s="25">
        <v>1444</v>
      </c>
      <c r="E71" s="14"/>
      <c r="F71" s="14"/>
      <c r="G71" s="14" t="s">
        <v>420</v>
      </c>
      <c r="H71" s="14">
        <f>528+192</f>
        <v>720</v>
      </c>
      <c r="I71" s="14"/>
      <c r="J71" s="14">
        <v>5766</v>
      </c>
      <c r="K71" s="14">
        <v>2040</v>
      </c>
      <c r="L71" s="14">
        <v>3072</v>
      </c>
      <c r="M71" s="14">
        <v>2258</v>
      </c>
      <c r="N71" s="14">
        <v>1008</v>
      </c>
      <c r="O71" s="14">
        <f>2797.92+632</f>
        <v>3429.92</v>
      </c>
      <c r="P71" s="14">
        <f>1739.1+1739.1</f>
        <v>3478.2</v>
      </c>
      <c r="Q71" s="14">
        <v>1972.18</v>
      </c>
      <c r="R71" s="14"/>
      <c r="S71" s="14"/>
      <c r="T71" s="13"/>
      <c r="U71" s="13">
        <f t="shared" si="4"/>
        <v>25188.3</v>
      </c>
      <c r="V71" s="14">
        <v>670.5</v>
      </c>
      <c r="W71" s="15">
        <f t="shared" si="5"/>
        <v>16888755.149999999</v>
      </c>
    </row>
    <row r="72" spans="1:23" ht="45" x14ac:dyDescent="0.25">
      <c r="A72" s="44">
        <v>9</v>
      </c>
      <c r="B72" s="134" t="s">
        <v>71</v>
      </c>
      <c r="C72" s="31">
        <v>1</v>
      </c>
      <c r="D72" s="25"/>
      <c r="E72" s="14"/>
      <c r="F72" s="14"/>
      <c r="G72" s="14"/>
      <c r="H72" s="14"/>
      <c r="I72" s="14"/>
      <c r="J72" s="14"/>
      <c r="K72" s="14"/>
      <c r="L72" s="14"/>
      <c r="M72" s="14"/>
      <c r="N72" s="14"/>
      <c r="O72" s="14">
        <v>51.34</v>
      </c>
      <c r="P72" s="67"/>
      <c r="Q72" s="14"/>
      <c r="R72" s="14"/>
      <c r="S72" s="14"/>
      <c r="T72" s="14"/>
      <c r="U72" s="13">
        <f t="shared" si="4"/>
        <v>51.34</v>
      </c>
      <c r="V72" s="14">
        <v>809.4</v>
      </c>
      <c r="W72" s="15">
        <f t="shared" si="5"/>
        <v>41554.596000000005</v>
      </c>
    </row>
    <row r="73" spans="1:23" ht="30" x14ac:dyDescent="0.25">
      <c r="A73" s="44">
        <v>10</v>
      </c>
      <c r="B73" s="94" t="s">
        <v>46</v>
      </c>
      <c r="C73" s="19">
        <v>100</v>
      </c>
      <c r="D73" s="25">
        <v>2739.760000000007</v>
      </c>
      <c r="E73" s="14"/>
      <c r="F73" s="14"/>
      <c r="G73" s="14"/>
      <c r="H73" s="14">
        <f>944</f>
        <v>944</v>
      </c>
      <c r="I73" s="14"/>
      <c r="J73" s="14">
        <v>16855.639999999992</v>
      </c>
      <c r="K73" s="14">
        <v>7707.6000000000076</v>
      </c>
      <c r="L73" s="14">
        <v>6537.2799999999952</v>
      </c>
      <c r="M73" s="14">
        <v>4909.2811764705175</v>
      </c>
      <c r="N73" s="14">
        <v>2884.8000000000065</v>
      </c>
      <c r="O73" s="14">
        <f>2047.1232+1117.92</f>
        <v>3165.0432000000001</v>
      </c>
      <c r="P73" s="14">
        <f>978.1224+1471.48</f>
        <v>2449.6023999999998</v>
      </c>
      <c r="Q73" s="14">
        <v>2183.8119999999999</v>
      </c>
      <c r="R73" s="14"/>
      <c r="S73" s="14"/>
      <c r="T73" s="14"/>
      <c r="U73" s="13">
        <f t="shared" si="4"/>
        <v>50376.818776470529</v>
      </c>
      <c r="V73" s="25">
        <v>1645.1</v>
      </c>
      <c r="W73" s="15">
        <f t="shared" si="5"/>
        <v>828749.04569171672</v>
      </c>
    </row>
    <row r="74" spans="1:23" ht="45" x14ac:dyDescent="0.25">
      <c r="A74" s="44">
        <v>11</v>
      </c>
      <c r="B74" s="94" t="s">
        <v>111</v>
      </c>
      <c r="C74" s="31">
        <v>1</v>
      </c>
      <c r="D74" s="25"/>
      <c r="E74" s="14"/>
      <c r="F74" s="14"/>
      <c r="G74" s="14"/>
      <c r="H74" s="14"/>
      <c r="I74" s="14"/>
      <c r="J74" s="14"/>
      <c r="K74" s="14"/>
      <c r="L74" s="14"/>
      <c r="M74" s="14"/>
      <c r="N74" s="14"/>
      <c r="O74" s="14">
        <v>6</v>
      </c>
      <c r="P74" s="14">
        <f>6+6</f>
        <v>12</v>
      </c>
      <c r="Q74" s="14">
        <v>6</v>
      </c>
      <c r="R74" s="14"/>
      <c r="S74" s="14"/>
      <c r="T74" s="17"/>
      <c r="U74" s="13">
        <f t="shared" si="4"/>
        <v>24</v>
      </c>
      <c r="V74" s="25">
        <v>514.9</v>
      </c>
      <c r="W74" s="15">
        <f t="shared" si="5"/>
        <v>12357.599999999999</v>
      </c>
    </row>
    <row r="75" spans="1:23" s="154" customFormat="1" hidden="1" x14ac:dyDescent="0.25">
      <c r="A75" s="121">
        <v>12</v>
      </c>
      <c r="B75" s="93" t="s">
        <v>87</v>
      </c>
      <c r="C75" s="36">
        <v>1</v>
      </c>
      <c r="D75" s="33">
        <v>12</v>
      </c>
      <c r="E75" s="33"/>
      <c r="F75" s="33"/>
      <c r="G75" s="33">
        <v>6</v>
      </c>
      <c r="H75" s="33">
        <v>30</v>
      </c>
      <c r="I75" s="33"/>
      <c r="J75" s="33"/>
      <c r="K75" s="33"/>
      <c r="L75" s="33"/>
      <c r="M75" s="33"/>
      <c r="N75" s="33"/>
      <c r="O75" s="33"/>
      <c r="P75" s="33"/>
      <c r="Q75" s="33"/>
      <c r="R75" s="33"/>
      <c r="S75" s="33"/>
      <c r="T75" s="13"/>
      <c r="U75" s="13">
        <f t="shared" si="4"/>
        <v>48</v>
      </c>
      <c r="V75" s="33">
        <v>378.75</v>
      </c>
      <c r="W75" s="15">
        <f>V75*U75/C75</f>
        <v>18180</v>
      </c>
    </row>
    <row r="76" spans="1:23" ht="45" hidden="1" x14ac:dyDescent="0.25">
      <c r="A76" s="44">
        <v>13</v>
      </c>
      <c r="B76" s="94" t="s">
        <v>47</v>
      </c>
      <c r="C76" s="31">
        <v>1</v>
      </c>
      <c r="D76" s="25">
        <v>13.5</v>
      </c>
      <c r="E76" s="14"/>
      <c r="F76" s="14"/>
      <c r="G76" s="14"/>
      <c r="H76" s="14">
        <v>6</v>
      </c>
      <c r="I76" s="14"/>
      <c r="J76" s="14">
        <v>60</v>
      </c>
      <c r="K76" s="14">
        <v>22.5</v>
      </c>
      <c r="L76" s="14">
        <v>31.5</v>
      </c>
      <c r="M76" s="14">
        <v>22.5</v>
      </c>
      <c r="N76" s="14">
        <v>13.5</v>
      </c>
      <c r="O76" s="14"/>
      <c r="P76" s="67"/>
      <c r="Q76" s="14"/>
      <c r="R76" s="14"/>
      <c r="S76" s="14"/>
      <c r="T76" s="14"/>
      <c r="U76" s="13">
        <f t="shared" si="4"/>
        <v>169.5</v>
      </c>
      <c r="V76" s="25">
        <v>303.8</v>
      </c>
      <c r="W76" s="15">
        <f t="shared" si="5"/>
        <v>51494.1</v>
      </c>
    </row>
    <row r="77" spans="1:23" ht="105" hidden="1" x14ac:dyDescent="0.25">
      <c r="A77" s="44">
        <v>14</v>
      </c>
      <c r="B77" s="94" t="s">
        <v>164</v>
      </c>
      <c r="C77" s="36">
        <v>1</v>
      </c>
      <c r="D77" s="25">
        <v>96</v>
      </c>
      <c r="E77" s="14"/>
      <c r="F77" s="14"/>
      <c r="G77" s="14">
        <v>48</v>
      </c>
      <c r="H77" s="14">
        <f>48+320</f>
        <v>368</v>
      </c>
      <c r="I77" s="14"/>
      <c r="J77" s="14"/>
      <c r="K77" s="67"/>
      <c r="L77" s="67"/>
      <c r="M77" s="14"/>
      <c r="N77" s="14"/>
      <c r="O77" s="14">
        <v>112</v>
      </c>
      <c r="P77" s="67"/>
      <c r="Q77" s="14"/>
      <c r="R77" s="14"/>
      <c r="S77" s="14"/>
      <c r="T77" s="14"/>
      <c r="U77" s="13">
        <f t="shared" si="4"/>
        <v>624</v>
      </c>
      <c r="V77" s="13">
        <v>2150.35</v>
      </c>
      <c r="W77" s="15">
        <f t="shared" si="5"/>
        <v>1341818.3999999999</v>
      </c>
    </row>
    <row r="78" spans="1:23" s="154" customFormat="1" ht="105" hidden="1" x14ac:dyDescent="0.25">
      <c r="A78" s="44">
        <v>15</v>
      </c>
      <c r="B78" s="133" t="s">
        <v>422</v>
      </c>
      <c r="C78" s="12">
        <v>100</v>
      </c>
      <c r="D78" s="25">
        <v>480</v>
      </c>
      <c r="E78" s="14"/>
      <c r="F78" s="14"/>
      <c r="G78" s="14"/>
      <c r="H78" s="14"/>
      <c r="I78" s="14"/>
      <c r="J78" s="14">
        <v>480</v>
      </c>
      <c r="K78" s="14">
        <v>180</v>
      </c>
      <c r="L78" s="14">
        <v>300</v>
      </c>
      <c r="M78" s="14">
        <v>350</v>
      </c>
      <c r="N78" s="14"/>
      <c r="O78" s="14">
        <v>825</v>
      </c>
      <c r="P78" s="16"/>
      <c r="Q78" s="14"/>
      <c r="R78" s="14"/>
      <c r="S78" s="14"/>
      <c r="T78" s="14"/>
      <c r="U78" s="13">
        <f t="shared" si="4"/>
        <v>2615</v>
      </c>
      <c r="V78" s="14">
        <v>10003.5</v>
      </c>
      <c r="W78" s="15">
        <f t="shared" si="5"/>
        <v>261591.52499999999</v>
      </c>
    </row>
    <row r="79" spans="1:23" s="154" customFormat="1" ht="105" hidden="1" x14ac:dyDescent="0.25">
      <c r="A79" s="44">
        <v>16</v>
      </c>
      <c r="B79" s="133" t="s">
        <v>423</v>
      </c>
      <c r="C79" s="12">
        <v>100</v>
      </c>
      <c r="D79" s="25">
        <v>480</v>
      </c>
      <c r="E79" s="14"/>
      <c r="F79" s="14"/>
      <c r="G79" s="14"/>
      <c r="H79" s="14"/>
      <c r="I79" s="14"/>
      <c r="J79" s="14">
        <v>480</v>
      </c>
      <c r="K79" s="14">
        <v>180</v>
      </c>
      <c r="L79" s="14">
        <v>300</v>
      </c>
      <c r="M79" s="14">
        <v>350</v>
      </c>
      <c r="N79" s="14"/>
      <c r="O79" s="14">
        <v>825</v>
      </c>
      <c r="P79" s="16"/>
      <c r="Q79" s="14"/>
      <c r="R79" s="14"/>
      <c r="S79" s="14"/>
      <c r="T79" s="14"/>
      <c r="U79" s="13">
        <f t="shared" si="4"/>
        <v>2615</v>
      </c>
      <c r="V79" s="14">
        <v>13527.4</v>
      </c>
      <c r="W79" s="15">
        <f t="shared" si="5"/>
        <v>353741.51</v>
      </c>
    </row>
    <row r="80" spans="1:23" s="154" customFormat="1" ht="30" hidden="1" x14ac:dyDescent="0.25">
      <c r="A80" s="44">
        <v>17</v>
      </c>
      <c r="B80" s="133" t="s">
        <v>50</v>
      </c>
      <c r="C80" s="31">
        <v>1</v>
      </c>
      <c r="D80" s="25">
        <v>120</v>
      </c>
      <c r="E80" s="14"/>
      <c r="F80" s="14"/>
      <c r="G80" s="14"/>
      <c r="H80" s="14"/>
      <c r="I80" s="14"/>
      <c r="J80" s="14">
        <v>160</v>
      </c>
      <c r="K80" s="14">
        <v>60</v>
      </c>
      <c r="L80" s="14">
        <v>60</v>
      </c>
      <c r="M80" s="14">
        <v>100</v>
      </c>
      <c r="N80" s="14"/>
      <c r="O80" s="14">
        <v>200</v>
      </c>
      <c r="P80" s="16"/>
      <c r="Q80" s="14"/>
      <c r="R80" s="14"/>
      <c r="S80" s="14"/>
      <c r="T80" s="14"/>
      <c r="U80" s="13">
        <f t="shared" si="4"/>
        <v>700</v>
      </c>
      <c r="V80" s="14">
        <v>64.2</v>
      </c>
      <c r="W80" s="15">
        <f t="shared" si="5"/>
        <v>44940</v>
      </c>
    </row>
    <row r="81" spans="1:24" s="154" customFormat="1" ht="105" hidden="1" x14ac:dyDescent="0.25">
      <c r="A81" s="44">
        <v>18</v>
      </c>
      <c r="B81" s="133" t="s">
        <v>392</v>
      </c>
      <c r="C81" s="19"/>
      <c r="D81" s="14"/>
      <c r="E81" s="14"/>
      <c r="F81" s="14"/>
      <c r="G81" s="14"/>
      <c r="H81" s="14"/>
      <c r="I81" s="14"/>
      <c r="J81" s="14"/>
      <c r="K81" s="16"/>
      <c r="L81" s="16"/>
      <c r="M81" s="14"/>
      <c r="N81" s="14"/>
      <c r="O81" s="14"/>
      <c r="P81" s="14"/>
      <c r="Q81" s="14"/>
      <c r="R81" s="14"/>
      <c r="S81" s="14"/>
      <c r="T81" s="14"/>
      <c r="U81" s="13">
        <f t="shared" si="4"/>
        <v>0</v>
      </c>
      <c r="V81" s="14"/>
      <c r="W81" s="14"/>
    </row>
    <row r="82" spans="1:24" s="154" customFormat="1" ht="45" hidden="1" x14ac:dyDescent="0.25">
      <c r="A82" s="44" t="s">
        <v>51</v>
      </c>
      <c r="B82" s="133" t="s">
        <v>52</v>
      </c>
      <c r="C82" s="19">
        <v>100</v>
      </c>
      <c r="D82" s="25">
        <v>960</v>
      </c>
      <c r="E82" s="25"/>
      <c r="F82" s="25"/>
      <c r="G82" s="25"/>
      <c r="H82" s="25"/>
      <c r="I82" s="25"/>
      <c r="J82" s="25">
        <v>960</v>
      </c>
      <c r="K82" s="25">
        <v>360</v>
      </c>
      <c r="L82" s="25">
        <v>600</v>
      </c>
      <c r="M82" s="25">
        <v>700</v>
      </c>
      <c r="N82" s="25"/>
      <c r="O82" s="25">
        <v>1650</v>
      </c>
      <c r="P82" s="16"/>
      <c r="Q82" s="25"/>
      <c r="R82" s="25"/>
      <c r="S82" s="25"/>
      <c r="T82" s="25"/>
      <c r="U82" s="13">
        <f t="shared" si="4"/>
        <v>5230</v>
      </c>
      <c r="V82" s="25">
        <v>4549.95</v>
      </c>
      <c r="W82" s="15">
        <f t="shared" si="5"/>
        <v>237962.38500000001</v>
      </c>
    </row>
    <row r="83" spans="1:24" s="154" customFormat="1" ht="45" hidden="1" x14ac:dyDescent="0.25">
      <c r="A83" s="44" t="s">
        <v>53</v>
      </c>
      <c r="B83" s="133" t="s">
        <v>54</v>
      </c>
      <c r="C83" s="19">
        <v>100</v>
      </c>
      <c r="D83" s="25">
        <v>960</v>
      </c>
      <c r="E83" s="25"/>
      <c r="F83" s="25"/>
      <c r="G83" s="25"/>
      <c r="H83" s="25"/>
      <c r="I83" s="25"/>
      <c r="J83" s="25">
        <v>960</v>
      </c>
      <c r="K83" s="25">
        <v>360</v>
      </c>
      <c r="L83" s="25">
        <v>600</v>
      </c>
      <c r="M83" s="25">
        <v>700</v>
      </c>
      <c r="N83" s="25"/>
      <c r="O83" s="25">
        <v>1650</v>
      </c>
      <c r="P83" s="16"/>
      <c r="Q83" s="25"/>
      <c r="R83" s="25"/>
      <c r="S83" s="25"/>
      <c r="T83" s="25"/>
      <c r="U83" s="13">
        <f t="shared" si="4"/>
        <v>5230</v>
      </c>
      <c r="V83" s="25">
        <v>2639.45</v>
      </c>
      <c r="W83" s="15">
        <f t="shared" si="5"/>
        <v>138043.23499999999</v>
      </c>
    </row>
    <row r="84" spans="1:24" s="154" customFormat="1" ht="45" hidden="1" x14ac:dyDescent="0.25">
      <c r="A84" s="44" t="s">
        <v>55</v>
      </c>
      <c r="B84" s="133" t="s">
        <v>56</v>
      </c>
      <c r="C84" s="19">
        <v>100</v>
      </c>
      <c r="D84" s="25">
        <v>960</v>
      </c>
      <c r="E84" s="25"/>
      <c r="F84" s="25"/>
      <c r="G84" s="25"/>
      <c r="H84" s="25"/>
      <c r="I84" s="25"/>
      <c r="J84" s="25">
        <v>960</v>
      </c>
      <c r="K84" s="25">
        <v>360</v>
      </c>
      <c r="L84" s="25">
        <v>600</v>
      </c>
      <c r="M84" s="25">
        <v>700</v>
      </c>
      <c r="N84" s="25"/>
      <c r="O84" s="25">
        <v>1650</v>
      </c>
      <c r="P84" s="16"/>
      <c r="Q84" s="25"/>
      <c r="R84" s="25"/>
      <c r="S84" s="25"/>
      <c r="T84" s="25"/>
      <c r="U84" s="13">
        <f t="shared" si="4"/>
        <v>5230</v>
      </c>
      <c r="V84" s="25">
        <v>1960.75</v>
      </c>
      <c r="W84" s="15">
        <f t="shared" si="5"/>
        <v>102547.22500000001</v>
      </c>
    </row>
    <row r="85" spans="1:24" s="154" customFormat="1" ht="30" hidden="1" x14ac:dyDescent="0.25">
      <c r="A85" s="120">
        <v>20</v>
      </c>
      <c r="B85" s="96" t="s">
        <v>419</v>
      </c>
      <c r="C85" s="12">
        <v>1000</v>
      </c>
      <c r="D85" s="25">
        <f>6480+3710</f>
        <v>10190</v>
      </c>
      <c r="E85" s="14"/>
      <c r="F85" s="14"/>
      <c r="G85" s="14">
        <v>8490</v>
      </c>
      <c r="H85" s="14">
        <f>5400+30345</f>
        <v>35745</v>
      </c>
      <c r="I85" s="14"/>
      <c r="J85" s="14">
        <v>9600</v>
      </c>
      <c r="K85" s="14">
        <v>3200</v>
      </c>
      <c r="L85" s="14">
        <v>4000</v>
      </c>
      <c r="M85" s="14">
        <v>6400</v>
      </c>
      <c r="N85" s="14"/>
      <c r="O85" s="14">
        <f>40500+5040</f>
        <v>45540</v>
      </c>
      <c r="P85" s="16"/>
      <c r="Q85" s="14"/>
      <c r="R85" s="14"/>
      <c r="S85" s="14"/>
      <c r="T85" s="14"/>
      <c r="U85" s="13">
        <f t="shared" si="4"/>
        <v>123165</v>
      </c>
      <c r="V85" s="25">
        <v>10533.6</v>
      </c>
      <c r="W85" s="15">
        <f t="shared" si="5"/>
        <v>1297370.844</v>
      </c>
    </row>
    <row r="86" spans="1:24" s="154" customFormat="1" x14ac:dyDescent="0.25">
      <c r="A86" s="44">
        <v>21</v>
      </c>
      <c r="B86" s="94" t="s">
        <v>59</v>
      </c>
      <c r="C86" s="12">
        <v>1000</v>
      </c>
      <c r="D86" s="25">
        <v>6480</v>
      </c>
      <c r="E86" s="14"/>
      <c r="F86" s="14"/>
      <c r="G86" s="14"/>
      <c r="H86" s="14">
        <v>5400</v>
      </c>
      <c r="I86" s="14"/>
      <c r="J86" s="14">
        <v>54239.999999999964</v>
      </c>
      <c r="K86" s="14">
        <v>20960</v>
      </c>
      <c r="L86" s="14">
        <v>30879.999999999891</v>
      </c>
      <c r="M86" s="14">
        <v>24812.800000000025</v>
      </c>
      <c r="N86" s="14">
        <v>11520</v>
      </c>
      <c r="O86" s="14">
        <f>40500+5040</f>
        <v>45540</v>
      </c>
      <c r="P86" s="16"/>
      <c r="Q86" s="14"/>
      <c r="R86" s="14"/>
      <c r="S86" s="14"/>
      <c r="T86" s="14"/>
      <c r="U86" s="13">
        <f t="shared" si="4"/>
        <v>199832.79999999987</v>
      </c>
      <c r="V86" s="13">
        <v>5266.8</v>
      </c>
      <c r="W86" s="15">
        <f t="shared" si="5"/>
        <v>1052479.3910399994</v>
      </c>
    </row>
    <row r="87" spans="1:24" s="154" customFormat="1" ht="75.75" hidden="1" x14ac:dyDescent="0.25">
      <c r="A87" s="44">
        <v>22</v>
      </c>
      <c r="B87" s="94" t="s">
        <v>36</v>
      </c>
      <c r="C87" s="12"/>
      <c r="D87" s="25"/>
      <c r="E87" s="14"/>
      <c r="F87" s="14"/>
      <c r="G87" s="14"/>
      <c r="H87" s="14"/>
      <c r="I87" s="14"/>
      <c r="J87" s="14"/>
      <c r="K87" s="14"/>
      <c r="L87" s="14"/>
      <c r="M87" s="14"/>
      <c r="N87" s="14"/>
      <c r="O87" s="14"/>
      <c r="P87" s="16"/>
      <c r="Q87" s="14"/>
      <c r="R87" s="14"/>
      <c r="S87" s="14"/>
      <c r="T87" s="14"/>
      <c r="U87" s="13">
        <f t="shared" si="4"/>
        <v>0</v>
      </c>
      <c r="V87" s="14"/>
      <c r="W87" s="14"/>
      <c r="X87" s="150"/>
    </row>
    <row r="88" spans="1:24" s="154" customFormat="1" x14ac:dyDescent="0.25">
      <c r="A88" s="44" t="s">
        <v>60</v>
      </c>
      <c r="B88" s="94" t="s">
        <v>61</v>
      </c>
      <c r="C88" s="12">
        <v>100</v>
      </c>
      <c r="D88" s="25">
        <v>346.56</v>
      </c>
      <c r="E88" s="14"/>
      <c r="F88" s="14"/>
      <c r="G88" s="14"/>
      <c r="H88" s="14">
        <v>126.72</v>
      </c>
      <c r="I88" s="14"/>
      <c r="J88" s="14">
        <v>1383.84</v>
      </c>
      <c r="K88" s="14">
        <v>489.59999999999997</v>
      </c>
      <c r="L88" s="14">
        <v>737.28</v>
      </c>
      <c r="M88" s="14">
        <v>541.91999999999996</v>
      </c>
      <c r="N88" s="14">
        <v>241.92</v>
      </c>
      <c r="O88" s="14">
        <v>151.68</v>
      </c>
      <c r="P88" s="16"/>
      <c r="Q88" s="14"/>
      <c r="R88" s="14"/>
      <c r="S88" s="14"/>
      <c r="T88" s="14"/>
      <c r="U88" s="13">
        <f t="shared" si="4"/>
        <v>4019.52</v>
      </c>
      <c r="V88" s="13">
        <v>14042.6</v>
      </c>
      <c r="W88" s="15">
        <f t="shared" si="5"/>
        <v>564445.11551999999</v>
      </c>
    </row>
    <row r="89" spans="1:24" s="154" customFormat="1" x14ac:dyDescent="0.25">
      <c r="A89" s="44" t="s">
        <v>37</v>
      </c>
      <c r="B89" s="94" t="s">
        <v>62</v>
      </c>
      <c r="C89" s="12">
        <v>100</v>
      </c>
      <c r="D89" s="25">
        <v>3360.2016000000044</v>
      </c>
      <c r="E89" s="14"/>
      <c r="F89" s="14"/>
      <c r="G89" s="14"/>
      <c r="H89" s="14">
        <v>1344.84</v>
      </c>
      <c r="I89" s="14"/>
      <c r="J89" s="14">
        <v>19900.154399999996</v>
      </c>
      <c r="K89" s="14">
        <v>7557.3120000000017</v>
      </c>
      <c r="L89" s="14">
        <v>8217.7031999999945</v>
      </c>
      <c r="M89" s="14">
        <v>6210.1545882352493</v>
      </c>
      <c r="N89" s="14">
        <v>2988.518400000004</v>
      </c>
      <c r="O89" s="14">
        <v>1661.15</v>
      </c>
      <c r="P89" s="16"/>
      <c r="Q89" s="14"/>
      <c r="R89" s="14"/>
      <c r="S89" s="14"/>
      <c r="T89" s="14"/>
      <c r="U89" s="13">
        <f t="shared" si="4"/>
        <v>51240.034188235251</v>
      </c>
      <c r="V89" s="13">
        <v>14042.6</v>
      </c>
      <c r="W89" s="15">
        <f t="shared" si="5"/>
        <v>7195433.0409171237</v>
      </c>
    </row>
    <row r="90" spans="1:24" s="154" customFormat="1" hidden="1" x14ac:dyDescent="0.25">
      <c r="A90" s="44" t="s">
        <v>63</v>
      </c>
      <c r="B90" s="94" t="s">
        <v>64</v>
      </c>
      <c r="C90" s="12">
        <v>100</v>
      </c>
      <c r="D90" s="25">
        <v>585.6</v>
      </c>
      <c r="E90" s="14"/>
      <c r="F90" s="14"/>
      <c r="G90" s="14"/>
      <c r="H90" s="14"/>
      <c r="I90" s="14"/>
      <c r="J90" s="14">
        <v>585.6</v>
      </c>
      <c r="K90" s="14">
        <v>219.6</v>
      </c>
      <c r="L90" s="14">
        <v>366</v>
      </c>
      <c r="M90" s="14">
        <v>427</v>
      </c>
      <c r="N90" s="14"/>
      <c r="O90" s="14"/>
      <c r="P90" s="16"/>
      <c r="Q90" s="14"/>
      <c r="R90" s="14"/>
      <c r="S90" s="14"/>
      <c r="T90" s="14"/>
      <c r="U90" s="13">
        <f t="shared" si="4"/>
        <v>2183.8000000000002</v>
      </c>
      <c r="V90" s="13">
        <v>14042.6</v>
      </c>
      <c r="W90" s="15">
        <f t="shared" si="5"/>
        <v>306662.29880000005</v>
      </c>
    </row>
    <row r="91" spans="1:24" s="154" customFormat="1" hidden="1" x14ac:dyDescent="0.25">
      <c r="A91" s="44" t="s">
        <v>63</v>
      </c>
      <c r="B91" s="94" t="s">
        <v>65</v>
      </c>
      <c r="C91" s="12">
        <v>100</v>
      </c>
      <c r="D91" s="25">
        <v>72</v>
      </c>
      <c r="E91" s="14"/>
      <c r="F91" s="14"/>
      <c r="G91" s="14"/>
      <c r="H91" s="14"/>
      <c r="I91" s="14"/>
      <c r="J91" s="14">
        <v>72</v>
      </c>
      <c r="K91" s="14">
        <v>27</v>
      </c>
      <c r="L91" s="14">
        <v>45</v>
      </c>
      <c r="M91" s="14">
        <v>52.5</v>
      </c>
      <c r="N91" s="14"/>
      <c r="O91" s="14"/>
      <c r="P91" s="16"/>
      <c r="Q91" s="14"/>
      <c r="R91" s="14"/>
      <c r="S91" s="14"/>
      <c r="T91" s="14"/>
      <c r="U91" s="13">
        <f t="shared" si="4"/>
        <v>268.5</v>
      </c>
      <c r="V91" s="13">
        <v>14042.6</v>
      </c>
      <c r="W91" s="15">
        <f t="shared" si="5"/>
        <v>37704.381000000001</v>
      </c>
    </row>
    <row r="92" spans="1:24" s="154" customFormat="1" ht="30" hidden="1" x14ac:dyDescent="0.25">
      <c r="A92" s="121">
        <v>23</v>
      </c>
      <c r="B92" s="94" t="s">
        <v>88</v>
      </c>
      <c r="C92" s="19">
        <v>100</v>
      </c>
      <c r="D92" s="33">
        <v>694.5</v>
      </c>
      <c r="E92" s="33">
        <v>848</v>
      </c>
      <c r="F92" s="33"/>
      <c r="G92" s="33">
        <v>3936</v>
      </c>
      <c r="H92" s="33">
        <v>5976</v>
      </c>
      <c r="I92" s="33">
        <v>4140</v>
      </c>
      <c r="J92" s="33"/>
      <c r="K92" s="33"/>
      <c r="L92" s="33"/>
      <c r="M92" s="33"/>
      <c r="N92" s="33"/>
      <c r="O92" s="33"/>
      <c r="P92" s="33"/>
      <c r="Q92" s="33"/>
      <c r="R92" s="33"/>
      <c r="S92" s="33"/>
      <c r="T92" s="33"/>
      <c r="U92" s="13">
        <f t="shared" si="4"/>
        <v>15594.5</v>
      </c>
      <c r="V92" s="25">
        <v>4850.3999999999996</v>
      </c>
      <c r="W92" s="15">
        <f>V92*U92/C92</f>
        <v>756395.62800000003</v>
      </c>
    </row>
    <row r="93" spans="1:24" s="154" customFormat="1" hidden="1" x14ac:dyDescent="0.25">
      <c r="A93" s="121">
        <v>24</v>
      </c>
      <c r="B93" s="93" t="s">
        <v>167</v>
      </c>
      <c r="C93" s="12">
        <v>100</v>
      </c>
      <c r="D93" s="33"/>
      <c r="E93" s="33"/>
      <c r="F93" s="33"/>
      <c r="G93" s="33"/>
      <c r="H93" s="33">
        <v>2100</v>
      </c>
      <c r="I93" s="33"/>
      <c r="J93" s="33"/>
      <c r="K93" s="33"/>
      <c r="L93" s="33"/>
      <c r="M93" s="33"/>
      <c r="N93" s="33"/>
      <c r="O93" s="33"/>
      <c r="P93" s="33"/>
      <c r="Q93" s="33"/>
      <c r="R93" s="33"/>
      <c r="S93" s="33"/>
      <c r="T93" s="33"/>
      <c r="U93" s="13">
        <f t="shared" si="4"/>
        <v>2100</v>
      </c>
      <c r="V93" s="13">
        <v>10003.5</v>
      </c>
      <c r="W93" s="15">
        <f>V93*U93/C93</f>
        <v>210073.5</v>
      </c>
    </row>
    <row r="94" spans="1:24" s="154" customFormat="1" hidden="1" x14ac:dyDescent="0.25">
      <c r="A94" s="121">
        <v>25</v>
      </c>
      <c r="B94" s="93" t="s">
        <v>168</v>
      </c>
      <c r="C94" s="12">
        <v>100</v>
      </c>
      <c r="D94" s="33"/>
      <c r="E94" s="33"/>
      <c r="F94" s="33"/>
      <c r="G94" s="33"/>
      <c r="H94" s="33">
        <v>2100</v>
      </c>
      <c r="I94" s="33"/>
      <c r="J94" s="33"/>
      <c r="K94" s="33"/>
      <c r="L94" s="33"/>
      <c r="M94" s="33"/>
      <c r="N94" s="33"/>
      <c r="O94" s="33"/>
      <c r="P94" s="33"/>
      <c r="Q94" s="33"/>
      <c r="R94" s="33"/>
      <c r="S94" s="33"/>
      <c r="T94" s="33"/>
      <c r="U94" s="13">
        <f t="shared" si="4"/>
        <v>2100</v>
      </c>
      <c r="V94" s="13">
        <v>13527.4</v>
      </c>
      <c r="W94" s="15">
        <f>V94*U94/C94</f>
        <v>284075.40000000002</v>
      </c>
    </row>
    <row r="95" spans="1:24" s="154" customFormat="1" ht="105" hidden="1" x14ac:dyDescent="0.25">
      <c r="A95" s="121">
        <v>26</v>
      </c>
      <c r="B95" s="93" t="s">
        <v>169</v>
      </c>
      <c r="C95" s="19">
        <v>100</v>
      </c>
      <c r="D95" s="33"/>
      <c r="E95" s="33"/>
      <c r="F95" s="33"/>
      <c r="G95" s="33"/>
      <c r="H95" s="33">
        <v>2800</v>
      </c>
      <c r="I95" s="33"/>
      <c r="J95" s="33"/>
      <c r="K95" s="33"/>
      <c r="L95" s="33"/>
      <c r="M95" s="33"/>
      <c r="N95" s="33"/>
      <c r="O95" s="33"/>
      <c r="P95" s="33"/>
      <c r="Q95" s="33"/>
      <c r="R95" s="33"/>
      <c r="S95" s="33"/>
      <c r="T95" s="33"/>
      <c r="U95" s="13">
        <f t="shared" si="4"/>
        <v>2800</v>
      </c>
      <c r="V95" s="40">
        <v>4549.95</v>
      </c>
      <c r="W95" s="15">
        <f>V95*U95/C95</f>
        <v>127398.6</v>
      </c>
    </row>
    <row r="96" spans="1:24" s="154" customFormat="1" ht="45" hidden="1" x14ac:dyDescent="0.25">
      <c r="A96" s="121">
        <v>27</v>
      </c>
      <c r="B96" s="93" t="s">
        <v>165</v>
      </c>
      <c r="C96" s="35" t="s">
        <v>166</v>
      </c>
      <c r="D96" s="33"/>
      <c r="E96" s="33"/>
      <c r="F96" s="33"/>
      <c r="G96" s="33"/>
      <c r="H96" s="33">
        <v>304.64</v>
      </c>
      <c r="I96" s="33"/>
      <c r="J96" s="33"/>
      <c r="K96" s="33"/>
      <c r="L96" s="33"/>
      <c r="M96" s="33"/>
      <c r="N96" s="33"/>
      <c r="O96" s="33"/>
      <c r="P96" s="33"/>
      <c r="Q96" s="33"/>
      <c r="R96" s="33"/>
      <c r="S96" s="33"/>
      <c r="T96" s="33"/>
      <c r="U96" s="13">
        <f t="shared" si="4"/>
        <v>304.64</v>
      </c>
      <c r="V96" s="33">
        <v>72</v>
      </c>
      <c r="W96" s="15">
        <f>V96*U96</f>
        <v>21934.079999999998</v>
      </c>
    </row>
    <row r="97" spans="1:28" s="154" customFormat="1" ht="60" hidden="1" x14ac:dyDescent="0.25">
      <c r="A97" s="44">
        <v>28</v>
      </c>
      <c r="B97" s="94" t="s">
        <v>385</v>
      </c>
      <c r="C97" s="12">
        <v>1</v>
      </c>
      <c r="D97" s="25"/>
      <c r="E97" s="14"/>
      <c r="F97" s="14"/>
      <c r="G97" s="14"/>
      <c r="H97" s="14"/>
      <c r="I97" s="14"/>
      <c r="J97" s="14"/>
      <c r="K97" s="14"/>
      <c r="L97" s="14"/>
      <c r="M97" s="14"/>
      <c r="N97" s="14"/>
      <c r="O97" s="14">
        <v>59.4</v>
      </c>
      <c r="P97" s="16"/>
      <c r="Q97" s="14">
        <v>143.55000000000001</v>
      </c>
      <c r="R97" s="14"/>
      <c r="S97" s="14"/>
      <c r="T97" s="14"/>
      <c r="U97" s="13">
        <f t="shared" si="4"/>
        <v>202.95000000000002</v>
      </c>
      <c r="V97" s="25">
        <v>17752.2</v>
      </c>
      <c r="W97" s="15">
        <f t="shared" si="5"/>
        <v>3602808.99</v>
      </c>
    </row>
    <row r="98" spans="1:28" s="154" customFormat="1" hidden="1" x14ac:dyDescent="0.25">
      <c r="A98" s="121">
        <v>29</v>
      </c>
      <c r="B98" s="136" t="s">
        <v>424</v>
      </c>
      <c r="C98" s="29">
        <v>1</v>
      </c>
      <c r="D98" s="25">
        <v>-82</v>
      </c>
      <c r="E98" s="15"/>
      <c r="F98" s="15"/>
      <c r="G98" s="15">
        <v>-768</v>
      </c>
      <c r="H98" s="15">
        <v>-23647.54</v>
      </c>
      <c r="I98" s="15"/>
      <c r="J98" s="15"/>
      <c r="K98" s="15"/>
      <c r="L98" s="15"/>
      <c r="M98" s="15"/>
      <c r="N98" s="15"/>
      <c r="O98" s="15">
        <f>-1267.5-1209</f>
        <v>-2476.5</v>
      </c>
      <c r="P98" s="15"/>
      <c r="Q98" s="15"/>
      <c r="R98" s="15"/>
      <c r="S98" s="15"/>
      <c r="T98" s="15"/>
      <c r="U98" s="13">
        <f>SUM(D98:T98)</f>
        <v>-26974.04</v>
      </c>
      <c r="V98" s="30">
        <v>170</v>
      </c>
      <c r="W98" s="15">
        <f>V98*U98/C98</f>
        <v>-4585586.8</v>
      </c>
      <c r="AB98" s="187">
        <f>Y99-X99</f>
        <v>3997197.4509714544</v>
      </c>
    </row>
    <row r="99" spans="1:28" s="154" customFormat="1" hidden="1" x14ac:dyDescent="0.25">
      <c r="A99" s="121">
        <v>30</v>
      </c>
      <c r="B99" s="136" t="s">
        <v>425</v>
      </c>
      <c r="C99" s="405">
        <v>100</v>
      </c>
      <c r="D99" s="25"/>
      <c r="E99" s="15"/>
      <c r="F99" s="15"/>
      <c r="G99" s="15"/>
      <c r="H99" s="15"/>
      <c r="I99" s="15"/>
      <c r="J99" s="15"/>
      <c r="K99" s="15"/>
      <c r="L99" s="15"/>
      <c r="M99" s="15"/>
      <c r="N99" s="15"/>
      <c r="O99" s="15">
        <f>-507.94-511.88</f>
        <v>-1019.8199999999999</v>
      </c>
      <c r="P99" s="15"/>
      <c r="Q99" s="15">
        <v>-803.25</v>
      </c>
      <c r="R99" s="15"/>
      <c r="S99" s="15"/>
      <c r="T99" s="15"/>
      <c r="U99" s="13">
        <f>SUM(D99:T99)</f>
        <v>-1823.07</v>
      </c>
      <c r="V99" s="30">
        <v>4100</v>
      </c>
      <c r="W99" s="15">
        <f>V99*U99/C99</f>
        <v>-74745.87</v>
      </c>
      <c r="X99" s="191">
        <f>SUM(W60:W99)</f>
        <v>204564028.54902855</v>
      </c>
      <c r="Y99" s="195">
        <v>208561226</v>
      </c>
      <c r="Z99" s="187">
        <f>Y99-X99</f>
        <v>3997197.4509714544</v>
      </c>
      <c r="AB99" s="187">
        <f>AB98+AC120</f>
        <v>963176.95866772532</v>
      </c>
    </row>
    <row r="100" spans="1:28" s="154" customFormat="1" ht="22.5" hidden="1" x14ac:dyDescent="0.25">
      <c r="A100" s="198">
        <v>6</v>
      </c>
      <c r="B100" s="198" t="s">
        <v>397</v>
      </c>
      <c r="C100" s="101"/>
      <c r="D100" s="101" t="s">
        <v>421</v>
      </c>
      <c r="E100" s="9"/>
      <c r="F100" s="9"/>
      <c r="G100" s="9"/>
      <c r="H100" s="9"/>
      <c r="I100" s="9"/>
      <c r="J100" s="9"/>
      <c r="K100" s="9"/>
      <c r="L100" s="9"/>
      <c r="M100" s="9"/>
      <c r="N100" s="9"/>
      <c r="O100" s="9"/>
      <c r="P100" s="9"/>
      <c r="Q100" s="9"/>
      <c r="R100" s="9"/>
      <c r="S100" s="9"/>
      <c r="T100" s="9"/>
      <c r="U100" s="16"/>
      <c r="V100" s="16"/>
      <c r="W100" s="16"/>
    </row>
    <row r="101" spans="1:28" s="154" customFormat="1" ht="75" x14ac:dyDescent="0.25">
      <c r="A101" s="118">
        <v>1</v>
      </c>
      <c r="B101" s="94" t="s">
        <v>39</v>
      </c>
      <c r="C101" s="12">
        <v>1000</v>
      </c>
      <c r="D101" s="25">
        <v>1867.645</v>
      </c>
      <c r="E101" s="14"/>
      <c r="F101" s="14"/>
      <c r="G101" s="14">
        <v>1417.9529000000011</v>
      </c>
      <c r="H101" s="14"/>
      <c r="I101" s="14"/>
      <c r="J101" s="14">
        <v>17227.970499999996</v>
      </c>
      <c r="K101" s="46">
        <v>6436.0504000000037</v>
      </c>
      <c r="L101" s="14">
        <v>12395.410299999992</v>
      </c>
      <c r="M101" s="14">
        <v>15395.300699999989</v>
      </c>
      <c r="N101" s="14">
        <v>1949.3305000000028</v>
      </c>
      <c r="O101" s="14"/>
      <c r="P101" s="14"/>
      <c r="Q101" s="14"/>
      <c r="R101" s="14"/>
      <c r="S101" s="14"/>
      <c r="T101" s="14"/>
      <c r="U101" s="13">
        <f t="shared" ref="U101:U118" si="6">SUM(D101:T101)</f>
        <v>56689.660299999981</v>
      </c>
      <c r="V101" s="14">
        <v>12735.6</v>
      </c>
      <c r="W101" s="15">
        <f t="shared" si="5"/>
        <v>721976.83771667979</v>
      </c>
      <c r="X101" s="191">
        <f>SUM(W101:W118)</f>
        <v>109345722.88169438</v>
      </c>
      <c r="Y101" s="154">
        <v>109345724</v>
      </c>
    </row>
    <row r="102" spans="1:28" s="154" customFormat="1" x14ac:dyDescent="0.25">
      <c r="A102" s="118">
        <v>2</v>
      </c>
      <c r="B102" s="94" t="s">
        <v>66</v>
      </c>
      <c r="C102" s="12">
        <v>1000</v>
      </c>
      <c r="D102" s="25">
        <v>1867.645</v>
      </c>
      <c r="E102" s="14"/>
      <c r="F102" s="14"/>
      <c r="G102" s="14">
        <v>1417.9529000000011</v>
      </c>
      <c r="H102" s="14"/>
      <c r="I102" s="14"/>
      <c r="J102" s="14">
        <v>17227.970499999996</v>
      </c>
      <c r="K102" s="46">
        <v>6436.0504000000037</v>
      </c>
      <c r="L102" s="14">
        <v>12395.410299999992</v>
      </c>
      <c r="M102" s="14">
        <v>15395.300699999989</v>
      </c>
      <c r="N102" s="14">
        <v>1949.3305000000028</v>
      </c>
      <c r="O102" s="14"/>
      <c r="P102" s="14"/>
      <c r="Q102" s="14"/>
      <c r="R102" s="14"/>
      <c r="S102" s="14"/>
      <c r="T102" s="14"/>
      <c r="U102" s="13">
        <f t="shared" si="6"/>
        <v>56689.660299999981</v>
      </c>
      <c r="V102" s="14">
        <v>12038.4</v>
      </c>
      <c r="W102" s="15">
        <f t="shared" si="5"/>
        <v>682452.8065555197</v>
      </c>
    </row>
    <row r="103" spans="1:28" s="154" customFormat="1" ht="45" x14ac:dyDescent="0.25">
      <c r="A103" s="44">
        <v>3</v>
      </c>
      <c r="B103" s="94" t="s">
        <v>20</v>
      </c>
      <c r="C103" s="12"/>
      <c r="D103" s="25"/>
      <c r="E103" s="14"/>
      <c r="F103" s="14"/>
      <c r="G103" s="14"/>
      <c r="H103" s="14"/>
      <c r="I103" s="14"/>
      <c r="J103" s="14"/>
      <c r="K103" s="46"/>
      <c r="L103" s="14"/>
      <c r="M103" s="14"/>
      <c r="N103" s="14"/>
      <c r="O103" s="14"/>
      <c r="P103" s="14"/>
      <c r="Q103" s="14"/>
      <c r="R103" s="14"/>
      <c r="S103" s="14"/>
      <c r="T103" s="14"/>
      <c r="U103" s="13">
        <f t="shared" si="6"/>
        <v>0</v>
      </c>
      <c r="V103" s="25"/>
      <c r="W103" s="16"/>
    </row>
    <row r="104" spans="1:28" s="154" customFormat="1" x14ac:dyDescent="0.25">
      <c r="A104" s="44" t="s">
        <v>42</v>
      </c>
      <c r="B104" s="94" t="s">
        <v>67</v>
      </c>
      <c r="C104" s="12">
        <v>100</v>
      </c>
      <c r="D104" s="25">
        <v>257.19499999999999</v>
      </c>
      <c r="E104" s="14"/>
      <c r="F104" s="14"/>
      <c r="G104" s="14">
        <v>140.10249999999999</v>
      </c>
      <c r="H104" s="14"/>
      <c r="I104" s="14"/>
      <c r="J104" s="14">
        <v>1464.4274999999998</v>
      </c>
      <c r="K104" s="46">
        <v>529.73</v>
      </c>
      <c r="L104" s="14">
        <v>1410.7375000000002</v>
      </c>
      <c r="M104" s="14">
        <v>1785.0250000000003</v>
      </c>
      <c r="N104" s="14">
        <v>458.78250000000003</v>
      </c>
      <c r="O104" s="14"/>
      <c r="P104" s="14"/>
      <c r="Q104" s="14"/>
      <c r="R104" s="14"/>
      <c r="S104" s="14"/>
      <c r="T104" s="14"/>
      <c r="U104" s="13">
        <f t="shared" si="6"/>
        <v>6046.0000000000009</v>
      </c>
      <c r="V104" s="14">
        <v>34694.300000000003</v>
      </c>
      <c r="W104" s="15">
        <f t="shared" si="5"/>
        <v>2097617.3780000005</v>
      </c>
    </row>
    <row r="105" spans="1:28" s="154" customFormat="1" hidden="1" x14ac:dyDescent="0.25">
      <c r="A105" s="44" t="s">
        <v>44</v>
      </c>
      <c r="B105" s="94" t="s">
        <v>68</v>
      </c>
      <c r="C105" s="12">
        <v>100</v>
      </c>
      <c r="D105" s="25">
        <v>34</v>
      </c>
      <c r="E105" s="14"/>
      <c r="F105" s="14"/>
      <c r="G105" s="14">
        <v>17</v>
      </c>
      <c r="H105" s="14"/>
      <c r="I105" s="14"/>
      <c r="J105" s="14">
        <v>187</v>
      </c>
      <c r="K105" s="46">
        <v>68</v>
      </c>
      <c r="L105" s="14">
        <v>187</v>
      </c>
      <c r="M105" s="14">
        <v>238</v>
      </c>
      <c r="N105" s="14">
        <v>68</v>
      </c>
      <c r="O105" s="14"/>
      <c r="P105" s="14"/>
      <c r="Q105" s="14"/>
      <c r="R105" s="14"/>
      <c r="S105" s="14"/>
      <c r="T105" s="14"/>
      <c r="U105" s="13">
        <f t="shared" si="6"/>
        <v>799</v>
      </c>
      <c r="V105" s="14">
        <v>47135.9</v>
      </c>
      <c r="W105" s="15">
        <f t="shared" si="5"/>
        <v>376615.84100000001</v>
      </c>
    </row>
    <row r="106" spans="1:28" s="154" customFormat="1" ht="90" hidden="1" x14ac:dyDescent="0.25">
      <c r="A106" s="44">
        <v>4</v>
      </c>
      <c r="B106" s="94" t="s">
        <v>40</v>
      </c>
      <c r="C106" s="32">
        <v>100</v>
      </c>
      <c r="D106" s="25">
        <v>6108.9827999999998</v>
      </c>
      <c r="E106" s="14"/>
      <c r="F106" s="14"/>
      <c r="G106" s="14">
        <v>4515.8106000000043</v>
      </c>
      <c r="H106" s="14"/>
      <c r="I106" s="14"/>
      <c r="J106" s="14">
        <v>44509.403099999989</v>
      </c>
      <c r="K106" s="46">
        <v>16212.101400000005</v>
      </c>
      <c r="L106" s="14">
        <v>35906.236199999992</v>
      </c>
      <c r="M106" s="14">
        <v>45010.326149999994</v>
      </c>
      <c r="N106" s="14">
        <v>9117.4861500000006</v>
      </c>
      <c r="O106" s="14"/>
      <c r="P106" s="14"/>
      <c r="Q106" s="14"/>
      <c r="R106" s="14"/>
      <c r="S106" s="14"/>
      <c r="T106" s="14"/>
      <c r="U106" s="13">
        <f t="shared" si="6"/>
        <v>161380.34639999998</v>
      </c>
      <c r="V106" s="30">
        <v>30376.9</v>
      </c>
      <c r="W106" s="15">
        <f t="shared" si="5"/>
        <v>49022346.4455816</v>
      </c>
    </row>
    <row r="107" spans="1:28" s="154" customFormat="1" ht="120.75" hidden="1" x14ac:dyDescent="0.25">
      <c r="A107" s="44">
        <v>5</v>
      </c>
      <c r="B107" s="94" t="s">
        <v>69</v>
      </c>
      <c r="C107" s="12"/>
      <c r="D107" s="25"/>
      <c r="E107" s="14"/>
      <c r="F107" s="14"/>
      <c r="G107" s="14"/>
      <c r="H107" s="14"/>
      <c r="I107" s="14"/>
      <c r="J107" s="14"/>
      <c r="K107" s="46"/>
      <c r="L107" s="14"/>
      <c r="M107" s="14"/>
      <c r="N107" s="14"/>
      <c r="O107" s="14"/>
      <c r="P107" s="14"/>
      <c r="Q107" s="14"/>
      <c r="R107" s="14"/>
      <c r="S107" s="14"/>
      <c r="T107" s="14"/>
      <c r="U107" s="13">
        <f t="shared" si="6"/>
        <v>0</v>
      </c>
      <c r="V107" s="25"/>
      <c r="W107" s="16"/>
    </row>
    <row r="108" spans="1:28" s="154" customFormat="1" ht="75" x14ac:dyDescent="0.25">
      <c r="A108" s="44" t="s">
        <v>42</v>
      </c>
      <c r="B108" s="94" t="s">
        <v>43</v>
      </c>
      <c r="C108" s="12">
        <v>1</v>
      </c>
      <c r="D108" s="25">
        <v>1266.9126000000001</v>
      </c>
      <c r="E108" s="14"/>
      <c r="F108" s="14"/>
      <c r="G108" s="14">
        <v>1063.0377000000012</v>
      </c>
      <c r="H108" s="14"/>
      <c r="I108" s="14"/>
      <c r="J108" s="14">
        <v>10355.410199999998</v>
      </c>
      <c r="K108" s="46">
        <v>3788.5038000000013</v>
      </c>
      <c r="L108" s="14">
        <v>7756.1378999999961</v>
      </c>
      <c r="M108" s="14">
        <v>9694.2370499999979</v>
      </c>
      <c r="N108" s="14">
        <v>1761.1120500000006</v>
      </c>
      <c r="O108" s="14"/>
      <c r="P108" s="14"/>
      <c r="Q108" s="14"/>
      <c r="R108" s="14"/>
      <c r="S108" s="14"/>
      <c r="T108" s="14"/>
      <c r="U108" s="13">
        <f t="shared" si="6"/>
        <v>35685.351299999995</v>
      </c>
      <c r="V108" s="14">
        <v>817.55</v>
      </c>
      <c r="W108" s="15">
        <f t="shared" si="5"/>
        <v>29174558.955314994</v>
      </c>
    </row>
    <row r="109" spans="1:28" s="154" customFormat="1" ht="75" x14ac:dyDescent="0.25">
      <c r="A109" s="44" t="s">
        <v>44</v>
      </c>
      <c r="B109" s="94" t="s">
        <v>45</v>
      </c>
      <c r="C109" s="12">
        <v>1</v>
      </c>
      <c r="D109" s="25">
        <v>769.41499999999996</v>
      </c>
      <c r="E109" s="14"/>
      <c r="F109" s="14"/>
      <c r="G109" s="14">
        <v>442.23249999999996</v>
      </c>
      <c r="H109" s="14"/>
      <c r="I109" s="14"/>
      <c r="J109" s="14">
        <v>4481.0575000000008</v>
      </c>
      <c r="K109" s="46">
        <v>1615.53</v>
      </c>
      <c r="L109" s="14">
        <v>4212.607500000001</v>
      </c>
      <c r="M109" s="14">
        <v>5309.2050000000017</v>
      </c>
      <c r="N109" s="14">
        <v>1278.0500000000002</v>
      </c>
      <c r="O109" s="14"/>
      <c r="P109" s="14"/>
      <c r="Q109" s="14"/>
      <c r="R109" s="14"/>
      <c r="S109" s="14"/>
      <c r="T109" s="14"/>
      <c r="U109" s="13">
        <f t="shared" si="6"/>
        <v>18108.097500000003</v>
      </c>
      <c r="V109" s="14">
        <v>670.5</v>
      </c>
      <c r="W109" s="15">
        <f t="shared" si="5"/>
        <v>12141479.373750003</v>
      </c>
    </row>
    <row r="110" spans="1:28" s="154" customFormat="1" ht="30" x14ac:dyDescent="0.25">
      <c r="A110" s="44">
        <v>6</v>
      </c>
      <c r="B110" s="94" t="s">
        <v>46</v>
      </c>
      <c r="C110" s="19">
        <v>100</v>
      </c>
      <c r="D110" s="25">
        <v>751.27499999999998</v>
      </c>
      <c r="E110" s="14"/>
      <c r="F110" s="14"/>
      <c r="G110" s="14">
        <v>551.0106000000003</v>
      </c>
      <c r="H110" s="14"/>
      <c r="I110" s="14"/>
      <c r="J110" s="14">
        <v>6197.8769999999977</v>
      </c>
      <c r="K110" s="46">
        <v>2288.865600000001</v>
      </c>
      <c r="L110" s="14">
        <v>4687.729199999997</v>
      </c>
      <c r="M110" s="14">
        <v>5822.749799999995</v>
      </c>
      <c r="N110" s="14">
        <v>986.23980000000086</v>
      </c>
      <c r="O110" s="14"/>
      <c r="P110" s="14"/>
      <c r="Q110" s="14"/>
      <c r="R110" s="14"/>
      <c r="S110" s="14"/>
      <c r="T110" s="14"/>
      <c r="U110" s="13">
        <f t="shared" si="6"/>
        <v>21285.746999999988</v>
      </c>
      <c r="V110" s="25">
        <v>1645.1</v>
      </c>
      <c r="W110" s="15">
        <f t="shared" si="5"/>
        <v>350171.82389699982</v>
      </c>
    </row>
    <row r="111" spans="1:28" s="154" customFormat="1" ht="30" x14ac:dyDescent="0.25">
      <c r="A111" s="44">
        <v>7</v>
      </c>
      <c r="B111" s="94" t="s">
        <v>70</v>
      </c>
      <c r="C111" s="12">
        <v>100</v>
      </c>
      <c r="D111" s="25">
        <v>80</v>
      </c>
      <c r="E111" s="14"/>
      <c r="F111" s="14"/>
      <c r="G111" s="14">
        <v>40</v>
      </c>
      <c r="H111" s="14"/>
      <c r="I111" s="14"/>
      <c r="J111" s="14">
        <v>440</v>
      </c>
      <c r="K111" s="46">
        <v>160</v>
      </c>
      <c r="L111" s="14">
        <v>440</v>
      </c>
      <c r="M111" s="14">
        <v>560</v>
      </c>
      <c r="N111" s="14">
        <v>160</v>
      </c>
      <c r="O111" s="14"/>
      <c r="P111" s="14"/>
      <c r="Q111" s="14"/>
      <c r="R111" s="14"/>
      <c r="S111" s="14"/>
      <c r="T111" s="14"/>
      <c r="U111" s="13">
        <f t="shared" si="6"/>
        <v>1880</v>
      </c>
      <c r="V111" s="25">
        <v>35727</v>
      </c>
      <c r="W111" s="15">
        <f t="shared" si="5"/>
        <v>671667.6</v>
      </c>
    </row>
    <row r="112" spans="1:28" s="154" customFormat="1" ht="45" x14ac:dyDescent="0.25">
      <c r="A112" s="44">
        <v>8</v>
      </c>
      <c r="B112" s="134" t="s">
        <v>71</v>
      </c>
      <c r="C112" s="34">
        <v>1</v>
      </c>
      <c r="D112" s="25">
        <v>189.5</v>
      </c>
      <c r="E112" s="14"/>
      <c r="F112" s="14"/>
      <c r="G112" s="14">
        <v>180.20000000000016</v>
      </c>
      <c r="H112" s="14"/>
      <c r="I112" s="14"/>
      <c r="J112" s="14">
        <v>1425.3799999999997</v>
      </c>
      <c r="K112" s="46">
        <v>518</v>
      </c>
      <c r="L112" s="14">
        <v>1098.7399999999998</v>
      </c>
      <c r="M112" s="14">
        <v>1373.78</v>
      </c>
      <c r="N112" s="14">
        <v>213.57999999999998</v>
      </c>
      <c r="O112" s="14"/>
      <c r="P112" s="14"/>
      <c r="Q112" s="14"/>
      <c r="R112" s="14"/>
      <c r="S112" s="14"/>
      <c r="T112" s="14"/>
      <c r="U112" s="13">
        <f t="shared" si="6"/>
        <v>4999.1799999999994</v>
      </c>
      <c r="V112" s="14">
        <v>809.4</v>
      </c>
      <c r="W112" s="15">
        <f t="shared" si="5"/>
        <v>4046336.2919999994</v>
      </c>
    </row>
    <row r="113" spans="1:29" s="154" customFormat="1" ht="30" hidden="1" x14ac:dyDescent="0.25">
      <c r="A113" s="44">
        <v>9</v>
      </c>
      <c r="B113" s="147" t="s">
        <v>72</v>
      </c>
      <c r="C113" s="34">
        <v>1</v>
      </c>
      <c r="D113" s="25">
        <v>70</v>
      </c>
      <c r="E113" s="14"/>
      <c r="F113" s="14"/>
      <c r="G113" s="14">
        <v>50</v>
      </c>
      <c r="H113" s="14"/>
      <c r="I113" s="14"/>
      <c r="J113" s="14">
        <v>450</v>
      </c>
      <c r="K113" s="46">
        <v>160</v>
      </c>
      <c r="L113" s="14">
        <v>380</v>
      </c>
      <c r="M113" s="14">
        <v>470</v>
      </c>
      <c r="N113" s="14">
        <v>90</v>
      </c>
      <c r="O113" s="14"/>
      <c r="P113" s="14"/>
      <c r="Q113" s="14"/>
      <c r="R113" s="14"/>
      <c r="S113" s="14"/>
      <c r="T113" s="14"/>
      <c r="U113" s="13">
        <f t="shared" si="6"/>
        <v>1670</v>
      </c>
      <c r="V113" s="14">
        <v>1381</v>
      </c>
      <c r="W113" s="15">
        <f t="shared" si="5"/>
        <v>2306270</v>
      </c>
    </row>
    <row r="114" spans="1:29" s="154" customFormat="1" x14ac:dyDescent="0.25">
      <c r="A114" s="44">
        <v>10</v>
      </c>
      <c r="B114" s="95" t="s">
        <v>59</v>
      </c>
      <c r="C114" s="12">
        <v>1000</v>
      </c>
      <c r="D114" s="25">
        <v>4000</v>
      </c>
      <c r="E114" s="14"/>
      <c r="F114" s="14"/>
      <c r="G114" s="14">
        <v>2000</v>
      </c>
      <c r="H114" s="14"/>
      <c r="I114" s="14"/>
      <c r="J114" s="14">
        <v>22000</v>
      </c>
      <c r="K114" s="46">
        <v>8000</v>
      </c>
      <c r="L114" s="14">
        <v>22000</v>
      </c>
      <c r="M114" s="14">
        <v>28000</v>
      </c>
      <c r="N114" s="14">
        <v>8000</v>
      </c>
      <c r="O114" s="14"/>
      <c r="P114" s="14"/>
      <c r="Q114" s="14"/>
      <c r="R114" s="14"/>
      <c r="S114" s="14"/>
      <c r="T114" s="14"/>
      <c r="U114" s="13">
        <f>SUM(D114:T114)</f>
        <v>94000</v>
      </c>
      <c r="V114" s="13">
        <v>5266.8</v>
      </c>
      <c r="W114" s="15">
        <f t="shared" si="5"/>
        <v>495079.2</v>
      </c>
    </row>
    <row r="115" spans="1:29" s="154" customFormat="1" ht="75.75" hidden="1" x14ac:dyDescent="0.25">
      <c r="A115" s="44">
        <v>11</v>
      </c>
      <c r="B115" s="94" t="s">
        <v>36</v>
      </c>
      <c r="C115" s="12"/>
      <c r="D115" s="25"/>
      <c r="E115" s="14"/>
      <c r="F115" s="14"/>
      <c r="G115" s="14"/>
      <c r="H115" s="14"/>
      <c r="I115" s="14"/>
      <c r="J115" s="14"/>
      <c r="K115" s="46"/>
      <c r="L115" s="14"/>
      <c r="M115" s="14"/>
      <c r="N115" s="14"/>
      <c r="O115" s="14"/>
      <c r="P115" s="14"/>
      <c r="Q115" s="14"/>
      <c r="R115" s="14"/>
      <c r="S115" s="14"/>
      <c r="T115" s="14"/>
      <c r="U115" s="13">
        <f t="shared" si="6"/>
        <v>0</v>
      </c>
      <c r="V115" s="16"/>
      <c r="W115" s="16"/>
    </row>
    <row r="116" spans="1:29" s="154" customFormat="1" x14ac:dyDescent="0.25">
      <c r="A116" s="44" t="s">
        <v>60</v>
      </c>
      <c r="B116" s="94" t="s">
        <v>61</v>
      </c>
      <c r="C116" s="12">
        <v>100</v>
      </c>
      <c r="D116" s="25">
        <v>246.90719999999999</v>
      </c>
      <c r="E116" s="14"/>
      <c r="F116" s="14"/>
      <c r="G116" s="14">
        <v>134.49839999999998</v>
      </c>
      <c r="H116" s="14"/>
      <c r="I116" s="14"/>
      <c r="J116" s="14">
        <v>1405.8503999999998</v>
      </c>
      <c r="K116" s="46">
        <v>508.54079999999999</v>
      </c>
      <c r="L116" s="14">
        <v>1354.3080000000002</v>
      </c>
      <c r="M116" s="14">
        <v>1713.6240000000003</v>
      </c>
      <c r="N116" s="14">
        <v>440.43119999999999</v>
      </c>
      <c r="O116" s="14"/>
      <c r="P116" s="14"/>
      <c r="Q116" s="14"/>
      <c r="R116" s="14"/>
      <c r="S116" s="14"/>
      <c r="T116" s="14"/>
      <c r="U116" s="13">
        <f t="shared" si="6"/>
        <v>5804.1600000000008</v>
      </c>
      <c r="V116" s="13">
        <v>14042.6</v>
      </c>
      <c r="W116" s="15">
        <f t="shared" si="5"/>
        <v>815054.97216</v>
      </c>
    </row>
    <row r="117" spans="1:29" s="154" customFormat="1" x14ac:dyDescent="0.25">
      <c r="A117" s="44" t="s">
        <v>37</v>
      </c>
      <c r="B117" s="94" t="s">
        <v>38</v>
      </c>
      <c r="C117" s="12">
        <v>100</v>
      </c>
      <c r="D117" s="25">
        <v>29.92</v>
      </c>
      <c r="E117" s="14"/>
      <c r="F117" s="14"/>
      <c r="G117" s="14">
        <v>14.96</v>
      </c>
      <c r="H117" s="14"/>
      <c r="I117" s="14"/>
      <c r="J117" s="14">
        <v>164.56</v>
      </c>
      <c r="K117" s="46">
        <v>59.84</v>
      </c>
      <c r="L117" s="14">
        <v>164.56</v>
      </c>
      <c r="M117" s="14">
        <v>209.44</v>
      </c>
      <c r="N117" s="14">
        <v>59.84</v>
      </c>
      <c r="O117" s="14"/>
      <c r="P117" s="14"/>
      <c r="Q117" s="14"/>
      <c r="R117" s="14"/>
      <c r="S117" s="14"/>
      <c r="T117" s="14"/>
      <c r="U117" s="13">
        <f t="shared" si="6"/>
        <v>703.12</v>
      </c>
      <c r="V117" s="13">
        <v>14042.6</v>
      </c>
      <c r="W117" s="15">
        <f t="shared" si="5"/>
        <v>98736.329120000009</v>
      </c>
    </row>
    <row r="118" spans="1:29" s="154" customFormat="1" hidden="1" x14ac:dyDescent="0.25">
      <c r="A118" s="44" t="s">
        <v>63</v>
      </c>
      <c r="B118" s="94" t="s">
        <v>73</v>
      </c>
      <c r="C118" s="12">
        <v>100</v>
      </c>
      <c r="D118" s="25">
        <v>1710.5151840000001</v>
      </c>
      <c r="E118" s="14"/>
      <c r="F118" s="14"/>
      <c r="G118" s="14">
        <v>1264.4269680000011</v>
      </c>
      <c r="H118" s="14"/>
      <c r="I118" s="14"/>
      <c r="J118" s="14">
        <v>12462.632867999999</v>
      </c>
      <c r="K118" s="46">
        <v>4539.3883920000007</v>
      </c>
      <c r="L118" s="14">
        <v>10053.746136</v>
      </c>
      <c r="M118" s="14">
        <v>12602.891321999999</v>
      </c>
      <c r="N118" s="14">
        <v>2552.8961220000006</v>
      </c>
      <c r="O118" s="14"/>
      <c r="P118" s="14"/>
      <c r="Q118" s="14"/>
      <c r="R118" s="14"/>
      <c r="S118" s="14"/>
      <c r="T118" s="14"/>
      <c r="U118" s="13">
        <f t="shared" si="6"/>
        <v>45186.496991999993</v>
      </c>
      <c r="V118" s="13">
        <v>14042.6</v>
      </c>
      <c r="W118" s="15">
        <f t="shared" si="5"/>
        <v>6345359.0265985904</v>
      </c>
    </row>
    <row r="119" spans="1:29" s="154" customFormat="1" ht="22.5" hidden="1" x14ac:dyDescent="0.25">
      <c r="A119" s="198">
        <v>7</v>
      </c>
      <c r="B119" s="198" t="s">
        <v>398</v>
      </c>
      <c r="C119" s="16"/>
      <c r="D119" s="16"/>
      <c r="E119" s="16"/>
      <c r="F119" s="16"/>
      <c r="G119" s="16"/>
      <c r="H119" s="16"/>
      <c r="I119" s="16"/>
      <c r="J119" s="16"/>
      <c r="K119" s="16"/>
      <c r="L119" s="16"/>
      <c r="M119" s="16"/>
      <c r="N119" s="16"/>
      <c r="O119" s="16"/>
      <c r="P119" s="16"/>
      <c r="Q119" s="16"/>
      <c r="R119" s="16"/>
      <c r="S119" s="16"/>
      <c r="T119" s="16"/>
      <c r="U119" s="16"/>
      <c r="V119" s="16"/>
      <c r="W119" s="16"/>
      <c r="Y119" s="195">
        <v>95173850</v>
      </c>
    </row>
    <row r="120" spans="1:29" s="154" customFormat="1" ht="30" hidden="1" x14ac:dyDescent="0.25">
      <c r="A120" s="119">
        <v>1</v>
      </c>
      <c r="B120" s="94" t="s">
        <v>158</v>
      </c>
      <c r="C120" s="12">
        <v>100</v>
      </c>
      <c r="D120" s="101"/>
      <c r="E120" s="9"/>
      <c r="F120" s="9"/>
      <c r="G120" s="14">
        <v>93240</v>
      </c>
      <c r="H120" s="9"/>
      <c r="I120" s="9"/>
      <c r="J120" s="9"/>
      <c r="K120" s="9"/>
      <c r="L120" s="9"/>
      <c r="M120" s="9"/>
      <c r="N120" s="9"/>
      <c r="O120" s="9"/>
      <c r="P120" s="9"/>
      <c r="Q120" s="9"/>
      <c r="R120" s="9"/>
      <c r="S120" s="9"/>
      <c r="T120" s="9"/>
      <c r="U120" s="13">
        <f t="shared" ref="U120:U134" si="7">SUM(D120:T120)</f>
        <v>93240</v>
      </c>
      <c r="V120" s="25">
        <v>3762</v>
      </c>
      <c r="W120" s="15">
        <v>3507688.8</v>
      </c>
      <c r="X120" s="195">
        <v>89611262</v>
      </c>
      <c r="Y120" s="191">
        <f>SUM(W120:W134)</f>
        <v>92645282.492303729</v>
      </c>
      <c r="Z120" s="187">
        <f>Y120-X120</f>
        <v>3034020.4923037291</v>
      </c>
      <c r="AC120" s="187">
        <f>X120-Y120</f>
        <v>-3034020.4923037291</v>
      </c>
    </row>
    <row r="121" spans="1:29" s="154" customFormat="1" ht="30" hidden="1" x14ac:dyDescent="0.25">
      <c r="A121" s="118">
        <v>3</v>
      </c>
      <c r="B121" s="94" t="s">
        <v>159</v>
      </c>
      <c r="C121" s="12">
        <v>100</v>
      </c>
      <c r="D121" s="25"/>
      <c r="E121" s="14"/>
      <c r="F121" s="14"/>
      <c r="G121" s="14">
        <v>126000</v>
      </c>
      <c r="H121" s="14"/>
      <c r="I121" s="14"/>
      <c r="J121" s="14"/>
      <c r="K121" s="14"/>
      <c r="L121" s="14"/>
      <c r="M121" s="14"/>
      <c r="N121" s="14"/>
      <c r="O121" s="14"/>
      <c r="P121" s="14"/>
      <c r="Q121" s="14"/>
      <c r="R121" s="14"/>
      <c r="S121" s="14"/>
      <c r="T121" s="408"/>
      <c r="U121" s="13">
        <f>SUM(D121:T121)</f>
        <v>126000</v>
      </c>
      <c r="V121" s="25">
        <v>4743.75</v>
      </c>
      <c r="W121" s="15">
        <f>V121*U121/C121</f>
        <v>5977125</v>
      </c>
      <c r="AA121" s="187">
        <f>Z120+Z99</f>
        <v>7031217.9432751834</v>
      </c>
    </row>
    <row r="122" spans="1:29" s="154" customFormat="1" ht="30" hidden="1" x14ac:dyDescent="0.25">
      <c r="A122" s="118">
        <v>4</v>
      </c>
      <c r="B122" s="94" t="s">
        <v>75</v>
      </c>
      <c r="C122" s="12">
        <v>100</v>
      </c>
      <c r="D122" s="25">
        <v>476.44</v>
      </c>
      <c r="E122" s="14">
        <v>355.5</v>
      </c>
      <c r="F122" s="14">
        <v>312.56</v>
      </c>
      <c r="G122" s="14">
        <v>3745.5</v>
      </c>
      <c r="H122" s="14">
        <v>10945.44</v>
      </c>
      <c r="I122" s="14"/>
      <c r="J122" s="14">
        <v>10137.189999999999</v>
      </c>
      <c r="K122" s="14">
        <v>269.25</v>
      </c>
      <c r="L122" s="14">
        <v>6208.72</v>
      </c>
      <c r="M122" s="14">
        <v>6208.72</v>
      </c>
      <c r="N122" s="14">
        <v>148.5</v>
      </c>
      <c r="O122" s="14">
        <v>967.12999999999988</v>
      </c>
      <c r="P122" s="14">
        <v>5141.1400000000003</v>
      </c>
      <c r="Q122" s="14">
        <v>2700.32</v>
      </c>
      <c r="R122" s="14">
        <v>967.13</v>
      </c>
      <c r="S122" s="14">
        <v>967.12999999999988</v>
      </c>
      <c r="T122" s="408">
        <v>967.12999999999988</v>
      </c>
      <c r="U122" s="13">
        <f t="shared" si="7"/>
        <v>50517.799999999988</v>
      </c>
      <c r="V122" s="25">
        <v>6849</v>
      </c>
      <c r="W122" s="15">
        <f>V122*U122/C122</f>
        <v>3459964.1219999995</v>
      </c>
    </row>
    <row r="123" spans="1:29" s="154" customFormat="1" hidden="1" x14ac:dyDescent="0.25">
      <c r="A123" s="44">
        <v>5</v>
      </c>
      <c r="B123" s="131" t="s">
        <v>76</v>
      </c>
      <c r="C123" s="19">
        <v>100</v>
      </c>
      <c r="D123" s="25">
        <v>735.36749999999995</v>
      </c>
      <c r="E123" s="14">
        <v>681.66000000000008</v>
      </c>
      <c r="F123" s="14">
        <v>525.12249999999995</v>
      </c>
      <c r="G123" s="14">
        <v>72754.37000000001</v>
      </c>
      <c r="H123" s="14">
        <v>6058.7160000000003</v>
      </c>
      <c r="I123" s="14"/>
      <c r="J123" s="14">
        <v>3737.0541800000001</v>
      </c>
      <c r="K123" s="14">
        <v>480.69</v>
      </c>
      <c r="L123" s="14">
        <v>2589.8832000000002</v>
      </c>
      <c r="M123" s="14">
        <v>3457.1106</v>
      </c>
      <c r="N123" s="14">
        <v>422.73</v>
      </c>
      <c r="O123" s="14">
        <v>614.72448000000009</v>
      </c>
      <c r="P123" s="14"/>
      <c r="Q123" s="14">
        <v>785.33279999999991</v>
      </c>
      <c r="R123" s="14">
        <v>614.72</v>
      </c>
      <c r="S123" s="14">
        <v>594.53279999999995</v>
      </c>
      <c r="T123" s="408">
        <v>594.53279999999995</v>
      </c>
      <c r="U123" s="13">
        <f t="shared" si="7"/>
        <v>94646.546860000017</v>
      </c>
      <c r="V123" s="25">
        <v>2265.1</v>
      </c>
      <c r="W123" s="15">
        <f t="shared" ref="W123:W134" si="8">V123*U123/C123</f>
        <v>2143838.9329258604</v>
      </c>
    </row>
    <row r="124" spans="1:29" s="154" customFormat="1" hidden="1" x14ac:dyDescent="0.25">
      <c r="A124" s="44">
        <v>6</v>
      </c>
      <c r="B124" s="131" t="s">
        <v>77</v>
      </c>
      <c r="C124" s="19">
        <v>100</v>
      </c>
      <c r="D124" s="25">
        <v>130.5</v>
      </c>
      <c r="E124" s="14">
        <v>126</v>
      </c>
      <c r="F124" s="14">
        <v>129.5</v>
      </c>
      <c r="G124" s="14">
        <v>12167</v>
      </c>
      <c r="H124" s="14">
        <v>594.66</v>
      </c>
      <c r="I124" s="14"/>
      <c r="J124" s="14">
        <v>631.16</v>
      </c>
      <c r="K124" s="14">
        <v>126</v>
      </c>
      <c r="L124" s="14">
        <v>524.66</v>
      </c>
      <c r="M124" s="14">
        <v>524.66</v>
      </c>
      <c r="N124" s="14">
        <v>126</v>
      </c>
      <c r="O124" s="14">
        <v>96</v>
      </c>
      <c r="P124" s="14"/>
      <c r="Q124" s="14">
        <v>136</v>
      </c>
      <c r="R124" s="14">
        <v>96</v>
      </c>
      <c r="S124" s="14">
        <v>96</v>
      </c>
      <c r="T124" s="408">
        <v>96</v>
      </c>
      <c r="U124" s="13">
        <f t="shared" si="7"/>
        <v>15600.14</v>
      </c>
      <c r="V124" s="25">
        <v>1660.5</v>
      </c>
      <c r="W124" s="15">
        <f t="shared" si="8"/>
        <v>259040.3247</v>
      </c>
    </row>
    <row r="125" spans="1:29" s="154" customFormat="1" hidden="1" x14ac:dyDescent="0.25">
      <c r="A125" s="118">
        <v>7</v>
      </c>
      <c r="B125" s="94" t="s">
        <v>78</v>
      </c>
      <c r="C125" s="12">
        <v>100</v>
      </c>
      <c r="D125" s="25">
        <v>242.67</v>
      </c>
      <c r="E125" s="14">
        <v>224.94</v>
      </c>
      <c r="F125" s="14">
        <v>173.29</v>
      </c>
      <c r="G125" s="14">
        <v>24008.94</v>
      </c>
      <c r="H125" s="14">
        <v>2001.64428</v>
      </c>
      <c r="I125" s="14"/>
      <c r="J125" s="14">
        <v>1233.5999999999999</v>
      </c>
      <c r="K125" s="14">
        <v>158.63</v>
      </c>
      <c r="L125" s="14">
        <v>854.70999999999992</v>
      </c>
      <c r="M125" s="14">
        <v>1140.8899999999999</v>
      </c>
      <c r="N125" s="14">
        <v>139.5</v>
      </c>
      <c r="O125" s="14">
        <v>202.85907840000004</v>
      </c>
      <c r="P125" s="14">
        <v>812.42</v>
      </c>
      <c r="Q125" s="14">
        <v>259.15982400000001</v>
      </c>
      <c r="R125" s="14">
        <v>202.86</v>
      </c>
      <c r="S125" s="14">
        <v>196.19582400000002</v>
      </c>
      <c r="T125" s="408">
        <v>196.19582400000002</v>
      </c>
      <c r="U125" s="13">
        <f t="shared" si="7"/>
        <v>32048.504830399994</v>
      </c>
      <c r="V125" s="25">
        <v>18564.099999999999</v>
      </c>
      <c r="W125" s="15">
        <f t="shared" si="8"/>
        <v>5949516.4852202842</v>
      </c>
    </row>
    <row r="126" spans="1:29" s="154" customFormat="1" hidden="1" x14ac:dyDescent="0.25">
      <c r="A126" s="118">
        <v>8</v>
      </c>
      <c r="B126" s="94" t="s">
        <v>79</v>
      </c>
      <c r="C126" s="12">
        <v>100</v>
      </c>
      <c r="D126" s="25">
        <v>242.67</v>
      </c>
      <c r="E126" s="14">
        <v>224.94</v>
      </c>
      <c r="F126" s="14">
        <v>173.29</v>
      </c>
      <c r="G126" s="14">
        <v>24008.94</v>
      </c>
      <c r="H126" s="14">
        <v>2001.64428</v>
      </c>
      <c r="I126" s="14"/>
      <c r="J126" s="14">
        <v>1233.5999999999999</v>
      </c>
      <c r="K126" s="14">
        <v>158.63</v>
      </c>
      <c r="L126" s="14">
        <v>854.70999999999992</v>
      </c>
      <c r="M126" s="14">
        <v>1140.8899999999999</v>
      </c>
      <c r="N126" s="14">
        <v>139.5</v>
      </c>
      <c r="O126" s="14">
        <v>202.85907840000004</v>
      </c>
      <c r="P126" s="14">
        <v>812.42</v>
      </c>
      <c r="Q126" s="14">
        <v>259.15982400000001</v>
      </c>
      <c r="R126" s="14">
        <v>202.86</v>
      </c>
      <c r="S126" s="14">
        <v>196.19582400000002</v>
      </c>
      <c r="T126" s="408">
        <v>196.19582400000002</v>
      </c>
      <c r="U126" s="13">
        <f t="shared" si="7"/>
        <v>32048.504830399994</v>
      </c>
      <c r="V126" s="25">
        <v>18564.099999999999</v>
      </c>
      <c r="W126" s="15">
        <f t="shared" si="8"/>
        <v>5949516.4852202842</v>
      </c>
    </row>
    <row r="127" spans="1:29" s="154" customFormat="1" hidden="1" x14ac:dyDescent="0.25">
      <c r="A127" s="118">
        <v>9</v>
      </c>
      <c r="B127" s="94" t="s">
        <v>80</v>
      </c>
      <c r="C127" s="12">
        <v>100</v>
      </c>
      <c r="D127" s="25">
        <v>43.07</v>
      </c>
      <c r="E127" s="14">
        <v>41.58</v>
      </c>
      <c r="F127" s="14">
        <v>42.739999999999995</v>
      </c>
      <c r="G127" s="14">
        <v>4015.11</v>
      </c>
      <c r="H127" s="14">
        <v>196.4178</v>
      </c>
      <c r="I127" s="14"/>
      <c r="J127" s="14">
        <v>208.28</v>
      </c>
      <c r="K127" s="14">
        <v>41.58</v>
      </c>
      <c r="L127" s="14">
        <v>173.14</v>
      </c>
      <c r="M127" s="14">
        <v>173.14</v>
      </c>
      <c r="N127" s="14">
        <v>41.58</v>
      </c>
      <c r="O127" s="14">
        <v>31.68</v>
      </c>
      <c r="P127" s="14">
        <v>147.4</v>
      </c>
      <c r="Q127" s="14">
        <v>54.33120000000001</v>
      </c>
      <c r="R127" s="14">
        <v>31.68</v>
      </c>
      <c r="S127" s="14">
        <v>31.68</v>
      </c>
      <c r="T127" s="408">
        <v>31.68</v>
      </c>
      <c r="U127" s="13">
        <f t="shared" si="7"/>
        <v>5305.0890000000009</v>
      </c>
      <c r="V127" s="25">
        <v>18017.599999999999</v>
      </c>
      <c r="W127" s="15">
        <f t="shared" si="8"/>
        <v>955849.71566400002</v>
      </c>
    </row>
    <row r="128" spans="1:29" s="154" customFormat="1" hidden="1" x14ac:dyDescent="0.25">
      <c r="A128" s="118">
        <v>10</v>
      </c>
      <c r="B128" s="94" t="s">
        <v>81</v>
      </c>
      <c r="C128" s="12">
        <v>100</v>
      </c>
      <c r="D128" s="25">
        <v>43.07</v>
      </c>
      <c r="E128" s="14">
        <v>41.58</v>
      </c>
      <c r="F128" s="14">
        <v>42.739999999999995</v>
      </c>
      <c r="G128" s="14">
        <v>4015.11</v>
      </c>
      <c r="H128" s="14">
        <v>196.4178</v>
      </c>
      <c r="I128" s="14"/>
      <c r="J128" s="14">
        <v>208.28</v>
      </c>
      <c r="K128" s="14">
        <v>41.58</v>
      </c>
      <c r="L128" s="14">
        <v>173.14</v>
      </c>
      <c r="M128" s="14">
        <v>173.14</v>
      </c>
      <c r="N128" s="14">
        <v>41.58</v>
      </c>
      <c r="O128" s="14">
        <v>31.68</v>
      </c>
      <c r="P128" s="14">
        <v>147.4</v>
      </c>
      <c r="Q128" s="14">
        <v>54.33120000000001</v>
      </c>
      <c r="R128" s="25">
        <v>31.68</v>
      </c>
      <c r="S128" s="14">
        <v>31.68</v>
      </c>
      <c r="T128" s="408">
        <v>31.68</v>
      </c>
      <c r="U128" s="13">
        <f t="shared" si="7"/>
        <v>5305.0890000000009</v>
      </c>
      <c r="V128" s="25">
        <v>18017.599999999999</v>
      </c>
      <c r="W128" s="15">
        <f t="shared" si="8"/>
        <v>955849.71566400002</v>
      </c>
    </row>
    <row r="129" spans="1:26" s="154" customFormat="1" hidden="1" x14ac:dyDescent="0.25">
      <c r="A129" s="118">
        <v>11</v>
      </c>
      <c r="B129" s="94" t="s">
        <v>82</v>
      </c>
      <c r="C129" s="12">
        <v>100</v>
      </c>
      <c r="D129" s="25">
        <v>735.37</v>
      </c>
      <c r="E129" s="14">
        <v>681.66000000000008</v>
      </c>
      <c r="F129" s="14">
        <v>525.12</v>
      </c>
      <c r="G129" s="14">
        <v>72754.37000000001</v>
      </c>
      <c r="H129" s="14">
        <v>6058.72</v>
      </c>
      <c r="I129" s="14"/>
      <c r="J129" s="14">
        <v>3738.19</v>
      </c>
      <c r="K129" s="14">
        <v>480.69</v>
      </c>
      <c r="L129" s="14">
        <v>2590.02</v>
      </c>
      <c r="M129" s="14">
        <v>3457.25</v>
      </c>
      <c r="N129" s="14">
        <v>422.73</v>
      </c>
      <c r="O129" s="14">
        <v>614.72448000000009</v>
      </c>
      <c r="P129" s="14">
        <v>2461.88</v>
      </c>
      <c r="Q129" s="14">
        <v>785.33279999999991</v>
      </c>
      <c r="R129" s="25">
        <v>614.72</v>
      </c>
      <c r="S129" s="14">
        <v>594.53279999999995</v>
      </c>
      <c r="T129" s="408">
        <v>594.53279999999995</v>
      </c>
      <c r="U129" s="13">
        <f t="shared" si="7"/>
        <v>97109.842880000026</v>
      </c>
      <c r="V129" s="25">
        <v>11511</v>
      </c>
      <c r="W129" s="15">
        <f t="shared" si="8"/>
        <v>11178314.013916802</v>
      </c>
    </row>
    <row r="130" spans="1:26" s="154" customFormat="1" hidden="1" x14ac:dyDescent="0.25">
      <c r="A130" s="118">
        <v>12</v>
      </c>
      <c r="B130" s="94" t="s">
        <v>83</v>
      </c>
      <c r="C130" s="12">
        <v>100</v>
      </c>
      <c r="D130" s="25">
        <v>130.5</v>
      </c>
      <c r="E130" s="14">
        <v>126</v>
      </c>
      <c r="F130" s="14">
        <v>129.5</v>
      </c>
      <c r="G130" s="14">
        <v>12167</v>
      </c>
      <c r="H130" s="14">
        <v>594.66</v>
      </c>
      <c r="I130" s="14"/>
      <c r="J130" s="14">
        <v>631.16</v>
      </c>
      <c r="K130" s="14">
        <v>126</v>
      </c>
      <c r="L130" s="14">
        <v>173.14</v>
      </c>
      <c r="M130" s="14">
        <v>173.14</v>
      </c>
      <c r="N130" s="14">
        <v>126</v>
      </c>
      <c r="O130" s="14">
        <v>96</v>
      </c>
      <c r="P130" s="14">
        <v>446.68</v>
      </c>
      <c r="Q130" s="14">
        <v>164.64</v>
      </c>
      <c r="R130" s="14">
        <v>96</v>
      </c>
      <c r="S130" s="14">
        <v>96</v>
      </c>
      <c r="T130" s="408">
        <v>96</v>
      </c>
      <c r="U130" s="13">
        <f t="shared" si="7"/>
        <v>15372.419999999998</v>
      </c>
      <c r="V130" s="25">
        <v>10570.5</v>
      </c>
      <c r="W130" s="15">
        <f t="shared" si="8"/>
        <v>1624941.6560999998</v>
      </c>
    </row>
    <row r="131" spans="1:26" s="154" customFormat="1" ht="60" hidden="1" x14ac:dyDescent="0.25">
      <c r="A131" s="118">
        <v>13</v>
      </c>
      <c r="B131" s="135" t="s">
        <v>84</v>
      </c>
      <c r="C131" s="12">
        <v>100</v>
      </c>
      <c r="D131" s="25">
        <v>1682.2379999999998</v>
      </c>
      <c r="E131" s="14">
        <v>1449.117</v>
      </c>
      <c r="F131" s="14">
        <v>1207.5</v>
      </c>
      <c r="G131" s="14">
        <v>152322.06900000002</v>
      </c>
      <c r="H131" s="14">
        <v>47639.451745000006</v>
      </c>
      <c r="I131" s="14"/>
      <c r="J131" s="14">
        <v>33005.504368000002</v>
      </c>
      <c r="K131" s="14">
        <v>1091.5155</v>
      </c>
      <c r="L131" s="14">
        <v>20947.183422000002</v>
      </c>
      <c r="M131" s="14">
        <v>21997.199982000006</v>
      </c>
      <c r="N131" s="14">
        <v>858.95100000000002</v>
      </c>
      <c r="O131" s="14">
        <v>11198.249675999999</v>
      </c>
      <c r="P131" s="14">
        <v>36777.199999999997</v>
      </c>
      <c r="Q131" s="14">
        <v>10655.627760000001</v>
      </c>
      <c r="R131" s="14">
        <v>11198.25</v>
      </c>
      <c r="S131" s="14">
        <v>5817.7796600000001</v>
      </c>
      <c r="T131" s="408">
        <v>6679.8968599999989</v>
      </c>
      <c r="U131" s="13">
        <f t="shared" si="7"/>
        <v>364527.73397300002</v>
      </c>
      <c r="V131" s="25">
        <v>14042.6</v>
      </c>
      <c r="W131" s="15">
        <f t="shared" si="8"/>
        <v>51189171.570892505</v>
      </c>
    </row>
    <row r="132" spans="1:26" s="154" customFormat="1" hidden="1" x14ac:dyDescent="0.25">
      <c r="A132" s="118">
        <v>14</v>
      </c>
      <c r="B132" s="131" t="s">
        <v>334</v>
      </c>
      <c r="C132" s="12"/>
      <c r="D132" s="12"/>
      <c r="E132" s="12"/>
      <c r="F132" s="12"/>
      <c r="G132" s="12"/>
      <c r="H132" s="12"/>
      <c r="I132" s="12"/>
      <c r="J132" s="12"/>
      <c r="K132" s="12"/>
      <c r="L132" s="12"/>
      <c r="M132" s="12"/>
      <c r="N132" s="12"/>
      <c r="O132" s="12"/>
      <c r="P132" s="12"/>
      <c r="Q132" s="12"/>
      <c r="R132" s="12"/>
      <c r="S132" s="12"/>
      <c r="T132" s="409"/>
      <c r="U132" s="13">
        <f t="shared" si="7"/>
        <v>0</v>
      </c>
      <c r="V132" s="12"/>
      <c r="W132" s="15" t="s">
        <v>440</v>
      </c>
    </row>
    <row r="133" spans="1:26" s="154" customFormat="1" hidden="1" x14ac:dyDescent="0.25">
      <c r="A133" s="118"/>
      <c r="B133" s="131" t="s">
        <v>337</v>
      </c>
      <c r="C133" s="29">
        <v>1</v>
      </c>
      <c r="D133" s="25"/>
      <c r="E133" s="14"/>
      <c r="F133" s="14"/>
      <c r="G133" s="14"/>
      <c r="H133" s="14"/>
      <c r="I133" s="14"/>
      <c r="J133" s="14"/>
      <c r="K133" s="14"/>
      <c r="L133" s="14"/>
      <c r="M133" s="14"/>
      <c r="N133" s="14"/>
      <c r="O133" s="14">
        <v>1267.5</v>
      </c>
      <c r="P133" s="14"/>
      <c r="Q133" s="14"/>
      <c r="R133" s="14">
        <v>1267.5</v>
      </c>
      <c r="S133" s="14"/>
      <c r="T133" s="408"/>
      <c r="U133" s="13">
        <f t="shared" si="7"/>
        <v>2535</v>
      </c>
      <c r="V133" s="25">
        <v>-170</v>
      </c>
      <c r="W133" s="15">
        <f t="shared" si="8"/>
        <v>-430950</v>
      </c>
    </row>
    <row r="134" spans="1:26" s="154" customFormat="1" hidden="1" x14ac:dyDescent="0.25">
      <c r="A134" s="118"/>
      <c r="B134" s="131" t="s">
        <v>335</v>
      </c>
      <c r="C134" s="12">
        <v>100</v>
      </c>
      <c r="D134" s="25"/>
      <c r="E134" s="14"/>
      <c r="F134" s="14"/>
      <c r="G134" s="14"/>
      <c r="H134" s="14"/>
      <c r="I134" s="14"/>
      <c r="J134" s="14"/>
      <c r="K134" s="14"/>
      <c r="L134" s="14"/>
      <c r="M134" s="14"/>
      <c r="N134" s="14"/>
      <c r="O134" s="14">
        <v>507.94</v>
      </c>
      <c r="P134" s="14"/>
      <c r="Q134" s="14">
        <v>803.25</v>
      </c>
      <c r="R134" s="14">
        <v>507.94</v>
      </c>
      <c r="S134" s="14"/>
      <c r="T134" s="408"/>
      <c r="U134" s="13">
        <f t="shared" si="7"/>
        <v>1819.13</v>
      </c>
      <c r="V134" s="25">
        <v>-4100</v>
      </c>
      <c r="W134" s="15">
        <f t="shared" si="8"/>
        <v>-74584.33</v>
      </c>
    </row>
    <row r="135" spans="1:26" s="154" customFormat="1" ht="22.5" hidden="1" x14ac:dyDescent="0.25">
      <c r="A135" s="198">
        <v>8</v>
      </c>
      <c r="B135" s="198" t="s">
        <v>399</v>
      </c>
      <c r="C135" s="101"/>
      <c r="D135" s="101"/>
      <c r="E135" s="9"/>
      <c r="F135" s="9"/>
      <c r="G135" s="9"/>
      <c r="H135" s="9"/>
      <c r="I135" s="9"/>
      <c r="J135" s="9"/>
      <c r="K135" s="9"/>
      <c r="L135" s="9"/>
      <c r="M135" s="9"/>
      <c r="N135" s="9"/>
      <c r="O135" s="9"/>
      <c r="P135" s="9"/>
      <c r="Q135" s="9"/>
      <c r="R135" s="9"/>
      <c r="S135" s="9"/>
      <c r="T135" s="9"/>
      <c r="U135" s="16"/>
      <c r="V135" s="16"/>
      <c r="W135" s="16"/>
      <c r="X135" s="191">
        <f>SUM(W136:W193)</f>
        <v>46683674.40911863</v>
      </c>
      <c r="Y135" s="195">
        <f>1364663*37</f>
        <v>50492531</v>
      </c>
    </row>
    <row r="136" spans="1:26" s="154" customFormat="1" ht="75" hidden="1" x14ac:dyDescent="0.25">
      <c r="A136" s="118">
        <v>1</v>
      </c>
      <c r="B136" s="94" t="s">
        <v>90</v>
      </c>
      <c r="C136" s="12">
        <v>1000</v>
      </c>
      <c r="D136" s="25">
        <v>2179.5676332792</v>
      </c>
      <c r="E136" s="14">
        <v>1089.7838166396</v>
      </c>
      <c r="F136" s="14"/>
      <c r="G136" s="14">
        <v>3814.2433582386002</v>
      </c>
      <c r="H136" s="14">
        <v>2724.4595415989997</v>
      </c>
      <c r="I136" s="14"/>
      <c r="J136" s="14">
        <v>6538.7028998375999</v>
      </c>
      <c r="K136" s="14">
        <v>544.8919083198</v>
      </c>
      <c r="L136" s="14"/>
      <c r="M136" s="14"/>
      <c r="N136" s="14">
        <v>544.8919083198</v>
      </c>
      <c r="O136" s="14"/>
      <c r="P136" s="14">
        <v>2724.4595415989997</v>
      </c>
      <c r="Q136" s="14"/>
      <c r="R136" s="14"/>
      <c r="S136" s="14"/>
      <c r="T136" s="14"/>
      <c r="U136" s="13">
        <f t="shared" ref="U136:U193" si="9">SUM(D136:T136)</f>
        <v>20161.000607832604</v>
      </c>
      <c r="V136" s="14">
        <v>15824.15</v>
      </c>
      <c r="W136" s="15">
        <f t="shared" ref="W136:W198" si="10">V136*U136/C136</f>
        <v>319030.6977684343</v>
      </c>
      <c r="X136" s="187">
        <f>K136*37</f>
        <v>20161.000607832601</v>
      </c>
      <c r="Y136" s="187">
        <f>U136-X136</f>
        <v>0</v>
      </c>
      <c r="Z136" s="191">
        <f>SUM(W136:W193)</f>
        <v>46683674.40911863</v>
      </c>
    </row>
    <row r="137" spans="1:26" s="154" customFormat="1" ht="105" hidden="1" x14ac:dyDescent="0.25">
      <c r="A137" s="118">
        <v>2</v>
      </c>
      <c r="B137" s="135" t="s">
        <v>91</v>
      </c>
      <c r="C137" s="19">
        <v>1</v>
      </c>
      <c r="D137" s="25">
        <v>2034</v>
      </c>
      <c r="E137" s="14">
        <v>1017</v>
      </c>
      <c r="F137" s="14"/>
      <c r="G137" s="14">
        <v>3559.5</v>
      </c>
      <c r="H137" s="14">
        <v>2542.5</v>
      </c>
      <c r="I137" s="14"/>
      <c r="J137" s="14">
        <v>6102</v>
      </c>
      <c r="K137" s="14">
        <v>508.5</v>
      </c>
      <c r="L137" s="14"/>
      <c r="M137" s="14"/>
      <c r="N137" s="14">
        <v>508.5</v>
      </c>
      <c r="O137" s="14"/>
      <c r="P137" s="14">
        <v>2542.5</v>
      </c>
      <c r="Q137" s="14"/>
      <c r="R137" s="14"/>
      <c r="S137" s="14"/>
      <c r="T137" s="14"/>
      <c r="U137" s="13">
        <f t="shared" si="9"/>
        <v>18814.5</v>
      </c>
      <c r="V137" s="25">
        <v>12.55</v>
      </c>
      <c r="W137" s="15">
        <f t="shared" si="10"/>
        <v>236121.97500000001</v>
      </c>
      <c r="X137" s="187">
        <f t="shared" ref="X137:X193" si="11">K137*37</f>
        <v>18814.5</v>
      </c>
      <c r="Y137" s="187">
        <f t="shared" ref="Y137:Y193" si="12">U137-X137</f>
        <v>0</v>
      </c>
    </row>
    <row r="138" spans="1:26" s="154" customFormat="1" ht="45" x14ac:dyDescent="0.25">
      <c r="A138" s="44">
        <v>3</v>
      </c>
      <c r="B138" s="94" t="s">
        <v>20</v>
      </c>
      <c r="C138" s="16"/>
      <c r="D138" s="16"/>
      <c r="E138" s="16"/>
      <c r="F138" s="16"/>
      <c r="G138" s="16"/>
      <c r="H138" s="16"/>
      <c r="I138" s="16"/>
      <c r="J138" s="16"/>
      <c r="K138" s="16"/>
      <c r="L138" s="16"/>
      <c r="M138" s="16"/>
      <c r="N138" s="16"/>
      <c r="O138" s="16"/>
      <c r="P138" s="16"/>
      <c r="Q138" s="16"/>
      <c r="R138" s="16"/>
      <c r="S138" s="16"/>
      <c r="T138" s="16"/>
      <c r="U138" s="13">
        <f t="shared" si="9"/>
        <v>0</v>
      </c>
      <c r="V138" s="16"/>
      <c r="W138" s="16"/>
      <c r="X138" s="187">
        <f t="shared" si="11"/>
        <v>0</v>
      </c>
      <c r="Y138" s="187">
        <f t="shared" si="12"/>
        <v>0</v>
      </c>
    </row>
    <row r="139" spans="1:26" s="154" customFormat="1" x14ac:dyDescent="0.25">
      <c r="A139" s="44" t="s">
        <v>42</v>
      </c>
      <c r="B139" s="94" t="s">
        <v>67</v>
      </c>
      <c r="C139" s="12">
        <v>100</v>
      </c>
      <c r="D139" s="25">
        <v>422.44977729920004</v>
      </c>
      <c r="E139" s="14">
        <v>211.22488864960002</v>
      </c>
      <c r="F139" s="14"/>
      <c r="G139" s="14">
        <v>739.28711027360009</v>
      </c>
      <c r="H139" s="14">
        <v>528.06222162400002</v>
      </c>
      <c r="I139" s="14"/>
      <c r="J139" s="14">
        <v>1267.3493318976002</v>
      </c>
      <c r="K139" s="14">
        <v>105.61244432480001</v>
      </c>
      <c r="L139" s="14"/>
      <c r="M139" s="14"/>
      <c r="N139" s="14">
        <v>105.61244432480001</v>
      </c>
      <c r="O139" s="14"/>
      <c r="P139" s="14">
        <v>528.06222162400002</v>
      </c>
      <c r="Q139" s="14"/>
      <c r="R139" s="14"/>
      <c r="S139" s="14"/>
      <c r="T139" s="14"/>
      <c r="U139" s="13">
        <f t="shared" si="9"/>
        <v>3907.6604400176002</v>
      </c>
      <c r="V139" s="14">
        <v>34694.300000000003</v>
      </c>
      <c r="W139" s="15">
        <f t="shared" si="10"/>
        <v>1355735.4360410264</v>
      </c>
      <c r="X139" s="187">
        <f t="shared" si="11"/>
        <v>3907.6604400176002</v>
      </c>
      <c r="Y139" s="187">
        <f t="shared" si="12"/>
        <v>0</v>
      </c>
    </row>
    <row r="140" spans="1:26" s="154" customFormat="1" ht="60" x14ac:dyDescent="0.25">
      <c r="A140" s="44">
        <v>5</v>
      </c>
      <c r="B140" s="94" t="s">
        <v>92</v>
      </c>
      <c r="C140" s="19">
        <v>100</v>
      </c>
      <c r="D140" s="25">
        <v>258</v>
      </c>
      <c r="E140" s="14">
        <v>129</v>
      </c>
      <c r="F140" s="14"/>
      <c r="G140" s="14">
        <v>451.5</v>
      </c>
      <c r="H140" s="14">
        <v>322.5</v>
      </c>
      <c r="I140" s="14"/>
      <c r="J140" s="14">
        <v>774</v>
      </c>
      <c r="K140" s="14">
        <v>64.5</v>
      </c>
      <c r="L140" s="14"/>
      <c r="M140" s="14"/>
      <c r="N140" s="14">
        <v>64.5</v>
      </c>
      <c r="O140" s="14"/>
      <c r="P140" s="14">
        <v>322.5</v>
      </c>
      <c r="Q140" s="14"/>
      <c r="R140" s="14"/>
      <c r="S140" s="14"/>
      <c r="T140" s="14"/>
      <c r="U140" s="13">
        <f t="shared" si="9"/>
        <v>2386.5</v>
      </c>
      <c r="V140" s="14">
        <v>11460.2</v>
      </c>
      <c r="W140" s="15">
        <f t="shared" si="10"/>
        <v>273497.67300000001</v>
      </c>
      <c r="X140" s="187">
        <f t="shared" si="11"/>
        <v>2386.5</v>
      </c>
      <c r="Y140" s="187">
        <f t="shared" si="12"/>
        <v>0</v>
      </c>
    </row>
    <row r="141" spans="1:26" s="154" customFormat="1" ht="60" x14ac:dyDescent="0.25">
      <c r="A141" s="44">
        <v>6</v>
      </c>
      <c r="B141" s="94" t="s">
        <v>93</v>
      </c>
      <c r="C141" s="19">
        <v>100</v>
      </c>
      <c r="D141" s="25">
        <v>480</v>
      </c>
      <c r="E141" s="14">
        <v>240</v>
      </c>
      <c r="F141" s="14"/>
      <c r="G141" s="14">
        <v>840</v>
      </c>
      <c r="H141" s="14">
        <v>600</v>
      </c>
      <c r="I141" s="14"/>
      <c r="J141" s="14">
        <v>1440</v>
      </c>
      <c r="K141" s="14">
        <v>120</v>
      </c>
      <c r="L141" s="14"/>
      <c r="M141" s="14"/>
      <c r="N141" s="14">
        <v>120</v>
      </c>
      <c r="O141" s="14"/>
      <c r="P141" s="14">
        <v>600</v>
      </c>
      <c r="Q141" s="14"/>
      <c r="R141" s="14"/>
      <c r="S141" s="14"/>
      <c r="T141" s="14"/>
      <c r="U141" s="13">
        <f t="shared" si="9"/>
        <v>4440</v>
      </c>
      <c r="V141" s="14">
        <v>7607.35</v>
      </c>
      <c r="W141" s="15">
        <f t="shared" si="10"/>
        <v>337766.34</v>
      </c>
      <c r="X141" s="187">
        <f t="shared" si="11"/>
        <v>4440</v>
      </c>
      <c r="Y141" s="187">
        <f t="shared" si="12"/>
        <v>0</v>
      </c>
    </row>
    <row r="142" spans="1:26" s="154" customFormat="1" ht="30" x14ac:dyDescent="0.25">
      <c r="A142" s="44">
        <v>7</v>
      </c>
      <c r="B142" s="94" t="s">
        <v>94</v>
      </c>
      <c r="C142" s="12">
        <v>1000</v>
      </c>
      <c r="D142" s="25">
        <v>600</v>
      </c>
      <c r="E142" s="14">
        <v>300</v>
      </c>
      <c r="F142" s="14"/>
      <c r="G142" s="14">
        <v>1050</v>
      </c>
      <c r="H142" s="14">
        <v>750</v>
      </c>
      <c r="I142" s="14"/>
      <c r="J142" s="14">
        <v>1800</v>
      </c>
      <c r="K142" s="14">
        <v>150</v>
      </c>
      <c r="L142" s="14"/>
      <c r="M142" s="14"/>
      <c r="N142" s="14">
        <v>150</v>
      </c>
      <c r="O142" s="14"/>
      <c r="P142" s="14">
        <v>750</v>
      </c>
      <c r="Q142" s="14"/>
      <c r="R142" s="14"/>
      <c r="S142" s="14"/>
      <c r="T142" s="14"/>
      <c r="U142" s="13">
        <f t="shared" si="9"/>
        <v>5550</v>
      </c>
      <c r="V142" s="14">
        <v>7547.75</v>
      </c>
      <c r="W142" s="15">
        <f t="shared" si="10"/>
        <v>41890.012499999997</v>
      </c>
      <c r="X142" s="187">
        <f t="shared" si="11"/>
        <v>5550</v>
      </c>
      <c r="Y142" s="187">
        <f t="shared" si="12"/>
        <v>0</v>
      </c>
    </row>
    <row r="143" spans="1:26" s="154" customFormat="1" ht="30" hidden="1" x14ac:dyDescent="0.25">
      <c r="A143" s="44">
        <v>8</v>
      </c>
      <c r="B143" s="94" t="s">
        <v>95</v>
      </c>
      <c r="C143" s="12">
        <v>100</v>
      </c>
      <c r="D143" s="25">
        <v>1163.5999999999999</v>
      </c>
      <c r="E143" s="14">
        <v>581.79999999999995</v>
      </c>
      <c r="F143" s="14"/>
      <c r="G143" s="14">
        <v>2036.2999999999997</v>
      </c>
      <c r="H143" s="14">
        <v>1454.5</v>
      </c>
      <c r="I143" s="14"/>
      <c r="J143" s="14">
        <v>3490.7999999999997</v>
      </c>
      <c r="K143" s="14">
        <v>290.89999999999998</v>
      </c>
      <c r="L143" s="14"/>
      <c r="M143" s="14"/>
      <c r="N143" s="14">
        <v>290.89999999999998</v>
      </c>
      <c r="O143" s="14"/>
      <c r="P143" s="14">
        <v>1454.5</v>
      </c>
      <c r="Q143" s="14"/>
      <c r="R143" s="14"/>
      <c r="S143" s="14"/>
      <c r="T143" s="14"/>
      <c r="U143" s="13">
        <f t="shared" si="9"/>
        <v>10763.3</v>
      </c>
      <c r="V143" s="14">
        <v>35830.6</v>
      </c>
      <c r="W143" s="15">
        <f t="shared" si="10"/>
        <v>3856554.9697999996</v>
      </c>
      <c r="X143" s="187">
        <f t="shared" si="11"/>
        <v>10763.3</v>
      </c>
      <c r="Y143" s="187">
        <f t="shared" si="12"/>
        <v>0</v>
      </c>
    </row>
    <row r="144" spans="1:26" s="154" customFormat="1" ht="120.75" hidden="1" x14ac:dyDescent="0.25">
      <c r="A144" s="44">
        <v>9</v>
      </c>
      <c r="B144" s="94" t="s">
        <v>41</v>
      </c>
      <c r="C144" s="20"/>
      <c r="D144" s="25"/>
      <c r="E144" s="14"/>
      <c r="F144" s="14"/>
      <c r="G144" s="14"/>
      <c r="H144" s="14"/>
      <c r="I144" s="14"/>
      <c r="J144" s="14">
        <v>0</v>
      </c>
      <c r="K144" s="14"/>
      <c r="L144" s="14"/>
      <c r="M144" s="14"/>
      <c r="N144" s="14"/>
      <c r="O144" s="14"/>
      <c r="P144" s="14">
        <v>0</v>
      </c>
      <c r="Q144" s="14"/>
      <c r="R144" s="14"/>
      <c r="S144" s="14"/>
      <c r="T144" s="14"/>
      <c r="U144" s="13">
        <f t="shared" si="9"/>
        <v>0</v>
      </c>
      <c r="V144" s="13">
        <f>SUM(E144:U144)</f>
        <v>0</v>
      </c>
      <c r="W144" s="13">
        <f>SUM(F144:V144)</f>
        <v>0</v>
      </c>
      <c r="X144" s="187">
        <f t="shared" si="11"/>
        <v>0</v>
      </c>
      <c r="Y144" s="187">
        <f t="shared" si="12"/>
        <v>0</v>
      </c>
    </row>
    <row r="145" spans="1:25" s="154" customFormat="1" ht="75" hidden="1" x14ac:dyDescent="0.25">
      <c r="A145" s="44" t="s">
        <v>42</v>
      </c>
      <c r="B145" s="94" t="s">
        <v>96</v>
      </c>
      <c r="C145" s="12">
        <v>1</v>
      </c>
      <c r="D145" s="25">
        <v>616.66319999999996</v>
      </c>
      <c r="E145" s="14">
        <v>308.33159999999998</v>
      </c>
      <c r="F145" s="14"/>
      <c r="G145" s="14">
        <v>1079.1605999999999</v>
      </c>
      <c r="H145" s="14">
        <v>770.82899999999995</v>
      </c>
      <c r="I145" s="14"/>
      <c r="J145" s="14">
        <v>1849.9895999999999</v>
      </c>
      <c r="K145" s="14">
        <v>154.16579999999999</v>
      </c>
      <c r="L145" s="14"/>
      <c r="M145" s="14"/>
      <c r="N145" s="14">
        <v>154.16579999999999</v>
      </c>
      <c r="O145" s="14"/>
      <c r="P145" s="14">
        <v>770.82899999999995</v>
      </c>
      <c r="Q145" s="14"/>
      <c r="R145" s="14"/>
      <c r="S145" s="14"/>
      <c r="T145" s="14"/>
      <c r="U145" s="13">
        <f t="shared" si="9"/>
        <v>5704.1345999999994</v>
      </c>
      <c r="V145" s="14">
        <v>741.85</v>
      </c>
      <c r="W145" s="15">
        <f t="shared" si="10"/>
        <v>4231612.2530100001</v>
      </c>
      <c r="X145" s="187">
        <f t="shared" si="11"/>
        <v>5704.1345999999994</v>
      </c>
      <c r="Y145" s="187">
        <f t="shared" si="12"/>
        <v>0</v>
      </c>
    </row>
    <row r="146" spans="1:25" s="154" customFormat="1" ht="75" hidden="1" x14ac:dyDescent="0.25">
      <c r="A146" s="44" t="s">
        <v>44</v>
      </c>
      <c r="B146" s="94" t="s">
        <v>97</v>
      </c>
      <c r="C146" s="12">
        <v>1</v>
      </c>
      <c r="D146" s="25">
        <v>73.631249999999994</v>
      </c>
      <c r="E146" s="14">
        <v>36.815624999999997</v>
      </c>
      <c r="F146" s="14"/>
      <c r="G146" s="14">
        <v>128.85468749999998</v>
      </c>
      <c r="H146" s="14">
        <v>92.0390625</v>
      </c>
      <c r="I146" s="14"/>
      <c r="J146" s="14">
        <v>220.89374999999998</v>
      </c>
      <c r="K146" s="14">
        <v>18.407812499999999</v>
      </c>
      <c r="L146" s="14"/>
      <c r="M146" s="14"/>
      <c r="N146" s="14">
        <v>18.407812499999999</v>
      </c>
      <c r="O146" s="14"/>
      <c r="P146" s="14">
        <v>92.0390625</v>
      </c>
      <c r="Q146" s="14"/>
      <c r="R146" s="14"/>
      <c r="S146" s="14"/>
      <c r="T146" s="14"/>
      <c r="U146" s="13">
        <f t="shared" si="9"/>
        <v>681.08906249999995</v>
      </c>
      <c r="V146" s="14">
        <v>595</v>
      </c>
      <c r="W146" s="15">
        <f t="shared" si="10"/>
        <v>405247.9921875</v>
      </c>
      <c r="X146" s="187">
        <f t="shared" si="11"/>
        <v>681.08906249999995</v>
      </c>
      <c r="Y146" s="187">
        <f t="shared" si="12"/>
        <v>0</v>
      </c>
    </row>
    <row r="147" spans="1:25" s="154" customFormat="1" ht="90" hidden="1" x14ac:dyDescent="0.25">
      <c r="A147" s="122">
        <v>10</v>
      </c>
      <c r="B147" s="94" t="s">
        <v>98</v>
      </c>
      <c r="C147" s="29">
        <v>100</v>
      </c>
      <c r="D147" s="25">
        <v>4141.7667000000001</v>
      </c>
      <c r="E147" s="14">
        <v>2070.8833500000001</v>
      </c>
      <c r="F147" s="14"/>
      <c r="G147" s="14">
        <v>7248.0917250000002</v>
      </c>
      <c r="H147" s="14">
        <v>5177.2083750000002</v>
      </c>
      <c r="I147" s="14"/>
      <c r="J147" s="14">
        <v>12425.3001</v>
      </c>
      <c r="K147" s="14">
        <v>1035.441675</v>
      </c>
      <c r="L147" s="14"/>
      <c r="M147" s="14"/>
      <c r="N147" s="14">
        <v>1035.441675</v>
      </c>
      <c r="O147" s="14"/>
      <c r="P147" s="14">
        <v>5177.2083750000002</v>
      </c>
      <c r="Q147" s="14"/>
      <c r="R147" s="14"/>
      <c r="S147" s="14"/>
      <c r="T147" s="14"/>
      <c r="U147" s="13">
        <f t="shared" si="9"/>
        <v>38311.341975000003</v>
      </c>
      <c r="V147" s="14">
        <v>30376.9</v>
      </c>
      <c r="W147" s="15">
        <f t="shared" si="10"/>
        <v>11637798.040403776</v>
      </c>
      <c r="X147" s="187">
        <f t="shared" si="11"/>
        <v>38311.341975000003</v>
      </c>
      <c r="Y147" s="187">
        <f t="shared" si="12"/>
        <v>0</v>
      </c>
    </row>
    <row r="148" spans="1:25" s="154" customFormat="1" ht="180" hidden="1" x14ac:dyDescent="0.25">
      <c r="A148" s="44">
        <v>11</v>
      </c>
      <c r="B148" s="94" t="s">
        <v>99</v>
      </c>
      <c r="C148" s="19">
        <v>1</v>
      </c>
      <c r="D148" s="25">
        <v>128</v>
      </c>
      <c r="E148" s="14">
        <v>64</v>
      </c>
      <c r="F148" s="14"/>
      <c r="G148" s="14">
        <v>224</v>
      </c>
      <c r="H148" s="14">
        <v>160</v>
      </c>
      <c r="I148" s="14"/>
      <c r="J148" s="14">
        <v>384</v>
      </c>
      <c r="K148" s="14">
        <v>32</v>
      </c>
      <c r="L148" s="14"/>
      <c r="M148" s="14"/>
      <c r="N148" s="14">
        <v>32</v>
      </c>
      <c r="O148" s="14"/>
      <c r="P148" s="14">
        <v>160</v>
      </c>
      <c r="Q148" s="14"/>
      <c r="R148" s="14"/>
      <c r="S148" s="14"/>
      <c r="T148" s="14"/>
      <c r="U148" s="13">
        <f t="shared" si="9"/>
        <v>1184</v>
      </c>
      <c r="V148" s="14">
        <v>2180.6999999999998</v>
      </c>
      <c r="W148" s="15">
        <f t="shared" si="10"/>
        <v>2581948.7999999998</v>
      </c>
      <c r="X148" s="187">
        <f t="shared" si="11"/>
        <v>1184</v>
      </c>
      <c r="Y148" s="187">
        <f t="shared" si="12"/>
        <v>0</v>
      </c>
    </row>
    <row r="149" spans="1:25" s="154" customFormat="1" ht="60" x14ac:dyDescent="0.25">
      <c r="A149" s="44">
        <v>12</v>
      </c>
      <c r="B149" s="94" t="s">
        <v>100</v>
      </c>
      <c r="C149" s="19">
        <v>1</v>
      </c>
      <c r="D149" s="25">
        <v>160</v>
      </c>
      <c r="E149" s="14">
        <v>80</v>
      </c>
      <c r="F149" s="14"/>
      <c r="G149" s="14">
        <v>280</v>
      </c>
      <c r="H149" s="14">
        <v>200</v>
      </c>
      <c r="I149" s="14"/>
      <c r="J149" s="14">
        <v>480</v>
      </c>
      <c r="K149" s="14">
        <v>40</v>
      </c>
      <c r="L149" s="14"/>
      <c r="M149" s="14"/>
      <c r="N149" s="14">
        <v>40</v>
      </c>
      <c r="O149" s="14"/>
      <c r="P149" s="14">
        <v>200</v>
      </c>
      <c r="Q149" s="14"/>
      <c r="R149" s="14"/>
      <c r="S149" s="14"/>
      <c r="T149" s="14"/>
      <c r="U149" s="13">
        <f t="shared" si="9"/>
        <v>1480</v>
      </c>
      <c r="V149" s="14">
        <v>457.1</v>
      </c>
      <c r="W149" s="15">
        <f t="shared" si="10"/>
        <v>676508</v>
      </c>
      <c r="X149" s="187">
        <f t="shared" si="11"/>
        <v>1480</v>
      </c>
      <c r="Y149" s="187">
        <f t="shared" si="12"/>
        <v>0</v>
      </c>
    </row>
    <row r="150" spans="1:25" s="154" customFormat="1" ht="45" hidden="1" x14ac:dyDescent="0.25">
      <c r="A150" s="44">
        <v>13</v>
      </c>
      <c r="B150" s="94" t="s">
        <v>101</v>
      </c>
      <c r="C150" s="19">
        <v>1</v>
      </c>
      <c r="D150" s="25">
        <v>196</v>
      </c>
      <c r="E150" s="14">
        <v>98</v>
      </c>
      <c r="F150" s="14"/>
      <c r="G150" s="14">
        <v>343</v>
      </c>
      <c r="H150" s="14">
        <v>245</v>
      </c>
      <c r="I150" s="14"/>
      <c r="J150" s="14">
        <v>588</v>
      </c>
      <c r="K150" s="14">
        <v>49</v>
      </c>
      <c r="L150" s="14"/>
      <c r="M150" s="14"/>
      <c r="N150" s="14">
        <v>49</v>
      </c>
      <c r="O150" s="14"/>
      <c r="P150" s="14">
        <v>245</v>
      </c>
      <c r="Q150" s="14"/>
      <c r="R150" s="14"/>
      <c r="S150" s="14"/>
      <c r="T150" s="14"/>
      <c r="U150" s="13">
        <f t="shared" si="9"/>
        <v>1813</v>
      </c>
      <c r="V150" s="14">
        <v>2767</v>
      </c>
      <c r="W150" s="15">
        <f t="shared" si="10"/>
        <v>5016571</v>
      </c>
      <c r="X150" s="187">
        <f t="shared" si="11"/>
        <v>1813</v>
      </c>
      <c r="Y150" s="187">
        <f t="shared" si="12"/>
        <v>0</v>
      </c>
    </row>
    <row r="151" spans="1:25" s="154" customFormat="1" ht="75" hidden="1" x14ac:dyDescent="0.25">
      <c r="A151" s="44">
        <v>14</v>
      </c>
      <c r="B151" s="94" t="s">
        <v>102</v>
      </c>
      <c r="C151" s="19">
        <v>100</v>
      </c>
      <c r="D151" s="25">
        <v>382.25</v>
      </c>
      <c r="E151" s="14">
        <v>191.125</v>
      </c>
      <c r="F151" s="14"/>
      <c r="G151" s="14">
        <v>668.9375</v>
      </c>
      <c r="H151" s="14">
        <v>477.8125</v>
      </c>
      <c r="I151" s="14"/>
      <c r="J151" s="14">
        <v>1146.75</v>
      </c>
      <c r="K151" s="14">
        <v>95.5625</v>
      </c>
      <c r="L151" s="14"/>
      <c r="M151" s="14"/>
      <c r="N151" s="14">
        <v>95.5625</v>
      </c>
      <c r="O151" s="14"/>
      <c r="P151" s="14">
        <v>477.8125</v>
      </c>
      <c r="Q151" s="14"/>
      <c r="R151" s="14"/>
      <c r="S151" s="14"/>
      <c r="T151" s="14"/>
      <c r="U151" s="13">
        <f t="shared" si="9"/>
        <v>3535.8125</v>
      </c>
      <c r="V151" s="14">
        <v>13179.6</v>
      </c>
      <c r="W151" s="15">
        <f t="shared" si="10"/>
        <v>466005.94425000006</v>
      </c>
      <c r="X151" s="187">
        <f t="shared" si="11"/>
        <v>3535.8125</v>
      </c>
      <c r="Y151" s="187">
        <f t="shared" si="12"/>
        <v>0</v>
      </c>
    </row>
    <row r="152" spans="1:25" s="154" customFormat="1" ht="30" x14ac:dyDescent="0.25">
      <c r="A152" s="44">
        <v>15</v>
      </c>
      <c r="B152" s="94" t="s">
        <v>103</v>
      </c>
      <c r="C152" s="19">
        <v>1</v>
      </c>
      <c r="D152" s="25">
        <v>398.25</v>
      </c>
      <c r="E152" s="14">
        <v>199.125</v>
      </c>
      <c r="F152" s="14"/>
      <c r="G152" s="14">
        <v>696.9375</v>
      </c>
      <c r="H152" s="14">
        <v>497.8125</v>
      </c>
      <c r="I152" s="14"/>
      <c r="J152" s="14">
        <v>1194.75</v>
      </c>
      <c r="K152" s="14">
        <v>99.5625</v>
      </c>
      <c r="L152" s="14"/>
      <c r="M152" s="14"/>
      <c r="N152" s="14">
        <v>99.5625</v>
      </c>
      <c r="O152" s="14"/>
      <c r="P152" s="14">
        <v>497.8125</v>
      </c>
      <c r="Q152" s="14"/>
      <c r="R152" s="14"/>
      <c r="S152" s="14"/>
      <c r="T152" s="14"/>
      <c r="U152" s="13">
        <f t="shared" si="9"/>
        <v>3683.8125</v>
      </c>
      <c r="V152" s="14">
        <v>11</v>
      </c>
      <c r="W152" s="15">
        <f t="shared" si="10"/>
        <v>40521.9375</v>
      </c>
      <c r="X152" s="187">
        <f t="shared" si="11"/>
        <v>3683.8125</v>
      </c>
      <c r="Y152" s="187">
        <f t="shared" si="12"/>
        <v>0</v>
      </c>
    </row>
    <row r="153" spans="1:25" s="154" customFormat="1" x14ac:dyDescent="0.25">
      <c r="A153" s="44">
        <v>16</v>
      </c>
      <c r="B153" s="94" t="s">
        <v>104</v>
      </c>
      <c r="C153" s="12">
        <v>100</v>
      </c>
      <c r="D153" s="25">
        <v>163.75</v>
      </c>
      <c r="E153" s="14">
        <v>81.875</v>
      </c>
      <c r="F153" s="14"/>
      <c r="G153" s="14">
        <v>286.5625</v>
      </c>
      <c r="H153" s="14">
        <v>204.6875</v>
      </c>
      <c r="I153" s="14"/>
      <c r="J153" s="14">
        <v>491.25</v>
      </c>
      <c r="K153" s="14">
        <v>40.9375</v>
      </c>
      <c r="L153" s="14"/>
      <c r="M153" s="14"/>
      <c r="N153" s="14">
        <v>40.9375</v>
      </c>
      <c r="O153" s="14"/>
      <c r="P153" s="14">
        <v>204.6875</v>
      </c>
      <c r="Q153" s="14"/>
      <c r="R153" s="14"/>
      <c r="S153" s="14"/>
      <c r="T153" s="14"/>
      <c r="U153" s="13">
        <f t="shared" si="9"/>
        <v>1514.6875</v>
      </c>
      <c r="V153" s="25">
        <v>3987</v>
      </c>
      <c r="W153" s="15">
        <f t="shared" si="10"/>
        <v>60390.590624999997</v>
      </c>
      <c r="X153" s="187">
        <f t="shared" si="11"/>
        <v>1514.6875</v>
      </c>
      <c r="Y153" s="187">
        <f t="shared" si="12"/>
        <v>0</v>
      </c>
    </row>
    <row r="154" spans="1:25" s="154" customFormat="1" ht="45" x14ac:dyDescent="0.25">
      <c r="A154" s="44">
        <v>17</v>
      </c>
      <c r="B154" s="94" t="s">
        <v>105</v>
      </c>
      <c r="C154" s="12">
        <v>100</v>
      </c>
      <c r="D154" s="25">
        <v>195.75</v>
      </c>
      <c r="E154" s="14">
        <v>97.875</v>
      </c>
      <c r="F154" s="14"/>
      <c r="G154" s="14">
        <v>342.5625</v>
      </c>
      <c r="H154" s="14">
        <v>244.6875</v>
      </c>
      <c r="I154" s="14"/>
      <c r="J154" s="14">
        <v>587.25</v>
      </c>
      <c r="K154" s="14">
        <v>48.9375</v>
      </c>
      <c r="L154" s="14"/>
      <c r="M154" s="14"/>
      <c r="N154" s="14">
        <v>48.9375</v>
      </c>
      <c r="O154" s="14"/>
      <c r="P154" s="14">
        <v>244.6875</v>
      </c>
      <c r="Q154" s="14"/>
      <c r="R154" s="14"/>
      <c r="S154" s="14"/>
      <c r="T154" s="14"/>
      <c r="U154" s="13">
        <f t="shared" si="9"/>
        <v>1810.6875</v>
      </c>
      <c r="V154" s="25">
        <v>12801.2</v>
      </c>
      <c r="W154" s="15">
        <f t="shared" si="10"/>
        <v>231789.72825000004</v>
      </c>
      <c r="X154" s="187">
        <f t="shared" si="11"/>
        <v>1810.6875</v>
      </c>
      <c r="Y154" s="187">
        <f t="shared" si="12"/>
        <v>0</v>
      </c>
    </row>
    <row r="155" spans="1:25" s="154" customFormat="1" ht="45" x14ac:dyDescent="0.25">
      <c r="A155" s="44">
        <v>18</v>
      </c>
      <c r="B155" s="92" t="s">
        <v>106</v>
      </c>
      <c r="C155" s="20"/>
      <c r="D155" s="20"/>
      <c r="E155" s="20"/>
      <c r="F155" s="20"/>
      <c r="G155" s="20"/>
      <c r="H155" s="20"/>
      <c r="I155" s="20"/>
      <c r="J155" s="20"/>
      <c r="K155" s="20"/>
      <c r="L155" s="20"/>
      <c r="M155" s="20"/>
      <c r="N155" s="20"/>
      <c r="O155" s="20"/>
      <c r="P155" s="20"/>
      <c r="Q155" s="20"/>
      <c r="R155" s="20"/>
      <c r="S155" s="20"/>
      <c r="T155" s="20"/>
      <c r="U155" s="13">
        <f t="shared" si="9"/>
        <v>0</v>
      </c>
      <c r="V155" s="20"/>
      <c r="W155" s="20"/>
      <c r="X155" s="187">
        <f t="shared" si="11"/>
        <v>0</v>
      </c>
      <c r="Y155" s="187">
        <f t="shared" si="12"/>
        <v>0</v>
      </c>
    </row>
    <row r="156" spans="1:25" s="154" customFormat="1" x14ac:dyDescent="0.25">
      <c r="A156" s="44"/>
      <c r="B156" s="92" t="s">
        <v>107</v>
      </c>
      <c r="C156" s="12">
        <v>100</v>
      </c>
      <c r="D156" s="25">
        <v>183.44</v>
      </c>
      <c r="E156" s="14">
        <v>91.72</v>
      </c>
      <c r="F156" s="14"/>
      <c r="G156" s="14">
        <v>321.02</v>
      </c>
      <c r="H156" s="14">
        <v>229.3</v>
      </c>
      <c r="I156" s="14"/>
      <c r="J156" s="14">
        <v>550.31999999999994</v>
      </c>
      <c r="K156" s="14">
        <v>45.86</v>
      </c>
      <c r="L156" s="14"/>
      <c r="M156" s="14"/>
      <c r="N156" s="14">
        <v>45.86</v>
      </c>
      <c r="O156" s="14"/>
      <c r="P156" s="14">
        <v>229.3</v>
      </c>
      <c r="Q156" s="14"/>
      <c r="R156" s="14"/>
      <c r="S156" s="14"/>
      <c r="T156" s="14"/>
      <c r="U156" s="13">
        <f t="shared" si="9"/>
        <v>1696.8199999999997</v>
      </c>
      <c r="V156" s="14">
        <v>47135.9</v>
      </c>
      <c r="W156" s="15">
        <f t="shared" si="10"/>
        <v>799811.37837999989</v>
      </c>
      <c r="X156" s="187">
        <f t="shared" si="11"/>
        <v>1696.82</v>
      </c>
      <c r="Y156" s="187">
        <f t="shared" si="12"/>
        <v>0</v>
      </c>
    </row>
    <row r="157" spans="1:25" s="154" customFormat="1" ht="30" x14ac:dyDescent="0.25">
      <c r="A157" s="44">
        <v>19</v>
      </c>
      <c r="B157" s="94" t="s">
        <v>108</v>
      </c>
      <c r="C157" s="19">
        <v>100</v>
      </c>
      <c r="D157" s="25">
        <v>2273.2200000000003</v>
      </c>
      <c r="E157" s="14">
        <v>1136.6100000000001</v>
      </c>
      <c r="F157" s="14"/>
      <c r="G157" s="14">
        <v>3978.1350000000002</v>
      </c>
      <c r="H157" s="14">
        <v>2841.5250000000005</v>
      </c>
      <c r="I157" s="14"/>
      <c r="J157" s="14">
        <v>6819.6600000000008</v>
      </c>
      <c r="K157" s="14">
        <v>568.30500000000006</v>
      </c>
      <c r="L157" s="14"/>
      <c r="M157" s="14"/>
      <c r="N157" s="14">
        <v>568.30500000000006</v>
      </c>
      <c r="O157" s="14"/>
      <c r="P157" s="14">
        <v>2841.5250000000005</v>
      </c>
      <c r="Q157" s="14"/>
      <c r="R157" s="14"/>
      <c r="S157" s="14"/>
      <c r="T157" s="14"/>
      <c r="U157" s="13">
        <f t="shared" si="9"/>
        <v>21027.285000000003</v>
      </c>
      <c r="V157" s="25">
        <v>4614.1000000000004</v>
      </c>
      <c r="W157" s="15">
        <f t="shared" si="10"/>
        <v>970219.95718500018</v>
      </c>
      <c r="X157" s="187">
        <f t="shared" si="11"/>
        <v>21027.285000000003</v>
      </c>
      <c r="Y157" s="187">
        <f t="shared" si="12"/>
        <v>0</v>
      </c>
    </row>
    <row r="158" spans="1:25" s="154" customFormat="1" ht="45" hidden="1" x14ac:dyDescent="0.25">
      <c r="A158" s="44">
        <v>20</v>
      </c>
      <c r="B158" s="94" t="s">
        <v>109</v>
      </c>
      <c r="C158" s="19">
        <v>100</v>
      </c>
      <c r="D158" s="25">
        <v>458.08</v>
      </c>
      <c r="E158" s="14">
        <v>229.04</v>
      </c>
      <c r="F158" s="14"/>
      <c r="G158" s="14">
        <v>801.64</v>
      </c>
      <c r="H158" s="14">
        <v>572.6</v>
      </c>
      <c r="I158" s="14"/>
      <c r="J158" s="14">
        <v>1374.24</v>
      </c>
      <c r="K158" s="14">
        <v>114.52</v>
      </c>
      <c r="L158" s="14"/>
      <c r="M158" s="14"/>
      <c r="N158" s="14">
        <v>114.52</v>
      </c>
      <c r="O158" s="14"/>
      <c r="P158" s="14">
        <v>572.6</v>
      </c>
      <c r="Q158" s="14"/>
      <c r="R158" s="14"/>
      <c r="S158" s="14"/>
      <c r="T158" s="14"/>
      <c r="U158" s="13">
        <f t="shared" si="9"/>
        <v>4237.2400000000007</v>
      </c>
      <c r="V158" s="25">
        <v>5264.65</v>
      </c>
      <c r="W158" s="15">
        <f t="shared" si="10"/>
        <v>223075.85566000003</v>
      </c>
      <c r="X158" s="187">
        <f t="shared" si="11"/>
        <v>4237.24</v>
      </c>
      <c r="Y158" s="187">
        <f t="shared" si="12"/>
        <v>0</v>
      </c>
    </row>
    <row r="159" spans="1:25" s="154" customFormat="1" ht="60" x14ac:dyDescent="0.25">
      <c r="A159" s="44">
        <v>21</v>
      </c>
      <c r="B159" s="94" t="s">
        <v>110</v>
      </c>
      <c r="C159" s="19">
        <v>100</v>
      </c>
      <c r="D159" s="25">
        <v>1959.5</v>
      </c>
      <c r="E159" s="14">
        <v>979.75</v>
      </c>
      <c r="F159" s="14"/>
      <c r="G159" s="14">
        <v>3429.125</v>
      </c>
      <c r="H159" s="14">
        <v>2449.375</v>
      </c>
      <c r="I159" s="14"/>
      <c r="J159" s="14">
        <v>5878.5</v>
      </c>
      <c r="K159" s="14">
        <v>489.875</v>
      </c>
      <c r="L159" s="14"/>
      <c r="M159" s="14"/>
      <c r="N159" s="14">
        <v>489.875</v>
      </c>
      <c r="O159" s="14"/>
      <c r="P159" s="14">
        <v>2449.375</v>
      </c>
      <c r="Q159" s="14"/>
      <c r="R159" s="14"/>
      <c r="S159" s="14"/>
      <c r="T159" s="14"/>
      <c r="U159" s="13">
        <f t="shared" si="9"/>
        <v>18125.375</v>
      </c>
      <c r="V159" s="25">
        <v>5012.6499999999996</v>
      </c>
      <c r="W159" s="15">
        <f t="shared" si="10"/>
        <v>908561.60993749986</v>
      </c>
      <c r="X159" s="187">
        <f t="shared" si="11"/>
        <v>18125.375</v>
      </c>
      <c r="Y159" s="187">
        <f t="shared" si="12"/>
        <v>0</v>
      </c>
    </row>
    <row r="160" spans="1:25" s="154" customFormat="1" ht="45" x14ac:dyDescent="0.25">
      <c r="A160" s="44">
        <v>22</v>
      </c>
      <c r="B160" s="94" t="s">
        <v>111</v>
      </c>
      <c r="C160" s="36">
        <v>1</v>
      </c>
      <c r="D160" s="25">
        <v>52</v>
      </c>
      <c r="E160" s="14">
        <v>26</v>
      </c>
      <c r="F160" s="14"/>
      <c r="G160" s="14">
        <v>91</v>
      </c>
      <c r="H160" s="14">
        <v>65</v>
      </c>
      <c r="I160" s="14"/>
      <c r="J160" s="14">
        <v>156</v>
      </c>
      <c r="K160" s="14">
        <v>13</v>
      </c>
      <c r="L160" s="14"/>
      <c r="M160" s="14"/>
      <c r="N160" s="14">
        <v>13</v>
      </c>
      <c r="O160" s="14"/>
      <c r="P160" s="14">
        <v>65</v>
      </c>
      <c r="Q160" s="14"/>
      <c r="R160" s="14"/>
      <c r="S160" s="14"/>
      <c r="T160" s="14"/>
      <c r="U160" s="13">
        <f t="shared" si="9"/>
        <v>481</v>
      </c>
      <c r="V160" s="25">
        <v>514.9</v>
      </c>
      <c r="W160" s="15">
        <f t="shared" si="10"/>
        <v>247666.9</v>
      </c>
      <c r="X160" s="187">
        <f t="shared" si="11"/>
        <v>481</v>
      </c>
      <c r="Y160" s="187">
        <f t="shared" si="12"/>
        <v>0</v>
      </c>
    </row>
    <row r="161" spans="1:25" s="154" customFormat="1" ht="30" x14ac:dyDescent="0.25">
      <c r="A161" s="44">
        <v>23</v>
      </c>
      <c r="B161" s="94" t="s">
        <v>112</v>
      </c>
      <c r="C161" s="37">
        <v>1</v>
      </c>
      <c r="D161" s="25">
        <v>8</v>
      </c>
      <c r="E161" s="14">
        <v>4</v>
      </c>
      <c r="F161" s="14"/>
      <c r="G161" s="14">
        <v>14</v>
      </c>
      <c r="H161" s="14">
        <v>10</v>
      </c>
      <c r="I161" s="14"/>
      <c r="J161" s="14">
        <v>24</v>
      </c>
      <c r="K161" s="14">
        <v>2</v>
      </c>
      <c r="L161" s="14"/>
      <c r="M161" s="14"/>
      <c r="N161" s="14">
        <v>2</v>
      </c>
      <c r="O161" s="14"/>
      <c r="P161" s="14">
        <v>10</v>
      </c>
      <c r="Q161" s="14"/>
      <c r="R161" s="14"/>
      <c r="S161" s="14"/>
      <c r="T161" s="14"/>
      <c r="U161" s="13">
        <f t="shared" si="9"/>
        <v>74</v>
      </c>
      <c r="V161" s="25">
        <v>849.7</v>
      </c>
      <c r="W161" s="15">
        <f t="shared" si="10"/>
        <v>62877.8</v>
      </c>
      <c r="X161" s="187">
        <f t="shared" si="11"/>
        <v>74</v>
      </c>
      <c r="Y161" s="187">
        <f t="shared" si="12"/>
        <v>0</v>
      </c>
    </row>
    <row r="162" spans="1:25" s="154" customFormat="1" x14ac:dyDescent="0.25">
      <c r="A162" s="44">
        <v>24</v>
      </c>
      <c r="B162" s="94" t="s">
        <v>113</v>
      </c>
      <c r="C162" s="37">
        <v>1</v>
      </c>
      <c r="D162" s="25">
        <v>4</v>
      </c>
      <c r="E162" s="14">
        <v>2</v>
      </c>
      <c r="F162" s="14"/>
      <c r="G162" s="14">
        <v>7</v>
      </c>
      <c r="H162" s="14">
        <v>5</v>
      </c>
      <c r="I162" s="14"/>
      <c r="J162" s="14">
        <v>12</v>
      </c>
      <c r="K162" s="14">
        <v>1</v>
      </c>
      <c r="L162" s="14"/>
      <c r="M162" s="14"/>
      <c r="N162" s="14">
        <v>1</v>
      </c>
      <c r="O162" s="14"/>
      <c r="P162" s="14">
        <v>5</v>
      </c>
      <c r="Q162" s="14"/>
      <c r="R162" s="14"/>
      <c r="S162" s="14"/>
      <c r="T162" s="14"/>
      <c r="U162" s="13">
        <f t="shared" si="9"/>
        <v>37</v>
      </c>
      <c r="V162" s="25">
        <v>1159.6500000000001</v>
      </c>
      <c r="W162" s="15">
        <f t="shared" si="10"/>
        <v>42907.05</v>
      </c>
      <c r="X162" s="187">
        <f t="shared" si="11"/>
        <v>37</v>
      </c>
      <c r="Y162" s="187">
        <f t="shared" si="12"/>
        <v>0</v>
      </c>
    </row>
    <row r="163" spans="1:25" s="154" customFormat="1" x14ac:dyDescent="0.25">
      <c r="A163" s="44">
        <v>25</v>
      </c>
      <c r="B163" s="94" t="s">
        <v>114</v>
      </c>
      <c r="C163" s="19">
        <v>100</v>
      </c>
      <c r="D163" s="25">
        <v>2041.08</v>
      </c>
      <c r="E163" s="14">
        <v>1020.54</v>
      </c>
      <c r="F163" s="14"/>
      <c r="G163" s="14">
        <v>3571.89</v>
      </c>
      <c r="H163" s="14">
        <v>2551.35</v>
      </c>
      <c r="I163" s="14"/>
      <c r="J163" s="14">
        <v>6123.24</v>
      </c>
      <c r="K163" s="14">
        <v>510.27</v>
      </c>
      <c r="L163" s="14"/>
      <c r="M163" s="14"/>
      <c r="N163" s="14">
        <v>510.27</v>
      </c>
      <c r="O163" s="14"/>
      <c r="P163" s="14">
        <v>2551.35</v>
      </c>
      <c r="Q163" s="14"/>
      <c r="R163" s="14"/>
      <c r="S163" s="14"/>
      <c r="T163" s="14"/>
      <c r="U163" s="13">
        <f t="shared" si="9"/>
        <v>18879.990000000002</v>
      </c>
      <c r="V163" s="25">
        <v>1548.2</v>
      </c>
      <c r="W163" s="15">
        <f t="shared" si="10"/>
        <v>292300.00518000004</v>
      </c>
      <c r="X163" s="187">
        <f t="shared" si="11"/>
        <v>18879.989999999998</v>
      </c>
      <c r="Y163" s="187">
        <f t="shared" si="12"/>
        <v>0</v>
      </c>
    </row>
    <row r="164" spans="1:25" s="154" customFormat="1" ht="45" x14ac:dyDescent="0.25">
      <c r="A164" s="44">
        <v>26</v>
      </c>
      <c r="B164" s="94" t="s">
        <v>115</v>
      </c>
      <c r="C164" s="19">
        <v>100</v>
      </c>
      <c r="D164" s="25">
        <v>690.22</v>
      </c>
      <c r="E164" s="14">
        <v>345.11</v>
      </c>
      <c r="F164" s="14"/>
      <c r="G164" s="14">
        <v>1207.885</v>
      </c>
      <c r="H164" s="14">
        <v>862.77500000000009</v>
      </c>
      <c r="I164" s="14"/>
      <c r="J164" s="14">
        <v>2070.66</v>
      </c>
      <c r="K164" s="14">
        <v>172.55500000000001</v>
      </c>
      <c r="L164" s="14"/>
      <c r="M164" s="14"/>
      <c r="N164" s="14">
        <v>172.55500000000001</v>
      </c>
      <c r="O164" s="14"/>
      <c r="P164" s="14">
        <v>862.77500000000009</v>
      </c>
      <c r="Q164" s="14"/>
      <c r="R164" s="14"/>
      <c r="S164" s="14"/>
      <c r="T164" s="14"/>
      <c r="U164" s="13">
        <f t="shared" si="9"/>
        <v>6384.5349999999999</v>
      </c>
      <c r="V164" s="25">
        <v>7379.1</v>
      </c>
      <c r="W164" s="15">
        <f t="shared" si="10"/>
        <v>471121.22218500002</v>
      </c>
      <c r="X164" s="187">
        <f t="shared" si="11"/>
        <v>6384.5349999999999</v>
      </c>
      <c r="Y164" s="187">
        <f t="shared" si="12"/>
        <v>0</v>
      </c>
    </row>
    <row r="165" spans="1:25" s="154" customFormat="1" ht="30" x14ac:dyDescent="0.25">
      <c r="A165" s="44">
        <v>27</v>
      </c>
      <c r="B165" s="94" t="s">
        <v>116</v>
      </c>
      <c r="C165" s="19">
        <v>100</v>
      </c>
      <c r="D165" s="25">
        <v>356</v>
      </c>
      <c r="E165" s="14">
        <v>178</v>
      </c>
      <c r="F165" s="14"/>
      <c r="G165" s="14">
        <v>623</v>
      </c>
      <c r="H165" s="14">
        <v>445</v>
      </c>
      <c r="I165" s="14"/>
      <c r="J165" s="14">
        <v>1068</v>
      </c>
      <c r="K165" s="14">
        <v>89</v>
      </c>
      <c r="L165" s="14"/>
      <c r="M165" s="14"/>
      <c r="N165" s="14">
        <v>89</v>
      </c>
      <c r="O165" s="14"/>
      <c r="P165" s="14">
        <v>445</v>
      </c>
      <c r="Q165" s="14"/>
      <c r="R165" s="14"/>
      <c r="S165" s="14"/>
      <c r="T165" s="14"/>
      <c r="U165" s="13">
        <f t="shared" si="9"/>
        <v>3293</v>
      </c>
      <c r="V165" s="25">
        <v>3052.4</v>
      </c>
      <c r="W165" s="15">
        <f t="shared" si="10"/>
        <v>100515.53200000001</v>
      </c>
      <c r="X165" s="187">
        <f t="shared" si="11"/>
        <v>3293</v>
      </c>
      <c r="Y165" s="187">
        <f t="shared" si="12"/>
        <v>0</v>
      </c>
    </row>
    <row r="166" spans="1:25" s="154" customFormat="1" ht="60" hidden="1" x14ac:dyDescent="0.25">
      <c r="A166" s="44">
        <v>28</v>
      </c>
      <c r="B166" s="92" t="s">
        <v>117</v>
      </c>
      <c r="C166" s="29">
        <v>100</v>
      </c>
      <c r="D166" s="25">
        <v>1339.834890683117</v>
      </c>
      <c r="E166" s="14">
        <v>669.9174453415585</v>
      </c>
      <c r="F166" s="14"/>
      <c r="G166" s="14">
        <v>2344.711058695455</v>
      </c>
      <c r="H166" s="14">
        <v>1674.7936133538963</v>
      </c>
      <c r="I166" s="14"/>
      <c r="J166" s="14">
        <v>4019.504672049351</v>
      </c>
      <c r="K166" s="14">
        <v>334.95872267077925</v>
      </c>
      <c r="L166" s="14"/>
      <c r="M166" s="14"/>
      <c r="N166" s="14">
        <v>334.95872267077925</v>
      </c>
      <c r="O166" s="14"/>
      <c r="P166" s="14">
        <v>1674.7936133538963</v>
      </c>
      <c r="Q166" s="14"/>
      <c r="R166" s="14"/>
      <c r="S166" s="14"/>
      <c r="T166" s="14"/>
      <c r="U166" s="13">
        <f t="shared" si="9"/>
        <v>12393.472738818833</v>
      </c>
      <c r="V166" s="14">
        <v>37098.85</v>
      </c>
      <c r="W166" s="15">
        <f t="shared" si="10"/>
        <v>4597835.8611652907</v>
      </c>
      <c r="X166" s="187">
        <f t="shared" si="11"/>
        <v>12393.472738818833</v>
      </c>
      <c r="Y166" s="187">
        <f t="shared" si="12"/>
        <v>0</v>
      </c>
    </row>
    <row r="167" spans="1:25" s="154" customFormat="1" ht="45" x14ac:dyDescent="0.25">
      <c r="A167" s="44">
        <v>29</v>
      </c>
      <c r="B167" s="94" t="s">
        <v>118</v>
      </c>
      <c r="C167" s="20"/>
      <c r="D167" s="20"/>
      <c r="E167" s="20"/>
      <c r="F167" s="20"/>
      <c r="G167" s="20"/>
      <c r="H167" s="20"/>
      <c r="I167" s="20"/>
      <c r="J167" s="20"/>
      <c r="K167" s="20"/>
      <c r="L167" s="20"/>
      <c r="M167" s="20"/>
      <c r="N167" s="20"/>
      <c r="O167" s="20"/>
      <c r="P167" s="20"/>
      <c r="Q167" s="20"/>
      <c r="R167" s="20"/>
      <c r="S167" s="20"/>
      <c r="T167" s="20"/>
      <c r="U167" s="13">
        <f t="shared" si="9"/>
        <v>0</v>
      </c>
      <c r="V167" s="20"/>
      <c r="W167" s="20"/>
      <c r="X167" s="187">
        <f t="shared" si="11"/>
        <v>0</v>
      </c>
      <c r="Y167" s="187">
        <f t="shared" si="12"/>
        <v>0</v>
      </c>
    </row>
    <row r="168" spans="1:25" s="154" customFormat="1" hidden="1" x14ac:dyDescent="0.25">
      <c r="A168" s="44" t="s">
        <v>42</v>
      </c>
      <c r="B168" s="94" t="s">
        <v>119</v>
      </c>
      <c r="C168" s="36">
        <v>1</v>
      </c>
      <c r="D168" s="25">
        <v>240</v>
      </c>
      <c r="E168" s="14">
        <v>120</v>
      </c>
      <c r="F168" s="25"/>
      <c r="G168" s="14">
        <v>420</v>
      </c>
      <c r="H168" s="14">
        <v>300</v>
      </c>
      <c r="I168" s="25"/>
      <c r="J168" s="14">
        <v>720</v>
      </c>
      <c r="K168" s="14">
        <v>60</v>
      </c>
      <c r="L168" s="25"/>
      <c r="M168" s="25"/>
      <c r="N168" s="14">
        <v>60</v>
      </c>
      <c r="O168" s="25"/>
      <c r="P168" s="14">
        <v>300</v>
      </c>
      <c r="Q168" s="25"/>
      <c r="R168" s="25"/>
      <c r="S168" s="25"/>
      <c r="T168" s="25"/>
      <c r="U168" s="13">
        <f t="shared" si="9"/>
        <v>2220</v>
      </c>
      <c r="V168" s="25">
        <v>112.25</v>
      </c>
      <c r="W168" s="15">
        <f t="shared" si="10"/>
        <v>249195</v>
      </c>
      <c r="X168" s="187">
        <f t="shared" si="11"/>
        <v>2220</v>
      </c>
      <c r="Y168" s="187">
        <f t="shared" si="12"/>
        <v>0</v>
      </c>
    </row>
    <row r="169" spans="1:25" s="154" customFormat="1" hidden="1" x14ac:dyDescent="0.25">
      <c r="A169" s="44" t="s">
        <v>44</v>
      </c>
      <c r="B169" s="94" t="s">
        <v>120</v>
      </c>
      <c r="C169" s="36">
        <v>1</v>
      </c>
      <c r="D169" s="25">
        <v>120</v>
      </c>
      <c r="E169" s="14">
        <v>60</v>
      </c>
      <c r="F169" s="25"/>
      <c r="G169" s="14">
        <v>210</v>
      </c>
      <c r="H169" s="14">
        <v>150</v>
      </c>
      <c r="I169" s="25"/>
      <c r="J169" s="14">
        <v>360</v>
      </c>
      <c r="K169" s="14">
        <v>30</v>
      </c>
      <c r="L169" s="25"/>
      <c r="M169" s="25"/>
      <c r="N169" s="14">
        <v>30</v>
      </c>
      <c r="O169" s="25"/>
      <c r="P169" s="14">
        <v>150</v>
      </c>
      <c r="Q169" s="25"/>
      <c r="R169" s="25"/>
      <c r="S169" s="25"/>
      <c r="T169" s="25"/>
      <c r="U169" s="13">
        <f t="shared" si="9"/>
        <v>1110</v>
      </c>
      <c r="V169" s="25">
        <v>133.6</v>
      </c>
      <c r="W169" s="15">
        <f t="shared" si="10"/>
        <v>148296</v>
      </c>
      <c r="X169" s="187">
        <f t="shared" si="11"/>
        <v>1110</v>
      </c>
      <c r="Y169" s="187">
        <f t="shared" si="12"/>
        <v>0</v>
      </c>
    </row>
    <row r="170" spans="1:25" s="154" customFormat="1" hidden="1" x14ac:dyDescent="0.25">
      <c r="A170" s="44" t="s">
        <v>121</v>
      </c>
      <c r="B170" s="94" t="s">
        <v>122</v>
      </c>
      <c r="C170" s="36">
        <v>1</v>
      </c>
      <c r="D170" s="25">
        <v>60</v>
      </c>
      <c r="E170" s="14">
        <v>30</v>
      </c>
      <c r="F170" s="25"/>
      <c r="G170" s="14">
        <v>105</v>
      </c>
      <c r="H170" s="14">
        <v>75</v>
      </c>
      <c r="I170" s="25"/>
      <c r="J170" s="14">
        <v>180</v>
      </c>
      <c r="K170" s="14">
        <v>15</v>
      </c>
      <c r="L170" s="25"/>
      <c r="M170" s="25"/>
      <c r="N170" s="14">
        <v>15</v>
      </c>
      <c r="O170" s="25"/>
      <c r="P170" s="14">
        <v>75</v>
      </c>
      <c r="Q170" s="25"/>
      <c r="R170" s="25"/>
      <c r="S170" s="25"/>
      <c r="T170" s="25"/>
      <c r="U170" s="13">
        <f t="shared" si="9"/>
        <v>555</v>
      </c>
      <c r="V170" s="25">
        <v>231.55</v>
      </c>
      <c r="W170" s="15">
        <f t="shared" si="10"/>
        <v>128510.25</v>
      </c>
      <c r="X170" s="187">
        <f t="shared" si="11"/>
        <v>555</v>
      </c>
      <c r="Y170" s="187">
        <f t="shared" si="12"/>
        <v>0</v>
      </c>
    </row>
    <row r="171" spans="1:25" s="154" customFormat="1" ht="75" x14ac:dyDescent="0.25">
      <c r="A171" s="44">
        <v>30</v>
      </c>
      <c r="B171" s="94" t="s">
        <v>123</v>
      </c>
      <c r="C171" s="20"/>
      <c r="D171" s="20"/>
      <c r="E171" s="20"/>
      <c r="F171" s="20"/>
      <c r="G171" s="20"/>
      <c r="H171" s="20"/>
      <c r="I171" s="20"/>
      <c r="J171" s="20"/>
      <c r="K171" s="20"/>
      <c r="L171" s="20"/>
      <c r="M171" s="20"/>
      <c r="N171" s="20"/>
      <c r="O171" s="20"/>
      <c r="P171" s="20"/>
      <c r="Q171" s="20"/>
      <c r="R171" s="20"/>
      <c r="S171" s="20"/>
      <c r="T171" s="20"/>
      <c r="U171" s="13">
        <f t="shared" si="9"/>
        <v>0</v>
      </c>
      <c r="V171" s="20"/>
      <c r="W171" s="20"/>
      <c r="X171" s="187">
        <f t="shared" si="11"/>
        <v>0</v>
      </c>
      <c r="Y171" s="187">
        <f t="shared" si="12"/>
        <v>0</v>
      </c>
    </row>
    <row r="172" spans="1:25" s="154" customFormat="1" hidden="1" x14ac:dyDescent="0.25">
      <c r="A172" s="44" t="s">
        <v>42</v>
      </c>
      <c r="B172" s="94" t="s">
        <v>124</v>
      </c>
      <c r="C172" s="36">
        <v>1</v>
      </c>
      <c r="D172" s="25">
        <v>720</v>
      </c>
      <c r="E172" s="14">
        <v>360</v>
      </c>
      <c r="F172" s="25"/>
      <c r="G172" s="14">
        <v>1260</v>
      </c>
      <c r="H172" s="14">
        <v>900</v>
      </c>
      <c r="I172" s="25"/>
      <c r="J172" s="14">
        <v>2160</v>
      </c>
      <c r="K172" s="14">
        <v>180</v>
      </c>
      <c r="L172" s="25"/>
      <c r="M172" s="25"/>
      <c r="N172" s="14">
        <v>180</v>
      </c>
      <c r="O172" s="25"/>
      <c r="P172" s="14">
        <v>900</v>
      </c>
      <c r="Q172" s="25"/>
      <c r="R172" s="25"/>
      <c r="S172" s="25"/>
      <c r="T172" s="25"/>
      <c r="U172" s="13">
        <f t="shared" si="9"/>
        <v>6660</v>
      </c>
      <c r="V172" s="25">
        <v>35.700000000000003</v>
      </c>
      <c r="W172" s="15">
        <f t="shared" si="10"/>
        <v>237762.00000000003</v>
      </c>
      <c r="X172" s="187">
        <f t="shared" si="11"/>
        <v>6660</v>
      </c>
      <c r="Y172" s="187">
        <f t="shared" si="12"/>
        <v>0</v>
      </c>
    </row>
    <row r="173" spans="1:25" s="154" customFormat="1" hidden="1" x14ac:dyDescent="0.25">
      <c r="A173" s="44" t="s">
        <v>44</v>
      </c>
      <c r="B173" s="94" t="s">
        <v>125</v>
      </c>
      <c r="C173" s="36">
        <v>1</v>
      </c>
      <c r="D173" s="25">
        <v>240</v>
      </c>
      <c r="E173" s="14">
        <v>120</v>
      </c>
      <c r="F173" s="25"/>
      <c r="G173" s="14">
        <v>420</v>
      </c>
      <c r="H173" s="14">
        <v>300</v>
      </c>
      <c r="I173" s="25"/>
      <c r="J173" s="14">
        <v>720</v>
      </c>
      <c r="K173" s="14">
        <v>60</v>
      </c>
      <c r="L173" s="25"/>
      <c r="M173" s="25"/>
      <c r="N173" s="14">
        <v>60</v>
      </c>
      <c r="O173" s="25"/>
      <c r="P173" s="14">
        <v>300</v>
      </c>
      <c r="Q173" s="25"/>
      <c r="R173" s="25"/>
      <c r="S173" s="25"/>
      <c r="T173" s="25"/>
      <c r="U173" s="13">
        <f t="shared" si="9"/>
        <v>2220</v>
      </c>
      <c r="V173" s="25">
        <v>56.3</v>
      </c>
      <c r="W173" s="15">
        <f t="shared" si="10"/>
        <v>124986</v>
      </c>
      <c r="X173" s="187">
        <f t="shared" si="11"/>
        <v>2220</v>
      </c>
      <c r="Y173" s="187">
        <f t="shared" si="12"/>
        <v>0</v>
      </c>
    </row>
    <row r="174" spans="1:25" s="154" customFormat="1" ht="75" x14ac:dyDescent="0.25">
      <c r="A174" s="44">
        <v>31</v>
      </c>
      <c r="B174" s="94" t="s">
        <v>126</v>
      </c>
      <c r="C174" s="36">
        <v>1</v>
      </c>
      <c r="D174" s="25">
        <v>160</v>
      </c>
      <c r="E174" s="14">
        <v>80</v>
      </c>
      <c r="F174" s="25"/>
      <c r="G174" s="14">
        <v>280</v>
      </c>
      <c r="H174" s="14">
        <v>200</v>
      </c>
      <c r="I174" s="25"/>
      <c r="J174" s="14">
        <v>480</v>
      </c>
      <c r="K174" s="14">
        <v>40</v>
      </c>
      <c r="L174" s="25"/>
      <c r="M174" s="25"/>
      <c r="N174" s="14">
        <v>40</v>
      </c>
      <c r="O174" s="25"/>
      <c r="P174" s="14">
        <v>200</v>
      </c>
      <c r="Q174" s="25"/>
      <c r="R174" s="25"/>
      <c r="S174" s="25"/>
      <c r="T174" s="25"/>
      <c r="U174" s="13">
        <f t="shared" si="9"/>
        <v>1480</v>
      </c>
      <c r="V174" s="25">
        <v>237.65</v>
      </c>
      <c r="W174" s="15">
        <f t="shared" si="10"/>
        <v>351722</v>
      </c>
      <c r="X174" s="187">
        <f t="shared" si="11"/>
        <v>1480</v>
      </c>
      <c r="Y174" s="187">
        <f t="shared" si="12"/>
        <v>0</v>
      </c>
    </row>
    <row r="175" spans="1:25" s="154" customFormat="1" ht="60" x14ac:dyDescent="0.25">
      <c r="A175" s="44">
        <v>32</v>
      </c>
      <c r="B175" s="94" t="s">
        <v>127</v>
      </c>
      <c r="C175" s="20"/>
      <c r="D175" s="20"/>
      <c r="E175" s="20"/>
      <c r="F175" s="20"/>
      <c r="G175" s="20"/>
      <c r="H175" s="20"/>
      <c r="I175" s="20"/>
      <c r="J175" s="20"/>
      <c r="K175" s="20"/>
      <c r="L175" s="20"/>
      <c r="M175" s="20"/>
      <c r="N175" s="20"/>
      <c r="O175" s="20"/>
      <c r="P175" s="20"/>
      <c r="Q175" s="20"/>
      <c r="R175" s="20"/>
      <c r="S175" s="20"/>
      <c r="T175" s="20"/>
      <c r="U175" s="13">
        <f t="shared" si="9"/>
        <v>0</v>
      </c>
      <c r="V175" s="20"/>
      <c r="W175" s="20"/>
      <c r="X175" s="187">
        <f t="shared" si="11"/>
        <v>0</v>
      </c>
      <c r="Y175" s="187">
        <f t="shared" si="12"/>
        <v>0</v>
      </c>
    </row>
    <row r="176" spans="1:25" s="154" customFormat="1" hidden="1" x14ac:dyDescent="0.25">
      <c r="A176" s="44" t="s">
        <v>42</v>
      </c>
      <c r="B176" s="94" t="s">
        <v>128</v>
      </c>
      <c r="C176" s="38">
        <v>1</v>
      </c>
      <c r="D176" s="25">
        <v>4</v>
      </c>
      <c r="E176" s="14">
        <v>2</v>
      </c>
      <c r="F176" s="25"/>
      <c r="G176" s="14">
        <v>7</v>
      </c>
      <c r="H176" s="14">
        <v>5</v>
      </c>
      <c r="I176" s="25"/>
      <c r="J176" s="14">
        <v>12</v>
      </c>
      <c r="K176" s="14">
        <v>1</v>
      </c>
      <c r="L176" s="25"/>
      <c r="M176" s="25"/>
      <c r="N176" s="14">
        <v>1</v>
      </c>
      <c r="O176" s="25"/>
      <c r="P176" s="14">
        <v>5</v>
      </c>
      <c r="Q176" s="25"/>
      <c r="R176" s="25"/>
      <c r="S176" s="25"/>
      <c r="T176" s="25"/>
      <c r="U176" s="13">
        <f t="shared" si="9"/>
        <v>37</v>
      </c>
      <c r="V176" s="25">
        <v>382.3</v>
      </c>
      <c r="W176" s="15">
        <f t="shared" si="10"/>
        <v>14145.1</v>
      </c>
      <c r="X176" s="187">
        <f t="shared" si="11"/>
        <v>37</v>
      </c>
      <c r="Y176" s="187">
        <f t="shared" si="12"/>
        <v>0</v>
      </c>
    </row>
    <row r="177" spans="1:25" s="154" customFormat="1" hidden="1" x14ac:dyDescent="0.25">
      <c r="A177" s="44" t="s">
        <v>44</v>
      </c>
      <c r="B177" s="94" t="s">
        <v>129</v>
      </c>
      <c r="C177" s="38">
        <v>1</v>
      </c>
      <c r="D177" s="25">
        <v>4</v>
      </c>
      <c r="E177" s="14">
        <v>2</v>
      </c>
      <c r="F177" s="25"/>
      <c r="G177" s="14">
        <v>7</v>
      </c>
      <c r="H177" s="14">
        <v>5</v>
      </c>
      <c r="I177" s="25"/>
      <c r="J177" s="14">
        <v>12</v>
      </c>
      <c r="K177" s="14">
        <v>1</v>
      </c>
      <c r="L177" s="25"/>
      <c r="M177" s="25"/>
      <c r="N177" s="14">
        <v>1</v>
      </c>
      <c r="O177" s="25"/>
      <c r="P177" s="14">
        <v>5</v>
      </c>
      <c r="Q177" s="25"/>
      <c r="R177" s="25"/>
      <c r="S177" s="25"/>
      <c r="T177" s="25"/>
      <c r="U177" s="13">
        <f t="shared" si="9"/>
        <v>37</v>
      </c>
      <c r="V177" s="25">
        <v>522.75</v>
      </c>
      <c r="W177" s="15">
        <f t="shared" si="10"/>
        <v>19341.75</v>
      </c>
      <c r="X177" s="187">
        <f t="shared" si="11"/>
        <v>37</v>
      </c>
      <c r="Y177" s="187">
        <f t="shared" si="12"/>
        <v>0</v>
      </c>
    </row>
    <row r="178" spans="1:25" s="154" customFormat="1" hidden="1" x14ac:dyDescent="0.25">
      <c r="A178" s="44" t="s">
        <v>121</v>
      </c>
      <c r="B178" s="94" t="s">
        <v>130</v>
      </c>
      <c r="C178" s="38">
        <v>1</v>
      </c>
      <c r="D178" s="25">
        <v>4</v>
      </c>
      <c r="E178" s="14">
        <v>2</v>
      </c>
      <c r="F178" s="25"/>
      <c r="G178" s="14">
        <v>7</v>
      </c>
      <c r="H178" s="14">
        <v>5</v>
      </c>
      <c r="I178" s="25"/>
      <c r="J178" s="14">
        <v>12</v>
      </c>
      <c r="K178" s="14">
        <v>1</v>
      </c>
      <c r="L178" s="25"/>
      <c r="M178" s="25"/>
      <c r="N178" s="14">
        <v>1</v>
      </c>
      <c r="O178" s="25"/>
      <c r="P178" s="14">
        <v>5</v>
      </c>
      <c r="Q178" s="25"/>
      <c r="R178" s="25"/>
      <c r="S178" s="25"/>
      <c r="T178" s="25"/>
      <c r="U178" s="13">
        <f t="shared" si="9"/>
        <v>37</v>
      </c>
      <c r="V178" s="25">
        <v>668.8</v>
      </c>
      <c r="W178" s="15">
        <f t="shared" si="10"/>
        <v>24745.599999999999</v>
      </c>
      <c r="X178" s="187">
        <f t="shared" si="11"/>
        <v>37</v>
      </c>
      <c r="Y178" s="187">
        <f t="shared" si="12"/>
        <v>0</v>
      </c>
    </row>
    <row r="179" spans="1:25" s="154" customFormat="1" ht="30" x14ac:dyDescent="0.25">
      <c r="A179" s="44">
        <v>33</v>
      </c>
      <c r="B179" s="94" t="s">
        <v>131</v>
      </c>
      <c r="C179" s="38">
        <v>1</v>
      </c>
      <c r="D179" s="25">
        <v>80</v>
      </c>
      <c r="E179" s="14">
        <v>40</v>
      </c>
      <c r="F179" s="25"/>
      <c r="G179" s="14">
        <v>140</v>
      </c>
      <c r="H179" s="14">
        <v>100</v>
      </c>
      <c r="I179" s="25"/>
      <c r="J179" s="14">
        <v>240</v>
      </c>
      <c r="K179" s="14">
        <v>20</v>
      </c>
      <c r="L179" s="25"/>
      <c r="M179" s="25"/>
      <c r="N179" s="14">
        <v>20</v>
      </c>
      <c r="O179" s="25"/>
      <c r="P179" s="14">
        <v>100</v>
      </c>
      <c r="Q179" s="25"/>
      <c r="R179" s="25"/>
      <c r="S179" s="25"/>
      <c r="T179" s="25"/>
      <c r="U179" s="13">
        <f t="shared" si="9"/>
        <v>740</v>
      </c>
      <c r="V179" s="25">
        <v>102.7</v>
      </c>
      <c r="W179" s="15">
        <f t="shared" si="10"/>
        <v>75998</v>
      </c>
      <c r="X179" s="187">
        <f t="shared" si="11"/>
        <v>740</v>
      </c>
      <c r="Y179" s="187">
        <f t="shared" si="12"/>
        <v>0</v>
      </c>
    </row>
    <row r="180" spans="1:25" s="154" customFormat="1" x14ac:dyDescent="0.25">
      <c r="A180" s="44">
        <v>34</v>
      </c>
      <c r="B180" s="94" t="s">
        <v>132</v>
      </c>
      <c r="C180" s="38">
        <v>1</v>
      </c>
      <c r="D180" s="25">
        <v>16</v>
      </c>
      <c r="E180" s="14">
        <v>8</v>
      </c>
      <c r="F180" s="25"/>
      <c r="G180" s="14">
        <v>28</v>
      </c>
      <c r="H180" s="14">
        <v>20</v>
      </c>
      <c r="I180" s="25"/>
      <c r="J180" s="14">
        <v>48</v>
      </c>
      <c r="K180" s="14">
        <v>4</v>
      </c>
      <c r="L180" s="25"/>
      <c r="M180" s="25"/>
      <c r="N180" s="14">
        <v>4</v>
      </c>
      <c r="O180" s="25"/>
      <c r="P180" s="14">
        <v>20</v>
      </c>
      <c r="Q180" s="25"/>
      <c r="R180" s="25"/>
      <c r="S180" s="25"/>
      <c r="T180" s="25"/>
      <c r="U180" s="13">
        <f t="shared" si="9"/>
        <v>148</v>
      </c>
      <c r="V180" s="25">
        <v>96.3</v>
      </c>
      <c r="W180" s="15">
        <f t="shared" si="10"/>
        <v>14252.4</v>
      </c>
      <c r="X180" s="187">
        <f t="shared" si="11"/>
        <v>148</v>
      </c>
      <c r="Y180" s="187">
        <f t="shared" si="12"/>
        <v>0</v>
      </c>
    </row>
    <row r="181" spans="1:25" s="154" customFormat="1" x14ac:dyDescent="0.25">
      <c r="A181" s="44">
        <v>35</v>
      </c>
      <c r="B181" s="94" t="s">
        <v>133</v>
      </c>
      <c r="C181" s="38">
        <v>1</v>
      </c>
      <c r="D181" s="25">
        <v>8</v>
      </c>
      <c r="E181" s="14">
        <v>4</v>
      </c>
      <c r="F181" s="25"/>
      <c r="G181" s="14">
        <v>14</v>
      </c>
      <c r="H181" s="14">
        <v>10</v>
      </c>
      <c r="I181" s="25"/>
      <c r="J181" s="14">
        <v>24</v>
      </c>
      <c r="K181" s="14">
        <v>2</v>
      </c>
      <c r="L181" s="25"/>
      <c r="M181" s="25"/>
      <c r="N181" s="14">
        <v>2</v>
      </c>
      <c r="O181" s="25"/>
      <c r="P181" s="14">
        <v>10</v>
      </c>
      <c r="Q181" s="25"/>
      <c r="R181" s="25"/>
      <c r="S181" s="25"/>
      <c r="T181" s="25"/>
      <c r="U181" s="13">
        <f t="shared" si="9"/>
        <v>74</v>
      </c>
      <c r="V181" s="25">
        <v>204.7</v>
      </c>
      <c r="W181" s="15">
        <f t="shared" si="10"/>
        <v>15147.8</v>
      </c>
      <c r="X181" s="187">
        <f t="shared" si="11"/>
        <v>74</v>
      </c>
      <c r="Y181" s="187">
        <f t="shared" si="12"/>
        <v>0</v>
      </c>
    </row>
    <row r="182" spans="1:25" s="154" customFormat="1" ht="45" hidden="1" x14ac:dyDescent="0.25">
      <c r="A182" s="44">
        <v>36</v>
      </c>
      <c r="B182" s="94" t="s">
        <v>134</v>
      </c>
      <c r="C182" s="38">
        <v>1</v>
      </c>
      <c r="D182" s="25">
        <v>4</v>
      </c>
      <c r="E182" s="14">
        <v>2</v>
      </c>
      <c r="F182" s="25"/>
      <c r="G182" s="14">
        <v>7</v>
      </c>
      <c r="H182" s="14">
        <v>5</v>
      </c>
      <c r="I182" s="25"/>
      <c r="J182" s="14">
        <v>12</v>
      </c>
      <c r="K182" s="14">
        <v>1</v>
      </c>
      <c r="L182" s="25"/>
      <c r="M182" s="25"/>
      <c r="N182" s="14">
        <v>1</v>
      </c>
      <c r="O182" s="25"/>
      <c r="P182" s="14">
        <v>5</v>
      </c>
      <c r="Q182" s="25"/>
      <c r="R182" s="25"/>
      <c r="S182" s="25"/>
      <c r="T182" s="25"/>
      <c r="U182" s="13">
        <f t="shared" si="9"/>
        <v>37</v>
      </c>
      <c r="V182" s="25">
        <v>213.1</v>
      </c>
      <c r="W182" s="15">
        <f t="shared" si="10"/>
        <v>7884.7</v>
      </c>
      <c r="X182" s="187">
        <f t="shared" si="11"/>
        <v>37</v>
      </c>
      <c r="Y182" s="187">
        <f t="shared" si="12"/>
        <v>0</v>
      </c>
    </row>
    <row r="183" spans="1:25" s="154" customFormat="1" ht="150" hidden="1" x14ac:dyDescent="0.25">
      <c r="A183" s="44">
        <v>37</v>
      </c>
      <c r="B183" s="94" t="s">
        <v>135</v>
      </c>
      <c r="C183" s="37">
        <v>1</v>
      </c>
      <c r="D183" s="25">
        <v>4</v>
      </c>
      <c r="E183" s="14">
        <v>2</v>
      </c>
      <c r="F183" s="25"/>
      <c r="G183" s="14">
        <v>7</v>
      </c>
      <c r="H183" s="14">
        <v>5</v>
      </c>
      <c r="I183" s="25"/>
      <c r="J183" s="14">
        <v>12</v>
      </c>
      <c r="K183" s="14">
        <v>1</v>
      </c>
      <c r="L183" s="25"/>
      <c r="M183" s="25"/>
      <c r="N183" s="14">
        <v>1</v>
      </c>
      <c r="O183" s="25"/>
      <c r="P183" s="14">
        <v>5</v>
      </c>
      <c r="Q183" s="25"/>
      <c r="R183" s="25"/>
      <c r="S183" s="25"/>
      <c r="T183" s="25"/>
      <c r="U183" s="13">
        <f t="shared" si="9"/>
        <v>37</v>
      </c>
      <c r="V183" s="25">
        <v>24422.65</v>
      </c>
      <c r="W183" s="15">
        <f t="shared" si="10"/>
        <v>903638.05</v>
      </c>
      <c r="X183" s="187">
        <f t="shared" si="11"/>
        <v>37</v>
      </c>
      <c r="Y183" s="187">
        <f t="shared" si="12"/>
        <v>0</v>
      </c>
    </row>
    <row r="184" spans="1:25" s="154" customFormat="1" ht="90" hidden="1" x14ac:dyDescent="0.25">
      <c r="A184" s="44">
        <v>38</v>
      </c>
      <c r="B184" s="94" t="s">
        <v>136</v>
      </c>
      <c r="C184" s="37">
        <v>1</v>
      </c>
      <c r="D184" s="25">
        <v>24</v>
      </c>
      <c r="E184" s="14">
        <v>12</v>
      </c>
      <c r="F184" s="25"/>
      <c r="G184" s="14">
        <v>42</v>
      </c>
      <c r="H184" s="14">
        <v>30</v>
      </c>
      <c r="I184" s="25"/>
      <c r="J184" s="14">
        <v>72</v>
      </c>
      <c r="K184" s="14">
        <v>6</v>
      </c>
      <c r="L184" s="25"/>
      <c r="M184" s="25"/>
      <c r="N184" s="14">
        <v>6</v>
      </c>
      <c r="O184" s="25"/>
      <c r="P184" s="14">
        <v>30</v>
      </c>
      <c r="Q184" s="25"/>
      <c r="R184" s="25"/>
      <c r="S184" s="25"/>
      <c r="T184" s="25"/>
      <c r="U184" s="13">
        <f t="shared" si="9"/>
        <v>222</v>
      </c>
      <c r="V184" s="25">
        <v>1453.75</v>
      </c>
      <c r="W184" s="15">
        <f t="shared" si="10"/>
        <v>322732.5</v>
      </c>
      <c r="X184" s="187">
        <f t="shared" si="11"/>
        <v>222</v>
      </c>
      <c r="Y184" s="187">
        <f t="shared" si="12"/>
        <v>0</v>
      </c>
    </row>
    <row r="185" spans="1:25" ht="135" hidden="1" x14ac:dyDescent="0.25">
      <c r="A185" s="44">
        <v>39</v>
      </c>
      <c r="B185" s="94" t="s">
        <v>137</v>
      </c>
      <c r="C185" s="37">
        <v>1</v>
      </c>
      <c r="D185" s="25">
        <v>8</v>
      </c>
      <c r="E185" s="14">
        <v>4</v>
      </c>
      <c r="F185" s="25"/>
      <c r="G185" s="14">
        <v>14</v>
      </c>
      <c r="H185" s="14">
        <v>10</v>
      </c>
      <c r="I185" s="25"/>
      <c r="J185" s="14">
        <v>24</v>
      </c>
      <c r="K185" s="14">
        <v>2</v>
      </c>
      <c r="L185" s="25"/>
      <c r="M185" s="25"/>
      <c r="N185" s="14">
        <v>2</v>
      </c>
      <c r="O185" s="25"/>
      <c r="P185" s="14">
        <v>10</v>
      </c>
      <c r="Q185" s="25"/>
      <c r="R185" s="25"/>
      <c r="S185" s="25"/>
      <c r="T185" s="25"/>
      <c r="U185" s="13">
        <f t="shared" si="9"/>
        <v>74</v>
      </c>
      <c r="V185" s="25">
        <v>13796.3</v>
      </c>
      <c r="W185" s="15">
        <f t="shared" si="10"/>
        <v>1020926.2</v>
      </c>
      <c r="X185" s="187">
        <f t="shared" si="11"/>
        <v>74</v>
      </c>
      <c r="Y185" s="187">
        <f t="shared" si="12"/>
        <v>0</v>
      </c>
    </row>
    <row r="186" spans="1:25" ht="150" hidden="1" x14ac:dyDescent="0.25">
      <c r="A186" s="44">
        <v>40</v>
      </c>
      <c r="B186" s="94" t="s">
        <v>138</v>
      </c>
      <c r="C186" s="37">
        <v>1</v>
      </c>
      <c r="D186" s="25">
        <v>4</v>
      </c>
      <c r="E186" s="14">
        <v>2</v>
      </c>
      <c r="F186" s="25"/>
      <c r="G186" s="14">
        <v>7</v>
      </c>
      <c r="H186" s="14">
        <v>5</v>
      </c>
      <c r="I186" s="25"/>
      <c r="J186" s="14">
        <v>12</v>
      </c>
      <c r="K186" s="14">
        <v>1</v>
      </c>
      <c r="L186" s="25"/>
      <c r="M186" s="25"/>
      <c r="N186" s="14">
        <v>1</v>
      </c>
      <c r="O186" s="25"/>
      <c r="P186" s="14">
        <v>5</v>
      </c>
      <c r="Q186" s="25"/>
      <c r="R186" s="25"/>
      <c r="S186" s="25"/>
      <c r="T186" s="25"/>
      <c r="U186" s="13">
        <f t="shared" si="9"/>
        <v>37</v>
      </c>
      <c r="V186" s="25">
        <v>19859.400000000001</v>
      </c>
      <c r="W186" s="15">
        <f t="shared" si="10"/>
        <v>734797.8</v>
      </c>
      <c r="X186" s="187">
        <f t="shared" si="11"/>
        <v>37</v>
      </c>
      <c r="Y186" s="187">
        <f t="shared" si="12"/>
        <v>0</v>
      </c>
    </row>
    <row r="187" spans="1:25" ht="60" x14ac:dyDescent="0.25">
      <c r="A187" s="44">
        <v>41</v>
      </c>
      <c r="B187" s="94" t="s">
        <v>139</v>
      </c>
      <c r="C187" s="37">
        <v>1</v>
      </c>
      <c r="D187" s="25">
        <v>12</v>
      </c>
      <c r="E187" s="14">
        <v>6</v>
      </c>
      <c r="F187" s="25"/>
      <c r="G187" s="14">
        <v>21</v>
      </c>
      <c r="H187" s="14">
        <v>15</v>
      </c>
      <c r="I187" s="25"/>
      <c r="J187" s="14">
        <v>36</v>
      </c>
      <c r="K187" s="14">
        <v>3</v>
      </c>
      <c r="L187" s="25"/>
      <c r="M187" s="25"/>
      <c r="N187" s="14">
        <v>3</v>
      </c>
      <c r="O187" s="25"/>
      <c r="P187" s="14">
        <v>15</v>
      </c>
      <c r="Q187" s="25"/>
      <c r="R187" s="25"/>
      <c r="S187" s="25"/>
      <c r="T187" s="25"/>
      <c r="U187" s="13">
        <f t="shared" si="9"/>
        <v>111</v>
      </c>
      <c r="V187" s="25">
        <v>1995.3</v>
      </c>
      <c r="W187" s="15">
        <f t="shared" si="10"/>
        <v>221478.3</v>
      </c>
      <c r="X187" s="187">
        <f t="shared" si="11"/>
        <v>111</v>
      </c>
      <c r="Y187" s="187">
        <f t="shared" si="12"/>
        <v>0</v>
      </c>
    </row>
    <row r="188" spans="1:25" ht="30" hidden="1" x14ac:dyDescent="0.25">
      <c r="A188" s="44">
        <v>42</v>
      </c>
      <c r="B188" s="94" t="s">
        <v>140</v>
      </c>
      <c r="C188" s="37">
        <v>1</v>
      </c>
      <c r="D188" s="25">
        <v>12</v>
      </c>
      <c r="E188" s="14">
        <v>6</v>
      </c>
      <c r="F188" s="25"/>
      <c r="G188" s="14">
        <v>21</v>
      </c>
      <c r="H188" s="14">
        <v>15</v>
      </c>
      <c r="I188" s="25"/>
      <c r="J188" s="14">
        <v>36</v>
      </c>
      <c r="K188" s="14">
        <v>3</v>
      </c>
      <c r="L188" s="25"/>
      <c r="M188" s="25"/>
      <c r="N188" s="14">
        <v>3</v>
      </c>
      <c r="O188" s="25"/>
      <c r="P188" s="14">
        <v>15</v>
      </c>
      <c r="Q188" s="25"/>
      <c r="R188" s="25"/>
      <c r="S188" s="25"/>
      <c r="T188" s="25"/>
      <c r="U188" s="13">
        <f t="shared" si="9"/>
        <v>111</v>
      </c>
      <c r="V188" s="25">
        <v>178.75</v>
      </c>
      <c r="W188" s="15">
        <f t="shared" si="10"/>
        <v>19841.25</v>
      </c>
      <c r="X188" s="187">
        <f t="shared" si="11"/>
        <v>111</v>
      </c>
      <c r="Y188" s="187">
        <f t="shared" si="12"/>
        <v>0</v>
      </c>
    </row>
    <row r="189" spans="1:25" ht="75.75" hidden="1" x14ac:dyDescent="0.25">
      <c r="A189" s="44">
        <v>43</v>
      </c>
      <c r="B189" s="94" t="s">
        <v>36</v>
      </c>
      <c r="C189" s="22"/>
      <c r="D189" s="22"/>
      <c r="E189" s="22"/>
      <c r="F189" s="22"/>
      <c r="G189" s="22"/>
      <c r="H189" s="22"/>
      <c r="I189" s="22"/>
      <c r="J189" s="22"/>
      <c r="K189" s="22"/>
      <c r="L189" s="22"/>
      <c r="M189" s="22"/>
      <c r="N189" s="22"/>
      <c r="O189" s="22"/>
      <c r="P189" s="22"/>
      <c r="Q189" s="22"/>
      <c r="R189" s="22"/>
      <c r="S189" s="22"/>
      <c r="T189" s="22"/>
      <c r="U189" s="13">
        <f t="shared" si="9"/>
        <v>0</v>
      </c>
      <c r="V189" s="22"/>
      <c r="W189" s="22"/>
      <c r="X189" s="187">
        <f t="shared" si="11"/>
        <v>0</v>
      </c>
      <c r="Y189" s="187">
        <f t="shared" si="12"/>
        <v>0</v>
      </c>
    </row>
    <row r="190" spans="1:25" x14ac:dyDescent="0.25">
      <c r="A190" s="44" t="s">
        <v>60</v>
      </c>
      <c r="B190" s="94" t="s">
        <v>61</v>
      </c>
      <c r="C190" s="12">
        <v>100</v>
      </c>
      <c r="D190" s="25">
        <v>405.551786207232</v>
      </c>
      <c r="E190" s="14">
        <v>202.775893103616</v>
      </c>
      <c r="F190" s="14"/>
      <c r="G190" s="14">
        <v>709.715625862656</v>
      </c>
      <c r="H190" s="14">
        <v>506.93973275904</v>
      </c>
      <c r="I190" s="14"/>
      <c r="J190" s="14">
        <v>1216.655358621696</v>
      </c>
      <c r="K190" s="14">
        <v>101.387946551808</v>
      </c>
      <c r="L190" s="14"/>
      <c r="M190" s="14"/>
      <c r="N190" s="14">
        <v>101.387946551808</v>
      </c>
      <c r="O190" s="14"/>
      <c r="P190" s="14">
        <v>506.93973275904</v>
      </c>
      <c r="Q190" s="14"/>
      <c r="R190" s="14"/>
      <c r="S190" s="14"/>
      <c r="T190" s="14"/>
      <c r="U190" s="13">
        <f t="shared" si="9"/>
        <v>3751.354022416896</v>
      </c>
      <c r="V190" s="13">
        <v>14042.6</v>
      </c>
      <c r="W190" s="15">
        <f t="shared" si="10"/>
        <v>526787.63995191501</v>
      </c>
      <c r="X190" s="187">
        <f t="shared" si="11"/>
        <v>3751.354022416896</v>
      </c>
      <c r="Y190" s="187">
        <f t="shared" si="12"/>
        <v>0</v>
      </c>
    </row>
    <row r="191" spans="1:25" x14ac:dyDescent="0.25">
      <c r="A191" s="44" t="s">
        <v>37</v>
      </c>
      <c r="B191" s="94" t="s">
        <v>38</v>
      </c>
      <c r="C191" s="12">
        <v>100</v>
      </c>
      <c r="D191" s="25">
        <v>161.4272</v>
      </c>
      <c r="E191" s="14">
        <v>80.7136</v>
      </c>
      <c r="F191" s="14"/>
      <c r="G191" s="14">
        <v>282.49759999999998</v>
      </c>
      <c r="H191" s="14">
        <v>201.78399999999999</v>
      </c>
      <c r="I191" s="14"/>
      <c r="J191" s="14">
        <v>484.28160000000003</v>
      </c>
      <c r="K191" s="14">
        <v>40.3568</v>
      </c>
      <c r="L191" s="14"/>
      <c r="M191" s="14"/>
      <c r="N191" s="14">
        <v>40.3568</v>
      </c>
      <c r="O191" s="14"/>
      <c r="P191" s="14">
        <v>201.78399999999999</v>
      </c>
      <c r="Q191" s="14"/>
      <c r="R191" s="14"/>
      <c r="S191" s="14"/>
      <c r="T191" s="14"/>
      <c r="U191" s="13">
        <f t="shared" si="9"/>
        <v>1493.2016000000003</v>
      </c>
      <c r="V191" s="13">
        <v>14042.6</v>
      </c>
      <c r="W191" s="15">
        <f t="shared" si="10"/>
        <v>209684.32788160004</v>
      </c>
      <c r="X191" s="187">
        <f t="shared" si="11"/>
        <v>1493.2016000000001</v>
      </c>
      <c r="Y191" s="187">
        <f t="shared" si="12"/>
        <v>0</v>
      </c>
    </row>
    <row r="192" spans="1:25" x14ac:dyDescent="0.25">
      <c r="A192" s="44" t="s">
        <v>63</v>
      </c>
      <c r="B192" s="94" t="s">
        <v>141</v>
      </c>
      <c r="C192" s="12">
        <v>100</v>
      </c>
      <c r="D192" s="25">
        <v>607.45911599999999</v>
      </c>
      <c r="E192" s="14">
        <v>303.729558</v>
      </c>
      <c r="F192" s="14"/>
      <c r="G192" s="14">
        <v>1063.053453</v>
      </c>
      <c r="H192" s="14">
        <v>759.32389499999999</v>
      </c>
      <c r="I192" s="14"/>
      <c r="J192" s="14">
        <v>1822.377348</v>
      </c>
      <c r="K192" s="14">
        <v>151.864779</v>
      </c>
      <c r="L192" s="14"/>
      <c r="M192" s="14"/>
      <c r="N192" s="14">
        <v>151.864779</v>
      </c>
      <c r="O192" s="14"/>
      <c r="P192" s="14">
        <v>759.32389499999999</v>
      </c>
      <c r="Q192" s="14"/>
      <c r="R192" s="14"/>
      <c r="S192" s="14"/>
      <c r="T192" s="14"/>
      <c r="U192" s="13">
        <f t="shared" si="9"/>
        <v>5618.9968229999995</v>
      </c>
      <c r="V192" s="13">
        <v>14042.6</v>
      </c>
      <c r="W192" s="15">
        <f t="shared" si="10"/>
        <v>789053.24786659796</v>
      </c>
      <c r="X192" s="187">
        <f t="shared" si="11"/>
        <v>5618.9968229999995</v>
      </c>
      <c r="Y192" s="187">
        <f t="shared" si="12"/>
        <v>0</v>
      </c>
    </row>
    <row r="193" spans="1:26" x14ac:dyDescent="0.25">
      <c r="A193" s="44" t="s">
        <v>142</v>
      </c>
      <c r="B193" s="94" t="s">
        <v>143</v>
      </c>
      <c r="C193" s="12">
        <v>100</v>
      </c>
      <c r="D193" s="25">
        <v>28.38</v>
      </c>
      <c r="E193" s="14">
        <v>14.19</v>
      </c>
      <c r="F193" s="14"/>
      <c r="G193" s="14">
        <v>49.664999999999999</v>
      </c>
      <c r="H193" s="14">
        <v>35.475000000000001</v>
      </c>
      <c r="I193" s="14"/>
      <c r="J193" s="14">
        <v>85.14</v>
      </c>
      <c r="K193" s="14">
        <v>7.0949999999999998</v>
      </c>
      <c r="L193" s="14"/>
      <c r="M193" s="14"/>
      <c r="N193" s="14">
        <v>7.0949999999999998</v>
      </c>
      <c r="O193" s="14"/>
      <c r="P193" s="14">
        <v>35.475000000000001</v>
      </c>
      <c r="Q193" s="14"/>
      <c r="R193" s="14"/>
      <c r="S193" s="14"/>
      <c r="T193" s="14"/>
      <c r="U193" s="13">
        <f t="shared" si="9"/>
        <v>262.51500000000004</v>
      </c>
      <c r="V193" s="13">
        <v>14042.6</v>
      </c>
      <c r="W193" s="15">
        <f t="shared" si="10"/>
        <v>36863.931390000012</v>
      </c>
      <c r="X193" s="187">
        <f t="shared" si="11"/>
        <v>262.51499999999999</v>
      </c>
      <c r="Y193" s="187">
        <f t="shared" si="12"/>
        <v>0</v>
      </c>
    </row>
    <row r="194" spans="1:26" s="154" customFormat="1" ht="22.5" hidden="1" x14ac:dyDescent="0.25">
      <c r="A194" s="198">
        <v>9</v>
      </c>
      <c r="B194" s="198" t="s">
        <v>401</v>
      </c>
      <c r="C194" s="101"/>
      <c r="D194" s="101"/>
      <c r="E194" s="101"/>
      <c r="F194" s="101"/>
      <c r="G194" s="101"/>
      <c r="H194" s="101"/>
      <c r="I194" s="101"/>
      <c r="J194" s="101"/>
      <c r="K194" s="101"/>
      <c r="L194" s="101"/>
      <c r="M194" s="101"/>
      <c r="N194" s="101"/>
      <c r="O194" s="101"/>
      <c r="P194" s="101"/>
      <c r="Q194" s="101"/>
      <c r="R194" s="101"/>
      <c r="S194" s="101"/>
      <c r="T194" s="101"/>
      <c r="U194" s="101"/>
      <c r="V194" s="101"/>
      <c r="W194" s="101"/>
    </row>
    <row r="195" spans="1:26" s="154" customFormat="1" ht="75" x14ac:dyDescent="0.25">
      <c r="A195" s="118">
        <v>1</v>
      </c>
      <c r="B195" s="94" t="s">
        <v>39</v>
      </c>
      <c r="C195" s="12">
        <v>1000</v>
      </c>
      <c r="D195" s="25"/>
      <c r="E195" s="14"/>
      <c r="F195" s="14"/>
      <c r="G195" s="14"/>
      <c r="H195" s="14">
        <v>60639.351906000011</v>
      </c>
      <c r="I195" s="14"/>
      <c r="J195" s="14">
        <v>44596.765778000001</v>
      </c>
      <c r="K195" s="14"/>
      <c r="L195" s="14">
        <v>25000.750577999999</v>
      </c>
      <c r="M195" s="14">
        <v>21403.790700999998</v>
      </c>
      <c r="N195" s="14"/>
      <c r="O195" s="14"/>
      <c r="P195" s="14">
        <v>125135.84964100001</v>
      </c>
      <c r="Q195" s="14"/>
      <c r="R195" s="14"/>
      <c r="S195" s="14"/>
      <c r="T195" s="14"/>
      <c r="U195" s="13">
        <f t="shared" ref="U195:U250" si="13">SUM(D195:T195)</f>
        <v>276776.50860399997</v>
      </c>
      <c r="V195" s="14">
        <v>12735.6</v>
      </c>
      <c r="W195" s="15">
        <f t="shared" si="10"/>
        <v>3524914.9029771024</v>
      </c>
      <c r="X195" s="191">
        <f>SUM(W195:W250)</f>
        <v>216927882.8210291</v>
      </c>
      <c r="Z195" s="195">
        <v>63826446.624435835</v>
      </c>
    </row>
    <row r="196" spans="1:26" s="154" customFormat="1" x14ac:dyDescent="0.25">
      <c r="A196" s="118">
        <v>2</v>
      </c>
      <c r="B196" s="94" t="s">
        <v>66</v>
      </c>
      <c r="C196" s="12">
        <v>1000</v>
      </c>
      <c r="D196" s="25"/>
      <c r="E196" s="14"/>
      <c r="F196" s="14"/>
      <c r="G196" s="14"/>
      <c r="H196" s="14">
        <v>60639.351906000011</v>
      </c>
      <c r="I196" s="14"/>
      <c r="J196" s="14">
        <v>44596.765778000001</v>
      </c>
      <c r="K196" s="14"/>
      <c r="L196" s="14">
        <v>25000.750577999999</v>
      </c>
      <c r="M196" s="14">
        <v>21403.790700999998</v>
      </c>
      <c r="N196" s="14"/>
      <c r="O196" s="14"/>
      <c r="P196" s="14">
        <v>125135.84964100001</v>
      </c>
      <c r="Q196" s="14"/>
      <c r="R196" s="14"/>
      <c r="S196" s="14"/>
      <c r="T196" s="14"/>
      <c r="U196" s="13">
        <f t="shared" si="13"/>
        <v>276776.50860399997</v>
      </c>
      <c r="V196" s="14">
        <v>12038.4</v>
      </c>
      <c r="W196" s="15">
        <f t="shared" si="10"/>
        <v>3331946.3211783934</v>
      </c>
      <c r="Z196" s="195">
        <v>36383456.567040272</v>
      </c>
    </row>
    <row r="197" spans="1:26" s="154" customFormat="1" ht="45" x14ac:dyDescent="0.25">
      <c r="A197" s="987">
        <v>3</v>
      </c>
      <c r="B197" s="94" t="s">
        <v>20</v>
      </c>
      <c r="C197" s="20"/>
      <c r="D197" s="20"/>
      <c r="E197" s="20"/>
      <c r="F197" s="20"/>
      <c r="G197" s="20"/>
      <c r="H197" s="20"/>
      <c r="I197" s="20"/>
      <c r="J197" s="20"/>
      <c r="K197" s="20"/>
      <c r="L197" s="20"/>
      <c r="M197" s="20"/>
      <c r="N197" s="20"/>
      <c r="O197" s="20"/>
      <c r="P197" s="20"/>
      <c r="Q197" s="20"/>
      <c r="R197" s="20"/>
      <c r="S197" s="20"/>
      <c r="T197" s="20"/>
      <c r="U197" s="13">
        <f t="shared" si="13"/>
        <v>0</v>
      </c>
      <c r="V197" s="20"/>
      <c r="W197" s="20"/>
      <c r="Z197" s="195">
        <v>23384765.316310335</v>
      </c>
    </row>
    <row r="198" spans="1:26" s="154" customFormat="1" x14ac:dyDescent="0.25">
      <c r="A198" s="988"/>
      <c r="B198" s="94" t="s">
        <v>21</v>
      </c>
      <c r="C198" s="12">
        <v>100</v>
      </c>
      <c r="D198" s="25"/>
      <c r="E198" s="14"/>
      <c r="F198" s="14"/>
      <c r="G198" s="14"/>
      <c r="H198" s="14">
        <v>2087.743125</v>
      </c>
      <c r="I198" s="14"/>
      <c r="J198" s="14">
        <v>971.790975</v>
      </c>
      <c r="K198" s="14"/>
      <c r="L198" s="14">
        <v>733.66772500000002</v>
      </c>
      <c r="M198" s="14">
        <v>736.12622500000009</v>
      </c>
      <c r="N198" s="14"/>
      <c r="O198" s="14"/>
      <c r="P198" s="14">
        <v>1808.1333250000002</v>
      </c>
      <c r="Q198" s="14"/>
      <c r="R198" s="14"/>
      <c r="S198" s="14"/>
      <c r="T198" s="14"/>
      <c r="U198" s="13">
        <f t="shared" si="13"/>
        <v>6337.4613750000008</v>
      </c>
      <c r="V198" s="14">
        <v>34694.300000000003</v>
      </c>
      <c r="W198" s="15">
        <f t="shared" si="10"/>
        <v>2198737.8618266257</v>
      </c>
      <c r="Z198" s="195">
        <v>23362466.852632541</v>
      </c>
    </row>
    <row r="199" spans="1:26" s="154" customFormat="1" x14ac:dyDescent="0.25">
      <c r="A199" s="989"/>
      <c r="B199" s="94" t="s">
        <v>107</v>
      </c>
      <c r="C199" s="12">
        <v>100</v>
      </c>
      <c r="D199" s="25"/>
      <c r="E199" s="14"/>
      <c r="F199" s="14"/>
      <c r="G199" s="14"/>
      <c r="H199" s="14">
        <v>1164.376</v>
      </c>
      <c r="I199" s="14"/>
      <c r="J199" s="14">
        <v>501.67600000000004</v>
      </c>
      <c r="K199" s="14"/>
      <c r="L199" s="14">
        <v>432.53600000000006</v>
      </c>
      <c r="M199" s="14">
        <v>432.53600000000006</v>
      </c>
      <c r="N199" s="14"/>
      <c r="O199" s="14"/>
      <c r="P199" s="14">
        <v>577.89599999999996</v>
      </c>
      <c r="Q199" s="14"/>
      <c r="R199" s="14"/>
      <c r="S199" s="14"/>
      <c r="T199" s="14"/>
      <c r="U199" s="13">
        <f t="shared" si="13"/>
        <v>3109.0200000000004</v>
      </c>
      <c r="V199" s="14">
        <v>47135.9</v>
      </c>
      <c r="W199" s="15">
        <f t="shared" ref="W199:W262" si="14">V199*U199/C199</f>
        <v>1465464.5581800002</v>
      </c>
      <c r="Z199" s="194">
        <v>69970747</v>
      </c>
    </row>
    <row r="200" spans="1:26" s="154" customFormat="1" ht="90" hidden="1" x14ac:dyDescent="0.25">
      <c r="A200" s="44">
        <v>4</v>
      </c>
      <c r="B200" s="94" t="s">
        <v>170</v>
      </c>
      <c r="C200" s="29">
        <v>100</v>
      </c>
      <c r="D200" s="25"/>
      <c r="E200" s="14"/>
      <c r="F200" s="14"/>
      <c r="G200" s="14"/>
      <c r="H200" s="14">
        <v>117054.46856250001</v>
      </c>
      <c r="I200" s="14"/>
      <c r="J200" s="14">
        <v>63787.433850000016</v>
      </c>
      <c r="K200" s="14"/>
      <c r="L200" s="14">
        <v>40723.133175000003</v>
      </c>
      <c r="M200" s="14">
        <v>40760.528174999999</v>
      </c>
      <c r="N200" s="14"/>
      <c r="O200" s="14"/>
      <c r="P200" s="14">
        <v>129118.00590000002</v>
      </c>
      <c r="Q200" s="14"/>
      <c r="R200" s="14"/>
      <c r="S200" s="14"/>
      <c r="T200" s="14"/>
      <c r="U200" s="13">
        <f t="shared" si="13"/>
        <v>391443.56966250006</v>
      </c>
      <c r="V200" s="30">
        <v>30376.9</v>
      </c>
      <c r="W200" s="15">
        <f t="shared" si="14"/>
        <v>118908421.71280798</v>
      </c>
      <c r="Z200" s="191">
        <f>SUM(Z195:Z199)</f>
        <v>216927882.36041898</v>
      </c>
    </row>
    <row r="201" spans="1:26" s="154" customFormat="1" ht="120.75" hidden="1" x14ac:dyDescent="0.25">
      <c r="A201" s="44">
        <v>5</v>
      </c>
      <c r="B201" s="94" t="s">
        <v>41</v>
      </c>
      <c r="C201" s="20"/>
      <c r="D201" s="20"/>
      <c r="E201" s="20"/>
      <c r="F201" s="20"/>
      <c r="G201" s="20"/>
      <c r="H201" s="20"/>
      <c r="I201" s="20"/>
      <c r="J201" s="20"/>
      <c r="K201" s="20"/>
      <c r="L201" s="20"/>
      <c r="M201" s="20"/>
      <c r="N201" s="20"/>
      <c r="O201" s="20"/>
      <c r="P201" s="20"/>
      <c r="Q201" s="20"/>
      <c r="R201" s="20"/>
      <c r="S201" s="20"/>
      <c r="T201" s="20"/>
      <c r="U201" s="13">
        <f t="shared" si="13"/>
        <v>0</v>
      </c>
      <c r="V201" s="20"/>
      <c r="W201" s="20"/>
    </row>
    <row r="202" spans="1:26" s="154" customFormat="1" ht="60" hidden="1" x14ac:dyDescent="0.25">
      <c r="A202" s="44"/>
      <c r="B202" s="94" t="s">
        <v>161</v>
      </c>
      <c r="C202" s="12">
        <v>1</v>
      </c>
      <c r="D202" s="25"/>
      <c r="E202" s="14"/>
      <c r="F202" s="14"/>
      <c r="G202" s="14"/>
      <c r="H202" s="14">
        <v>16160.050625000002</v>
      </c>
      <c r="I202" s="14"/>
      <c r="J202" s="14">
        <v>9101.6800000000039</v>
      </c>
      <c r="K202" s="14"/>
      <c r="L202" s="14">
        <v>5753.3425000000007</v>
      </c>
      <c r="M202" s="14">
        <v>5794.4625000000005</v>
      </c>
      <c r="N202" s="14"/>
      <c r="O202" s="14"/>
      <c r="P202" s="14">
        <v>18946.310000000005</v>
      </c>
      <c r="Q202" s="14"/>
      <c r="R202" s="14"/>
      <c r="S202" s="14"/>
      <c r="T202" s="14"/>
      <c r="U202" s="13">
        <f t="shared" si="13"/>
        <v>55755.845625000009</v>
      </c>
      <c r="V202" s="14">
        <v>817.55</v>
      </c>
      <c r="W202" s="15">
        <f t="shared" si="14"/>
        <v>45583191.590718754</v>
      </c>
    </row>
    <row r="203" spans="1:26" s="154" customFormat="1" ht="60" hidden="1" x14ac:dyDescent="0.25">
      <c r="A203" s="44"/>
      <c r="B203" s="94" t="s">
        <v>402</v>
      </c>
      <c r="C203" s="12">
        <v>1</v>
      </c>
      <c r="D203" s="25"/>
      <c r="E203" s="14"/>
      <c r="F203" s="14"/>
      <c r="G203" s="14"/>
      <c r="H203" s="14">
        <v>9852.0535</v>
      </c>
      <c r="I203" s="14"/>
      <c r="J203" s="14">
        <v>5073.3052999999991</v>
      </c>
      <c r="K203" s="14"/>
      <c r="L203" s="14">
        <v>3296.2426499999997</v>
      </c>
      <c r="M203" s="14">
        <v>3263.4326499999997</v>
      </c>
      <c r="N203" s="14"/>
      <c r="O203" s="14"/>
      <c r="P203" s="14">
        <v>9746.5802000000003</v>
      </c>
      <c r="Q203" s="14"/>
      <c r="R203" s="14"/>
      <c r="S203" s="14"/>
      <c r="T203" s="14"/>
      <c r="U203" s="13">
        <f t="shared" si="13"/>
        <v>31231.614299999997</v>
      </c>
      <c r="V203" s="14">
        <v>670.5</v>
      </c>
      <c r="W203" s="15">
        <f t="shared" si="14"/>
        <v>20940797.388149999</v>
      </c>
    </row>
    <row r="204" spans="1:26" s="154" customFormat="1" ht="30" x14ac:dyDescent="0.25">
      <c r="A204" s="44">
        <v>6</v>
      </c>
      <c r="B204" s="94" t="s">
        <v>46</v>
      </c>
      <c r="C204" s="19">
        <v>100</v>
      </c>
      <c r="D204" s="25"/>
      <c r="E204" s="14"/>
      <c r="F204" s="14"/>
      <c r="G204" s="14"/>
      <c r="H204" s="14">
        <v>6041.9129999999996</v>
      </c>
      <c r="I204" s="14"/>
      <c r="J204" s="14">
        <v>5294.2214000000004</v>
      </c>
      <c r="K204" s="14"/>
      <c r="L204" s="14">
        <v>3466.0362</v>
      </c>
      <c r="M204" s="14">
        <v>3489.5021999999999</v>
      </c>
      <c r="N204" s="14"/>
      <c r="O204" s="14"/>
      <c r="P204" s="14">
        <v>9774.5750000000007</v>
      </c>
      <c r="Q204" s="14"/>
      <c r="R204" s="14"/>
      <c r="S204" s="14"/>
      <c r="T204" s="14"/>
      <c r="U204" s="13">
        <f t="shared" si="13"/>
        <v>28066.247800000001</v>
      </c>
      <c r="V204" s="25">
        <v>1645.1</v>
      </c>
      <c r="W204" s="15">
        <f t="shared" si="14"/>
        <v>461717.84255779994</v>
      </c>
    </row>
    <row r="205" spans="1:26" s="154" customFormat="1" ht="75" hidden="1" x14ac:dyDescent="0.25">
      <c r="A205" s="44">
        <v>7</v>
      </c>
      <c r="B205" s="94" t="s">
        <v>171</v>
      </c>
      <c r="C205" s="19">
        <v>100</v>
      </c>
      <c r="D205" s="25"/>
      <c r="E205" s="14"/>
      <c r="F205" s="14"/>
      <c r="G205" s="14"/>
      <c r="H205" s="14">
        <v>1758.1539000000002</v>
      </c>
      <c r="I205" s="14"/>
      <c r="J205" s="14">
        <v>997.5381000000001</v>
      </c>
      <c r="K205" s="14"/>
      <c r="L205" s="14">
        <v>648.78250000000003</v>
      </c>
      <c r="M205" s="14">
        <v>648.78250000000003</v>
      </c>
      <c r="N205" s="14"/>
      <c r="O205" s="14"/>
      <c r="P205" s="14">
        <v>1394.2756000000002</v>
      </c>
      <c r="Q205" s="14"/>
      <c r="R205" s="14"/>
      <c r="S205" s="14"/>
      <c r="T205" s="14"/>
      <c r="U205" s="13">
        <f t="shared" si="13"/>
        <v>5447.5326000000005</v>
      </c>
      <c r="V205" s="14">
        <v>13179.6</v>
      </c>
      <c r="W205" s="15">
        <f t="shared" si="14"/>
        <v>717963.00654960005</v>
      </c>
    </row>
    <row r="206" spans="1:26" s="154" customFormat="1" ht="30" x14ac:dyDescent="0.25">
      <c r="A206" s="44">
        <v>8</v>
      </c>
      <c r="B206" s="94" t="s">
        <v>103</v>
      </c>
      <c r="C206" s="19">
        <v>1</v>
      </c>
      <c r="D206" s="25"/>
      <c r="E206" s="14"/>
      <c r="F206" s="14"/>
      <c r="G206" s="14"/>
      <c r="H206" s="14">
        <v>1758.1539000000002</v>
      </c>
      <c r="I206" s="14"/>
      <c r="J206" s="14">
        <v>997.5381000000001</v>
      </c>
      <c r="K206" s="14"/>
      <c r="L206" s="14">
        <v>648.78250000000003</v>
      </c>
      <c r="M206" s="14">
        <v>648.78250000000003</v>
      </c>
      <c r="N206" s="14"/>
      <c r="O206" s="14"/>
      <c r="P206" s="14">
        <v>1394.2756000000002</v>
      </c>
      <c r="Q206" s="14"/>
      <c r="R206" s="14"/>
      <c r="S206" s="14"/>
      <c r="T206" s="14"/>
      <c r="U206" s="13">
        <f t="shared" si="13"/>
        <v>5447.5326000000005</v>
      </c>
      <c r="V206" s="14">
        <v>11</v>
      </c>
      <c r="W206" s="15">
        <f t="shared" si="14"/>
        <v>59922.858600000007</v>
      </c>
    </row>
    <row r="207" spans="1:26" s="154" customFormat="1" ht="45" x14ac:dyDescent="0.25">
      <c r="A207" s="44">
        <v>9</v>
      </c>
      <c r="B207" s="94" t="s">
        <v>111</v>
      </c>
      <c r="C207" s="36">
        <v>1</v>
      </c>
      <c r="D207" s="25"/>
      <c r="E207" s="14"/>
      <c r="F207" s="14"/>
      <c r="G207" s="14"/>
      <c r="H207" s="14">
        <v>144</v>
      </c>
      <c r="I207" s="14"/>
      <c r="J207" s="14">
        <v>111</v>
      </c>
      <c r="K207" s="14"/>
      <c r="L207" s="14">
        <v>46</v>
      </c>
      <c r="M207" s="14">
        <v>46</v>
      </c>
      <c r="N207" s="14"/>
      <c r="O207" s="14"/>
      <c r="P207" s="14">
        <v>282</v>
      </c>
      <c r="Q207" s="14"/>
      <c r="R207" s="14"/>
      <c r="S207" s="14"/>
      <c r="T207" s="14"/>
      <c r="U207" s="13">
        <f t="shared" si="13"/>
        <v>629</v>
      </c>
      <c r="V207" s="25">
        <v>514.9</v>
      </c>
      <c r="W207" s="15">
        <f t="shared" si="14"/>
        <v>323872.09999999998</v>
      </c>
    </row>
    <row r="208" spans="1:26" s="154" customFormat="1" ht="30" x14ac:dyDescent="0.25">
      <c r="A208" s="44">
        <v>10</v>
      </c>
      <c r="B208" s="94" t="s">
        <v>112</v>
      </c>
      <c r="C208" s="37">
        <v>1</v>
      </c>
      <c r="D208" s="25"/>
      <c r="E208" s="14"/>
      <c r="F208" s="14"/>
      <c r="G208" s="14"/>
      <c r="H208" s="14">
        <v>12</v>
      </c>
      <c r="I208" s="14"/>
      <c r="J208" s="14">
        <v>6</v>
      </c>
      <c r="K208" s="14"/>
      <c r="L208" s="14">
        <v>4</v>
      </c>
      <c r="M208" s="14">
        <v>4</v>
      </c>
      <c r="N208" s="14"/>
      <c r="O208" s="14"/>
      <c r="P208" s="14">
        <v>12</v>
      </c>
      <c r="Q208" s="14"/>
      <c r="R208" s="14"/>
      <c r="S208" s="14"/>
      <c r="T208" s="14"/>
      <c r="U208" s="13">
        <f t="shared" si="13"/>
        <v>38</v>
      </c>
      <c r="V208" s="25">
        <v>849.7</v>
      </c>
      <c r="W208" s="15">
        <f t="shared" si="14"/>
        <v>32288.600000000002</v>
      </c>
    </row>
    <row r="209" spans="1:23" s="154" customFormat="1" x14ac:dyDescent="0.25">
      <c r="A209" s="44">
        <v>11</v>
      </c>
      <c r="B209" s="94" t="s">
        <v>113</v>
      </c>
      <c r="C209" s="37">
        <v>1</v>
      </c>
      <c r="D209" s="25"/>
      <c r="E209" s="14"/>
      <c r="F209" s="14"/>
      <c r="G209" s="14"/>
      <c r="H209" s="14">
        <v>6</v>
      </c>
      <c r="I209" s="14"/>
      <c r="J209" s="14">
        <v>6</v>
      </c>
      <c r="K209" s="14"/>
      <c r="L209" s="14">
        <v>4</v>
      </c>
      <c r="M209" s="14">
        <v>4</v>
      </c>
      <c r="N209" s="14"/>
      <c r="O209" s="14"/>
      <c r="P209" s="14">
        <v>6</v>
      </c>
      <c r="Q209" s="14"/>
      <c r="R209" s="14"/>
      <c r="S209" s="14"/>
      <c r="T209" s="14"/>
      <c r="U209" s="13">
        <f t="shared" si="13"/>
        <v>26</v>
      </c>
      <c r="V209" s="25">
        <v>1159.6500000000001</v>
      </c>
      <c r="W209" s="15">
        <f t="shared" si="14"/>
        <v>30150.9</v>
      </c>
    </row>
    <row r="210" spans="1:23" s="154" customFormat="1" ht="180" hidden="1" x14ac:dyDescent="0.25">
      <c r="A210" s="44">
        <v>12</v>
      </c>
      <c r="B210" s="94" t="s">
        <v>172</v>
      </c>
      <c r="C210" s="22">
        <v>1</v>
      </c>
      <c r="D210" s="25"/>
      <c r="E210" s="14"/>
      <c r="F210" s="14"/>
      <c r="G210" s="14"/>
      <c r="H210" s="14">
        <v>607.91999999999996</v>
      </c>
      <c r="I210" s="14"/>
      <c r="J210" s="14">
        <v>367.92</v>
      </c>
      <c r="K210" s="14"/>
      <c r="L210" s="14">
        <v>271.92</v>
      </c>
      <c r="M210" s="14">
        <v>271.92</v>
      </c>
      <c r="N210" s="14"/>
      <c r="O210" s="14"/>
      <c r="P210" s="14">
        <v>463.92</v>
      </c>
      <c r="Q210" s="14"/>
      <c r="R210" s="14"/>
      <c r="S210" s="14"/>
      <c r="T210" s="14"/>
      <c r="U210" s="13">
        <f t="shared" si="13"/>
        <v>1983.6000000000001</v>
      </c>
      <c r="V210" s="14">
        <v>2180.6999999999998</v>
      </c>
      <c r="W210" s="15">
        <f t="shared" si="14"/>
        <v>4325636.5199999996</v>
      </c>
    </row>
    <row r="211" spans="1:23" s="154" customFormat="1" ht="45" hidden="1" x14ac:dyDescent="0.25">
      <c r="A211" s="44">
        <v>13</v>
      </c>
      <c r="B211" s="94" t="s">
        <v>173</v>
      </c>
      <c r="C211" s="19">
        <v>1</v>
      </c>
      <c r="D211" s="25"/>
      <c r="E211" s="14"/>
      <c r="F211" s="14"/>
      <c r="G211" s="14"/>
      <c r="H211" s="14">
        <v>196</v>
      </c>
      <c r="I211" s="14"/>
      <c r="J211" s="14">
        <v>176</v>
      </c>
      <c r="K211" s="14"/>
      <c r="L211" s="14">
        <v>176</v>
      </c>
      <c r="M211" s="14">
        <v>176</v>
      </c>
      <c r="N211" s="14"/>
      <c r="O211" s="14"/>
      <c r="P211" s="14">
        <v>184</v>
      </c>
      <c r="Q211" s="14"/>
      <c r="R211" s="14"/>
      <c r="S211" s="14"/>
      <c r="T211" s="14"/>
      <c r="U211" s="13">
        <f t="shared" si="13"/>
        <v>908</v>
      </c>
      <c r="V211" s="14">
        <v>2767</v>
      </c>
      <c r="W211" s="15">
        <f t="shared" si="14"/>
        <v>2512436</v>
      </c>
    </row>
    <row r="212" spans="1:23" s="154" customFormat="1" hidden="1" x14ac:dyDescent="0.25">
      <c r="A212" s="44">
        <v>14</v>
      </c>
      <c r="B212" s="94" t="s">
        <v>174</v>
      </c>
      <c r="C212" s="19">
        <v>100</v>
      </c>
      <c r="D212" s="25"/>
      <c r="E212" s="14"/>
      <c r="F212" s="14"/>
      <c r="G212" s="14"/>
      <c r="H212" s="14">
        <v>5921.9459999999999</v>
      </c>
      <c r="I212" s="14"/>
      <c r="J212" s="14">
        <v>3581.6040000000003</v>
      </c>
      <c r="K212" s="14"/>
      <c r="L212" s="14">
        <v>2528.6009999999997</v>
      </c>
      <c r="M212" s="14">
        <v>2528.6009999999997</v>
      </c>
      <c r="N212" s="14"/>
      <c r="O212" s="14"/>
      <c r="P212" s="14">
        <v>4838.8949999999995</v>
      </c>
      <c r="Q212" s="14"/>
      <c r="R212" s="14"/>
      <c r="S212" s="14"/>
      <c r="T212" s="14"/>
      <c r="U212" s="13">
        <f t="shared" si="13"/>
        <v>19399.646999999997</v>
      </c>
      <c r="V212" s="25">
        <v>1212.3499999999999</v>
      </c>
      <c r="W212" s="15">
        <f t="shared" si="14"/>
        <v>235191.62040449996</v>
      </c>
    </row>
    <row r="213" spans="1:23" s="154" customFormat="1" ht="45" x14ac:dyDescent="0.25">
      <c r="A213" s="44">
        <v>15</v>
      </c>
      <c r="B213" s="94" t="s">
        <v>115</v>
      </c>
      <c r="C213" s="19">
        <v>100</v>
      </c>
      <c r="D213" s="25"/>
      <c r="E213" s="14"/>
      <c r="F213" s="14"/>
      <c r="G213" s="14"/>
      <c r="H213" s="14">
        <v>5354.9950000000008</v>
      </c>
      <c r="I213" s="14"/>
      <c r="J213" s="14">
        <v>3896.5079999999998</v>
      </c>
      <c r="K213" s="14"/>
      <c r="L213" s="14">
        <v>2362.2509999999997</v>
      </c>
      <c r="M213" s="14">
        <v>2362.2509999999997</v>
      </c>
      <c r="N213" s="14"/>
      <c r="O213" s="14"/>
      <c r="P213" s="14">
        <v>6169.194300000001</v>
      </c>
      <c r="Q213" s="14"/>
      <c r="R213" s="14"/>
      <c r="S213" s="14"/>
      <c r="T213" s="14"/>
      <c r="U213" s="13">
        <f t="shared" si="13"/>
        <v>20145.1993</v>
      </c>
      <c r="V213" s="25">
        <v>7379.1</v>
      </c>
      <c r="W213" s="15">
        <f t="shared" si="14"/>
        <v>1486534.4015463002</v>
      </c>
    </row>
    <row r="214" spans="1:23" s="154" customFormat="1" ht="30" x14ac:dyDescent="0.25">
      <c r="A214" s="44">
        <v>16</v>
      </c>
      <c r="B214" s="94" t="s">
        <v>116</v>
      </c>
      <c r="C214" s="19">
        <v>100</v>
      </c>
      <c r="D214" s="25"/>
      <c r="E214" s="14"/>
      <c r="F214" s="14"/>
      <c r="G214" s="14"/>
      <c r="H214" s="14">
        <v>356</v>
      </c>
      <c r="I214" s="14"/>
      <c r="J214" s="14">
        <v>336</v>
      </c>
      <c r="K214" s="14"/>
      <c r="L214" s="14">
        <v>168</v>
      </c>
      <c r="M214" s="14">
        <v>168</v>
      </c>
      <c r="N214" s="14"/>
      <c r="O214" s="14"/>
      <c r="P214" s="14">
        <v>344</v>
      </c>
      <c r="Q214" s="14"/>
      <c r="R214" s="14"/>
      <c r="S214" s="14"/>
      <c r="T214" s="14"/>
      <c r="U214" s="13">
        <f t="shared" si="13"/>
        <v>1372</v>
      </c>
      <c r="V214" s="25">
        <v>3052.4</v>
      </c>
      <c r="W214" s="15">
        <f t="shared" si="14"/>
        <v>41878.928</v>
      </c>
    </row>
    <row r="215" spans="1:23" s="154" customFormat="1" ht="45" hidden="1" x14ac:dyDescent="0.25">
      <c r="A215" s="44">
        <v>17</v>
      </c>
      <c r="B215" s="94" t="s">
        <v>175</v>
      </c>
      <c r="C215" s="37">
        <v>1</v>
      </c>
      <c r="D215" s="25"/>
      <c r="E215" s="14"/>
      <c r="F215" s="14"/>
      <c r="G215" s="14"/>
      <c r="H215" s="14">
        <v>99</v>
      </c>
      <c r="I215" s="14"/>
      <c r="J215" s="14">
        <v>64</v>
      </c>
      <c r="K215" s="14"/>
      <c r="L215" s="14">
        <v>28</v>
      </c>
      <c r="M215" s="14">
        <v>28</v>
      </c>
      <c r="N215" s="14"/>
      <c r="O215" s="14"/>
      <c r="P215" s="14">
        <v>150</v>
      </c>
      <c r="Q215" s="14"/>
      <c r="R215" s="14"/>
      <c r="S215" s="14"/>
      <c r="T215" s="14"/>
      <c r="U215" s="13">
        <f t="shared" si="13"/>
        <v>369</v>
      </c>
      <c r="V215" s="25">
        <v>680.75</v>
      </c>
      <c r="W215" s="15">
        <f t="shared" si="14"/>
        <v>251196.75</v>
      </c>
    </row>
    <row r="216" spans="1:23" s="154" customFormat="1" ht="75" hidden="1" x14ac:dyDescent="0.25">
      <c r="A216" s="44">
        <v>18</v>
      </c>
      <c r="B216" s="94" t="s">
        <v>190</v>
      </c>
      <c r="C216" s="36">
        <v>1</v>
      </c>
      <c r="D216" s="25"/>
      <c r="E216" s="14"/>
      <c r="F216" s="14"/>
      <c r="G216" s="14"/>
      <c r="H216" s="14"/>
      <c r="I216" s="14"/>
      <c r="J216" s="14">
        <v>71.86</v>
      </c>
      <c r="K216" s="14"/>
      <c r="L216" s="14"/>
      <c r="M216" s="16"/>
      <c r="N216" s="14"/>
      <c r="O216" s="14"/>
      <c r="P216" s="14">
        <v>40</v>
      </c>
      <c r="Q216" s="14"/>
      <c r="R216" s="14"/>
      <c r="S216" s="14"/>
      <c r="T216" s="14"/>
      <c r="U216" s="13">
        <f t="shared" si="13"/>
        <v>111.86</v>
      </c>
      <c r="V216" s="25">
        <v>1125.2</v>
      </c>
      <c r="W216" s="15">
        <f t="shared" si="14"/>
        <v>125864.872</v>
      </c>
    </row>
    <row r="217" spans="1:23" s="154" customFormat="1" hidden="1" x14ac:dyDescent="0.25">
      <c r="A217" s="44">
        <v>19</v>
      </c>
      <c r="B217" s="94" t="s">
        <v>176</v>
      </c>
      <c r="C217" s="19">
        <v>1</v>
      </c>
      <c r="D217" s="25"/>
      <c r="E217" s="14"/>
      <c r="F217" s="14"/>
      <c r="G217" s="14"/>
      <c r="H217" s="14">
        <v>1368</v>
      </c>
      <c r="I217" s="14"/>
      <c r="J217" s="14">
        <v>368</v>
      </c>
      <c r="K217" s="14"/>
      <c r="L217" s="14">
        <v>184</v>
      </c>
      <c r="M217" s="14">
        <v>184</v>
      </c>
      <c r="N217" s="14"/>
      <c r="O217" s="14"/>
      <c r="P217" s="14">
        <v>696</v>
      </c>
      <c r="Q217" s="14"/>
      <c r="R217" s="14"/>
      <c r="S217" s="14"/>
      <c r="T217" s="14"/>
      <c r="U217" s="13">
        <f t="shared" si="13"/>
        <v>2800</v>
      </c>
      <c r="V217" s="25">
        <v>603</v>
      </c>
      <c r="W217" s="15">
        <f t="shared" si="14"/>
        <v>1688400</v>
      </c>
    </row>
    <row r="218" spans="1:23" s="154" customFormat="1" ht="75" hidden="1" x14ac:dyDescent="0.25">
      <c r="A218" s="44">
        <v>20</v>
      </c>
      <c r="B218" s="94" t="s">
        <v>177</v>
      </c>
      <c r="C218" s="19">
        <v>1</v>
      </c>
      <c r="D218" s="25"/>
      <c r="E218" s="14"/>
      <c r="F218" s="14"/>
      <c r="G218" s="14"/>
      <c r="H218" s="14">
        <v>2738.75</v>
      </c>
      <c r="I218" s="14"/>
      <c r="J218" s="14">
        <v>1682.7508000000003</v>
      </c>
      <c r="K218" s="14"/>
      <c r="L218" s="14">
        <v>1417.6664000000001</v>
      </c>
      <c r="M218" s="14">
        <v>1417.6664000000001</v>
      </c>
      <c r="N218" s="14"/>
      <c r="O218" s="14"/>
      <c r="P218" s="14">
        <v>2220.2250000000004</v>
      </c>
      <c r="Q218" s="14"/>
      <c r="R218" s="14"/>
      <c r="S218" s="14"/>
      <c r="T218" s="14"/>
      <c r="U218" s="13">
        <f t="shared" si="13"/>
        <v>9477.0586000000003</v>
      </c>
      <c r="V218" s="25">
        <v>205.4</v>
      </c>
      <c r="W218" s="15">
        <f t="shared" si="14"/>
        <v>1946587.8364400002</v>
      </c>
    </row>
    <row r="219" spans="1:23" s="154" customFormat="1" ht="30" hidden="1" x14ac:dyDescent="0.25">
      <c r="A219" s="44">
        <v>21</v>
      </c>
      <c r="B219" s="94" t="s">
        <v>178</v>
      </c>
      <c r="C219" s="12">
        <v>100</v>
      </c>
      <c r="D219" s="25"/>
      <c r="E219" s="14"/>
      <c r="F219" s="14"/>
      <c r="G219" s="14"/>
      <c r="H219" s="14">
        <v>738.42</v>
      </c>
      <c r="I219" s="14"/>
      <c r="J219" s="14">
        <v>418.97</v>
      </c>
      <c r="K219" s="14"/>
      <c r="L219" s="14">
        <v>272.49</v>
      </c>
      <c r="M219" s="14">
        <v>272.49</v>
      </c>
      <c r="N219" s="14"/>
      <c r="O219" s="14"/>
      <c r="P219" s="14">
        <v>585.6</v>
      </c>
      <c r="Q219" s="14"/>
      <c r="R219" s="14"/>
      <c r="S219" s="14"/>
      <c r="T219" s="14"/>
      <c r="U219" s="13">
        <f t="shared" si="13"/>
        <v>2287.9699999999998</v>
      </c>
      <c r="V219" s="25">
        <v>18017.599999999999</v>
      </c>
      <c r="W219" s="15">
        <f t="shared" si="14"/>
        <v>412237.2827199999</v>
      </c>
    </row>
    <row r="220" spans="1:23" s="154" customFormat="1" ht="75" hidden="1" x14ac:dyDescent="0.25">
      <c r="A220" s="44">
        <v>22</v>
      </c>
      <c r="B220" s="94" t="s">
        <v>179</v>
      </c>
      <c r="C220" s="19">
        <v>100</v>
      </c>
      <c r="D220" s="25"/>
      <c r="E220" s="25"/>
      <c r="F220" s="25"/>
      <c r="G220" s="25"/>
      <c r="H220" s="25">
        <v>1758.1539000000002</v>
      </c>
      <c r="I220" s="25"/>
      <c r="J220" s="25">
        <v>997.5381000000001</v>
      </c>
      <c r="K220" s="25"/>
      <c r="L220" s="25">
        <v>648.78250000000003</v>
      </c>
      <c r="M220" s="25">
        <v>648.78250000000003</v>
      </c>
      <c r="N220" s="25"/>
      <c r="O220" s="25"/>
      <c r="P220" s="25">
        <v>1394.2756000000002</v>
      </c>
      <c r="Q220" s="25"/>
      <c r="R220" s="25"/>
      <c r="S220" s="25"/>
      <c r="T220" s="25"/>
      <c r="U220" s="13">
        <f t="shared" si="13"/>
        <v>5447.5326000000005</v>
      </c>
      <c r="V220" s="25">
        <v>29658.5</v>
      </c>
      <c r="W220" s="15">
        <f t="shared" si="14"/>
        <v>1615656.4561709999</v>
      </c>
    </row>
    <row r="221" spans="1:23" s="154" customFormat="1" ht="75" hidden="1" x14ac:dyDescent="0.25">
      <c r="A221" s="44">
        <v>23</v>
      </c>
      <c r="B221" s="94" t="s">
        <v>180</v>
      </c>
      <c r="C221" s="19">
        <v>100</v>
      </c>
      <c r="D221" s="25"/>
      <c r="E221" s="25"/>
      <c r="F221" s="25"/>
      <c r="G221" s="25"/>
      <c r="H221" s="25">
        <v>112.84</v>
      </c>
      <c r="I221" s="25"/>
      <c r="J221" s="25">
        <v>72.099999999999994</v>
      </c>
      <c r="K221" s="25"/>
      <c r="L221" s="25">
        <v>53.42</v>
      </c>
      <c r="M221" s="25">
        <v>53.42</v>
      </c>
      <c r="N221" s="25"/>
      <c r="O221" s="25"/>
      <c r="P221" s="25">
        <v>93.350000000000009</v>
      </c>
      <c r="Q221" s="25"/>
      <c r="R221" s="25"/>
      <c r="S221" s="25"/>
      <c r="T221" s="25"/>
      <c r="U221" s="13">
        <f t="shared" si="13"/>
        <v>385.13000000000005</v>
      </c>
      <c r="V221" s="25">
        <v>19146.849999999999</v>
      </c>
      <c r="W221" s="15">
        <f t="shared" si="14"/>
        <v>73740.263405000005</v>
      </c>
    </row>
    <row r="222" spans="1:23" s="154" customFormat="1" ht="45" hidden="1" x14ac:dyDescent="0.25">
      <c r="A222" s="44">
        <v>24</v>
      </c>
      <c r="B222" s="94" t="s">
        <v>181</v>
      </c>
      <c r="C222" s="36">
        <v>1</v>
      </c>
      <c r="D222" s="25"/>
      <c r="E222" s="25"/>
      <c r="F222" s="25"/>
      <c r="G222" s="25"/>
      <c r="H222" s="25">
        <v>900.26</v>
      </c>
      <c r="I222" s="25"/>
      <c r="J222" s="25">
        <v>519.15</v>
      </c>
      <c r="K222" s="25"/>
      <c r="L222" s="25">
        <v>389.75</v>
      </c>
      <c r="M222" s="25">
        <v>389.75</v>
      </c>
      <c r="N222" s="25"/>
      <c r="O222" s="25"/>
      <c r="P222" s="25">
        <v>723.40000000000009</v>
      </c>
      <c r="Q222" s="25"/>
      <c r="R222" s="25"/>
      <c r="S222" s="25"/>
      <c r="T222" s="25"/>
      <c r="U222" s="13">
        <f t="shared" si="13"/>
        <v>2922.31</v>
      </c>
      <c r="V222" s="25">
        <v>39.6</v>
      </c>
      <c r="W222" s="15">
        <f t="shared" si="14"/>
        <v>115723.476</v>
      </c>
    </row>
    <row r="223" spans="1:23" s="154" customFormat="1" ht="45" x14ac:dyDescent="0.25">
      <c r="A223" s="44">
        <v>25</v>
      </c>
      <c r="B223" s="134" t="s">
        <v>71</v>
      </c>
      <c r="C223" s="36">
        <v>1</v>
      </c>
      <c r="D223" s="25"/>
      <c r="E223" s="14"/>
      <c r="F223" s="14"/>
      <c r="G223" s="14"/>
      <c r="H223" s="14">
        <v>473.5</v>
      </c>
      <c r="I223" s="14"/>
      <c r="J223" s="14">
        <v>236.66</v>
      </c>
      <c r="K223" s="14"/>
      <c r="L223" s="14">
        <v>173.29</v>
      </c>
      <c r="M223" s="14">
        <v>176.57</v>
      </c>
      <c r="N223" s="14"/>
      <c r="O223" s="14"/>
      <c r="P223" s="14">
        <v>312.94</v>
      </c>
      <c r="Q223" s="14"/>
      <c r="R223" s="14"/>
      <c r="S223" s="14"/>
      <c r="T223" s="14"/>
      <c r="U223" s="13">
        <f t="shared" si="13"/>
        <v>1372.96</v>
      </c>
      <c r="V223" s="14">
        <v>809.4</v>
      </c>
      <c r="W223" s="15">
        <f t="shared" si="14"/>
        <v>1111273.824</v>
      </c>
    </row>
    <row r="224" spans="1:23" s="154" customFormat="1" ht="45" x14ac:dyDescent="0.25">
      <c r="A224" s="44">
        <v>26</v>
      </c>
      <c r="B224" s="94" t="s">
        <v>118</v>
      </c>
      <c r="C224" s="20"/>
      <c r="D224" s="20"/>
      <c r="E224" s="20"/>
      <c r="F224" s="20"/>
      <c r="G224" s="20"/>
      <c r="H224" s="20"/>
      <c r="I224" s="20"/>
      <c r="J224" s="20"/>
      <c r="K224" s="20"/>
      <c r="L224" s="20"/>
      <c r="M224" s="20"/>
      <c r="N224" s="20"/>
      <c r="O224" s="20"/>
      <c r="P224" s="20"/>
      <c r="Q224" s="20"/>
      <c r="R224" s="20"/>
      <c r="S224" s="20"/>
      <c r="T224" s="20"/>
      <c r="U224" s="13">
        <f t="shared" si="13"/>
        <v>0</v>
      </c>
      <c r="V224" s="20"/>
      <c r="W224" s="20"/>
    </row>
    <row r="225" spans="1:23" s="154" customFormat="1" x14ac:dyDescent="0.25">
      <c r="A225" s="44"/>
      <c r="B225" s="94" t="s">
        <v>148</v>
      </c>
      <c r="C225" s="36">
        <v>1</v>
      </c>
      <c r="D225" s="25"/>
      <c r="E225" s="14"/>
      <c r="F225" s="14"/>
      <c r="G225" s="14"/>
      <c r="H225" s="14">
        <v>500</v>
      </c>
      <c r="I225" s="14"/>
      <c r="J225" s="14">
        <v>150</v>
      </c>
      <c r="K225" s="14"/>
      <c r="L225" s="14">
        <v>100</v>
      </c>
      <c r="M225" s="14">
        <v>100</v>
      </c>
      <c r="N225" s="14"/>
      <c r="O225" s="14"/>
      <c r="P225" s="14">
        <v>350</v>
      </c>
      <c r="Q225" s="14"/>
      <c r="R225" s="14"/>
      <c r="S225" s="14"/>
      <c r="T225" s="14"/>
      <c r="U225" s="13">
        <f t="shared" si="13"/>
        <v>1200</v>
      </c>
      <c r="V225" s="25">
        <v>112.25</v>
      </c>
      <c r="W225" s="15">
        <f t="shared" si="14"/>
        <v>134700</v>
      </c>
    </row>
    <row r="226" spans="1:23" s="154" customFormat="1" x14ac:dyDescent="0.25">
      <c r="A226" s="44"/>
      <c r="B226" s="94" t="s">
        <v>149</v>
      </c>
      <c r="C226" s="36">
        <v>1</v>
      </c>
      <c r="D226" s="25"/>
      <c r="E226" s="14"/>
      <c r="F226" s="14"/>
      <c r="G226" s="14"/>
      <c r="H226" s="14">
        <v>300</v>
      </c>
      <c r="I226" s="14"/>
      <c r="J226" s="14">
        <v>150</v>
      </c>
      <c r="K226" s="14"/>
      <c r="L226" s="14">
        <v>100</v>
      </c>
      <c r="M226" s="14">
        <v>100</v>
      </c>
      <c r="N226" s="14"/>
      <c r="O226" s="14"/>
      <c r="P226" s="14">
        <v>250</v>
      </c>
      <c r="Q226" s="14"/>
      <c r="R226" s="14"/>
      <c r="S226" s="14"/>
      <c r="T226" s="14"/>
      <c r="U226" s="13">
        <f t="shared" si="13"/>
        <v>900</v>
      </c>
      <c r="V226" s="25">
        <v>133.6</v>
      </c>
      <c r="W226" s="15">
        <f t="shared" si="14"/>
        <v>120240</v>
      </c>
    </row>
    <row r="227" spans="1:23" s="154" customFormat="1" ht="75" x14ac:dyDescent="0.25">
      <c r="A227" s="44">
        <v>27</v>
      </c>
      <c r="B227" s="94" t="s">
        <v>123</v>
      </c>
      <c r="C227" s="20"/>
      <c r="D227" s="20"/>
      <c r="E227" s="20"/>
      <c r="F227" s="20"/>
      <c r="G227" s="20"/>
      <c r="H227" s="20"/>
      <c r="I227" s="20"/>
      <c r="J227" s="20"/>
      <c r="K227" s="20"/>
      <c r="L227" s="20"/>
      <c r="M227" s="20"/>
      <c r="N227" s="20"/>
      <c r="O227" s="20"/>
      <c r="P227" s="20"/>
      <c r="Q227" s="20"/>
      <c r="R227" s="20"/>
      <c r="S227" s="20"/>
      <c r="T227" s="20"/>
      <c r="U227" s="13">
        <f t="shared" si="13"/>
        <v>0</v>
      </c>
      <c r="V227" s="20"/>
      <c r="W227" s="20"/>
    </row>
    <row r="228" spans="1:23" s="154" customFormat="1" x14ac:dyDescent="0.25">
      <c r="A228" s="44"/>
      <c r="B228" s="94" t="s">
        <v>150</v>
      </c>
      <c r="C228" s="36">
        <v>1</v>
      </c>
      <c r="D228" s="25"/>
      <c r="E228" s="14"/>
      <c r="F228" s="14"/>
      <c r="G228" s="14"/>
      <c r="H228" s="14">
        <v>1000</v>
      </c>
      <c r="I228" s="14"/>
      <c r="J228" s="14">
        <v>500</v>
      </c>
      <c r="K228" s="14"/>
      <c r="L228" s="14">
        <v>250</v>
      </c>
      <c r="M228" s="14">
        <v>250</v>
      </c>
      <c r="N228" s="14"/>
      <c r="O228" s="14"/>
      <c r="P228" s="14">
        <v>1000</v>
      </c>
      <c r="Q228" s="14"/>
      <c r="R228" s="14"/>
      <c r="S228" s="14"/>
      <c r="T228" s="14"/>
      <c r="U228" s="13">
        <f t="shared" si="13"/>
        <v>3000</v>
      </c>
      <c r="V228" s="25">
        <v>35.700000000000003</v>
      </c>
      <c r="W228" s="15">
        <f t="shared" si="14"/>
        <v>107100.00000000001</v>
      </c>
    </row>
    <row r="229" spans="1:23" s="154" customFormat="1" x14ac:dyDescent="0.25">
      <c r="A229" s="44"/>
      <c r="B229" s="94" t="s">
        <v>151</v>
      </c>
      <c r="C229" s="36">
        <v>1</v>
      </c>
      <c r="D229" s="25"/>
      <c r="E229" s="14"/>
      <c r="F229" s="14"/>
      <c r="G229" s="14"/>
      <c r="H229" s="14">
        <v>500</v>
      </c>
      <c r="I229" s="14"/>
      <c r="J229" s="14">
        <v>300</v>
      </c>
      <c r="K229" s="14"/>
      <c r="L229" s="14">
        <v>200</v>
      </c>
      <c r="M229" s="14">
        <v>200</v>
      </c>
      <c r="N229" s="14"/>
      <c r="O229" s="14"/>
      <c r="P229" s="14">
        <v>500</v>
      </c>
      <c r="Q229" s="14"/>
      <c r="R229" s="14"/>
      <c r="S229" s="14"/>
      <c r="T229" s="14"/>
      <c r="U229" s="13">
        <f t="shared" si="13"/>
        <v>1700</v>
      </c>
      <c r="V229" s="25">
        <v>56.3</v>
      </c>
      <c r="W229" s="15">
        <f t="shared" si="14"/>
        <v>95710</v>
      </c>
    </row>
    <row r="230" spans="1:23" s="154" customFormat="1" ht="60" x14ac:dyDescent="0.25">
      <c r="A230" s="44">
        <v>28</v>
      </c>
      <c r="B230" s="94" t="s">
        <v>127</v>
      </c>
      <c r="C230" s="20"/>
      <c r="D230" s="20"/>
      <c r="E230" s="20"/>
      <c r="F230" s="20"/>
      <c r="G230" s="20"/>
      <c r="H230" s="20"/>
      <c r="I230" s="20"/>
      <c r="J230" s="20"/>
      <c r="K230" s="20"/>
      <c r="L230" s="20"/>
      <c r="M230" s="20"/>
      <c r="N230" s="20"/>
      <c r="O230" s="20"/>
      <c r="P230" s="20"/>
      <c r="Q230" s="20"/>
      <c r="R230" s="20"/>
      <c r="S230" s="20"/>
      <c r="T230" s="20"/>
      <c r="U230" s="13">
        <f t="shared" si="13"/>
        <v>0</v>
      </c>
      <c r="V230" s="20"/>
      <c r="W230" s="20"/>
    </row>
    <row r="231" spans="1:23" s="154" customFormat="1" x14ac:dyDescent="0.25">
      <c r="A231" s="44"/>
      <c r="B231" s="94" t="s">
        <v>153</v>
      </c>
      <c r="C231" s="38">
        <v>1</v>
      </c>
      <c r="D231" s="25"/>
      <c r="E231" s="14"/>
      <c r="F231" s="14"/>
      <c r="G231" s="14"/>
      <c r="H231" s="14">
        <v>10</v>
      </c>
      <c r="I231" s="14"/>
      <c r="J231" s="14">
        <v>5</v>
      </c>
      <c r="K231" s="14"/>
      <c r="L231" s="14">
        <v>3</v>
      </c>
      <c r="M231" s="14">
        <v>3</v>
      </c>
      <c r="N231" s="14"/>
      <c r="O231" s="14"/>
      <c r="P231" s="14">
        <v>10</v>
      </c>
      <c r="Q231" s="14"/>
      <c r="R231" s="14"/>
      <c r="S231" s="14"/>
      <c r="T231" s="14"/>
      <c r="U231" s="13">
        <f t="shared" si="13"/>
        <v>31</v>
      </c>
      <c r="V231" s="25">
        <v>522.75</v>
      </c>
      <c r="W231" s="15">
        <f t="shared" si="14"/>
        <v>16205.25</v>
      </c>
    </row>
    <row r="232" spans="1:23" s="154" customFormat="1" hidden="1" x14ac:dyDescent="0.25">
      <c r="A232" s="44">
        <v>29</v>
      </c>
      <c r="B232" s="94" t="s">
        <v>182</v>
      </c>
      <c r="C232" s="38">
        <v>1</v>
      </c>
      <c r="D232" s="25"/>
      <c r="E232" s="14"/>
      <c r="F232" s="14"/>
      <c r="G232" s="14"/>
      <c r="H232" s="14">
        <v>50</v>
      </c>
      <c r="I232" s="14"/>
      <c r="J232" s="14">
        <v>35</v>
      </c>
      <c r="K232" s="14"/>
      <c r="L232" s="14">
        <v>20</v>
      </c>
      <c r="M232" s="14">
        <v>20</v>
      </c>
      <c r="N232" s="14"/>
      <c r="O232" s="14"/>
      <c r="P232" s="14">
        <v>50</v>
      </c>
      <c r="Q232" s="14"/>
      <c r="R232" s="14"/>
      <c r="S232" s="14"/>
      <c r="T232" s="14"/>
      <c r="U232" s="13">
        <f t="shared" si="13"/>
        <v>175</v>
      </c>
      <c r="V232" s="25">
        <v>102.7</v>
      </c>
      <c r="W232" s="15">
        <f t="shared" si="14"/>
        <v>17972.5</v>
      </c>
    </row>
    <row r="233" spans="1:23" s="154" customFormat="1" ht="30" x14ac:dyDescent="0.25">
      <c r="A233" s="44">
        <v>30</v>
      </c>
      <c r="B233" s="94" t="s">
        <v>183</v>
      </c>
      <c r="C233" s="38">
        <v>1</v>
      </c>
      <c r="D233" s="25"/>
      <c r="E233" s="14"/>
      <c r="F233" s="14"/>
      <c r="G233" s="14"/>
      <c r="H233" s="14">
        <v>15</v>
      </c>
      <c r="I233" s="14"/>
      <c r="J233" s="14">
        <v>10</v>
      </c>
      <c r="K233" s="14"/>
      <c r="L233" s="14">
        <v>5</v>
      </c>
      <c r="M233" s="14">
        <v>5</v>
      </c>
      <c r="N233" s="14"/>
      <c r="O233" s="14"/>
      <c r="P233" s="14">
        <v>15</v>
      </c>
      <c r="Q233" s="14"/>
      <c r="R233" s="14"/>
      <c r="S233" s="14"/>
      <c r="T233" s="14"/>
      <c r="U233" s="13">
        <f t="shared" si="13"/>
        <v>50</v>
      </c>
      <c r="V233" s="25">
        <v>178.75</v>
      </c>
      <c r="W233" s="15">
        <f t="shared" si="14"/>
        <v>8937.5</v>
      </c>
    </row>
    <row r="234" spans="1:23" s="154" customFormat="1" x14ac:dyDescent="0.25">
      <c r="A234" s="44">
        <v>31</v>
      </c>
      <c r="B234" s="94" t="s">
        <v>132</v>
      </c>
      <c r="C234" s="38">
        <v>1</v>
      </c>
      <c r="D234" s="25"/>
      <c r="E234" s="14"/>
      <c r="F234" s="14"/>
      <c r="G234" s="14"/>
      <c r="H234" s="14">
        <v>15</v>
      </c>
      <c r="I234" s="14"/>
      <c r="J234" s="14">
        <v>10</v>
      </c>
      <c r="K234" s="14"/>
      <c r="L234" s="14">
        <v>5</v>
      </c>
      <c r="M234" s="14">
        <v>5</v>
      </c>
      <c r="N234" s="14"/>
      <c r="O234" s="14"/>
      <c r="P234" s="14">
        <v>15</v>
      </c>
      <c r="Q234" s="14"/>
      <c r="R234" s="14"/>
      <c r="S234" s="14"/>
      <c r="T234" s="14"/>
      <c r="U234" s="13">
        <f t="shared" si="13"/>
        <v>50</v>
      </c>
      <c r="V234" s="25">
        <v>96.3</v>
      </c>
      <c r="W234" s="15">
        <f t="shared" si="14"/>
        <v>4815</v>
      </c>
    </row>
    <row r="235" spans="1:23" s="154" customFormat="1" ht="90.75" hidden="1" x14ac:dyDescent="0.25">
      <c r="A235" s="44">
        <v>32</v>
      </c>
      <c r="B235" s="94" t="s">
        <v>184</v>
      </c>
      <c r="C235" s="37">
        <v>1</v>
      </c>
      <c r="D235" s="25"/>
      <c r="E235" s="14"/>
      <c r="F235" s="14"/>
      <c r="G235" s="14"/>
      <c r="H235" s="14">
        <v>1</v>
      </c>
      <c r="I235" s="14"/>
      <c r="J235" s="14">
        <v>1</v>
      </c>
      <c r="K235" s="14"/>
      <c r="L235" s="14">
        <v>1</v>
      </c>
      <c r="M235" s="14">
        <v>1</v>
      </c>
      <c r="N235" s="14"/>
      <c r="O235" s="14"/>
      <c r="P235" s="14">
        <v>1</v>
      </c>
      <c r="Q235" s="14"/>
      <c r="R235" s="14"/>
      <c r="S235" s="14"/>
      <c r="T235" s="14"/>
      <c r="U235" s="13">
        <f t="shared" si="13"/>
        <v>5</v>
      </c>
      <c r="V235" s="25">
        <v>5616.25</v>
      </c>
      <c r="W235" s="15">
        <f t="shared" si="14"/>
        <v>28081.25</v>
      </c>
    </row>
    <row r="236" spans="1:23" s="154" customFormat="1" ht="90.75" hidden="1" x14ac:dyDescent="0.25">
      <c r="A236" s="44">
        <v>33</v>
      </c>
      <c r="B236" s="94" t="s">
        <v>185</v>
      </c>
      <c r="C236" s="37">
        <v>1</v>
      </c>
      <c r="D236" s="25"/>
      <c r="E236" s="14"/>
      <c r="F236" s="14"/>
      <c r="G236" s="14"/>
      <c r="H236" s="14">
        <v>10</v>
      </c>
      <c r="I236" s="14"/>
      <c r="J236" s="14">
        <v>5</v>
      </c>
      <c r="K236" s="14"/>
      <c r="L236" s="14">
        <v>2</v>
      </c>
      <c r="M236" s="14">
        <v>2</v>
      </c>
      <c r="N236" s="14"/>
      <c r="O236" s="14"/>
      <c r="P236" s="14">
        <v>10</v>
      </c>
      <c r="Q236" s="14"/>
      <c r="R236" s="14"/>
      <c r="S236" s="14"/>
      <c r="T236" s="14"/>
      <c r="U236" s="13">
        <f t="shared" si="13"/>
        <v>29</v>
      </c>
      <c r="V236" s="25">
        <v>1453.75</v>
      </c>
      <c r="W236" s="15">
        <f t="shared" si="14"/>
        <v>42158.75</v>
      </c>
    </row>
    <row r="237" spans="1:23" s="154" customFormat="1" ht="60" hidden="1" x14ac:dyDescent="0.25">
      <c r="A237" s="44">
        <v>34</v>
      </c>
      <c r="B237" s="94" t="s">
        <v>186</v>
      </c>
      <c r="C237" s="38">
        <v>1</v>
      </c>
      <c r="D237" s="25"/>
      <c r="E237" s="14"/>
      <c r="F237" s="14"/>
      <c r="G237" s="14"/>
      <c r="H237" s="14">
        <v>10</v>
      </c>
      <c r="I237" s="14"/>
      <c r="J237" s="14">
        <v>6</v>
      </c>
      <c r="K237" s="14"/>
      <c r="L237" s="14">
        <v>4</v>
      </c>
      <c r="M237" s="14">
        <v>4</v>
      </c>
      <c r="N237" s="14"/>
      <c r="O237" s="14"/>
      <c r="P237" s="14">
        <v>10</v>
      </c>
      <c r="Q237" s="14"/>
      <c r="R237" s="14"/>
      <c r="S237" s="14"/>
      <c r="T237" s="14"/>
      <c r="U237" s="13">
        <f t="shared" si="13"/>
        <v>34</v>
      </c>
      <c r="V237" s="25">
        <v>11398.45</v>
      </c>
      <c r="W237" s="15">
        <f t="shared" si="14"/>
        <v>387547.30000000005</v>
      </c>
    </row>
    <row r="238" spans="1:23" s="154" customFormat="1" ht="60" x14ac:dyDescent="0.25">
      <c r="A238" s="44">
        <v>35</v>
      </c>
      <c r="B238" s="94" t="s">
        <v>139</v>
      </c>
      <c r="C238" s="37">
        <v>1</v>
      </c>
      <c r="D238" s="25"/>
      <c r="E238" s="14"/>
      <c r="F238" s="14"/>
      <c r="G238" s="14"/>
      <c r="H238" s="14">
        <v>15</v>
      </c>
      <c r="I238" s="14"/>
      <c r="J238" s="14">
        <v>10</v>
      </c>
      <c r="K238" s="14"/>
      <c r="L238" s="14">
        <v>5</v>
      </c>
      <c r="M238" s="14">
        <v>5</v>
      </c>
      <c r="N238" s="14"/>
      <c r="O238" s="14"/>
      <c r="P238" s="14">
        <v>15</v>
      </c>
      <c r="Q238" s="14"/>
      <c r="R238" s="14"/>
      <c r="S238" s="14"/>
      <c r="T238" s="14"/>
      <c r="U238" s="13">
        <f t="shared" si="13"/>
        <v>50</v>
      </c>
      <c r="V238" s="25">
        <v>1995.3</v>
      </c>
      <c r="W238" s="15">
        <f t="shared" si="14"/>
        <v>99765</v>
      </c>
    </row>
    <row r="239" spans="1:23" s="154" customFormat="1" hidden="1" x14ac:dyDescent="0.25">
      <c r="A239" s="44"/>
      <c r="B239" s="137" t="s">
        <v>193</v>
      </c>
      <c r="C239" s="42"/>
      <c r="D239" s="42"/>
      <c r="E239" s="42"/>
      <c r="F239" s="42"/>
      <c r="G239" s="42"/>
      <c r="H239" s="42"/>
      <c r="I239" s="42"/>
      <c r="J239" s="42"/>
      <c r="K239" s="42"/>
      <c r="L239" s="42"/>
      <c r="M239" s="42"/>
      <c r="N239" s="42"/>
      <c r="O239" s="42"/>
      <c r="P239" s="42"/>
      <c r="Q239" s="42"/>
      <c r="R239" s="42"/>
      <c r="S239" s="42"/>
      <c r="T239" s="42"/>
      <c r="U239" s="13">
        <f t="shared" si="13"/>
        <v>0</v>
      </c>
      <c r="V239" s="42"/>
      <c r="W239" s="42"/>
    </row>
    <row r="240" spans="1:23" s="154" customFormat="1" ht="30" hidden="1" x14ac:dyDescent="0.25">
      <c r="A240" s="120">
        <v>36</v>
      </c>
      <c r="B240" s="96" t="s">
        <v>58</v>
      </c>
      <c r="C240" s="12">
        <v>1000</v>
      </c>
      <c r="D240" s="102"/>
      <c r="E240" s="14"/>
      <c r="F240" s="14"/>
      <c r="G240" s="14"/>
      <c r="H240" s="14"/>
      <c r="I240" s="14"/>
      <c r="J240" s="14">
        <v>34138.375</v>
      </c>
      <c r="K240" s="14"/>
      <c r="L240" s="14">
        <v>10698.490000000002</v>
      </c>
      <c r="M240" s="14">
        <v>14034.924999999999</v>
      </c>
      <c r="N240" s="14"/>
      <c r="O240" s="14"/>
      <c r="P240" s="14"/>
      <c r="Q240" s="14"/>
      <c r="R240" s="14"/>
      <c r="S240" s="14"/>
      <c r="T240" s="14"/>
      <c r="U240" s="13">
        <f t="shared" si="13"/>
        <v>58871.790000000008</v>
      </c>
      <c r="V240" s="25">
        <v>10533.6</v>
      </c>
      <c r="W240" s="15">
        <f t="shared" si="14"/>
        <v>620131.88714400004</v>
      </c>
    </row>
    <row r="241" spans="1:25" s="154" customFormat="1" ht="60" hidden="1" x14ac:dyDescent="0.25">
      <c r="A241" s="120">
        <v>37</v>
      </c>
      <c r="B241" s="96" t="s">
        <v>194</v>
      </c>
      <c r="C241" s="12">
        <v>1000</v>
      </c>
      <c r="D241" s="102"/>
      <c r="E241" s="14"/>
      <c r="F241" s="14"/>
      <c r="G241" s="14"/>
      <c r="H241" s="14"/>
      <c r="I241" s="14"/>
      <c r="J241" s="14">
        <v>34138.375</v>
      </c>
      <c r="K241" s="14"/>
      <c r="L241" s="14">
        <v>10698.490000000002</v>
      </c>
      <c r="M241" s="14">
        <v>14034.924999999999</v>
      </c>
      <c r="N241" s="14"/>
      <c r="O241" s="14"/>
      <c r="P241" s="14"/>
      <c r="Q241" s="14"/>
      <c r="R241" s="14"/>
      <c r="S241" s="14"/>
      <c r="T241" s="14"/>
      <c r="U241" s="13">
        <f t="shared" si="13"/>
        <v>58871.790000000008</v>
      </c>
      <c r="V241" s="25">
        <v>1437.5</v>
      </c>
      <c r="W241" s="15">
        <f t="shared" si="14"/>
        <v>84628.19812500001</v>
      </c>
    </row>
    <row r="242" spans="1:25" s="154" customFormat="1" ht="60" hidden="1" x14ac:dyDescent="0.25">
      <c r="A242" s="120">
        <v>38</v>
      </c>
      <c r="B242" s="96" t="s">
        <v>195</v>
      </c>
      <c r="C242" s="12">
        <v>1000</v>
      </c>
      <c r="D242" s="102"/>
      <c r="E242" s="14"/>
      <c r="F242" s="14"/>
      <c r="G242" s="14"/>
      <c r="H242" s="14"/>
      <c r="I242" s="14"/>
      <c r="J242" s="14">
        <v>5910.3</v>
      </c>
      <c r="K242" s="14"/>
      <c r="L242" s="14">
        <v>4319.8550000000005</v>
      </c>
      <c r="M242" s="14">
        <v>4319.8550000000005</v>
      </c>
      <c r="N242" s="14"/>
      <c r="O242" s="14"/>
      <c r="P242" s="14"/>
      <c r="Q242" s="14"/>
      <c r="R242" s="14"/>
      <c r="S242" s="14"/>
      <c r="T242" s="14"/>
      <c r="U242" s="13">
        <f t="shared" si="13"/>
        <v>14550.010000000002</v>
      </c>
      <c r="V242" s="25">
        <v>5033.7</v>
      </c>
      <c r="W242" s="15">
        <f t="shared" si="14"/>
        <v>73240.385337000014</v>
      </c>
    </row>
    <row r="243" spans="1:25" s="154" customFormat="1" hidden="1" x14ac:dyDescent="0.25">
      <c r="A243" s="120"/>
      <c r="B243" s="96" t="s">
        <v>196</v>
      </c>
      <c r="C243" s="43"/>
      <c r="D243" s="43"/>
      <c r="E243" s="43"/>
      <c r="F243" s="43"/>
      <c r="G243" s="43"/>
      <c r="H243" s="43"/>
      <c r="I243" s="43"/>
      <c r="J243" s="43"/>
      <c r="K243" s="43"/>
      <c r="L243" s="43"/>
      <c r="M243" s="43"/>
      <c r="N243" s="43"/>
      <c r="O243" s="43"/>
      <c r="P243" s="43"/>
      <c r="Q243" s="43"/>
      <c r="R243" s="43"/>
      <c r="S243" s="43"/>
      <c r="T243" s="43"/>
      <c r="U243" s="13">
        <f t="shared" si="13"/>
        <v>0</v>
      </c>
      <c r="V243" s="43"/>
      <c r="W243" s="43"/>
    </row>
    <row r="244" spans="1:25" s="154" customFormat="1" hidden="1" x14ac:dyDescent="0.25">
      <c r="A244" s="120"/>
      <c r="B244" s="96" t="s">
        <v>197</v>
      </c>
      <c r="C244" s="19">
        <v>100</v>
      </c>
      <c r="D244" s="102"/>
      <c r="E244" s="13"/>
      <c r="F244" s="13"/>
      <c r="G244" s="13"/>
      <c r="H244" s="13"/>
      <c r="I244" s="13"/>
      <c r="J244" s="13">
        <v>1100</v>
      </c>
      <c r="K244" s="13"/>
      <c r="L244" s="13">
        <v>700</v>
      </c>
      <c r="M244" s="13">
        <v>700</v>
      </c>
      <c r="N244" s="13"/>
      <c r="O244" s="13"/>
      <c r="P244" s="13"/>
      <c r="Q244" s="13"/>
      <c r="R244" s="13"/>
      <c r="S244" s="13"/>
      <c r="T244" s="13"/>
      <c r="U244" s="13">
        <f t="shared" si="13"/>
        <v>2500</v>
      </c>
      <c r="V244" s="14">
        <v>6512.05</v>
      </c>
      <c r="W244" s="15">
        <f t="shared" si="14"/>
        <v>162801.25</v>
      </c>
    </row>
    <row r="245" spans="1:25" s="154" customFormat="1" hidden="1" x14ac:dyDescent="0.25">
      <c r="A245" s="120"/>
      <c r="B245" s="96" t="s">
        <v>198</v>
      </c>
      <c r="C245" s="19">
        <v>100</v>
      </c>
      <c r="D245" s="102"/>
      <c r="E245" s="13"/>
      <c r="F245" s="13"/>
      <c r="G245" s="13"/>
      <c r="H245" s="13"/>
      <c r="I245" s="13"/>
      <c r="J245" s="13">
        <v>1540</v>
      </c>
      <c r="K245" s="13"/>
      <c r="L245" s="13">
        <v>1168</v>
      </c>
      <c r="M245" s="13">
        <v>1168</v>
      </c>
      <c r="N245" s="13"/>
      <c r="O245" s="13"/>
      <c r="P245" s="13"/>
      <c r="Q245" s="13"/>
      <c r="R245" s="13"/>
      <c r="S245" s="13"/>
      <c r="T245" s="13"/>
      <c r="U245" s="13">
        <f t="shared" si="13"/>
        <v>3876</v>
      </c>
      <c r="V245" s="14">
        <v>7363.45</v>
      </c>
      <c r="W245" s="15">
        <f t="shared" si="14"/>
        <v>285407.32199999999</v>
      </c>
    </row>
    <row r="246" spans="1:25" s="154" customFormat="1" ht="30" hidden="1" x14ac:dyDescent="0.25">
      <c r="A246" s="120">
        <v>39</v>
      </c>
      <c r="B246" s="96" t="s">
        <v>199</v>
      </c>
      <c r="C246" s="43"/>
      <c r="D246" s="43"/>
      <c r="E246" s="43"/>
      <c r="F246" s="43"/>
      <c r="G246" s="43"/>
      <c r="H246" s="43"/>
      <c r="I246" s="43"/>
      <c r="J246" s="43"/>
      <c r="K246" s="43"/>
      <c r="L246" s="43"/>
      <c r="M246" s="43"/>
      <c r="N246" s="43"/>
      <c r="O246" s="43"/>
      <c r="P246" s="43"/>
      <c r="Q246" s="43"/>
      <c r="R246" s="43"/>
      <c r="S246" s="43"/>
      <c r="T246" s="43"/>
      <c r="U246" s="13">
        <f t="shared" si="13"/>
        <v>0</v>
      </c>
      <c r="V246" s="43"/>
      <c r="W246" s="43"/>
    </row>
    <row r="247" spans="1:25" s="154" customFormat="1" hidden="1" x14ac:dyDescent="0.25">
      <c r="A247" s="120"/>
      <c r="B247" s="96" t="s">
        <v>200</v>
      </c>
      <c r="C247" s="12">
        <v>100</v>
      </c>
      <c r="D247" s="102"/>
      <c r="E247" s="14"/>
      <c r="F247" s="14"/>
      <c r="G247" s="14"/>
      <c r="H247" s="14"/>
      <c r="I247" s="14"/>
      <c r="J247" s="14">
        <v>376.75</v>
      </c>
      <c r="K247" s="14"/>
      <c r="L247" s="14">
        <v>239.75</v>
      </c>
      <c r="M247" s="14">
        <v>239.75</v>
      </c>
      <c r="N247" s="14"/>
      <c r="O247" s="14"/>
      <c r="P247" s="14"/>
      <c r="Q247" s="14"/>
      <c r="R247" s="14"/>
      <c r="S247" s="14"/>
      <c r="T247" s="14"/>
      <c r="U247" s="13">
        <f t="shared" si="13"/>
        <v>856.25</v>
      </c>
      <c r="V247" s="13">
        <v>49016.9</v>
      </c>
      <c r="W247" s="15">
        <f t="shared" si="14"/>
        <v>419707.20624999999</v>
      </c>
    </row>
    <row r="248" spans="1:25" s="154" customFormat="1" hidden="1" x14ac:dyDescent="0.25">
      <c r="A248" s="120"/>
      <c r="B248" s="96" t="s">
        <v>201</v>
      </c>
      <c r="C248" s="12">
        <v>100</v>
      </c>
      <c r="D248" s="102"/>
      <c r="E248" s="14"/>
      <c r="F248" s="14"/>
      <c r="G248" s="14"/>
      <c r="H248" s="14"/>
      <c r="I248" s="14"/>
      <c r="J248" s="14">
        <v>527.45000000000005</v>
      </c>
      <c r="K248" s="14"/>
      <c r="L248" s="14">
        <v>400.04</v>
      </c>
      <c r="M248" s="14">
        <v>400.04</v>
      </c>
      <c r="N248" s="14"/>
      <c r="O248" s="14"/>
      <c r="P248" s="14"/>
      <c r="Q248" s="14"/>
      <c r="R248" s="14"/>
      <c r="S248" s="14"/>
      <c r="T248" s="14"/>
      <c r="U248" s="13">
        <f t="shared" si="13"/>
        <v>1327.53</v>
      </c>
      <c r="V248" s="13">
        <v>51301.8</v>
      </c>
      <c r="W248" s="15">
        <f t="shared" si="14"/>
        <v>681046.78554000007</v>
      </c>
    </row>
    <row r="249" spans="1:25" s="154" customFormat="1" ht="30" hidden="1" x14ac:dyDescent="0.25">
      <c r="A249" s="120">
        <v>40</v>
      </c>
      <c r="B249" s="96" t="s">
        <v>202</v>
      </c>
      <c r="C249" s="36">
        <v>1</v>
      </c>
      <c r="D249" s="102"/>
      <c r="E249" s="14"/>
      <c r="F249" s="14"/>
      <c r="G249" s="14"/>
      <c r="H249" s="14"/>
      <c r="I249" s="14"/>
      <c r="J249" s="14">
        <v>264</v>
      </c>
      <c r="K249" s="14"/>
      <c r="L249" s="14">
        <v>186.8</v>
      </c>
      <c r="M249" s="14">
        <v>186.8</v>
      </c>
      <c r="N249" s="14"/>
      <c r="O249" s="14"/>
      <c r="P249" s="14"/>
      <c r="Q249" s="14"/>
      <c r="R249" s="14"/>
      <c r="S249" s="14"/>
      <c r="T249" s="14"/>
      <c r="U249" s="13">
        <f t="shared" si="13"/>
        <v>637.6</v>
      </c>
      <c r="V249" s="14">
        <v>17.3</v>
      </c>
      <c r="W249" s="15">
        <f t="shared" si="14"/>
        <v>11030.480000000001</v>
      </c>
    </row>
    <row r="250" spans="1:25" s="154" customFormat="1" ht="30" hidden="1" x14ac:dyDescent="0.25">
      <c r="A250" s="120">
        <v>41</v>
      </c>
      <c r="B250" s="96" t="s">
        <v>203</v>
      </c>
      <c r="C250" s="19">
        <v>100</v>
      </c>
      <c r="D250" s="102"/>
      <c r="E250" s="14"/>
      <c r="F250" s="14"/>
      <c r="G250" s="14"/>
      <c r="H250" s="14"/>
      <c r="I250" s="14"/>
      <c r="J250" s="14">
        <v>132</v>
      </c>
      <c r="K250" s="14"/>
      <c r="L250" s="14">
        <v>93.4</v>
      </c>
      <c r="M250" s="14">
        <v>93.4</v>
      </c>
      <c r="N250" s="14"/>
      <c r="O250" s="14"/>
      <c r="P250" s="14"/>
      <c r="Q250" s="14"/>
      <c r="R250" s="14"/>
      <c r="S250" s="14"/>
      <c r="T250" s="14"/>
      <c r="U250" s="13">
        <f t="shared" si="13"/>
        <v>318.8</v>
      </c>
      <c r="V250" s="25">
        <v>1539.8</v>
      </c>
      <c r="W250" s="15">
        <f t="shared" si="14"/>
        <v>4908.8823999999995</v>
      </c>
    </row>
    <row r="251" spans="1:25" s="154" customFormat="1" ht="22.5" hidden="1" x14ac:dyDescent="0.25">
      <c r="A251" s="198">
        <v>10</v>
      </c>
      <c r="B251" s="198" t="s">
        <v>403</v>
      </c>
      <c r="C251" s="101"/>
      <c r="D251" s="101"/>
      <c r="E251" s="101"/>
      <c r="F251" s="101"/>
      <c r="G251" s="101"/>
      <c r="H251" s="101"/>
      <c r="I251" s="101"/>
      <c r="J251" s="101"/>
      <c r="K251" s="101"/>
      <c r="L251" s="101"/>
      <c r="M251" s="101"/>
      <c r="N251" s="101"/>
      <c r="O251" s="101"/>
      <c r="P251" s="101"/>
      <c r="Q251" s="101"/>
      <c r="R251" s="101"/>
      <c r="S251" s="101"/>
      <c r="T251" s="101"/>
      <c r="U251" s="101"/>
      <c r="V251" s="101"/>
      <c r="W251" s="101"/>
    </row>
    <row r="252" spans="1:25" s="154" customFormat="1" ht="75.75" hidden="1" x14ac:dyDescent="0.25">
      <c r="A252" s="118">
        <v>1</v>
      </c>
      <c r="B252" s="94" t="s">
        <v>204</v>
      </c>
      <c r="C252" s="12">
        <v>1000</v>
      </c>
      <c r="D252" s="25"/>
      <c r="E252" s="14"/>
      <c r="F252" s="14"/>
      <c r="G252" s="14"/>
      <c r="H252" s="14"/>
      <c r="I252" s="14"/>
      <c r="J252" s="14">
        <v>14140.759900000003</v>
      </c>
      <c r="K252" s="14">
        <v>3514.6564000000008</v>
      </c>
      <c r="L252" s="14">
        <v>12209.000500000002</v>
      </c>
      <c r="M252" s="14">
        <v>11890.325300000002</v>
      </c>
      <c r="N252" s="14">
        <v>4728.6509999999998</v>
      </c>
      <c r="O252" s="14"/>
      <c r="P252" s="14"/>
      <c r="Q252" s="14"/>
      <c r="R252" s="14"/>
      <c r="S252" s="14"/>
      <c r="T252" s="14"/>
      <c r="U252" s="13">
        <f t="shared" ref="U252:U266" si="15">SUM(D252:T252)</f>
        <v>46483.393100000008</v>
      </c>
      <c r="V252" s="14">
        <v>15824.15</v>
      </c>
      <c r="W252" s="15">
        <f t="shared" si="14"/>
        <v>735560.18492336513</v>
      </c>
      <c r="X252" s="191">
        <f>SUM(W252:W267)</f>
        <v>31715323.406500399</v>
      </c>
      <c r="Y252" s="154">
        <v>31715324</v>
      </c>
    </row>
    <row r="253" spans="1:25" s="154" customFormat="1" ht="45" x14ac:dyDescent="0.25">
      <c r="A253" s="44">
        <v>2</v>
      </c>
      <c r="B253" s="92" t="s">
        <v>106</v>
      </c>
      <c r="C253" s="11"/>
      <c r="D253" s="11"/>
      <c r="E253" s="11"/>
      <c r="F253" s="11"/>
      <c r="G253" s="11"/>
      <c r="H253" s="11"/>
      <c r="I253" s="11"/>
      <c r="J253" s="11"/>
      <c r="K253" s="11"/>
      <c r="L253" s="11"/>
      <c r="M253" s="11"/>
      <c r="N253" s="11"/>
      <c r="O253" s="11"/>
      <c r="P253" s="11"/>
      <c r="Q253" s="11"/>
      <c r="R253" s="11"/>
      <c r="S253" s="11"/>
      <c r="T253" s="11"/>
      <c r="U253" s="13">
        <f t="shared" si="15"/>
        <v>0</v>
      </c>
      <c r="V253" s="11"/>
      <c r="W253" s="11"/>
      <c r="X253" s="187">
        <f>Y252-X252</f>
        <v>0.59349960088729858</v>
      </c>
    </row>
    <row r="254" spans="1:25" s="154" customFormat="1" x14ac:dyDescent="0.25">
      <c r="A254" s="44"/>
      <c r="B254" s="92" t="s">
        <v>21</v>
      </c>
      <c r="C254" s="12">
        <v>100</v>
      </c>
      <c r="D254" s="25"/>
      <c r="E254" s="14"/>
      <c r="F254" s="14"/>
      <c r="G254" s="14"/>
      <c r="H254" s="14"/>
      <c r="I254" s="14"/>
      <c r="J254" s="14">
        <v>1744.5219</v>
      </c>
      <c r="K254" s="14">
        <v>463.38600000000008</v>
      </c>
      <c r="L254" s="14">
        <v>1730.8731</v>
      </c>
      <c r="M254" s="14">
        <v>1730.8731</v>
      </c>
      <c r="N254" s="14">
        <v>695.07900000000018</v>
      </c>
      <c r="O254" s="14"/>
      <c r="P254" s="14"/>
      <c r="Q254" s="14"/>
      <c r="R254" s="14"/>
      <c r="S254" s="14"/>
      <c r="T254" s="14"/>
      <c r="U254" s="13">
        <f t="shared" si="15"/>
        <v>6364.7330999999995</v>
      </c>
      <c r="V254" s="14">
        <v>34694.300000000003</v>
      </c>
      <c r="W254" s="15">
        <f t="shared" si="14"/>
        <v>2208199.5959132998</v>
      </c>
    </row>
    <row r="255" spans="1:25" s="154" customFormat="1" x14ac:dyDescent="0.25">
      <c r="A255" s="44"/>
      <c r="B255" s="92" t="s">
        <v>107</v>
      </c>
      <c r="C255" s="12">
        <v>100</v>
      </c>
      <c r="D255" s="25"/>
      <c r="E255" s="14"/>
      <c r="F255" s="14"/>
      <c r="G255" s="14"/>
      <c r="H255" s="14"/>
      <c r="I255" s="14"/>
      <c r="J255" s="14">
        <v>180.36562499999994</v>
      </c>
      <c r="K255" s="14">
        <v>48.097499999999997</v>
      </c>
      <c r="L255" s="14">
        <v>180.36562499999994</v>
      </c>
      <c r="M255" s="14">
        <v>180.36562499999994</v>
      </c>
      <c r="N255" s="14">
        <v>72.146249999999995</v>
      </c>
      <c r="O255" s="14"/>
      <c r="P255" s="14"/>
      <c r="Q255" s="14"/>
      <c r="R255" s="14"/>
      <c r="S255" s="14"/>
      <c r="T255" s="14"/>
      <c r="U255" s="13">
        <f t="shared" si="15"/>
        <v>661.34062499999982</v>
      </c>
      <c r="V255" s="14">
        <v>47135.9</v>
      </c>
      <c r="W255" s="15">
        <f t="shared" si="14"/>
        <v>311728.85565937491</v>
      </c>
    </row>
    <row r="256" spans="1:25" s="154" customFormat="1" ht="30" x14ac:dyDescent="0.25">
      <c r="A256" s="44">
        <v>3</v>
      </c>
      <c r="B256" s="94" t="s">
        <v>70</v>
      </c>
      <c r="C256" s="12">
        <v>100</v>
      </c>
      <c r="D256" s="25"/>
      <c r="E256" s="14"/>
      <c r="F256" s="14"/>
      <c r="G256" s="14"/>
      <c r="H256" s="14"/>
      <c r="I256" s="14"/>
      <c r="J256" s="14">
        <v>2798.8875000000007</v>
      </c>
      <c r="K256" s="14">
        <v>746.37</v>
      </c>
      <c r="L256" s="14">
        <v>2798.8875000000007</v>
      </c>
      <c r="M256" s="14">
        <v>2798.8875000000007</v>
      </c>
      <c r="N256" s="14">
        <v>1119.5550000000001</v>
      </c>
      <c r="O256" s="14"/>
      <c r="P256" s="14"/>
      <c r="Q256" s="14"/>
      <c r="R256" s="14"/>
      <c r="S256" s="14"/>
      <c r="T256" s="14"/>
      <c r="U256" s="13">
        <f t="shared" si="15"/>
        <v>10262.587500000001</v>
      </c>
      <c r="V256" s="14">
        <v>35727</v>
      </c>
      <c r="W256" s="15">
        <f t="shared" si="14"/>
        <v>3666514.6361250007</v>
      </c>
    </row>
    <row r="257" spans="1:24" s="154" customFormat="1" ht="120" hidden="1" x14ac:dyDescent="0.25">
      <c r="A257" s="44">
        <v>4</v>
      </c>
      <c r="B257" s="94" t="s">
        <v>85</v>
      </c>
      <c r="C257" s="20"/>
      <c r="D257" s="20"/>
      <c r="E257" s="20"/>
      <c r="F257" s="20"/>
      <c r="G257" s="20"/>
      <c r="H257" s="20"/>
      <c r="I257" s="20"/>
      <c r="J257" s="20"/>
      <c r="K257" s="20"/>
      <c r="L257" s="20"/>
      <c r="M257" s="20"/>
      <c r="N257" s="20"/>
      <c r="O257" s="20"/>
      <c r="P257" s="20"/>
      <c r="Q257" s="20"/>
      <c r="R257" s="20"/>
      <c r="S257" s="20"/>
      <c r="T257" s="20"/>
      <c r="U257" s="13">
        <f t="shared" si="15"/>
        <v>0</v>
      </c>
      <c r="V257" s="20"/>
      <c r="W257" s="20"/>
    </row>
    <row r="258" spans="1:24" s="154" customFormat="1" ht="75" hidden="1" x14ac:dyDescent="0.25">
      <c r="A258" s="122"/>
      <c r="B258" s="94" t="s">
        <v>86</v>
      </c>
      <c r="C258" s="12">
        <v>1</v>
      </c>
      <c r="D258" s="25"/>
      <c r="E258" s="14"/>
      <c r="F258" s="14"/>
      <c r="G258" s="14"/>
      <c r="H258" s="14"/>
      <c r="I258" s="14"/>
      <c r="J258" s="14">
        <v>2377.125</v>
      </c>
      <c r="K258" s="14">
        <v>625.5</v>
      </c>
      <c r="L258" s="14">
        <v>2314.125</v>
      </c>
      <c r="M258" s="14">
        <v>2314.125</v>
      </c>
      <c r="N258" s="14">
        <v>938.25</v>
      </c>
      <c r="O258" s="14"/>
      <c r="P258" s="14"/>
      <c r="Q258" s="14"/>
      <c r="R258" s="14"/>
      <c r="S258" s="14"/>
      <c r="T258" s="14"/>
      <c r="U258" s="13">
        <f t="shared" si="15"/>
        <v>8569.125</v>
      </c>
      <c r="V258" s="14">
        <v>817.55</v>
      </c>
      <c r="W258" s="15">
        <f t="shared" si="14"/>
        <v>7005688.1437499998</v>
      </c>
    </row>
    <row r="259" spans="1:24" s="154" customFormat="1" ht="75" hidden="1" x14ac:dyDescent="0.25">
      <c r="A259" s="122"/>
      <c r="B259" s="94" t="s">
        <v>160</v>
      </c>
      <c r="C259" s="12">
        <v>1</v>
      </c>
      <c r="D259" s="25"/>
      <c r="E259" s="14"/>
      <c r="F259" s="14"/>
      <c r="G259" s="14"/>
      <c r="H259" s="14"/>
      <c r="I259" s="14"/>
      <c r="J259" s="14">
        <v>823.5</v>
      </c>
      <c r="K259" s="14">
        <v>216</v>
      </c>
      <c r="L259" s="14">
        <v>796.5</v>
      </c>
      <c r="M259" s="14">
        <v>796.5</v>
      </c>
      <c r="N259" s="14">
        <v>324</v>
      </c>
      <c r="O259" s="14"/>
      <c r="P259" s="14"/>
      <c r="Q259" s="14"/>
      <c r="R259" s="14"/>
      <c r="S259" s="14"/>
      <c r="T259" s="14"/>
      <c r="U259" s="13">
        <f t="shared" si="15"/>
        <v>2956.5</v>
      </c>
      <c r="V259" s="14">
        <v>670.5</v>
      </c>
      <c r="W259" s="15">
        <f t="shared" si="14"/>
        <v>1982333.25</v>
      </c>
    </row>
    <row r="260" spans="1:24" s="154" customFormat="1" ht="90" hidden="1" x14ac:dyDescent="0.25">
      <c r="A260" s="122">
        <v>5</v>
      </c>
      <c r="B260" s="94" t="s">
        <v>205</v>
      </c>
      <c r="C260" s="29">
        <v>100</v>
      </c>
      <c r="D260" s="25"/>
      <c r="E260" s="14"/>
      <c r="F260" s="14"/>
      <c r="G260" s="14"/>
      <c r="H260" s="14"/>
      <c r="I260" s="14"/>
      <c r="J260" s="14">
        <v>9601.875</v>
      </c>
      <c r="K260" s="14">
        <v>2524.5</v>
      </c>
      <c r="L260" s="14">
        <v>9331.875</v>
      </c>
      <c r="M260" s="14">
        <v>9331.875</v>
      </c>
      <c r="N260" s="14">
        <v>3786.75</v>
      </c>
      <c r="O260" s="14"/>
      <c r="P260" s="14"/>
      <c r="Q260" s="14"/>
      <c r="R260" s="14"/>
      <c r="S260" s="14"/>
      <c r="T260" s="14"/>
      <c r="U260" s="13">
        <f t="shared" si="15"/>
        <v>34576.875</v>
      </c>
      <c r="V260" s="30">
        <v>30376.9</v>
      </c>
      <c r="W260" s="15">
        <f t="shared" si="14"/>
        <v>10503382.741875</v>
      </c>
    </row>
    <row r="261" spans="1:24" s="154" customFormat="1" ht="30" hidden="1" x14ac:dyDescent="0.25">
      <c r="A261" s="44">
        <v>6</v>
      </c>
      <c r="B261" s="131" t="s">
        <v>206</v>
      </c>
      <c r="C261" s="12">
        <v>100</v>
      </c>
      <c r="D261" s="25"/>
      <c r="E261" s="14"/>
      <c r="F261" s="14"/>
      <c r="G261" s="14"/>
      <c r="H261" s="14"/>
      <c r="I261" s="14"/>
      <c r="J261" s="14">
        <v>4464.8392000000003</v>
      </c>
      <c r="K261" s="14">
        <v>949.98720000000037</v>
      </c>
      <c r="L261" s="14">
        <v>2649.9022000000004</v>
      </c>
      <c r="M261" s="14">
        <v>2331.2270000000012</v>
      </c>
      <c r="N261" s="14">
        <v>881.64719999999977</v>
      </c>
      <c r="O261" s="14"/>
      <c r="P261" s="14"/>
      <c r="Q261" s="14"/>
      <c r="R261" s="14"/>
      <c r="S261" s="14"/>
      <c r="T261" s="14"/>
      <c r="U261" s="13">
        <f t="shared" si="15"/>
        <v>11277.602800000002</v>
      </c>
      <c r="V261" s="25">
        <v>6849</v>
      </c>
      <c r="W261" s="15">
        <f t="shared" si="14"/>
        <v>772403.01577200007</v>
      </c>
    </row>
    <row r="262" spans="1:24" s="154" customFormat="1" x14ac:dyDescent="0.25">
      <c r="A262" s="44">
        <v>7</v>
      </c>
      <c r="B262" s="94" t="s">
        <v>59</v>
      </c>
      <c r="C262" s="12">
        <v>1000</v>
      </c>
      <c r="D262" s="25"/>
      <c r="E262" s="14"/>
      <c r="F262" s="14"/>
      <c r="G262" s="14"/>
      <c r="H262" s="14"/>
      <c r="I262" s="14"/>
      <c r="J262" s="14">
        <v>4880</v>
      </c>
      <c r="K262" s="14">
        <v>1280</v>
      </c>
      <c r="L262" s="14">
        <v>4720</v>
      </c>
      <c r="M262" s="14">
        <v>4720</v>
      </c>
      <c r="N262" s="14">
        <v>1920</v>
      </c>
      <c r="O262" s="14"/>
      <c r="P262" s="14"/>
      <c r="Q262" s="14"/>
      <c r="R262" s="14"/>
      <c r="S262" s="14"/>
      <c r="T262" s="14"/>
      <c r="U262" s="13">
        <f t="shared" si="15"/>
        <v>17520</v>
      </c>
      <c r="V262" s="13">
        <v>5266.8</v>
      </c>
      <c r="W262" s="15">
        <f t="shared" si="14"/>
        <v>92274.335999999996</v>
      </c>
    </row>
    <row r="263" spans="1:24" s="154" customFormat="1" ht="75.75" hidden="1" x14ac:dyDescent="0.25">
      <c r="A263" s="44">
        <v>8</v>
      </c>
      <c r="B263" s="94" t="s">
        <v>36</v>
      </c>
      <c r="C263" s="22"/>
      <c r="D263" s="22"/>
      <c r="E263" s="22"/>
      <c r="F263" s="22"/>
      <c r="G263" s="22"/>
      <c r="H263" s="22"/>
      <c r="I263" s="22"/>
      <c r="J263" s="22"/>
      <c r="K263" s="22"/>
      <c r="L263" s="22"/>
      <c r="M263" s="22"/>
      <c r="N263" s="22"/>
      <c r="O263" s="22"/>
      <c r="P263" s="22"/>
      <c r="Q263" s="22"/>
      <c r="R263" s="22"/>
      <c r="S263" s="22"/>
      <c r="T263" s="22"/>
      <c r="U263" s="13">
        <f t="shared" si="15"/>
        <v>0</v>
      </c>
      <c r="V263" s="22"/>
      <c r="W263" s="22"/>
    </row>
    <row r="264" spans="1:24" s="154" customFormat="1" x14ac:dyDescent="0.25">
      <c r="A264" s="44" t="s">
        <v>60</v>
      </c>
      <c r="B264" s="94" t="s">
        <v>61</v>
      </c>
      <c r="C264" s="12">
        <v>100</v>
      </c>
      <c r="D264" s="25"/>
      <c r="E264" s="14"/>
      <c r="F264" s="14"/>
      <c r="G264" s="14"/>
      <c r="H264" s="14"/>
      <c r="I264" s="14"/>
      <c r="J264" s="14">
        <v>1674.7410239999999</v>
      </c>
      <c r="K264" s="14">
        <v>444.85056000000009</v>
      </c>
      <c r="L264" s="14">
        <v>1661.6381759999999</v>
      </c>
      <c r="M264" s="14">
        <v>1661.6381759999999</v>
      </c>
      <c r="N264" s="14">
        <v>667.27584000000013</v>
      </c>
      <c r="O264" s="14"/>
      <c r="P264" s="14"/>
      <c r="Q264" s="14"/>
      <c r="R264" s="14"/>
      <c r="S264" s="14"/>
      <c r="T264" s="14"/>
      <c r="U264" s="13">
        <f t="shared" si="15"/>
        <v>6110.1437759999999</v>
      </c>
      <c r="V264" s="13">
        <v>14042.6</v>
      </c>
      <c r="W264" s="15">
        <f t="shared" ref="W264:W326" si="16">V264*U264/C264</f>
        <v>858023.04988857592</v>
      </c>
    </row>
    <row r="265" spans="1:24" s="154" customFormat="1" x14ac:dyDescent="0.25">
      <c r="A265" s="44" t="s">
        <v>60</v>
      </c>
      <c r="B265" s="94" t="s">
        <v>38</v>
      </c>
      <c r="C265" s="12">
        <v>100</v>
      </c>
      <c r="D265" s="25"/>
      <c r="E265" s="14"/>
      <c r="F265" s="14"/>
      <c r="G265" s="14"/>
      <c r="H265" s="14"/>
      <c r="I265" s="14"/>
      <c r="J265" s="14">
        <v>158.72174999999996</v>
      </c>
      <c r="K265" s="14">
        <v>42.325799999999994</v>
      </c>
      <c r="L265" s="14">
        <v>158.72174999999996</v>
      </c>
      <c r="M265" s="14">
        <v>158.72174999999996</v>
      </c>
      <c r="N265" s="14">
        <v>63.488699999999994</v>
      </c>
      <c r="O265" s="14"/>
      <c r="P265" s="14"/>
      <c r="Q265" s="14"/>
      <c r="R265" s="14"/>
      <c r="S265" s="14"/>
      <c r="T265" s="14"/>
      <c r="U265" s="13">
        <f t="shared" si="15"/>
        <v>581.97974999999985</v>
      </c>
      <c r="V265" s="13">
        <v>14042.6</v>
      </c>
      <c r="W265" s="15">
        <f t="shared" si="16"/>
        <v>81725.088373499981</v>
      </c>
    </row>
    <row r="266" spans="1:24" s="154" customFormat="1" x14ac:dyDescent="0.25">
      <c r="A266" s="44" t="s">
        <v>37</v>
      </c>
      <c r="B266" s="94" t="s">
        <v>62</v>
      </c>
      <c r="C266" s="12">
        <v>100</v>
      </c>
      <c r="D266" s="25"/>
      <c r="E266" s="14"/>
      <c r="F266" s="14"/>
      <c r="G266" s="14"/>
      <c r="H266" s="14"/>
      <c r="I266" s="14"/>
      <c r="J266" s="14">
        <v>2688.5250000000001</v>
      </c>
      <c r="K266" s="14">
        <v>706.86</v>
      </c>
      <c r="L266" s="14">
        <v>2612.9249999999997</v>
      </c>
      <c r="M266" s="14">
        <v>2612.9249999999997</v>
      </c>
      <c r="N266" s="14">
        <v>1060.29</v>
      </c>
      <c r="O266" s="14"/>
      <c r="P266" s="14"/>
      <c r="Q266" s="14"/>
      <c r="R266" s="14"/>
      <c r="S266" s="14"/>
      <c r="T266" s="14"/>
      <c r="U266" s="13">
        <f t="shared" si="15"/>
        <v>9681.5249999999978</v>
      </c>
      <c r="V266" s="13">
        <v>14042.6</v>
      </c>
      <c r="W266" s="15">
        <f t="shared" si="16"/>
        <v>1359537.8296499997</v>
      </c>
    </row>
    <row r="267" spans="1:24" s="154" customFormat="1" hidden="1" x14ac:dyDescent="0.25">
      <c r="A267" s="44" t="s">
        <v>63</v>
      </c>
      <c r="B267" s="94" t="s">
        <v>207</v>
      </c>
      <c r="C267" s="12">
        <v>100</v>
      </c>
      <c r="D267" s="25"/>
      <c r="E267" s="14"/>
      <c r="F267" s="14"/>
      <c r="G267" s="14"/>
      <c r="H267" s="14"/>
      <c r="I267" s="14"/>
      <c r="J267" s="14">
        <v>6027.5329200000006</v>
      </c>
      <c r="K267" s="14">
        <v>1282.4827200000007</v>
      </c>
      <c r="L267" s="14">
        <v>3577.3679700000007</v>
      </c>
      <c r="M267" s="14">
        <v>3147.1564500000018</v>
      </c>
      <c r="N267" s="14">
        <v>1190.2237199999997</v>
      </c>
      <c r="O267" s="14"/>
      <c r="P267" s="14"/>
      <c r="Q267" s="14"/>
      <c r="R267" s="14"/>
      <c r="S267" s="14"/>
      <c r="T267" s="14"/>
      <c r="U267" s="13">
        <f>SUM(D267:T267)</f>
        <v>15224.763780000005</v>
      </c>
      <c r="V267" s="13">
        <v>14042.6</v>
      </c>
      <c r="W267" s="15">
        <f t="shared" si="16"/>
        <v>2137952.6785702808</v>
      </c>
    </row>
    <row r="268" spans="1:24" ht="22.5" hidden="1" x14ac:dyDescent="0.25">
      <c r="A268" s="198">
        <v>11</v>
      </c>
      <c r="B268" s="198" t="s">
        <v>404</v>
      </c>
      <c r="C268" s="101"/>
      <c r="D268" s="101"/>
      <c r="E268" s="101"/>
      <c r="F268" s="101"/>
      <c r="G268" s="101"/>
      <c r="H268" s="101"/>
      <c r="I268" s="101"/>
      <c r="J268" s="101"/>
      <c r="K268" s="101"/>
      <c r="L268" s="101"/>
      <c r="M268" s="101"/>
      <c r="N268" s="101"/>
      <c r="O268" s="101"/>
      <c r="P268" s="101"/>
      <c r="Q268" s="101"/>
      <c r="R268" s="101"/>
      <c r="S268" s="101"/>
      <c r="T268" s="101"/>
      <c r="U268" s="101"/>
      <c r="V268" s="101"/>
      <c r="W268" s="101"/>
    </row>
    <row r="269" spans="1:24" ht="75.75" hidden="1" x14ac:dyDescent="0.25">
      <c r="A269" s="118">
        <v>1</v>
      </c>
      <c r="B269" s="94" t="s">
        <v>301</v>
      </c>
      <c r="C269" s="12">
        <v>1000</v>
      </c>
      <c r="D269" s="25">
        <v>72531.663749999992</v>
      </c>
      <c r="E269" s="25"/>
      <c r="F269" s="25"/>
      <c r="G269" s="25"/>
      <c r="H269" s="25"/>
      <c r="I269" s="25"/>
      <c r="J269" s="25"/>
      <c r="K269" s="25"/>
      <c r="L269" s="25"/>
      <c r="M269" s="25"/>
      <c r="N269" s="25"/>
      <c r="O269" s="25"/>
      <c r="P269" s="25"/>
      <c r="Q269" s="25"/>
      <c r="R269" s="25"/>
      <c r="S269" s="25"/>
      <c r="T269" s="25"/>
      <c r="U269" s="13">
        <f t="shared" ref="U269:U331" si="17">SUM(D269:T269)</f>
        <v>72531.663749999992</v>
      </c>
      <c r="V269" s="14">
        <v>15824.15</v>
      </c>
      <c r="W269" s="15">
        <f t="shared" si="16"/>
        <v>1147751.9269295624</v>
      </c>
      <c r="X269" s="186">
        <f>SUM(W269:W346)</f>
        <v>142723568.51521638</v>
      </c>
    </row>
    <row r="270" spans="1:24" hidden="1" x14ac:dyDescent="0.25">
      <c r="A270" s="118">
        <v>2</v>
      </c>
      <c r="B270" s="94" t="s">
        <v>302</v>
      </c>
      <c r="C270" s="19">
        <v>1</v>
      </c>
      <c r="D270" s="25">
        <v>88776.1875</v>
      </c>
      <c r="E270" s="25"/>
      <c r="F270" s="25"/>
      <c r="G270" s="25"/>
      <c r="H270" s="25"/>
      <c r="I270" s="25"/>
      <c r="J270" s="25"/>
      <c r="K270" s="25"/>
      <c r="L270" s="25"/>
      <c r="M270" s="25"/>
      <c r="N270" s="25"/>
      <c r="O270" s="25"/>
      <c r="P270" s="25"/>
      <c r="Q270" s="25"/>
      <c r="R270" s="25"/>
      <c r="S270" s="25"/>
      <c r="T270" s="25"/>
      <c r="U270" s="13">
        <f t="shared" si="17"/>
        <v>88776.1875</v>
      </c>
      <c r="V270" s="25">
        <v>12.55</v>
      </c>
      <c r="W270" s="15">
        <f t="shared" si="16"/>
        <v>1114141.153125</v>
      </c>
    </row>
    <row r="271" spans="1:24" ht="45" x14ac:dyDescent="0.25">
      <c r="A271" s="44">
        <v>3</v>
      </c>
      <c r="B271" s="94" t="s">
        <v>20</v>
      </c>
      <c r="C271" s="22"/>
      <c r="D271" s="22"/>
      <c r="E271" s="22"/>
      <c r="F271" s="22"/>
      <c r="G271" s="22"/>
      <c r="H271" s="22"/>
      <c r="I271" s="22"/>
      <c r="J271" s="22"/>
      <c r="K271" s="22"/>
      <c r="L271" s="22"/>
      <c r="M271" s="22"/>
      <c r="N271" s="22"/>
      <c r="O271" s="22"/>
      <c r="P271" s="22"/>
      <c r="Q271" s="22"/>
      <c r="R271" s="22"/>
      <c r="S271" s="22"/>
      <c r="T271" s="22"/>
      <c r="U271" s="13">
        <f t="shared" si="17"/>
        <v>0</v>
      </c>
      <c r="V271" s="22"/>
      <c r="W271" s="22"/>
    </row>
    <row r="272" spans="1:24" x14ac:dyDescent="0.25">
      <c r="A272" s="44"/>
      <c r="B272" s="94" t="s">
        <v>21</v>
      </c>
      <c r="C272" s="12">
        <v>100</v>
      </c>
      <c r="D272" s="25">
        <v>11548.92375</v>
      </c>
      <c r="E272" s="14"/>
      <c r="F272" s="14"/>
      <c r="G272" s="14"/>
      <c r="H272" s="14"/>
      <c r="I272" s="14"/>
      <c r="J272" s="14"/>
      <c r="K272" s="14"/>
      <c r="L272" s="14"/>
      <c r="M272" s="14"/>
      <c r="N272" s="14"/>
      <c r="O272" s="14"/>
      <c r="P272" s="14"/>
      <c r="Q272" s="14"/>
      <c r="R272" s="14"/>
      <c r="S272" s="14"/>
      <c r="T272" s="14"/>
      <c r="U272" s="13">
        <f t="shared" si="17"/>
        <v>11548.92375</v>
      </c>
      <c r="V272" s="14">
        <v>34694.300000000003</v>
      </c>
      <c r="W272" s="15">
        <f t="shared" si="16"/>
        <v>4006818.2525962503</v>
      </c>
    </row>
    <row r="273" spans="1:23" ht="60" x14ac:dyDescent="0.25">
      <c r="A273" s="44">
        <v>5</v>
      </c>
      <c r="B273" s="94" t="s">
        <v>92</v>
      </c>
      <c r="C273" s="19">
        <v>100</v>
      </c>
      <c r="D273" s="25">
        <v>8834.109375</v>
      </c>
      <c r="E273" s="14"/>
      <c r="F273" s="14"/>
      <c r="G273" s="14"/>
      <c r="H273" s="14"/>
      <c r="I273" s="14"/>
      <c r="J273" s="14"/>
      <c r="K273" s="14"/>
      <c r="L273" s="14"/>
      <c r="M273" s="14"/>
      <c r="N273" s="14"/>
      <c r="O273" s="14"/>
      <c r="P273" s="14"/>
      <c r="Q273" s="14"/>
      <c r="R273" s="14"/>
      <c r="S273" s="14"/>
      <c r="T273" s="14"/>
      <c r="U273" s="13">
        <f t="shared" si="17"/>
        <v>8834.109375</v>
      </c>
      <c r="V273" s="14">
        <v>11460.2</v>
      </c>
      <c r="W273" s="15">
        <f t="shared" si="16"/>
        <v>1012406.6025937501</v>
      </c>
    </row>
    <row r="274" spans="1:23" ht="60" x14ac:dyDescent="0.25">
      <c r="A274" s="44">
        <v>6</v>
      </c>
      <c r="B274" s="94" t="s">
        <v>93</v>
      </c>
      <c r="C274" s="19">
        <v>100</v>
      </c>
      <c r="D274" s="25">
        <v>8771.49</v>
      </c>
      <c r="E274" s="14"/>
      <c r="F274" s="14"/>
      <c r="G274" s="14"/>
      <c r="H274" s="14"/>
      <c r="I274" s="14"/>
      <c r="J274" s="14"/>
      <c r="K274" s="14"/>
      <c r="L274" s="14"/>
      <c r="M274" s="14"/>
      <c r="N274" s="14"/>
      <c r="O274" s="14"/>
      <c r="P274" s="14"/>
      <c r="Q274" s="14"/>
      <c r="R274" s="14"/>
      <c r="S274" s="14"/>
      <c r="T274" s="14"/>
      <c r="U274" s="13">
        <f t="shared" si="17"/>
        <v>8771.49</v>
      </c>
      <c r="V274" s="14">
        <v>7607.35</v>
      </c>
      <c r="W274" s="15">
        <f t="shared" si="16"/>
        <v>667277.94451499998</v>
      </c>
    </row>
    <row r="275" spans="1:23" ht="30" x14ac:dyDescent="0.25">
      <c r="A275" s="44">
        <v>7</v>
      </c>
      <c r="B275" s="94" t="s">
        <v>94</v>
      </c>
      <c r="C275" s="12">
        <v>1000</v>
      </c>
      <c r="D275" s="25">
        <v>31674.37</v>
      </c>
      <c r="E275" s="14"/>
      <c r="F275" s="14"/>
      <c r="G275" s="14"/>
      <c r="H275" s="14"/>
      <c r="I275" s="14"/>
      <c r="J275" s="14"/>
      <c r="K275" s="14"/>
      <c r="L275" s="14"/>
      <c r="M275" s="14"/>
      <c r="N275" s="14"/>
      <c r="O275" s="14"/>
      <c r="P275" s="14"/>
      <c r="Q275" s="14"/>
      <c r="R275" s="14"/>
      <c r="S275" s="14"/>
      <c r="T275" s="14"/>
      <c r="U275" s="13">
        <f t="shared" si="17"/>
        <v>31674.37</v>
      </c>
      <c r="V275" s="14">
        <v>7547.75</v>
      </c>
      <c r="W275" s="15">
        <f t="shared" si="16"/>
        <v>239070.22616749999</v>
      </c>
    </row>
    <row r="276" spans="1:23" ht="30" hidden="1" x14ac:dyDescent="0.25">
      <c r="A276" s="44">
        <v>8</v>
      </c>
      <c r="B276" s="94" t="s">
        <v>303</v>
      </c>
      <c r="C276" s="12">
        <v>100</v>
      </c>
      <c r="D276" s="25">
        <v>47794.11</v>
      </c>
      <c r="E276" s="14"/>
      <c r="F276" s="14"/>
      <c r="G276" s="14"/>
      <c r="H276" s="14"/>
      <c r="I276" s="14"/>
      <c r="J276" s="14"/>
      <c r="K276" s="14"/>
      <c r="L276" s="14"/>
      <c r="M276" s="14"/>
      <c r="N276" s="14"/>
      <c r="O276" s="14"/>
      <c r="P276" s="14"/>
      <c r="Q276" s="14"/>
      <c r="R276" s="14"/>
      <c r="S276" s="14"/>
      <c r="T276" s="14"/>
      <c r="U276" s="13">
        <f t="shared" si="17"/>
        <v>47794.11</v>
      </c>
      <c r="V276" s="14">
        <v>35830.6</v>
      </c>
      <c r="W276" s="15">
        <f t="shared" si="16"/>
        <v>17124916.377659999</v>
      </c>
    </row>
    <row r="277" spans="1:23" s="154" customFormat="1" ht="195.75" hidden="1" x14ac:dyDescent="0.25">
      <c r="A277" s="122">
        <v>9</v>
      </c>
      <c r="B277" s="94" t="s">
        <v>304</v>
      </c>
      <c r="C277" s="12">
        <v>1</v>
      </c>
      <c r="D277" s="25">
        <v>21724.43</v>
      </c>
      <c r="E277" s="14"/>
      <c r="F277" s="14"/>
      <c r="G277" s="14"/>
      <c r="H277" s="14"/>
      <c r="I277" s="14"/>
      <c r="J277" s="14"/>
      <c r="K277" s="14"/>
      <c r="L277" s="14"/>
      <c r="M277" s="14"/>
      <c r="N277" s="14"/>
      <c r="O277" s="14"/>
      <c r="P277" s="14"/>
      <c r="Q277" s="14"/>
      <c r="R277" s="14"/>
      <c r="S277" s="14"/>
      <c r="T277" s="14"/>
      <c r="U277" s="13">
        <f t="shared" si="17"/>
        <v>21724.43</v>
      </c>
      <c r="V277" s="14">
        <v>741.85</v>
      </c>
      <c r="W277" s="15">
        <f t="shared" si="16"/>
        <v>16116268.395500001</v>
      </c>
    </row>
    <row r="278" spans="1:23" s="154" customFormat="1" ht="90" hidden="1" x14ac:dyDescent="0.25">
      <c r="A278" s="122">
        <v>10</v>
      </c>
      <c r="B278" s="94" t="s">
        <v>98</v>
      </c>
      <c r="C278" s="29">
        <v>100</v>
      </c>
      <c r="D278" s="25">
        <v>65173.289999999994</v>
      </c>
      <c r="E278" s="14"/>
      <c r="F278" s="14"/>
      <c r="G278" s="14"/>
      <c r="H278" s="14"/>
      <c r="I278" s="14"/>
      <c r="J278" s="14"/>
      <c r="K278" s="14"/>
      <c r="L278" s="14"/>
      <c r="M278" s="14"/>
      <c r="N278" s="14"/>
      <c r="O278" s="14"/>
      <c r="P278" s="14"/>
      <c r="Q278" s="14"/>
      <c r="R278" s="14"/>
      <c r="S278" s="14"/>
      <c r="T278" s="14"/>
      <c r="U278" s="13">
        <f t="shared" si="17"/>
        <v>65173.289999999994</v>
      </c>
      <c r="V278" s="14">
        <v>30376.9</v>
      </c>
      <c r="W278" s="15">
        <f t="shared" si="16"/>
        <v>19797625.130009998</v>
      </c>
    </row>
    <row r="279" spans="1:23" s="154" customFormat="1" ht="180" hidden="1" x14ac:dyDescent="0.25">
      <c r="A279" s="44">
        <v>11</v>
      </c>
      <c r="B279" s="94" t="s">
        <v>99</v>
      </c>
      <c r="C279" s="19">
        <v>1</v>
      </c>
      <c r="D279" s="25">
        <v>3276</v>
      </c>
      <c r="E279" s="14"/>
      <c r="F279" s="14"/>
      <c r="G279" s="14"/>
      <c r="H279" s="14"/>
      <c r="I279" s="14"/>
      <c r="J279" s="14"/>
      <c r="K279" s="14"/>
      <c r="L279" s="14"/>
      <c r="M279" s="14"/>
      <c r="N279" s="14"/>
      <c r="O279" s="14"/>
      <c r="P279" s="14"/>
      <c r="Q279" s="14"/>
      <c r="R279" s="14"/>
      <c r="S279" s="14"/>
      <c r="T279" s="14"/>
      <c r="U279" s="13">
        <f t="shared" si="17"/>
        <v>3276</v>
      </c>
      <c r="V279" s="14">
        <v>2180.6999999999998</v>
      </c>
      <c r="W279" s="15">
        <f t="shared" si="16"/>
        <v>7143973.1999999993</v>
      </c>
    </row>
    <row r="280" spans="1:23" s="154" customFormat="1" ht="60" x14ac:dyDescent="0.25">
      <c r="A280" s="44">
        <v>12</v>
      </c>
      <c r="B280" s="94" t="s">
        <v>100</v>
      </c>
      <c r="C280" s="19">
        <v>1</v>
      </c>
      <c r="D280" s="25">
        <v>3822</v>
      </c>
      <c r="E280" s="14"/>
      <c r="F280" s="14"/>
      <c r="G280" s="14"/>
      <c r="H280" s="14"/>
      <c r="I280" s="14"/>
      <c r="J280" s="14"/>
      <c r="K280" s="14"/>
      <c r="L280" s="14"/>
      <c r="M280" s="14"/>
      <c r="N280" s="14"/>
      <c r="O280" s="14"/>
      <c r="P280" s="14"/>
      <c r="Q280" s="14"/>
      <c r="R280" s="14"/>
      <c r="S280" s="14"/>
      <c r="T280" s="14"/>
      <c r="U280" s="13">
        <f t="shared" si="17"/>
        <v>3822</v>
      </c>
      <c r="V280" s="14">
        <v>457.1</v>
      </c>
      <c r="W280" s="15">
        <f t="shared" si="16"/>
        <v>1747036.2000000002</v>
      </c>
    </row>
    <row r="281" spans="1:23" s="154" customFormat="1" ht="90" hidden="1" x14ac:dyDescent="0.25">
      <c r="A281" s="44">
        <v>13</v>
      </c>
      <c r="B281" s="94" t="s">
        <v>305</v>
      </c>
      <c r="C281" s="19">
        <v>1</v>
      </c>
      <c r="D281" s="25">
        <v>3822</v>
      </c>
      <c r="E281" s="14"/>
      <c r="F281" s="14"/>
      <c r="G281" s="14"/>
      <c r="H281" s="14"/>
      <c r="I281" s="14"/>
      <c r="J281" s="14"/>
      <c r="K281" s="14"/>
      <c r="L281" s="14"/>
      <c r="M281" s="14"/>
      <c r="N281" s="14"/>
      <c r="O281" s="14"/>
      <c r="P281" s="14"/>
      <c r="Q281" s="14"/>
      <c r="R281" s="14"/>
      <c r="S281" s="14"/>
      <c r="T281" s="14"/>
      <c r="U281" s="13">
        <f t="shared" si="17"/>
        <v>3822</v>
      </c>
      <c r="V281" s="14">
        <v>638.85</v>
      </c>
      <c r="W281" s="15">
        <f t="shared" si="16"/>
        <v>2441684.7000000002</v>
      </c>
    </row>
    <row r="282" spans="1:23" s="154" customFormat="1" ht="75" hidden="1" x14ac:dyDescent="0.25">
      <c r="A282" s="118">
        <v>14</v>
      </c>
      <c r="B282" s="94" t="s">
        <v>102</v>
      </c>
      <c r="C282" s="19">
        <v>100</v>
      </c>
      <c r="D282" s="25">
        <v>33854.84375</v>
      </c>
      <c r="E282" s="14"/>
      <c r="F282" s="14"/>
      <c r="G282" s="14"/>
      <c r="H282" s="14"/>
      <c r="I282" s="14"/>
      <c r="J282" s="14"/>
      <c r="K282" s="14"/>
      <c r="L282" s="14"/>
      <c r="M282" s="14"/>
      <c r="N282" s="14"/>
      <c r="O282" s="14"/>
      <c r="P282" s="14"/>
      <c r="Q282" s="14"/>
      <c r="R282" s="14"/>
      <c r="S282" s="14"/>
      <c r="T282" s="14"/>
      <c r="U282" s="13">
        <f t="shared" si="17"/>
        <v>33854.84375</v>
      </c>
      <c r="V282" s="14">
        <v>13179.6</v>
      </c>
      <c r="W282" s="15">
        <f t="shared" si="16"/>
        <v>4461932.9868750004</v>
      </c>
    </row>
    <row r="283" spans="1:23" s="154" customFormat="1" ht="30" x14ac:dyDescent="0.25">
      <c r="A283" s="118">
        <v>15</v>
      </c>
      <c r="B283" s="94" t="s">
        <v>103</v>
      </c>
      <c r="C283" s="19">
        <v>1</v>
      </c>
      <c r="D283" s="25">
        <v>34218.84375</v>
      </c>
      <c r="E283" s="14"/>
      <c r="F283" s="14"/>
      <c r="G283" s="14"/>
      <c r="H283" s="14"/>
      <c r="I283" s="14"/>
      <c r="J283" s="14"/>
      <c r="K283" s="14"/>
      <c r="L283" s="14"/>
      <c r="M283" s="14"/>
      <c r="N283" s="14"/>
      <c r="O283" s="14"/>
      <c r="P283" s="14"/>
      <c r="Q283" s="14"/>
      <c r="R283" s="14"/>
      <c r="S283" s="14"/>
      <c r="T283" s="14"/>
      <c r="U283" s="13">
        <f t="shared" si="17"/>
        <v>34218.84375</v>
      </c>
      <c r="V283" s="14">
        <v>11</v>
      </c>
      <c r="W283" s="15">
        <f t="shared" si="16"/>
        <v>376407.28125</v>
      </c>
    </row>
    <row r="284" spans="1:23" s="154" customFormat="1" x14ac:dyDescent="0.25">
      <c r="A284" s="44">
        <v>16</v>
      </c>
      <c r="B284" s="94" t="s">
        <v>104</v>
      </c>
      <c r="C284" s="12">
        <v>100</v>
      </c>
      <c r="D284" s="25">
        <v>7420.14</v>
      </c>
      <c r="E284" s="14"/>
      <c r="F284" s="14"/>
      <c r="G284" s="14"/>
      <c r="H284" s="14"/>
      <c r="I284" s="14"/>
      <c r="J284" s="14"/>
      <c r="K284" s="14"/>
      <c r="L284" s="14"/>
      <c r="M284" s="14"/>
      <c r="N284" s="14"/>
      <c r="O284" s="14"/>
      <c r="P284" s="14"/>
      <c r="Q284" s="14"/>
      <c r="R284" s="14"/>
      <c r="S284" s="14"/>
      <c r="T284" s="14"/>
      <c r="U284" s="13">
        <f t="shared" si="17"/>
        <v>7420.14</v>
      </c>
      <c r="V284" s="25">
        <v>3987</v>
      </c>
      <c r="W284" s="15">
        <f t="shared" si="16"/>
        <v>295840.98180000001</v>
      </c>
    </row>
    <row r="285" spans="1:23" s="154" customFormat="1" ht="45" x14ac:dyDescent="0.25">
      <c r="A285" s="118">
        <v>17</v>
      </c>
      <c r="B285" s="94" t="s">
        <v>105</v>
      </c>
      <c r="C285" s="12">
        <v>100</v>
      </c>
      <c r="D285" s="25">
        <v>9109.1</v>
      </c>
      <c r="E285" s="25"/>
      <c r="F285" s="25"/>
      <c r="G285" s="25"/>
      <c r="H285" s="25"/>
      <c r="I285" s="25"/>
      <c r="J285" s="25"/>
      <c r="K285" s="25"/>
      <c r="L285" s="25"/>
      <c r="M285" s="25"/>
      <c r="N285" s="25"/>
      <c r="O285" s="25"/>
      <c r="P285" s="25"/>
      <c r="Q285" s="25"/>
      <c r="R285" s="25"/>
      <c r="S285" s="25"/>
      <c r="T285" s="25"/>
      <c r="U285" s="13">
        <f t="shared" si="17"/>
        <v>9109.1</v>
      </c>
      <c r="V285" s="25">
        <v>12801.2</v>
      </c>
      <c r="W285" s="15">
        <f t="shared" si="16"/>
        <v>1166074.1092000001</v>
      </c>
    </row>
    <row r="286" spans="1:23" s="154" customFormat="1" ht="90" hidden="1" x14ac:dyDescent="0.25">
      <c r="A286" s="118">
        <v>18</v>
      </c>
      <c r="B286" s="94" t="s">
        <v>191</v>
      </c>
      <c r="C286" s="19">
        <v>100</v>
      </c>
      <c r="D286" s="25">
        <v>22325.37125</v>
      </c>
      <c r="E286" s="25"/>
      <c r="F286" s="25"/>
      <c r="G286" s="25"/>
      <c r="H286" s="25"/>
      <c r="I286" s="25"/>
      <c r="J286" s="25"/>
      <c r="K286" s="25"/>
      <c r="L286" s="25"/>
      <c r="M286" s="25"/>
      <c r="N286" s="25"/>
      <c r="O286" s="25"/>
      <c r="P286" s="25"/>
      <c r="Q286" s="25"/>
      <c r="R286" s="25"/>
      <c r="S286" s="25"/>
      <c r="T286" s="25"/>
      <c r="U286" s="13">
        <f t="shared" si="17"/>
        <v>22325.37125</v>
      </c>
      <c r="V286" s="25">
        <v>29658.5</v>
      </c>
      <c r="W286" s="15">
        <f t="shared" si="16"/>
        <v>6621370.2321812501</v>
      </c>
    </row>
    <row r="287" spans="1:23" s="154" customFormat="1" ht="75" hidden="1" x14ac:dyDescent="0.25">
      <c r="A287" s="118">
        <v>19</v>
      </c>
      <c r="B287" s="94" t="s">
        <v>180</v>
      </c>
      <c r="C287" s="19">
        <v>100</v>
      </c>
      <c r="D287" s="25">
        <v>14054.039999999999</v>
      </c>
      <c r="E287" s="25"/>
      <c r="F287" s="25"/>
      <c r="G287" s="25"/>
      <c r="H287" s="25"/>
      <c r="I287" s="25"/>
      <c r="J287" s="25"/>
      <c r="K287" s="25"/>
      <c r="L287" s="25"/>
      <c r="M287" s="25"/>
      <c r="N287" s="25"/>
      <c r="O287" s="25"/>
      <c r="P287" s="25"/>
      <c r="Q287" s="25"/>
      <c r="R287" s="25"/>
      <c r="S287" s="25"/>
      <c r="T287" s="25"/>
      <c r="U287" s="13">
        <f t="shared" si="17"/>
        <v>14054.039999999999</v>
      </c>
      <c r="V287" s="25">
        <v>19146.849999999999</v>
      </c>
      <c r="W287" s="15">
        <f t="shared" si="16"/>
        <v>2690905.95774</v>
      </c>
    </row>
    <row r="288" spans="1:23" s="154" customFormat="1" ht="45" hidden="1" x14ac:dyDescent="0.25">
      <c r="A288" s="118">
        <v>20</v>
      </c>
      <c r="B288" s="94" t="s">
        <v>192</v>
      </c>
      <c r="C288" s="36">
        <v>1</v>
      </c>
      <c r="D288" s="25">
        <v>22750</v>
      </c>
      <c r="E288" s="25"/>
      <c r="F288" s="25"/>
      <c r="G288" s="25"/>
      <c r="H288" s="25"/>
      <c r="I288" s="25"/>
      <c r="J288" s="25"/>
      <c r="K288" s="25"/>
      <c r="L288" s="25"/>
      <c r="M288" s="25"/>
      <c r="N288" s="25"/>
      <c r="O288" s="25"/>
      <c r="P288" s="25"/>
      <c r="Q288" s="25"/>
      <c r="R288" s="25"/>
      <c r="S288" s="25"/>
      <c r="T288" s="25"/>
      <c r="U288" s="13">
        <f t="shared" si="17"/>
        <v>22750</v>
      </c>
      <c r="V288" s="25">
        <v>39.6</v>
      </c>
      <c r="W288" s="15">
        <f t="shared" si="16"/>
        <v>900900</v>
      </c>
    </row>
    <row r="289" spans="1:23" s="154" customFormat="1" ht="45" x14ac:dyDescent="0.25">
      <c r="A289" s="44">
        <v>21</v>
      </c>
      <c r="B289" s="92" t="s">
        <v>106</v>
      </c>
      <c r="C289" s="20"/>
      <c r="D289" s="20"/>
      <c r="E289" s="20"/>
      <c r="F289" s="20"/>
      <c r="G289" s="20"/>
      <c r="H289" s="20"/>
      <c r="I289" s="20"/>
      <c r="J289" s="20"/>
      <c r="K289" s="20"/>
      <c r="L289" s="20"/>
      <c r="M289" s="20"/>
      <c r="N289" s="20"/>
      <c r="O289" s="20"/>
      <c r="P289" s="20"/>
      <c r="Q289" s="20"/>
      <c r="R289" s="20"/>
      <c r="S289" s="20"/>
      <c r="T289" s="20"/>
      <c r="U289" s="13">
        <f t="shared" si="17"/>
        <v>0</v>
      </c>
      <c r="V289" s="20"/>
      <c r="W289" s="20"/>
    </row>
    <row r="290" spans="1:23" s="154" customFormat="1" x14ac:dyDescent="0.25">
      <c r="A290" s="44"/>
      <c r="B290" s="92" t="s">
        <v>107</v>
      </c>
      <c r="C290" s="12">
        <v>100</v>
      </c>
      <c r="D290" s="25">
        <v>1780.1875</v>
      </c>
      <c r="E290" s="14"/>
      <c r="F290" s="14"/>
      <c r="G290" s="14"/>
      <c r="H290" s="14"/>
      <c r="I290" s="14"/>
      <c r="J290" s="14"/>
      <c r="K290" s="14"/>
      <c r="L290" s="14"/>
      <c r="M290" s="14"/>
      <c r="N290" s="14"/>
      <c r="O290" s="14"/>
      <c r="P290" s="14"/>
      <c r="Q290" s="14"/>
      <c r="R290" s="14"/>
      <c r="S290" s="14"/>
      <c r="T290" s="14"/>
      <c r="U290" s="13">
        <f t="shared" si="17"/>
        <v>1780.1875</v>
      </c>
      <c r="V290" s="14">
        <v>47135.9</v>
      </c>
      <c r="W290" s="15">
        <f t="shared" si="16"/>
        <v>839107.39981249999</v>
      </c>
    </row>
    <row r="291" spans="1:23" s="154" customFormat="1" ht="30" x14ac:dyDescent="0.25">
      <c r="A291" s="44">
        <v>22</v>
      </c>
      <c r="B291" s="94" t="s">
        <v>108</v>
      </c>
      <c r="C291" s="19">
        <v>100</v>
      </c>
      <c r="D291" s="33">
        <v>113184.66250000001</v>
      </c>
      <c r="E291" s="33"/>
      <c r="F291" s="33"/>
      <c r="G291" s="33"/>
      <c r="H291" s="33"/>
      <c r="I291" s="33"/>
      <c r="J291" s="33"/>
      <c r="K291" s="33"/>
      <c r="L291" s="33"/>
      <c r="M291" s="33"/>
      <c r="N291" s="33"/>
      <c r="O291" s="33"/>
      <c r="P291" s="33"/>
      <c r="Q291" s="33"/>
      <c r="R291" s="33"/>
      <c r="S291" s="33"/>
      <c r="T291" s="33"/>
      <c r="U291" s="13">
        <f t="shared" si="17"/>
        <v>113184.66250000001</v>
      </c>
      <c r="V291" s="25">
        <v>4614.1000000000004</v>
      </c>
      <c r="W291" s="15">
        <f t="shared" si="16"/>
        <v>5222453.5124125006</v>
      </c>
    </row>
    <row r="292" spans="1:23" s="154" customFormat="1" ht="30" hidden="1" x14ac:dyDescent="0.25">
      <c r="A292" s="44">
        <v>23</v>
      </c>
      <c r="B292" s="94" t="s">
        <v>162</v>
      </c>
      <c r="C292" s="19">
        <v>100</v>
      </c>
      <c r="D292" s="25">
        <v>21116.55</v>
      </c>
      <c r="E292" s="14"/>
      <c r="F292" s="14"/>
      <c r="G292" s="14"/>
      <c r="H292" s="14"/>
      <c r="I292" s="14"/>
      <c r="J292" s="14"/>
      <c r="K292" s="14"/>
      <c r="L292" s="14"/>
      <c r="M292" s="14"/>
      <c r="N292" s="14"/>
      <c r="O292" s="14"/>
      <c r="P292" s="14"/>
      <c r="Q292" s="14"/>
      <c r="R292" s="14"/>
      <c r="S292" s="14"/>
      <c r="T292" s="14"/>
      <c r="U292" s="13">
        <f t="shared" si="17"/>
        <v>21116.55</v>
      </c>
      <c r="V292" s="25">
        <v>5264.65</v>
      </c>
      <c r="W292" s="15">
        <f t="shared" si="16"/>
        <v>1111712.449575</v>
      </c>
    </row>
    <row r="293" spans="1:23" s="154" customFormat="1" x14ac:dyDescent="0.25">
      <c r="A293" s="44">
        <v>24</v>
      </c>
      <c r="B293" s="94" t="s">
        <v>114</v>
      </c>
      <c r="C293" s="19">
        <v>100</v>
      </c>
      <c r="D293" s="25">
        <v>99928.237500000003</v>
      </c>
      <c r="E293" s="14"/>
      <c r="F293" s="14"/>
      <c r="G293" s="14"/>
      <c r="H293" s="14"/>
      <c r="I293" s="14"/>
      <c r="J293" s="14"/>
      <c r="K293" s="14"/>
      <c r="L293" s="14"/>
      <c r="M293" s="14"/>
      <c r="N293" s="14"/>
      <c r="O293" s="14"/>
      <c r="P293" s="14"/>
      <c r="Q293" s="14"/>
      <c r="R293" s="14"/>
      <c r="S293" s="14"/>
      <c r="T293" s="14"/>
      <c r="U293" s="13">
        <f t="shared" si="17"/>
        <v>99928.237500000003</v>
      </c>
      <c r="V293" s="25">
        <v>1548.2</v>
      </c>
      <c r="W293" s="15">
        <f t="shared" si="16"/>
        <v>1547088.972975</v>
      </c>
    </row>
    <row r="294" spans="1:23" s="154" customFormat="1" ht="45" x14ac:dyDescent="0.25">
      <c r="A294" s="44">
        <v>25</v>
      </c>
      <c r="B294" s="94" t="s">
        <v>115</v>
      </c>
      <c r="C294" s="19">
        <v>100</v>
      </c>
      <c r="D294" s="25">
        <v>31339.945</v>
      </c>
      <c r="E294" s="14"/>
      <c r="F294" s="14"/>
      <c r="G294" s="14"/>
      <c r="H294" s="14"/>
      <c r="I294" s="14"/>
      <c r="J294" s="14"/>
      <c r="K294" s="14"/>
      <c r="L294" s="14"/>
      <c r="M294" s="14"/>
      <c r="N294" s="14"/>
      <c r="O294" s="14"/>
      <c r="P294" s="14"/>
      <c r="Q294" s="14"/>
      <c r="R294" s="14"/>
      <c r="S294" s="14"/>
      <c r="T294" s="14"/>
      <c r="U294" s="13">
        <f t="shared" si="17"/>
        <v>31339.945</v>
      </c>
      <c r="V294" s="25">
        <v>7379.1</v>
      </c>
      <c r="W294" s="15">
        <f t="shared" si="16"/>
        <v>2312605.8814950003</v>
      </c>
    </row>
    <row r="295" spans="1:23" s="154" customFormat="1" ht="60" x14ac:dyDescent="0.25">
      <c r="A295" s="44">
        <v>26</v>
      </c>
      <c r="B295" s="94" t="s">
        <v>110</v>
      </c>
      <c r="C295" s="19">
        <v>100</v>
      </c>
      <c r="D295" s="25">
        <v>65280.215000000004</v>
      </c>
      <c r="E295" s="14"/>
      <c r="F295" s="14"/>
      <c r="G295" s="14"/>
      <c r="H295" s="14"/>
      <c r="I295" s="14"/>
      <c r="J295" s="14"/>
      <c r="K295" s="14"/>
      <c r="L295" s="14"/>
      <c r="M295" s="14"/>
      <c r="N295" s="14"/>
      <c r="O295" s="14"/>
      <c r="P295" s="14"/>
      <c r="Q295" s="14"/>
      <c r="R295" s="14"/>
      <c r="S295" s="14"/>
      <c r="T295" s="14"/>
      <c r="U295" s="13">
        <f t="shared" si="17"/>
        <v>65280.215000000004</v>
      </c>
      <c r="V295" s="25">
        <v>5012.6499999999996</v>
      </c>
      <c r="W295" s="15">
        <f t="shared" si="16"/>
        <v>3272268.6971974997</v>
      </c>
    </row>
    <row r="296" spans="1:23" s="154" customFormat="1" ht="45" x14ac:dyDescent="0.25">
      <c r="A296" s="44">
        <v>27</v>
      </c>
      <c r="B296" s="94" t="s">
        <v>111</v>
      </c>
      <c r="C296" s="36">
        <v>1</v>
      </c>
      <c r="D296" s="25">
        <v>1183</v>
      </c>
      <c r="E296" s="14"/>
      <c r="F296" s="14"/>
      <c r="G296" s="14"/>
      <c r="H296" s="14"/>
      <c r="I296" s="14"/>
      <c r="J296" s="14"/>
      <c r="K296" s="14"/>
      <c r="L296" s="14"/>
      <c r="M296" s="14"/>
      <c r="N296" s="14"/>
      <c r="O296" s="14"/>
      <c r="P296" s="14"/>
      <c r="Q296" s="14"/>
      <c r="R296" s="14"/>
      <c r="S296" s="14"/>
      <c r="T296" s="14"/>
      <c r="U296" s="13">
        <f t="shared" si="17"/>
        <v>1183</v>
      </c>
      <c r="V296" s="25">
        <v>514.9</v>
      </c>
      <c r="W296" s="15">
        <f t="shared" si="16"/>
        <v>609126.69999999995</v>
      </c>
    </row>
    <row r="297" spans="1:23" s="154" customFormat="1" ht="30" x14ac:dyDescent="0.25">
      <c r="A297" s="44">
        <v>28</v>
      </c>
      <c r="B297" s="94" t="s">
        <v>112</v>
      </c>
      <c r="C297" s="37">
        <v>1</v>
      </c>
      <c r="D297" s="25">
        <v>182</v>
      </c>
      <c r="E297" s="14"/>
      <c r="F297" s="14"/>
      <c r="G297" s="14"/>
      <c r="H297" s="14"/>
      <c r="I297" s="14"/>
      <c r="J297" s="14"/>
      <c r="K297" s="14"/>
      <c r="L297" s="14"/>
      <c r="M297" s="14"/>
      <c r="N297" s="14"/>
      <c r="O297" s="14"/>
      <c r="P297" s="14"/>
      <c r="Q297" s="14"/>
      <c r="R297" s="14"/>
      <c r="S297" s="14"/>
      <c r="T297" s="14"/>
      <c r="U297" s="13">
        <f t="shared" si="17"/>
        <v>182</v>
      </c>
      <c r="V297" s="25">
        <v>849.7</v>
      </c>
      <c r="W297" s="15">
        <f t="shared" si="16"/>
        <v>154645.4</v>
      </c>
    </row>
    <row r="298" spans="1:23" s="154" customFormat="1" x14ac:dyDescent="0.25">
      <c r="A298" s="44">
        <v>29</v>
      </c>
      <c r="B298" s="94" t="s">
        <v>113</v>
      </c>
      <c r="C298" s="37">
        <v>1</v>
      </c>
      <c r="D298" s="25">
        <v>91</v>
      </c>
      <c r="E298" s="14"/>
      <c r="F298" s="14"/>
      <c r="G298" s="14"/>
      <c r="H298" s="14"/>
      <c r="I298" s="14"/>
      <c r="J298" s="14"/>
      <c r="K298" s="14"/>
      <c r="L298" s="14"/>
      <c r="M298" s="14"/>
      <c r="N298" s="14"/>
      <c r="O298" s="14"/>
      <c r="P298" s="14"/>
      <c r="Q298" s="14"/>
      <c r="R298" s="14"/>
      <c r="S298" s="14"/>
      <c r="T298" s="14"/>
      <c r="U298" s="13">
        <f t="shared" si="17"/>
        <v>91</v>
      </c>
      <c r="V298" s="25">
        <v>1159.6500000000001</v>
      </c>
      <c r="W298" s="15">
        <f t="shared" si="16"/>
        <v>105528.15000000001</v>
      </c>
    </row>
    <row r="299" spans="1:23" s="154" customFormat="1" ht="30" hidden="1" x14ac:dyDescent="0.25">
      <c r="A299" s="44">
        <v>30</v>
      </c>
      <c r="B299" s="94" t="s">
        <v>306</v>
      </c>
      <c r="C299" s="37">
        <v>1</v>
      </c>
      <c r="D299" s="25">
        <v>182</v>
      </c>
      <c r="E299" s="14"/>
      <c r="F299" s="14"/>
      <c r="G299" s="14"/>
      <c r="H299" s="14"/>
      <c r="I299" s="14"/>
      <c r="J299" s="14"/>
      <c r="K299" s="14"/>
      <c r="L299" s="14"/>
      <c r="M299" s="14"/>
      <c r="N299" s="14"/>
      <c r="O299" s="14"/>
      <c r="P299" s="14"/>
      <c r="Q299" s="14"/>
      <c r="R299" s="14"/>
      <c r="S299" s="14"/>
      <c r="T299" s="14"/>
      <c r="U299" s="13">
        <f t="shared" si="17"/>
        <v>182</v>
      </c>
      <c r="V299" s="25">
        <v>656.85</v>
      </c>
      <c r="W299" s="15">
        <f t="shared" si="16"/>
        <v>119546.7</v>
      </c>
    </row>
    <row r="300" spans="1:23" s="154" customFormat="1" ht="45" hidden="1" x14ac:dyDescent="0.25">
      <c r="A300" s="44">
        <v>31</v>
      </c>
      <c r="B300" s="94" t="s">
        <v>307</v>
      </c>
      <c r="C300" s="19">
        <v>100</v>
      </c>
      <c r="D300" s="25">
        <v>7644</v>
      </c>
      <c r="E300" s="14"/>
      <c r="F300" s="14"/>
      <c r="G300" s="14"/>
      <c r="H300" s="14"/>
      <c r="I300" s="14"/>
      <c r="J300" s="14"/>
      <c r="K300" s="14"/>
      <c r="L300" s="14"/>
      <c r="M300" s="14"/>
      <c r="N300" s="14"/>
      <c r="O300" s="14"/>
      <c r="P300" s="14"/>
      <c r="Q300" s="14"/>
      <c r="R300" s="14"/>
      <c r="S300" s="14"/>
      <c r="T300" s="14"/>
      <c r="U300" s="13">
        <f t="shared" si="17"/>
        <v>7644</v>
      </c>
      <c r="V300" s="25">
        <v>3052.4</v>
      </c>
      <c r="W300" s="15">
        <f t="shared" si="16"/>
        <v>233325.45600000001</v>
      </c>
    </row>
    <row r="301" spans="1:23" s="154" customFormat="1" ht="30" hidden="1" x14ac:dyDescent="0.25">
      <c r="A301" s="44">
        <v>32</v>
      </c>
      <c r="B301" s="94" t="s">
        <v>308</v>
      </c>
      <c r="C301" s="38">
        <v>1</v>
      </c>
      <c r="D301" s="25">
        <v>91</v>
      </c>
      <c r="E301" s="14"/>
      <c r="F301" s="14"/>
      <c r="G301" s="14"/>
      <c r="H301" s="14"/>
      <c r="I301" s="14"/>
      <c r="J301" s="14"/>
      <c r="K301" s="14"/>
      <c r="L301" s="14"/>
      <c r="M301" s="14"/>
      <c r="N301" s="14"/>
      <c r="O301" s="14"/>
      <c r="P301" s="14"/>
      <c r="Q301" s="14"/>
      <c r="R301" s="14"/>
      <c r="S301" s="14"/>
      <c r="T301" s="14"/>
      <c r="U301" s="13">
        <f t="shared" si="17"/>
        <v>91</v>
      </c>
      <c r="V301" s="25">
        <v>4105.05</v>
      </c>
      <c r="W301" s="15">
        <f t="shared" si="16"/>
        <v>373559.55</v>
      </c>
    </row>
    <row r="302" spans="1:23" s="154" customFormat="1" ht="30" hidden="1" x14ac:dyDescent="0.25">
      <c r="A302" s="44">
        <v>33</v>
      </c>
      <c r="B302" s="94" t="s">
        <v>309</v>
      </c>
      <c r="C302" s="38">
        <v>1</v>
      </c>
      <c r="D302" s="25">
        <v>273</v>
      </c>
      <c r="E302" s="14"/>
      <c r="F302" s="14"/>
      <c r="G302" s="14"/>
      <c r="H302" s="14"/>
      <c r="I302" s="14"/>
      <c r="J302" s="14"/>
      <c r="K302" s="14"/>
      <c r="L302" s="14"/>
      <c r="M302" s="14"/>
      <c r="N302" s="14"/>
      <c r="O302" s="14"/>
      <c r="P302" s="14"/>
      <c r="Q302" s="14"/>
      <c r="R302" s="14"/>
      <c r="S302" s="14"/>
      <c r="T302" s="14"/>
      <c r="U302" s="13">
        <f t="shared" si="17"/>
        <v>273</v>
      </c>
      <c r="V302" s="25">
        <v>463.15</v>
      </c>
      <c r="W302" s="15">
        <f t="shared" si="16"/>
        <v>126439.95</v>
      </c>
    </row>
    <row r="303" spans="1:23" s="154" customFormat="1" ht="30" hidden="1" x14ac:dyDescent="0.25">
      <c r="A303" s="44">
        <v>34</v>
      </c>
      <c r="B303" s="94" t="s">
        <v>310</v>
      </c>
      <c r="C303" s="38">
        <v>1</v>
      </c>
      <c r="D303" s="25">
        <v>364</v>
      </c>
      <c r="E303" s="14"/>
      <c r="F303" s="14"/>
      <c r="G303" s="14"/>
      <c r="H303" s="14"/>
      <c r="I303" s="14"/>
      <c r="J303" s="14"/>
      <c r="K303" s="14"/>
      <c r="L303" s="14"/>
      <c r="M303" s="14"/>
      <c r="N303" s="14"/>
      <c r="O303" s="14"/>
      <c r="P303" s="14"/>
      <c r="Q303" s="14"/>
      <c r="R303" s="14"/>
      <c r="S303" s="14"/>
      <c r="T303" s="14"/>
      <c r="U303" s="13">
        <f t="shared" si="17"/>
        <v>364</v>
      </c>
      <c r="V303" s="25">
        <v>1639.2</v>
      </c>
      <c r="W303" s="15">
        <f t="shared" si="16"/>
        <v>596668.80000000005</v>
      </c>
    </row>
    <row r="304" spans="1:23" s="154" customFormat="1" ht="45" hidden="1" x14ac:dyDescent="0.25">
      <c r="A304" s="44">
        <v>35</v>
      </c>
      <c r="B304" s="94" t="s">
        <v>311</v>
      </c>
      <c r="C304" s="38">
        <v>1</v>
      </c>
      <c r="D304" s="25">
        <v>91</v>
      </c>
      <c r="E304" s="14"/>
      <c r="F304" s="14"/>
      <c r="G304" s="14"/>
      <c r="H304" s="14"/>
      <c r="I304" s="14"/>
      <c r="J304" s="14"/>
      <c r="K304" s="14"/>
      <c r="L304" s="14"/>
      <c r="M304" s="14"/>
      <c r="N304" s="14"/>
      <c r="O304" s="14"/>
      <c r="P304" s="14"/>
      <c r="Q304" s="14"/>
      <c r="R304" s="14"/>
      <c r="S304" s="14"/>
      <c r="T304" s="14"/>
      <c r="U304" s="13">
        <f t="shared" si="17"/>
        <v>91</v>
      </c>
      <c r="V304" s="25">
        <v>8069.2</v>
      </c>
      <c r="W304" s="15">
        <f t="shared" si="16"/>
        <v>734297.2</v>
      </c>
    </row>
    <row r="305" spans="1:23" s="154" customFormat="1" ht="45" x14ac:dyDescent="0.25">
      <c r="A305" s="44">
        <v>36</v>
      </c>
      <c r="B305" s="94" t="s">
        <v>111</v>
      </c>
      <c r="C305" s="36">
        <v>1</v>
      </c>
      <c r="D305" s="25">
        <v>9100</v>
      </c>
      <c r="E305" s="14"/>
      <c r="F305" s="14"/>
      <c r="G305" s="14"/>
      <c r="H305" s="14"/>
      <c r="I305" s="14"/>
      <c r="J305" s="14"/>
      <c r="K305" s="14"/>
      <c r="L305" s="14"/>
      <c r="M305" s="14"/>
      <c r="N305" s="14"/>
      <c r="O305" s="14"/>
      <c r="P305" s="14"/>
      <c r="Q305" s="14"/>
      <c r="R305" s="14"/>
      <c r="S305" s="14"/>
      <c r="T305" s="14"/>
      <c r="U305" s="13">
        <f t="shared" si="17"/>
        <v>9100</v>
      </c>
      <c r="V305" s="25">
        <v>514.9</v>
      </c>
      <c r="W305" s="15">
        <f t="shared" si="16"/>
        <v>4685590</v>
      </c>
    </row>
    <row r="306" spans="1:23" s="154" customFormat="1" ht="30" x14ac:dyDescent="0.25">
      <c r="A306" s="44">
        <v>37</v>
      </c>
      <c r="B306" s="94" t="s">
        <v>112</v>
      </c>
      <c r="C306" s="37">
        <v>1</v>
      </c>
      <c r="D306" s="25">
        <v>364</v>
      </c>
      <c r="E306" s="14"/>
      <c r="F306" s="14"/>
      <c r="G306" s="14"/>
      <c r="H306" s="14"/>
      <c r="I306" s="14"/>
      <c r="J306" s="14"/>
      <c r="K306" s="14"/>
      <c r="L306" s="14"/>
      <c r="M306" s="14"/>
      <c r="N306" s="14"/>
      <c r="O306" s="14"/>
      <c r="P306" s="14"/>
      <c r="Q306" s="14"/>
      <c r="R306" s="14"/>
      <c r="S306" s="14"/>
      <c r="T306" s="14"/>
      <c r="U306" s="13">
        <f t="shared" si="17"/>
        <v>364</v>
      </c>
      <c r="V306" s="25">
        <v>849.7</v>
      </c>
      <c r="W306" s="15">
        <f t="shared" si="16"/>
        <v>309290.8</v>
      </c>
    </row>
    <row r="307" spans="1:23" s="154" customFormat="1" ht="30" hidden="1" x14ac:dyDescent="0.25">
      <c r="A307" s="44">
        <v>38</v>
      </c>
      <c r="B307" s="94" t="s">
        <v>312</v>
      </c>
      <c r="C307" s="37">
        <v>1</v>
      </c>
      <c r="D307" s="25">
        <v>364</v>
      </c>
      <c r="E307" s="14"/>
      <c r="F307" s="14"/>
      <c r="G307" s="14"/>
      <c r="H307" s="14"/>
      <c r="I307" s="14"/>
      <c r="J307" s="14"/>
      <c r="K307" s="14"/>
      <c r="L307" s="14"/>
      <c r="M307" s="14"/>
      <c r="N307" s="14"/>
      <c r="O307" s="14"/>
      <c r="P307" s="14"/>
      <c r="Q307" s="14"/>
      <c r="R307" s="14"/>
      <c r="S307" s="14"/>
      <c r="T307" s="14"/>
      <c r="U307" s="13">
        <f t="shared" si="17"/>
        <v>364</v>
      </c>
      <c r="V307" s="25">
        <v>2374.25</v>
      </c>
      <c r="W307" s="15">
        <f t="shared" si="16"/>
        <v>864227</v>
      </c>
    </row>
    <row r="308" spans="1:23" s="154" customFormat="1" ht="135" hidden="1" x14ac:dyDescent="0.25">
      <c r="A308" s="44">
        <v>39</v>
      </c>
      <c r="B308" s="94" t="s">
        <v>313</v>
      </c>
      <c r="C308" s="20"/>
      <c r="D308" s="20"/>
      <c r="E308" s="20"/>
      <c r="F308" s="20"/>
      <c r="G308" s="20"/>
      <c r="H308" s="20"/>
      <c r="I308" s="20"/>
      <c r="J308" s="20"/>
      <c r="K308" s="20"/>
      <c r="L308" s="20"/>
      <c r="M308" s="20"/>
      <c r="N308" s="20"/>
      <c r="O308" s="20"/>
      <c r="P308" s="20"/>
      <c r="Q308" s="20"/>
      <c r="R308" s="20"/>
      <c r="S308" s="20"/>
      <c r="T308" s="20"/>
      <c r="U308" s="13">
        <f t="shared" si="17"/>
        <v>0</v>
      </c>
      <c r="V308" s="20"/>
      <c r="W308" s="20"/>
    </row>
    <row r="309" spans="1:23" s="154" customFormat="1" hidden="1" x14ac:dyDescent="0.25">
      <c r="A309" s="44" t="s">
        <v>60</v>
      </c>
      <c r="B309" s="94" t="s">
        <v>314</v>
      </c>
      <c r="C309" s="36">
        <v>1</v>
      </c>
      <c r="D309" s="25">
        <v>9100</v>
      </c>
      <c r="E309" s="14"/>
      <c r="F309" s="14"/>
      <c r="G309" s="14"/>
      <c r="H309" s="14"/>
      <c r="I309" s="14"/>
      <c r="J309" s="14"/>
      <c r="K309" s="14"/>
      <c r="L309" s="14"/>
      <c r="M309" s="14"/>
      <c r="N309" s="14"/>
      <c r="O309" s="14"/>
      <c r="P309" s="14"/>
      <c r="Q309" s="14"/>
      <c r="R309" s="14"/>
      <c r="S309" s="14"/>
      <c r="T309" s="14"/>
      <c r="U309" s="13">
        <f t="shared" si="17"/>
        <v>9100</v>
      </c>
      <c r="V309" s="25">
        <v>62.95</v>
      </c>
      <c r="W309" s="15">
        <f t="shared" si="16"/>
        <v>572845</v>
      </c>
    </row>
    <row r="310" spans="1:23" s="154" customFormat="1" hidden="1" x14ac:dyDescent="0.25">
      <c r="A310" s="44" t="s">
        <v>37</v>
      </c>
      <c r="B310" s="94" t="s">
        <v>315</v>
      </c>
      <c r="C310" s="36">
        <v>1</v>
      </c>
      <c r="D310" s="25">
        <v>4550</v>
      </c>
      <c r="E310" s="14"/>
      <c r="F310" s="14"/>
      <c r="G310" s="14"/>
      <c r="H310" s="14"/>
      <c r="I310" s="14"/>
      <c r="J310" s="14"/>
      <c r="K310" s="14"/>
      <c r="L310" s="14"/>
      <c r="M310" s="14"/>
      <c r="N310" s="14"/>
      <c r="O310" s="14"/>
      <c r="P310" s="14"/>
      <c r="Q310" s="14"/>
      <c r="R310" s="14"/>
      <c r="S310" s="14"/>
      <c r="T310" s="14"/>
      <c r="U310" s="13">
        <f t="shared" si="17"/>
        <v>4550</v>
      </c>
      <c r="V310" s="25">
        <v>87.1</v>
      </c>
      <c r="W310" s="15">
        <f t="shared" si="16"/>
        <v>396305</v>
      </c>
    </row>
    <row r="311" spans="1:23" s="154" customFormat="1" ht="30" hidden="1" x14ac:dyDescent="0.25">
      <c r="A311" s="44">
        <v>40</v>
      </c>
      <c r="B311" s="94" t="s">
        <v>316</v>
      </c>
      <c r="C311" s="38">
        <v>1</v>
      </c>
      <c r="D311" s="25">
        <v>91</v>
      </c>
      <c r="E311" s="14"/>
      <c r="F311" s="14"/>
      <c r="G311" s="14"/>
      <c r="H311" s="14"/>
      <c r="I311" s="14"/>
      <c r="J311" s="14"/>
      <c r="K311" s="14"/>
      <c r="L311" s="14"/>
      <c r="M311" s="14"/>
      <c r="N311" s="14"/>
      <c r="O311" s="14"/>
      <c r="P311" s="14"/>
      <c r="Q311" s="14"/>
      <c r="R311" s="14"/>
      <c r="S311" s="14"/>
      <c r="T311" s="14"/>
      <c r="U311" s="13">
        <f t="shared" si="17"/>
        <v>91</v>
      </c>
      <c r="V311" s="25">
        <v>1457.7</v>
      </c>
      <c r="W311" s="15">
        <f t="shared" si="16"/>
        <v>132650.70000000001</v>
      </c>
    </row>
    <row r="312" spans="1:23" s="154" customFormat="1" ht="45" hidden="1" x14ac:dyDescent="0.25">
      <c r="A312" s="44">
        <v>41</v>
      </c>
      <c r="B312" s="94" t="s">
        <v>317</v>
      </c>
      <c r="C312" s="38">
        <v>1</v>
      </c>
      <c r="D312" s="25">
        <v>91</v>
      </c>
      <c r="E312" s="14"/>
      <c r="F312" s="14"/>
      <c r="G312" s="14"/>
      <c r="H312" s="14"/>
      <c r="I312" s="14"/>
      <c r="J312" s="14"/>
      <c r="K312" s="14"/>
      <c r="L312" s="14"/>
      <c r="M312" s="14"/>
      <c r="N312" s="14"/>
      <c r="O312" s="14"/>
      <c r="P312" s="14"/>
      <c r="Q312" s="14"/>
      <c r="R312" s="14"/>
      <c r="S312" s="14"/>
      <c r="T312" s="14"/>
      <c r="U312" s="13">
        <f t="shared" si="17"/>
        <v>91</v>
      </c>
      <c r="V312" s="25">
        <v>15209.1</v>
      </c>
      <c r="W312" s="15">
        <f t="shared" si="16"/>
        <v>1384028.1</v>
      </c>
    </row>
    <row r="313" spans="1:23" s="154" customFormat="1" hidden="1" x14ac:dyDescent="0.25">
      <c r="A313" s="44">
        <v>42</v>
      </c>
      <c r="B313" s="94" t="s">
        <v>318</v>
      </c>
      <c r="C313" s="25"/>
      <c r="D313" s="25"/>
      <c r="E313" s="25"/>
      <c r="F313" s="25"/>
      <c r="G313" s="25"/>
      <c r="H313" s="25"/>
      <c r="I313" s="25"/>
      <c r="J313" s="25"/>
      <c r="K313" s="25"/>
      <c r="L313" s="25"/>
      <c r="M313" s="25"/>
      <c r="N313" s="25"/>
      <c r="O313" s="25"/>
      <c r="P313" s="25"/>
      <c r="Q313" s="25"/>
      <c r="R313" s="25"/>
      <c r="S313" s="25"/>
      <c r="T313" s="25"/>
      <c r="U313" s="13">
        <f t="shared" si="17"/>
        <v>0</v>
      </c>
      <c r="V313" s="25"/>
      <c r="W313" s="25"/>
    </row>
    <row r="314" spans="1:23" s="154" customFormat="1" hidden="1" x14ac:dyDescent="0.25">
      <c r="A314" s="44"/>
      <c r="B314" s="94" t="s">
        <v>319</v>
      </c>
      <c r="C314" s="38">
        <v>1</v>
      </c>
      <c r="D314" s="25">
        <v>91</v>
      </c>
      <c r="E314" s="14"/>
      <c r="F314" s="14"/>
      <c r="G314" s="14"/>
      <c r="H314" s="14"/>
      <c r="I314" s="14"/>
      <c r="J314" s="14"/>
      <c r="K314" s="14"/>
      <c r="L314" s="14"/>
      <c r="M314" s="14"/>
      <c r="N314" s="14"/>
      <c r="O314" s="14"/>
      <c r="P314" s="14"/>
      <c r="Q314" s="14"/>
      <c r="R314" s="14"/>
      <c r="S314" s="14"/>
      <c r="T314" s="14"/>
      <c r="U314" s="13">
        <f t="shared" si="17"/>
        <v>91</v>
      </c>
      <c r="V314" s="25">
        <v>1380</v>
      </c>
      <c r="W314" s="15">
        <f t="shared" si="16"/>
        <v>125580</v>
      </c>
    </row>
    <row r="315" spans="1:23" s="154" customFormat="1" hidden="1" x14ac:dyDescent="0.25">
      <c r="A315" s="44"/>
      <c r="B315" s="94" t="s">
        <v>320</v>
      </c>
      <c r="C315" s="38">
        <v>1</v>
      </c>
      <c r="D315" s="25">
        <v>91</v>
      </c>
      <c r="E315" s="14"/>
      <c r="F315" s="14"/>
      <c r="G315" s="14"/>
      <c r="H315" s="14"/>
      <c r="I315" s="14"/>
      <c r="J315" s="14"/>
      <c r="K315" s="14"/>
      <c r="L315" s="14"/>
      <c r="M315" s="14"/>
      <c r="N315" s="14"/>
      <c r="O315" s="14"/>
      <c r="P315" s="14"/>
      <c r="Q315" s="14"/>
      <c r="R315" s="14"/>
      <c r="S315" s="14"/>
      <c r="T315" s="14"/>
      <c r="U315" s="13">
        <f t="shared" si="17"/>
        <v>91</v>
      </c>
      <c r="V315" s="25">
        <v>1610</v>
      </c>
      <c r="W315" s="15">
        <f t="shared" si="16"/>
        <v>146510</v>
      </c>
    </row>
    <row r="316" spans="1:23" s="154" customFormat="1" hidden="1" x14ac:dyDescent="0.25">
      <c r="A316" s="44"/>
      <c r="B316" s="94" t="s">
        <v>321</v>
      </c>
      <c r="C316" s="38">
        <v>1</v>
      </c>
      <c r="D316" s="25">
        <v>91</v>
      </c>
      <c r="E316" s="14"/>
      <c r="F316" s="14"/>
      <c r="G316" s="14"/>
      <c r="H316" s="14"/>
      <c r="I316" s="14"/>
      <c r="J316" s="14"/>
      <c r="K316" s="14"/>
      <c r="L316" s="14"/>
      <c r="M316" s="14"/>
      <c r="N316" s="14"/>
      <c r="O316" s="14"/>
      <c r="P316" s="14"/>
      <c r="Q316" s="14"/>
      <c r="R316" s="14"/>
      <c r="S316" s="14"/>
      <c r="T316" s="14"/>
      <c r="U316" s="13">
        <f t="shared" si="17"/>
        <v>91</v>
      </c>
      <c r="V316" s="25">
        <v>1035</v>
      </c>
      <c r="W316" s="15">
        <f t="shared" si="16"/>
        <v>94185</v>
      </c>
    </row>
    <row r="317" spans="1:23" s="154" customFormat="1" ht="30" hidden="1" x14ac:dyDescent="0.25">
      <c r="A317" s="44">
        <v>43</v>
      </c>
      <c r="B317" s="94" t="s">
        <v>322</v>
      </c>
      <c r="C317" s="38">
        <v>1</v>
      </c>
      <c r="D317" s="25">
        <v>91</v>
      </c>
      <c r="E317" s="14"/>
      <c r="F317" s="14"/>
      <c r="G317" s="14"/>
      <c r="H317" s="14"/>
      <c r="I317" s="14"/>
      <c r="J317" s="14"/>
      <c r="K317" s="14"/>
      <c r="L317" s="14"/>
      <c r="M317" s="14"/>
      <c r="N317" s="14"/>
      <c r="O317" s="14"/>
      <c r="P317" s="14"/>
      <c r="Q317" s="14"/>
      <c r="R317" s="14"/>
      <c r="S317" s="14"/>
      <c r="T317" s="14"/>
      <c r="U317" s="13">
        <f t="shared" si="17"/>
        <v>91</v>
      </c>
      <c r="V317" s="25">
        <v>1999.2</v>
      </c>
      <c r="W317" s="15">
        <f t="shared" si="16"/>
        <v>181927.2</v>
      </c>
    </row>
    <row r="318" spans="1:23" s="154" customFormat="1" ht="45" x14ac:dyDescent="0.25">
      <c r="A318" s="44">
        <v>44</v>
      </c>
      <c r="B318" s="94" t="s">
        <v>118</v>
      </c>
      <c r="C318" s="20"/>
      <c r="D318" s="20"/>
      <c r="E318" s="20"/>
      <c r="F318" s="20"/>
      <c r="G318" s="20"/>
      <c r="H318" s="20"/>
      <c r="I318" s="20"/>
      <c r="J318" s="20"/>
      <c r="K318" s="20"/>
      <c r="L318" s="20"/>
      <c r="M318" s="20"/>
      <c r="N318" s="20"/>
      <c r="O318" s="20"/>
      <c r="P318" s="20"/>
      <c r="Q318" s="20"/>
      <c r="R318" s="20"/>
      <c r="S318" s="20"/>
      <c r="T318" s="20"/>
      <c r="U318" s="13">
        <f t="shared" si="17"/>
        <v>0</v>
      </c>
      <c r="V318" s="20"/>
      <c r="W318" s="20"/>
    </row>
    <row r="319" spans="1:23" s="154" customFormat="1" x14ac:dyDescent="0.25">
      <c r="A319" s="44"/>
      <c r="B319" s="94" t="s">
        <v>148</v>
      </c>
      <c r="C319" s="36">
        <v>1</v>
      </c>
      <c r="D319" s="25">
        <v>9100</v>
      </c>
      <c r="E319" s="14"/>
      <c r="F319" s="14"/>
      <c r="G319" s="14"/>
      <c r="H319" s="14"/>
      <c r="I319" s="14"/>
      <c r="J319" s="14"/>
      <c r="K319" s="14"/>
      <c r="L319" s="14"/>
      <c r="M319" s="14"/>
      <c r="N319" s="14"/>
      <c r="O319" s="14"/>
      <c r="P319" s="14"/>
      <c r="Q319" s="14"/>
      <c r="R319" s="14"/>
      <c r="S319" s="14"/>
      <c r="T319" s="14"/>
      <c r="U319" s="13">
        <f t="shared" si="17"/>
        <v>9100</v>
      </c>
      <c r="V319" s="25">
        <v>112.25</v>
      </c>
      <c r="W319" s="15">
        <f t="shared" si="16"/>
        <v>1021475</v>
      </c>
    </row>
    <row r="320" spans="1:23" s="154" customFormat="1" x14ac:dyDescent="0.25">
      <c r="A320" s="44"/>
      <c r="B320" s="94" t="s">
        <v>149</v>
      </c>
      <c r="C320" s="36">
        <v>1</v>
      </c>
      <c r="D320" s="25">
        <v>4550</v>
      </c>
      <c r="E320" s="14"/>
      <c r="F320" s="14"/>
      <c r="G320" s="14"/>
      <c r="H320" s="14"/>
      <c r="I320" s="14"/>
      <c r="J320" s="14"/>
      <c r="K320" s="14"/>
      <c r="L320" s="14"/>
      <c r="M320" s="14"/>
      <c r="N320" s="14"/>
      <c r="O320" s="14"/>
      <c r="P320" s="14"/>
      <c r="Q320" s="14"/>
      <c r="R320" s="14"/>
      <c r="S320" s="14"/>
      <c r="T320" s="14"/>
      <c r="U320" s="13">
        <f t="shared" si="17"/>
        <v>4550</v>
      </c>
      <c r="V320" s="25">
        <v>133.6</v>
      </c>
      <c r="W320" s="15">
        <f t="shared" si="16"/>
        <v>607880</v>
      </c>
    </row>
    <row r="321" spans="1:23" s="154" customFormat="1" ht="75" x14ac:dyDescent="0.25">
      <c r="A321" s="44">
        <v>45</v>
      </c>
      <c r="B321" s="94" t="s">
        <v>123</v>
      </c>
      <c r="C321" s="20"/>
      <c r="D321" s="20"/>
      <c r="E321" s="20"/>
      <c r="F321" s="20"/>
      <c r="G321" s="20"/>
      <c r="H321" s="20"/>
      <c r="I321" s="20"/>
      <c r="J321" s="20"/>
      <c r="K321" s="20"/>
      <c r="L321" s="20"/>
      <c r="M321" s="20"/>
      <c r="N321" s="20"/>
      <c r="O321" s="20"/>
      <c r="P321" s="20"/>
      <c r="Q321" s="20"/>
      <c r="R321" s="20"/>
      <c r="S321" s="20"/>
      <c r="T321" s="20"/>
      <c r="U321" s="13">
        <f t="shared" si="17"/>
        <v>0</v>
      </c>
      <c r="V321" s="20"/>
      <c r="W321" s="20"/>
    </row>
    <row r="322" spans="1:23" s="154" customFormat="1" x14ac:dyDescent="0.25">
      <c r="A322" s="44"/>
      <c r="B322" s="94" t="s">
        <v>150</v>
      </c>
      <c r="C322" s="36">
        <v>1</v>
      </c>
      <c r="D322" s="25">
        <v>27300</v>
      </c>
      <c r="E322" s="14"/>
      <c r="F322" s="14"/>
      <c r="G322" s="14"/>
      <c r="H322" s="14"/>
      <c r="I322" s="14"/>
      <c r="J322" s="14"/>
      <c r="K322" s="14"/>
      <c r="L322" s="14"/>
      <c r="M322" s="14"/>
      <c r="N322" s="14"/>
      <c r="O322" s="14"/>
      <c r="P322" s="14"/>
      <c r="Q322" s="14"/>
      <c r="R322" s="14"/>
      <c r="S322" s="14"/>
      <c r="T322" s="14"/>
      <c r="U322" s="13">
        <f t="shared" si="17"/>
        <v>27300</v>
      </c>
      <c r="V322" s="25">
        <v>35.700000000000003</v>
      </c>
      <c r="W322" s="15">
        <f t="shared" si="16"/>
        <v>974610.00000000012</v>
      </c>
    </row>
    <row r="323" spans="1:23" s="154" customFormat="1" x14ac:dyDescent="0.25">
      <c r="A323" s="44"/>
      <c r="B323" s="94" t="s">
        <v>151</v>
      </c>
      <c r="C323" s="36">
        <v>1</v>
      </c>
      <c r="D323" s="25">
        <v>9100</v>
      </c>
      <c r="E323" s="14"/>
      <c r="F323" s="14"/>
      <c r="G323" s="14"/>
      <c r="H323" s="14"/>
      <c r="I323" s="14"/>
      <c r="J323" s="14"/>
      <c r="K323" s="14"/>
      <c r="L323" s="14"/>
      <c r="M323" s="14"/>
      <c r="N323" s="14"/>
      <c r="O323" s="14"/>
      <c r="P323" s="14"/>
      <c r="Q323" s="14"/>
      <c r="R323" s="14"/>
      <c r="S323" s="14"/>
      <c r="T323" s="14"/>
      <c r="U323" s="13">
        <f t="shared" si="17"/>
        <v>9100</v>
      </c>
      <c r="V323" s="25">
        <v>56.3</v>
      </c>
      <c r="W323" s="15">
        <f t="shared" si="16"/>
        <v>512330</v>
      </c>
    </row>
    <row r="324" spans="1:23" s="154" customFormat="1" ht="75" x14ac:dyDescent="0.25">
      <c r="A324" s="44">
        <v>46</v>
      </c>
      <c r="B324" s="94" t="s">
        <v>126</v>
      </c>
      <c r="C324" s="36">
        <v>1</v>
      </c>
      <c r="D324" s="25">
        <v>18200</v>
      </c>
      <c r="E324" s="14"/>
      <c r="F324" s="14"/>
      <c r="G324" s="14"/>
      <c r="H324" s="14"/>
      <c r="I324" s="14"/>
      <c r="J324" s="14"/>
      <c r="K324" s="14"/>
      <c r="L324" s="14"/>
      <c r="M324" s="14"/>
      <c r="N324" s="14"/>
      <c r="O324" s="14"/>
      <c r="P324" s="14"/>
      <c r="Q324" s="14"/>
      <c r="R324" s="14"/>
      <c r="S324" s="14"/>
      <c r="T324" s="14"/>
      <c r="U324" s="13">
        <f t="shared" si="17"/>
        <v>18200</v>
      </c>
      <c r="V324" s="25">
        <v>237.65</v>
      </c>
      <c r="W324" s="15">
        <f t="shared" si="16"/>
        <v>4325230</v>
      </c>
    </row>
    <row r="325" spans="1:23" s="154" customFormat="1" ht="60" x14ac:dyDescent="0.25">
      <c r="A325" s="44">
        <v>47</v>
      </c>
      <c r="B325" s="94" t="s">
        <v>127</v>
      </c>
      <c r="C325" s="20"/>
      <c r="D325" s="20"/>
      <c r="E325" s="20"/>
      <c r="F325" s="20"/>
      <c r="G325" s="20"/>
      <c r="H325" s="20"/>
      <c r="I325" s="20"/>
      <c r="J325" s="20"/>
      <c r="K325" s="20"/>
      <c r="L325" s="20"/>
      <c r="M325" s="20"/>
      <c r="N325" s="20"/>
      <c r="O325" s="20"/>
      <c r="P325" s="20"/>
      <c r="Q325" s="20"/>
      <c r="R325" s="20"/>
      <c r="S325" s="20"/>
      <c r="T325" s="20"/>
      <c r="U325" s="13">
        <f t="shared" si="17"/>
        <v>0</v>
      </c>
      <c r="V325" s="20"/>
      <c r="W325" s="20"/>
    </row>
    <row r="326" spans="1:23" s="154" customFormat="1" hidden="1" x14ac:dyDescent="0.25">
      <c r="A326" s="44"/>
      <c r="B326" s="94" t="s">
        <v>152</v>
      </c>
      <c r="C326" s="38">
        <v>1</v>
      </c>
      <c r="D326" s="25">
        <v>182</v>
      </c>
      <c r="E326" s="14"/>
      <c r="F326" s="14"/>
      <c r="G326" s="14"/>
      <c r="H326" s="14"/>
      <c r="I326" s="14"/>
      <c r="J326" s="14"/>
      <c r="K326" s="14"/>
      <c r="L326" s="14"/>
      <c r="M326" s="14"/>
      <c r="N326" s="14"/>
      <c r="O326" s="14"/>
      <c r="P326" s="14"/>
      <c r="Q326" s="14"/>
      <c r="R326" s="14"/>
      <c r="S326" s="14"/>
      <c r="T326" s="14"/>
      <c r="U326" s="13">
        <f t="shared" si="17"/>
        <v>182</v>
      </c>
      <c r="V326" s="25">
        <v>382.3</v>
      </c>
      <c r="W326" s="15">
        <f t="shared" si="16"/>
        <v>69578.600000000006</v>
      </c>
    </row>
    <row r="327" spans="1:23" s="154" customFormat="1" x14ac:dyDescent="0.25">
      <c r="A327" s="44"/>
      <c r="B327" s="94" t="s">
        <v>153</v>
      </c>
      <c r="C327" s="38">
        <v>1</v>
      </c>
      <c r="D327" s="25">
        <v>364</v>
      </c>
      <c r="E327" s="14"/>
      <c r="F327" s="14"/>
      <c r="G327" s="14"/>
      <c r="H327" s="14"/>
      <c r="I327" s="14"/>
      <c r="J327" s="14"/>
      <c r="K327" s="14"/>
      <c r="L327" s="14"/>
      <c r="M327" s="14"/>
      <c r="N327" s="14"/>
      <c r="O327" s="14"/>
      <c r="P327" s="14"/>
      <c r="Q327" s="14"/>
      <c r="R327" s="14"/>
      <c r="S327" s="14"/>
      <c r="T327" s="14"/>
      <c r="U327" s="13">
        <f t="shared" si="17"/>
        <v>364</v>
      </c>
      <c r="V327" s="25">
        <v>522.75</v>
      </c>
      <c r="W327" s="15">
        <f t="shared" ref="W327:W390" si="18">V327*U327/C327</f>
        <v>190281</v>
      </c>
    </row>
    <row r="328" spans="1:23" s="154" customFormat="1" hidden="1" x14ac:dyDescent="0.25">
      <c r="A328" s="44"/>
      <c r="B328" s="94" t="s">
        <v>154</v>
      </c>
      <c r="C328" s="38">
        <v>1</v>
      </c>
      <c r="D328" s="25">
        <v>91</v>
      </c>
      <c r="E328" s="14"/>
      <c r="F328" s="14"/>
      <c r="G328" s="14"/>
      <c r="H328" s="14"/>
      <c r="I328" s="14"/>
      <c r="J328" s="14"/>
      <c r="K328" s="14"/>
      <c r="L328" s="14"/>
      <c r="M328" s="14"/>
      <c r="N328" s="14"/>
      <c r="O328" s="14"/>
      <c r="P328" s="14"/>
      <c r="Q328" s="14"/>
      <c r="R328" s="14"/>
      <c r="S328" s="14"/>
      <c r="T328" s="14"/>
      <c r="U328" s="13">
        <f t="shared" si="17"/>
        <v>91</v>
      </c>
      <c r="V328" s="25">
        <v>668.8</v>
      </c>
      <c r="W328" s="15">
        <f t="shared" si="18"/>
        <v>60860.799999999996</v>
      </c>
    </row>
    <row r="329" spans="1:23" s="154" customFormat="1" ht="30" x14ac:dyDescent="0.25">
      <c r="A329" s="44">
        <v>48</v>
      </c>
      <c r="B329" s="94" t="s">
        <v>131</v>
      </c>
      <c r="C329" s="38">
        <v>1</v>
      </c>
      <c r="D329" s="25">
        <v>3185</v>
      </c>
      <c r="E329" s="14"/>
      <c r="F329" s="14"/>
      <c r="G329" s="14"/>
      <c r="H329" s="14"/>
      <c r="I329" s="14"/>
      <c r="J329" s="14"/>
      <c r="K329" s="14"/>
      <c r="L329" s="14"/>
      <c r="M329" s="14"/>
      <c r="N329" s="14"/>
      <c r="O329" s="14"/>
      <c r="P329" s="14"/>
      <c r="Q329" s="14"/>
      <c r="R329" s="14"/>
      <c r="S329" s="14"/>
      <c r="T329" s="14"/>
      <c r="U329" s="13">
        <f t="shared" si="17"/>
        <v>3185</v>
      </c>
      <c r="V329" s="25">
        <v>102.7</v>
      </c>
      <c r="W329" s="15">
        <f t="shared" si="18"/>
        <v>327099.5</v>
      </c>
    </row>
    <row r="330" spans="1:23" s="154" customFormat="1" ht="30" x14ac:dyDescent="0.25">
      <c r="A330" s="44">
        <v>49</v>
      </c>
      <c r="B330" s="94" t="s">
        <v>183</v>
      </c>
      <c r="C330" s="38">
        <v>1</v>
      </c>
      <c r="D330" s="25">
        <v>546</v>
      </c>
      <c r="E330" s="14"/>
      <c r="F330" s="14"/>
      <c r="G330" s="14"/>
      <c r="H330" s="14"/>
      <c r="I330" s="14"/>
      <c r="J330" s="14"/>
      <c r="K330" s="14"/>
      <c r="L330" s="14"/>
      <c r="M330" s="14"/>
      <c r="N330" s="14"/>
      <c r="O330" s="14"/>
      <c r="P330" s="14"/>
      <c r="Q330" s="14"/>
      <c r="R330" s="14"/>
      <c r="S330" s="14"/>
      <c r="T330" s="14"/>
      <c r="U330" s="13">
        <f t="shared" si="17"/>
        <v>546</v>
      </c>
      <c r="V330" s="25">
        <v>178.75</v>
      </c>
      <c r="W330" s="15">
        <f t="shared" si="18"/>
        <v>97597.5</v>
      </c>
    </row>
    <row r="331" spans="1:23" s="154" customFormat="1" x14ac:dyDescent="0.25">
      <c r="A331" s="44">
        <v>50</v>
      </c>
      <c r="B331" s="94" t="s">
        <v>132</v>
      </c>
      <c r="C331" s="38">
        <v>1</v>
      </c>
      <c r="D331" s="25">
        <v>546</v>
      </c>
      <c r="E331" s="14"/>
      <c r="F331" s="14"/>
      <c r="G331" s="14"/>
      <c r="H331" s="14"/>
      <c r="I331" s="14"/>
      <c r="J331" s="14"/>
      <c r="K331" s="14"/>
      <c r="L331" s="14"/>
      <c r="M331" s="14"/>
      <c r="N331" s="14"/>
      <c r="O331" s="14"/>
      <c r="P331" s="14"/>
      <c r="Q331" s="14"/>
      <c r="R331" s="14"/>
      <c r="S331" s="14"/>
      <c r="T331" s="14"/>
      <c r="U331" s="13">
        <f t="shared" si="17"/>
        <v>546</v>
      </c>
      <c r="V331" s="25">
        <v>96.3</v>
      </c>
      <c r="W331" s="15">
        <f t="shared" si="18"/>
        <v>52579.799999999996</v>
      </c>
    </row>
    <row r="332" spans="1:23" s="154" customFormat="1" x14ac:dyDescent="0.25">
      <c r="A332" s="44">
        <v>51</v>
      </c>
      <c r="B332" s="94" t="s">
        <v>133</v>
      </c>
      <c r="C332" s="38">
        <v>1</v>
      </c>
      <c r="D332" s="25">
        <v>182</v>
      </c>
      <c r="E332" s="14"/>
      <c r="F332" s="14"/>
      <c r="G332" s="14"/>
      <c r="H332" s="14"/>
      <c r="I332" s="14"/>
      <c r="J332" s="14"/>
      <c r="K332" s="14"/>
      <c r="L332" s="14"/>
      <c r="M332" s="14"/>
      <c r="N332" s="14"/>
      <c r="O332" s="14"/>
      <c r="P332" s="14"/>
      <c r="Q332" s="14"/>
      <c r="R332" s="14"/>
      <c r="S332" s="14"/>
      <c r="T332" s="14"/>
      <c r="U332" s="13">
        <f t="shared" ref="U332:U346" si="19">SUM(D332:T332)</f>
        <v>182</v>
      </c>
      <c r="V332" s="25">
        <v>204.7</v>
      </c>
      <c r="W332" s="15">
        <f t="shared" si="18"/>
        <v>37255.4</v>
      </c>
    </row>
    <row r="333" spans="1:23" s="154" customFormat="1" ht="30" hidden="1" x14ac:dyDescent="0.25">
      <c r="A333" s="44">
        <v>52</v>
      </c>
      <c r="B333" s="94" t="s">
        <v>155</v>
      </c>
      <c r="C333" s="38">
        <v>1</v>
      </c>
      <c r="D333" s="25">
        <v>182</v>
      </c>
      <c r="E333" s="14"/>
      <c r="F333" s="14"/>
      <c r="G333" s="14"/>
      <c r="H333" s="14"/>
      <c r="I333" s="14"/>
      <c r="J333" s="14"/>
      <c r="K333" s="14"/>
      <c r="L333" s="14"/>
      <c r="M333" s="14"/>
      <c r="N333" s="14"/>
      <c r="O333" s="14"/>
      <c r="P333" s="14"/>
      <c r="Q333" s="14"/>
      <c r="R333" s="14"/>
      <c r="S333" s="14"/>
      <c r="T333" s="14"/>
      <c r="U333" s="13">
        <f t="shared" si="19"/>
        <v>182</v>
      </c>
      <c r="V333" s="25">
        <v>213.1</v>
      </c>
      <c r="W333" s="15">
        <f t="shared" si="18"/>
        <v>38784.199999999997</v>
      </c>
    </row>
    <row r="334" spans="1:23" s="154" customFormat="1" ht="135" hidden="1" x14ac:dyDescent="0.25">
      <c r="A334" s="44">
        <v>53</v>
      </c>
      <c r="B334" s="94" t="s">
        <v>163</v>
      </c>
      <c r="C334" s="37">
        <v>1</v>
      </c>
      <c r="D334" s="25">
        <v>91</v>
      </c>
      <c r="E334" s="14"/>
      <c r="F334" s="14"/>
      <c r="G334" s="14"/>
      <c r="H334" s="14"/>
      <c r="I334" s="14"/>
      <c r="J334" s="14"/>
      <c r="K334" s="14"/>
      <c r="L334" s="14"/>
      <c r="M334" s="14"/>
      <c r="N334" s="14"/>
      <c r="O334" s="14"/>
      <c r="P334" s="14"/>
      <c r="Q334" s="14"/>
      <c r="R334" s="14"/>
      <c r="S334" s="14"/>
      <c r="T334" s="14"/>
      <c r="U334" s="13">
        <f t="shared" si="19"/>
        <v>91</v>
      </c>
      <c r="V334" s="25">
        <v>24422.65</v>
      </c>
      <c r="W334" s="15">
        <f t="shared" si="18"/>
        <v>2222461.15</v>
      </c>
    </row>
    <row r="335" spans="1:23" s="154" customFormat="1" ht="90.75" hidden="1" x14ac:dyDescent="0.25">
      <c r="A335" s="44">
        <v>54</v>
      </c>
      <c r="B335" s="94" t="s">
        <v>184</v>
      </c>
      <c r="C335" s="37">
        <v>1</v>
      </c>
      <c r="D335" s="25">
        <v>91</v>
      </c>
      <c r="E335" s="14"/>
      <c r="F335" s="14"/>
      <c r="G335" s="14"/>
      <c r="H335" s="14"/>
      <c r="I335" s="14"/>
      <c r="J335" s="14"/>
      <c r="K335" s="14"/>
      <c r="L335" s="14"/>
      <c r="M335" s="14"/>
      <c r="N335" s="14"/>
      <c r="O335" s="14"/>
      <c r="P335" s="14"/>
      <c r="Q335" s="14"/>
      <c r="R335" s="14"/>
      <c r="S335" s="14"/>
      <c r="T335" s="14"/>
      <c r="U335" s="13">
        <f t="shared" si="19"/>
        <v>91</v>
      </c>
      <c r="V335" s="25">
        <v>5616.25</v>
      </c>
      <c r="W335" s="15">
        <f t="shared" si="18"/>
        <v>511078.75</v>
      </c>
    </row>
    <row r="336" spans="1:23" s="154" customFormat="1" ht="90.75" hidden="1" x14ac:dyDescent="0.25">
      <c r="A336" s="44">
        <v>55</v>
      </c>
      <c r="B336" s="94" t="s">
        <v>185</v>
      </c>
      <c r="C336" s="37">
        <v>1</v>
      </c>
      <c r="D336" s="25">
        <v>364</v>
      </c>
      <c r="E336" s="14"/>
      <c r="F336" s="14"/>
      <c r="G336" s="14"/>
      <c r="H336" s="14"/>
      <c r="I336" s="14"/>
      <c r="J336" s="14"/>
      <c r="K336" s="14"/>
      <c r="L336" s="14"/>
      <c r="M336" s="14"/>
      <c r="N336" s="14"/>
      <c r="O336" s="14"/>
      <c r="P336" s="14"/>
      <c r="Q336" s="14"/>
      <c r="R336" s="14"/>
      <c r="S336" s="14"/>
      <c r="T336" s="14"/>
      <c r="U336" s="13">
        <f t="shared" si="19"/>
        <v>364</v>
      </c>
      <c r="V336" s="25">
        <v>1453.75</v>
      </c>
      <c r="W336" s="15">
        <f t="shared" si="18"/>
        <v>529165</v>
      </c>
    </row>
    <row r="337" spans="1:24" s="154" customFormat="1" ht="30" hidden="1" x14ac:dyDescent="0.25">
      <c r="A337" s="44">
        <v>56</v>
      </c>
      <c r="B337" s="94" t="s">
        <v>323</v>
      </c>
      <c r="C337" s="38">
        <v>1</v>
      </c>
      <c r="D337" s="25">
        <v>91</v>
      </c>
      <c r="E337" s="14"/>
      <c r="F337" s="14"/>
      <c r="G337" s="14"/>
      <c r="H337" s="14"/>
      <c r="I337" s="14"/>
      <c r="J337" s="14"/>
      <c r="K337" s="14"/>
      <c r="L337" s="14"/>
      <c r="M337" s="14"/>
      <c r="N337" s="14"/>
      <c r="O337" s="14"/>
      <c r="P337" s="14"/>
      <c r="Q337" s="14"/>
      <c r="R337" s="14"/>
      <c r="S337" s="14"/>
      <c r="T337" s="14"/>
      <c r="U337" s="13">
        <f t="shared" si="19"/>
        <v>91</v>
      </c>
      <c r="V337" s="25">
        <v>83.75</v>
      </c>
      <c r="W337" s="15">
        <f t="shared" si="18"/>
        <v>7621.25</v>
      </c>
    </row>
    <row r="338" spans="1:24" s="154" customFormat="1" ht="60" hidden="1" x14ac:dyDescent="0.25">
      <c r="A338" s="44">
        <v>57</v>
      </c>
      <c r="B338" s="94" t="s">
        <v>324</v>
      </c>
      <c r="C338" s="38">
        <v>1</v>
      </c>
      <c r="D338" s="25">
        <v>91</v>
      </c>
      <c r="E338" s="14"/>
      <c r="F338" s="14"/>
      <c r="G338" s="14"/>
      <c r="H338" s="14"/>
      <c r="I338" s="14"/>
      <c r="J338" s="14"/>
      <c r="K338" s="14"/>
      <c r="L338" s="14"/>
      <c r="M338" s="14"/>
      <c r="N338" s="14"/>
      <c r="O338" s="14"/>
      <c r="P338" s="14"/>
      <c r="Q338" s="14"/>
      <c r="R338" s="14"/>
      <c r="S338" s="14"/>
      <c r="T338" s="14"/>
      <c r="U338" s="13">
        <f t="shared" si="19"/>
        <v>91</v>
      </c>
      <c r="V338" s="25">
        <v>10815.4</v>
      </c>
      <c r="W338" s="15">
        <f t="shared" si="18"/>
        <v>984201.4</v>
      </c>
    </row>
    <row r="339" spans="1:24" s="154" customFormat="1" ht="60" hidden="1" x14ac:dyDescent="0.25">
      <c r="A339" s="44">
        <v>58</v>
      </c>
      <c r="B339" s="94" t="s">
        <v>325</v>
      </c>
      <c r="C339" s="38">
        <v>1</v>
      </c>
      <c r="D339" s="25">
        <v>91</v>
      </c>
      <c r="E339" s="14"/>
      <c r="F339" s="14"/>
      <c r="G339" s="14"/>
      <c r="H339" s="14"/>
      <c r="I339" s="14"/>
      <c r="J339" s="14"/>
      <c r="K339" s="14"/>
      <c r="L339" s="14"/>
      <c r="M339" s="14"/>
      <c r="N339" s="14"/>
      <c r="O339" s="14"/>
      <c r="P339" s="14"/>
      <c r="Q339" s="14"/>
      <c r="R339" s="14"/>
      <c r="S339" s="14"/>
      <c r="T339" s="14"/>
      <c r="U339" s="13">
        <f t="shared" si="19"/>
        <v>91</v>
      </c>
      <c r="V339" s="25">
        <v>663.65</v>
      </c>
      <c r="W339" s="15">
        <f t="shared" si="18"/>
        <v>60392.15</v>
      </c>
    </row>
    <row r="340" spans="1:24" s="154" customFormat="1" ht="60" x14ac:dyDescent="0.25">
      <c r="A340" s="44">
        <v>59</v>
      </c>
      <c r="B340" s="94" t="s">
        <v>139</v>
      </c>
      <c r="C340" s="37">
        <v>1</v>
      </c>
      <c r="D340" s="25">
        <v>546</v>
      </c>
      <c r="E340" s="14"/>
      <c r="F340" s="14"/>
      <c r="G340" s="14"/>
      <c r="H340" s="14"/>
      <c r="I340" s="14"/>
      <c r="J340" s="14"/>
      <c r="K340" s="14"/>
      <c r="L340" s="14"/>
      <c r="M340" s="14"/>
      <c r="N340" s="14"/>
      <c r="O340" s="14"/>
      <c r="P340" s="14"/>
      <c r="Q340" s="14"/>
      <c r="R340" s="14"/>
      <c r="S340" s="14"/>
      <c r="T340" s="14"/>
      <c r="U340" s="13">
        <f t="shared" si="19"/>
        <v>546</v>
      </c>
      <c r="V340" s="25">
        <v>1995.3</v>
      </c>
      <c r="W340" s="15">
        <f t="shared" si="18"/>
        <v>1089433.8</v>
      </c>
    </row>
    <row r="341" spans="1:24" ht="60" hidden="1" x14ac:dyDescent="0.25">
      <c r="A341" s="44">
        <v>60</v>
      </c>
      <c r="B341" s="94" t="s">
        <v>326</v>
      </c>
      <c r="C341" s="38">
        <v>1</v>
      </c>
      <c r="D341" s="25">
        <v>91</v>
      </c>
      <c r="E341" s="14"/>
      <c r="F341" s="14"/>
      <c r="G341" s="14"/>
      <c r="H341" s="14"/>
      <c r="I341" s="14"/>
      <c r="J341" s="14"/>
      <c r="K341" s="14"/>
      <c r="L341" s="14"/>
      <c r="M341" s="14"/>
      <c r="N341" s="14"/>
      <c r="O341" s="14"/>
      <c r="P341" s="14"/>
      <c r="Q341" s="14"/>
      <c r="R341" s="14"/>
      <c r="S341" s="14"/>
      <c r="T341" s="14"/>
      <c r="U341" s="13">
        <f t="shared" si="19"/>
        <v>91</v>
      </c>
      <c r="V341" s="25">
        <v>99800</v>
      </c>
      <c r="W341" s="15">
        <f t="shared" si="18"/>
        <v>9081800</v>
      </c>
    </row>
    <row r="342" spans="1:24" ht="75.75" hidden="1" x14ac:dyDescent="0.25">
      <c r="A342" s="44">
        <v>61</v>
      </c>
      <c r="B342" s="94" t="s">
        <v>36</v>
      </c>
      <c r="C342" s="22"/>
      <c r="D342" s="22"/>
      <c r="E342" s="22"/>
      <c r="F342" s="22"/>
      <c r="G342" s="22"/>
      <c r="H342" s="22"/>
      <c r="I342" s="22"/>
      <c r="J342" s="22"/>
      <c r="K342" s="22"/>
      <c r="L342" s="22"/>
      <c r="M342" s="22"/>
      <c r="N342" s="22"/>
      <c r="O342" s="22"/>
      <c r="P342" s="22"/>
      <c r="Q342" s="22"/>
      <c r="R342" s="22"/>
      <c r="S342" s="22"/>
      <c r="T342" s="22"/>
      <c r="U342" s="13">
        <f t="shared" si="19"/>
        <v>0</v>
      </c>
      <c r="V342" s="22"/>
      <c r="W342" s="22"/>
    </row>
    <row r="343" spans="1:24" x14ac:dyDescent="0.25">
      <c r="A343" s="44" t="s">
        <v>60</v>
      </c>
      <c r="B343" s="94" t="s">
        <v>61</v>
      </c>
      <c r="C343" s="12">
        <v>100</v>
      </c>
      <c r="D343" s="25">
        <v>11086.966799999998</v>
      </c>
      <c r="E343" s="14"/>
      <c r="F343" s="14"/>
      <c r="G343" s="14"/>
      <c r="H343" s="14"/>
      <c r="I343" s="14"/>
      <c r="J343" s="14"/>
      <c r="K343" s="14"/>
      <c r="L343" s="14"/>
      <c r="M343" s="14"/>
      <c r="N343" s="14"/>
      <c r="O343" s="14"/>
      <c r="P343" s="14"/>
      <c r="Q343" s="14"/>
      <c r="R343" s="14"/>
      <c r="S343" s="14"/>
      <c r="T343" s="14"/>
      <c r="U343" s="13">
        <f t="shared" si="19"/>
        <v>11086.966799999998</v>
      </c>
      <c r="V343" s="13">
        <v>14042.6</v>
      </c>
      <c r="W343" s="15">
        <f t="shared" si="18"/>
        <v>1556898.3998567997</v>
      </c>
    </row>
    <row r="344" spans="1:24" x14ac:dyDescent="0.25">
      <c r="A344" s="44" t="s">
        <v>37</v>
      </c>
      <c r="B344" s="94" t="s">
        <v>38</v>
      </c>
      <c r="C344" s="12">
        <v>100</v>
      </c>
      <c r="D344" s="25">
        <v>1566.5650000000001</v>
      </c>
      <c r="E344" s="14"/>
      <c r="F344" s="14"/>
      <c r="G344" s="14"/>
      <c r="H344" s="14"/>
      <c r="I344" s="14"/>
      <c r="J344" s="14"/>
      <c r="K344" s="14"/>
      <c r="L344" s="14"/>
      <c r="M344" s="14"/>
      <c r="N344" s="14"/>
      <c r="O344" s="14"/>
      <c r="P344" s="14"/>
      <c r="Q344" s="14"/>
      <c r="R344" s="14"/>
      <c r="S344" s="14"/>
      <c r="T344" s="14"/>
      <c r="U344" s="13">
        <f t="shared" si="19"/>
        <v>1566.5650000000001</v>
      </c>
      <c r="V344" s="13">
        <v>14042.6</v>
      </c>
      <c r="W344" s="15">
        <f t="shared" si="18"/>
        <v>219986.45668999999</v>
      </c>
    </row>
    <row r="345" spans="1:24" x14ac:dyDescent="0.25">
      <c r="A345" s="44" t="s">
        <v>63</v>
      </c>
      <c r="B345" s="94" t="s">
        <v>141</v>
      </c>
      <c r="C345" s="12">
        <v>100</v>
      </c>
      <c r="D345" s="25">
        <v>19117.498399999997</v>
      </c>
      <c r="E345" s="14"/>
      <c r="F345" s="14"/>
      <c r="G345" s="14"/>
      <c r="H345" s="14"/>
      <c r="I345" s="14"/>
      <c r="J345" s="14"/>
      <c r="K345" s="14"/>
      <c r="L345" s="14"/>
      <c r="M345" s="14"/>
      <c r="N345" s="14"/>
      <c r="O345" s="14"/>
      <c r="P345" s="14"/>
      <c r="Q345" s="14"/>
      <c r="R345" s="14"/>
      <c r="S345" s="14"/>
      <c r="T345" s="14"/>
      <c r="U345" s="13">
        <f t="shared" si="19"/>
        <v>19117.498399999997</v>
      </c>
      <c r="V345" s="13">
        <v>14042.6</v>
      </c>
      <c r="W345" s="15">
        <f t="shared" si="18"/>
        <v>2684593.8303183997</v>
      </c>
    </row>
    <row r="346" spans="1:24" x14ac:dyDescent="0.25">
      <c r="A346" s="44" t="s">
        <v>142</v>
      </c>
      <c r="B346" s="94" t="s">
        <v>143</v>
      </c>
      <c r="C346" s="12">
        <v>100</v>
      </c>
      <c r="D346" s="25">
        <v>971.75203124999996</v>
      </c>
      <c r="E346" s="14"/>
      <c r="F346" s="14"/>
      <c r="G346" s="14"/>
      <c r="H346" s="14"/>
      <c r="I346" s="14"/>
      <c r="J346" s="14"/>
      <c r="K346" s="14"/>
      <c r="L346" s="14"/>
      <c r="M346" s="14"/>
      <c r="N346" s="14"/>
      <c r="O346" s="14"/>
      <c r="P346" s="14"/>
      <c r="Q346" s="14"/>
      <c r="R346" s="14"/>
      <c r="S346" s="14"/>
      <c r="T346" s="14"/>
      <c r="U346" s="13">
        <f t="shared" si="19"/>
        <v>971.75203124999996</v>
      </c>
      <c r="V346" s="13">
        <v>14042.6</v>
      </c>
      <c r="W346" s="15">
        <f t="shared" si="18"/>
        <v>136459.25074031251</v>
      </c>
      <c r="X346" s="186">
        <f>SUM(W269:W346)</f>
        <v>142723568.51521638</v>
      </c>
    </row>
    <row r="347" spans="1:24" s="155" customFormat="1" ht="22.5" hidden="1" x14ac:dyDescent="0.25">
      <c r="A347" s="198">
        <v>12</v>
      </c>
      <c r="B347" s="198" t="s">
        <v>405</v>
      </c>
      <c r="C347" s="406"/>
      <c r="D347" s="406"/>
      <c r="E347" s="406"/>
      <c r="F347" s="406"/>
      <c r="G347" s="406"/>
      <c r="H347" s="406"/>
      <c r="I347" s="406"/>
      <c r="J347" s="406"/>
      <c r="K347" s="406"/>
      <c r="L347" s="406"/>
      <c r="M347" s="406"/>
      <c r="N347" s="406"/>
      <c r="O347" s="406"/>
      <c r="P347" s="406"/>
      <c r="Q347" s="406"/>
      <c r="R347" s="406"/>
      <c r="S347" s="406"/>
      <c r="T347" s="406"/>
      <c r="U347" s="406"/>
      <c r="V347" s="406"/>
      <c r="W347" s="406"/>
    </row>
    <row r="348" spans="1:24" s="155" customFormat="1" hidden="1" x14ac:dyDescent="0.25">
      <c r="A348" s="123">
        <v>1</v>
      </c>
      <c r="B348" s="138" t="s">
        <v>210</v>
      </c>
      <c r="C348" s="106">
        <v>1</v>
      </c>
      <c r="D348" s="4">
        <v>25</v>
      </c>
      <c r="E348" s="5"/>
      <c r="F348" s="5"/>
      <c r="G348" s="5"/>
      <c r="H348" s="5"/>
      <c r="I348" s="5"/>
      <c r="J348" s="5"/>
      <c r="K348" s="5"/>
      <c r="L348" s="5"/>
      <c r="M348" s="5"/>
      <c r="N348" s="5"/>
      <c r="O348" s="5"/>
      <c r="P348" s="5"/>
      <c r="Q348" s="5"/>
      <c r="R348" s="5"/>
      <c r="S348" s="5"/>
      <c r="T348" s="5"/>
      <c r="U348" s="13">
        <f t="shared" ref="U348:U402" si="20">SUM(D348:T348)</f>
        <v>25</v>
      </c>
      <c r="V348" s="5">
        <v>71344</v>
      </c>
      <c r="W348" s="105">
        <f>V348*U348/C348</f>
        <v>1783600</v>
      </c>
    </row>
    <row r="349" spans="1:24" s="155" customFormat="1" hidden="1" x14ac:dyDescent="0.25">
      <c r="A349" s="123">
        <v>2</v>
      </c>
      <c r="B349" s="138" t="s">
        <v>211</v>
      </c>
      <c r="C349" s="106">
        <v>1</v>
      </c>
      <c r="D349" s="4">
        <v>700</v>
      </c>
      <c r="E349" s="5"/>
      <c r="F349" s="5"/>
      <c r="G349" s="5"/>
      <c r="H349" s="5"/>
      <c r="I349" s="5"/>
      <c r="J349" s="5"/>
      <c r="K349" s="5"/>
      <c r="L349" s="5"/>
      <c r="M349" s="5"/>
      <c r="N349" s="5"/>
      <c r="O349" s="5"/>
      <c r="P349" s="5"/>
      <c r="Q349" s="5"/>
      <c r="R349" s="5"/>
      <c r="S349" s="5"/>
      <c r="T349" s="5"/>
      <c r="U349" s="13">
        <f t="shared" si="20"/>
        <v>700</v>
      </c>
      <c r="V349" s="5">
        <v>71680</v>
      </c>
      <c r="W349" s="15">
        <f t="shared" si="18"/>
        <v>50176000</v>
      </c>
    </row>
    <row r="350" spans="1:24" s="155" customFormat="1" hidden="1" x14ac:dyDescent="0.25">
      <c r="A350" s="123">
        <v>3</v>
      </c>
      <c r="B350" s="138" t="s">
        <v>212</v>
      </c>
      <c r="C350" s="106">
        <v>1</v>
      </c>
      <c r="D350" s="4">
        <v>700</v>
      </c>
      <c r="E350" s="5"/>
      <c r="F350" s="5"/>
      <c r="G350" s="5"/>
      <c r="H350" s="5"/>
      <c r="I350" s="5"/>
      <c r="J350" s="5"/>
      <c r="K350" s="5"/>
      <c r="L350" s="5"/>
      <c r="M350" s="5"/>
      <c r="N350" s="5"/>
      <c r="O350" s="5"/>
      <c r="P350" s="5"/>
      <c r="Q350" s="5"/>
      <c r="R350" s="5"/>
      <c r="S350" s="5"/>
      <c r="T350" s="5"/>
      <c r="U350" s="13">
        <f>700+120</f>
        <v>820</v>
      </c>
      <c r="V350" s="5">
        <v>5488</v>
      </c>
      <c r="W350" s="15">
        <f t="shared" si="18"/>
        <v>4500160</v>
      </c>
    </row>
    <row r="351" spans="1:24" s="155" customFormat="1" hidden="1" x14ac:dyDescent="0.25">
      <c r="A351" s="123">
        <v>4</v>
      </c>
      <c r="B351" s="138" t="s">
        <v>213</v>
      </c>
      <c r="C351" s="106">
        <v>1</v>
      </c>
      <c r="D351" s="4">
        <v>1000</v>
      </c>
      <c r="E351" s="5"/>
      <c r="F351" s="5"/>
      <c r="G351" s="5"/>
      <c r="H351" s="5"/>
      <c r="I351" s="5"/>
      <c r="J351" s="5"/>
      <c r="K351" s="5"/>
      <c r="L351" s="5"/>
      <c r="M351" s="5"/>
      <c r="N351" s="5"/>
      <c r="O351" s="5"/>
      <c r="P351" s="5"/>
      <c r="Q351" s="5"/>
      <c r="R351" s="5"/>
      <c r="S351" s="5"/>
      <c r="T351" s="5"/>
      <c r="U351" s="13">
        <v>1760</v>
      </c>
      <c r="V351" s="5">
        <v>8333</v>
      </c>
      <c r="W351" s="15">
        <f t="shared" si="18"/>
        <v>14666080</v>
      </c>
    </row>
    <row r="352" spans="1:24" s="155" customFormat="1" hidden="1" x14ac:dyDescent="0.25">
      <c r="A352" s="123">
        <v>5</v>
      </c>
      <c r="B352" s="138" t="s">
        <v>214</v>
      </c>
      <c r="C352" s="106">
        <v>1</v>
      </c>
      <c r="D352" s="4">
        <v>1500</v>
      </c>
      <c r="E352" s="5"/>
      <c r="F352" s="5"/>
      <c r="G352" s="5"/>
      <c r="H352" s="5"/>
      <c r="I352" s="5"/>
      <c r="J352" s="5"/>
      <c r="K352" s="5"/>
      <c r="L352" s="5"/>
      <c r="M352" s="5"/>
      <c r="N352" s="5"/>
      <c r="O352" s="5"/>
      <c r="P352" s="5"/>
      <c r="Q352" s="5"/>
      <c r="R352" s="5"/>
      <c r="S352" s="5"/>
      <c r="T352" s="5"/>
      <c r="U352" s="13">
        <f t="shared" si="20"/>
        <v>1500</v>
      </c>
      <c r="V352" s="5">
        <v>4250</v>
      </c>
      <c r="W352" s="15">
        <f t="shared" si="18"/>
        <v>6375000</v>
      </c>
    </row>
    <row r="353" spans="1:24" s="155" customFormat="1" hidden="1" x14ac:dyDescent="0.25">
      <c r="A353" s="123">
        <v>6</v>
      </c>
      <c r="B353" s="138" t="s">
        <v>215</v>
      </c>
      <c r="C353" s="106">
        <v>1</v>
      </c>
      <c r="D353" s="4">
        <v>1200</v>
      </c>
      <c r="E353" s="5"/>
      <c r="F353" s="5"/>
      <c r="G353" s="5"/>
      <c r="H353" s="5"/>
      <c r="I353" s="5"/>
      <c r="J353" s="5"/>
      <c r="K353" s="5"/>
      <c r="L353" s="5"/>
      <c r="M353" s="5"/>
      <c r="N353" s="5"/>
      <c r="O353" s="5"/>
      <c r="P353" s="5"/>
      <c r="Q353" s="5"/>
      <c r="R353" s="5"/>
      <c r="S353" s="5"/>
      <c r="T353" s="5"/>
      <c r="U353" s="13">
        <f t="shared" si="20"/>
        <v>1200</v>
      </c>
      <c r="V353" s="5">
        <v>609</v>
      </c>
      <c r="W353" s="15">
        <f t="shared" si="18"/>
        <v>730800</v>
      </c>
    </row>
    <row r="354" spans="1:24" s="155" customFormat="1" hidden="1" x14ac:dyDescent="0.25">
      <c r="A354" s="123">
        <v>7</v>
      </c>
      <c r="B354" s="138" t="s">
        <v>216</v>
      </c>
      <c r="C354" s="106">
        <v>1</v>
      </c>
      <c r="D354" s="4">
        <v>250</v>
      </c>
      <c r="E354" s="5"/>
      <c r="F354" s="5"/>
      <c r="G354" s="5"/>
      <c r="H354" s="5"/>
      <c r="I354" s="5"/>
      <c r="J354" s="5"/>
      <c r="K354" s="5"/>
      <c r="L354" s="5"/>
      <c r="M354" s="5"/>
      <c r="N354" s="5"/>
      <c r="O354" s="5"/>
      <c r="P354" s="5"/>
      <c r="Q354" s="5"/>
      <c r="R354" s="5"/>
      <c r="S354" s="5"/>
      <c r="T354" s="5"/>
      <c r="U354" s="13">
        <f>2100+250</f>
        <v>2350</v>
      </c>
      <c r="V354" s="5">
        <v>1797</v>
      </c>
      <c r="W354" s="15">
        <f t="shared" si="18"/>
        <v>4222950</v>
      </c>
    </row>
    <row r="355" spans="1:24" s="155" customFormat="1" hidden="1" x14ac:dyDescent="0.25">
      <c r="A355" s="123">
        <v>8</v>
      </c>
      <c r="B355" s="138" t="s">
        <v>217</v>
      </c>
      <c r="C355" s="106">
        <v>1</v>
      </c>
      <c r="D355" s="4">
        <v>1000</v>
      </c>
      <c r="E355" s="5"/>
      <c r="F355" s="5"/>
      <c r="G355" s="5"/>
      <c r="H355" s="5"/>
      <c r="I355" s="5"/>
      <c r="J355" s="5"/>
      <c r="K355" s="5"/>
      <c r="L355" s="5"/>
      <c r="M355" s="5"/>
      <c r="N355" s="5"/>
      <c r="O355" s="5"/>
      <c r="P355" s="5"/>
      <c r="Q355" s="5"/>
      <c r="R355" s="5"/>
      <c r="S355" s="5"/>
      <c r="T355" s="5"/>
      <c r="U355" s="13">
        <f t="shared" si="20"/>
        <v>1000</v>
      </c>
      <c r="V355" s="5">
        <v>599</v>
      </c>
      <c r="W355" s="15">
        <f t="shared" si="18"/>
        <v>599000</v>
      </c>
    </row>
    <row r="356" spans="1:24" s="155" customFormat="1" hidden="1" x14ac:dyDescent="0.25">
      <c r="A356" s="123">
        <v>9</v>
      </c>
      <c r="B356" s="138" t="s">
        <v>218</v>
      </c>
      <c r="C356" s="106">
        <v>1</v>
      </c>
      <c r="D356" s="4">
        <v>700</v>
      </c>
      <c r="E356" s="5"/>
      <c r="F356" s="5"/>
      <c r="G356" s="5"/>
      <c r="H356" s="5"/>
      <c r="I356" s="5"/>
      <c r="J356" s="5"/>
      <c r="K356" s="5"/>
      <c r="L356" s="5"/>
      <c r="M356" s="5"/>
      <c r="N356" s="5"/>
      <c r="O356" s="5"/>
      <c r="P356" s="5"/>
      <c r="Q356" s="5"/>
      <c r="R356" s="5"/>
      <c r="S356" s="5"/>
      <c r="T356" s="5"/>
      <c r="U356" s="13">
        <f t="shared" si="20"/>
        <v>700</v>
      </c>
      <c r="V356" s="5">
        <v>358</v>
      </c>
      <c r="W356" s="15">
        <f t="shared" si="18"/>
        <v>250600</v>
      </c>
    </row>
    <row r="357" spans="1:24" s="155" customFormat="1" hidden="1" x14ac:dyDescent="0.25">
      <c r="A357" s="123">
        <v>10</v>
      </c>
      <c r="B357" s="138" t="s">
        <v>219</v>
      </c>
      <c r="C357" s="106">
        <v>1</v>
      </c>
      <c r="D357" s="4">
        <v>500</v>
      </c>
      <c r="E357" s="5"/>
      <c r="F357" s="5"/>
      <c r="G357" s="5"/>
      <c r="H357" s="5"/>
      <c r="I357" s="5"/>
      <c r="J357" s="5"/>
      <c r="K357" s="5"/>
      <c r="L357" s="5"/>
      <c r="M357" s="5"/>
      <c r="N357" s="5"/>
      <c r="O357" s="5"/>
      <c r="P357" s="5"/>
      <c r="Q357" s="5"/>
      <c r="R357" s="5"/>
      <c r="S357" s="5"/>
      <c r="T357" s="5"/>
      <c r="U357" s="13">
        <f t="shared" si="20"/>
        <v>500</v>
      </c>
      <c r="V357" s="5">
        <v>208</v>
      </c>
      <c r="W357" s="15">
        <f t="shared" si="18"/>
        <v>104000</v>
      </c>
    </row>
    <row r="358" spans="1:24" s="155" customFormat="1" hidden="1" x14ac:dyDescent="0.25">
      <c r="A358" s="123">
        <v>11</v>
      </c>
      <c r="B358" s="138" t="s">
        <v>220</v>
      </c>
      <c r="C358" s="106">
        <v>1</v>
      </c>
      <c r="D358" s="4">
        <v>500</v>
      </c>
      <c r="E358" s="5"/>
      <c r="F358" s="5"/>
      <c r="G358" s="5"/>
      <c r="H358" s="5"/>
      <c r="I358" s="5"/>
      <c r="J358" s="5"/>
      <c r="K358" s="5"/>
      <c r="L358" s="5"/>
      <c r="M358" s="5"/>
      <c r="N358" s="5"/>
      <c r="O358" s="5"/>
      <c r="P358" s="5"/>
      <c r="Q358" s="5"/>
      <c r="R358" s="5"/>
      <c r="S358" s="5"/>
      <c r="T358" s="5"/>
      <c r="U358" s="13">
        <f t="shared" si="20"/>
        <v>500</v>
      </c>
      <c r="V358" s="5">
        <v>184</v>
      </c>
      <c r="W358" s="15">
        <f t="shared" si="18"/>
        <v>92000</v>
      </c>
    </row>
    <row r="359" spans="1:24" s="155" customFormat="1" hidden="1" x14ac:dyDescent="0.25">
      <c r="A359" s="123">
        <v>12</v>
      </c>
      <c r="B359" s="138" t="s">
        <v>221</v>
      </c>
      <c r="C359" s="106">
        <v>1</v>
      </c>
      <c r="D359" s="4">
        <v>200</v>
      </c>
      <c r="E359" s="5"/>
      <c r="F359" s="5"/>
      <c r="G359" s="5"/>
      <c r="H359" s="5"/>
      <c r="I359" s="5"/>
      <c r="J359" s="5"/>
      <c r="K359" s="5"/>
      <c r="L359" s="5"/>
      <c r="M359" s="5"/>
      <c r="N359" s="5"/>
      <c r="O359" s="5"/>
      <c r="P359" s="5"/>
      <c r="Q359" s="5"/>
      <c r="R359" s="5"/>
      <c r="S359" s="5"/>
      <c r="T359" s="5"/>
      <c r="U359" s="13">
        <f t="shared" si="20"/>
        <v>200</v>
      </c>
      <c r="V359" s="5">
        <v>49</v>
      </c>
      <c r="W359" s="15">
        <f t="shared" si="18"/>
        <v>9800</v>
      </c>
    </row>
    <row r="360" spans="1:24" s="155" customFormat="1" hidden="1" x14ac:dyDescent="0.25">
      <c r="A360" s="123">
        <v>13</v>
      </c>
      <c r="B360" s="138" t="s">
        <v>222</v>
      </c>
      <c r="C360" s="106">
        <v>1</v>
      </c>
      <c r="D360" s="4">
        <v>150</v>
      </c>
      <c r="E360" s="5"/>
      <c r="F360" s="5"/>
      <c r="G360" s="5"/>
      <c r="H360" s="5"/>
      <c r="I360" s="5"/>
      <c r="J360" s="5"/>
      <c r="K360" s="5"/>
      <c r="L360" s="5"/>
      <c r="M360" s="5"/>
      <c r="N360" s="5"/>
      <c r="O360" s="5"/>
      <c r="P360" s="5"/>
      <c r="Q360" s="5"/>
      <c r="R360" s="5"/>
      <c r="S360" s="5"/>
      <c r="T360" s="5"/>
      <c r="U360" s="13">
        <f t="shared" si="20"/>
        <v>150</v>
      </c>
      <c r="V360" s="5">
        <v>3935</v>
      </c>
      <c r="W360" s="15">
        <f t="shared" si="18"/>
        <v>590250</v>
      </c>
    </row>
    <row r="361" spans="1:24" s="155" customFormat="1" hidden="1" x14ac:dyDescent="0.25">
      <c r="A361" s="123">
        <v>14</v>
      </c>
      <c r="B361" s="138" t="s">
        <v>223</v>
      </c>
      <c r="C361" s="107">
        <v>1</v>
      </c>
      <c r="D361" s="4">
        <v>1200</v>
      </c>
      <c r="E361" s="5"/>
      <c r="F361" s="5"/>
      <c r="G361" s="5"/>
      <c r="H361" s="5"/>
      <c r="I361" s="5"/>
      <c r="J361" s="5"/>
      <c r="K361" s="5"/>
      <c r="L361" s="5"/>
      <c r="M361" s="5"/>
      <c r="N361" s="5"/>
      <c r="O361" s="5"/>
      <c r="P361" s="5"/>
      <c r="Q361" s="5"/>
      <c r="R361" s="5"/>
      <c r="S361" s="5"/>
      <c r="T361" s="5"/>
      <c r="U361" s="13">
        <f>1200+670</f>
        <v>1870</v>
      </c>
      <c r="V361" s="5">
        <v>399</v>
      </c>
      <c r="W361" s="15">
        <f t="shared" si="18"/>
        <v>746130</v>
      </c>
    </row>
    <row r="362" spans="1:24" s="155" customFormat="1" hidden="1" x14ac:dyDescent="0.25">
      <c r="A362" s="123">
        <v>15</v>
      </c>
      <c r="B362" s="138" t="s">
        <v>224</v>
      </c>
      <c r="C362" s="106">
        <v>1</v>
      </c>
      <c r="D362" s="4">
        <v>55000</v>
      </c>
      <c r="E362" s="5"/>
      <c r="F362" s="5"/>
      <c r="G362" s="5"/>
      <c r="H362" s="5"/>
      <c r="I362" s="5"/>
      <c r="J362" s="5"/>
      <c r="K362" s="5"/>
      <c r="L362" s="5"/>
      <c r="M362" s="5"/>
      <c r="N362" s="5"/>
      <c r="O362" s="5"/>
      <c r="P362" s="5"/>
      <c r="Q362" s="5"/>
      <c r="R362" s="5"/>
      <c r="S362" s="5"/>
      <c r="T362" s="5"/>
      <c r="U362" s="13">
        <f>55000+3200</f>
        <v>58200</v>
      </c>
      <c r="V362" s="5">
        <v>246</v>
      </c>
      <c r="W362" s="15">
        <f t="shared" si="18"/>
        <v>14317200</v>
      </c>
      <c r="X362" s="155">
        <f>SUM(W348:W362)</f>
        <v>99163570</v>
      </c>
    </row>
    <row r="363" spans="1:24" s="155" customFormat="1" hidden="1" x14ac:dyDescent="0.25">
      <c r="A363" s="123">
        <v>16</v>
      </c>
      <c r="B363" s="138" t="s">
        <v>225</v>
      </c>
      <c r="C363" s="106">
        <v>1</v>
      </c>
      <c r="D363" s="4">
        <v>2</v>
      </c>
      <c r="E363" s="5"/>
      <c r="F363" s="5"/>
      <c r="G363" s="5"/>
      <c r="H363" s="5"/>
      <c r="I363" s="5"/>
      <c r="J363" s="5"/>
      <c r="K363" s="5"/>
      <c r="L363" s="5"/>
      <c r="M363" s="5"/>
      <c r="N363" s="5"/>
      <c r="O363" s="5"/>
      <c r="P363" s="5"/>
      <c r="Q363" s="5"/>
      <c r="R363" s="5"/>
      <c r="S363" s="5"/>
      <c r="T363" s="5"/>
      <c r="U363" s="13">
        <f t="shared" si="20"/>
        <v>2</v>
      </c>
      <c r="V363" s="5">
        <v>2189000</v>
      </c>
      <c r="W363" s="15">
        <f t="shared" si="18"/>
        <v>4378000</v>
      </c>
      <c r="X363" s="188">
        <f>SUM(W363:W375)</f>
        <v>40158955</v>
      </c>
    </row>
    <row r="364" spans="1:24" s="155" customFormat="1" hidden="1" x14ac:dyDescent="0.25">
      <c r="A364" s="123">
        <v>17</v>
      </c>
      <c r="B364" s="138" t="s">
        <v>226</v>
      </c>
      <c r="C364" s="106">
        <v>1</v>
      </c>
      <c r="D364" s="4">
        <v>5</v>
      </c>
      <c r="E364" s="5"/>
      <c r="F364" s="5"/>
      <c r="G364" s="5"/>
      <c r="H364" s="5"/>
      <c r="I364" s="5"/>
      <c r="J364" s="5"/>
      <c r="K364" s="5"/>
      <c r="L364" s="5"/>
      <c r="M364" s="5"/>
      <c r="N364" s="5"/>
      <c r="O364" s="5"/>
      <c r="P364" s="5"/>
      <c r="Q364" s="5"/>
      <c r="R364" s="5"/>
      <c r="S364" s="5"/>
      <c r="T364" s="5"/>
      <c r="U364" s="13">
        <f t="shared" si="20"/>
        <v>5</v>
      </c>
      <c r="V364" s="5">
        <v>506760</v>
      </c>
      <c r="W364" s="15">
        <f t="shared" si="18"/>
        <v>2533800</v>
      </c>
    </row>
    <row r="365" spans="1:24" s="155" customFormat="1" hidden="1" x14ac:dyDescent="0.25">
      <c r="A365" s="123">
        <v>18</v>
      </c>
      <c r="B365" s="138" t="s">
        <v>227</v>
      </c>
      <c r="C365" s="106">
        <v>1</v>
      </c>
      <c r="D365" s="4">
        <v>5</v>
      </c>
      <c r="E365" s="5"/>
      <c r="F365" s="5"/>
      <c r="G365" s="5"/>
      <c r="H365" s="5"/>
      <c r="I365" s="5"/>
      <c r="J365" s="5"/>
      <c r="K365" s="5"/>
      <c r="L365" s="5"/>
      <c r="M365" s="5"/>
      <c r="N365" s="5"/>
      <c r="O365" s="5"/>
      <c r="P365" s="5"/>
      <c r="Q365" s="5"/>
      <c r="R365" s="5"/>
      <c r="S365" s="5"/>
      <c r="T365" s="5"/>
      <c r="U365" s="13">
        <f t="shared" si="20"/>
        <v>5</v>
      </c>
      <c r="V365" s="5">
        <v>400567</v>
      </c>
      <c r="W365" s="15">
        <f t="shared" si="18"/>
        <v>2002835</v>
      </c>
    </row>
    <row r="366" spans="1:24" s="155" customFormat="1" hidden="1" x14ac:dyDescent="0.25">
      <c r="A366" s="123">
        <v>19</v>
      </c>
      <c r="B366" s="138" t="s">
        <v>228</v>
      </c>
      <c r="C366" s="106">
        <v>1</v>
      </c>
      <c r="D366" s="4">
        <v>40</v>
      </c>
      <c r="E366" s="5"/>
      <c r="F366" s="5"/>
      <c r="G366" s="5"/>
      <c r="H366" s="5"/>
      <c r="I366" s="5"/>
      <c r="J366" s="5"/>
      <c r="K366" s="5"/>
      <c r="L366" s="5"/>
      <c r="M366" s="5"/>
      <c r="N366" s="5"/>
      <c r="O366" s="5"/>
      <c r="P366" s="5"/>
      <c r="Q366" s="5"/>
      <c r="R366" s="5"/>
      <c r="S366" s="5"/>
      <c r="T366" s="5"/>
      <c r="U366" s="13">
        <f t="shared" si="20"/>
        <v>40</v>
      </c>
      <c r="V366" s="5">
        <v>286340</v>
      </c>
      <c r="W366" s="15">
        <f t="shared" si="18"/>
        <v>11453600</v>
      </c>
    </row>
    <row r="367" spans="1:24" s="155" customFormat="1" hidden="1" x14ac:dyDescent="0.25">
      <c r="A367" s="123">
        <v>23</v>
      </c>
      <c r="B367" s="138" t="s">
        <v>229</v>
      </c>
      <c r="C367" s="106">
        <v>1</v>
      </c>
      <c r="D367" s="4">
        <v>60</v>
      </c>
      <c r="E367" s="5"/>
      <c r="F367" s="5"/>
      <c r="G367" s="5"/>
      <c r="H367" s="5"/>
      <c r="I367" s="5"/>
      <c r="J367" s="5"/>
      <c r="K367" s="5"/>
      <c r="L367" s="5"/>
      <c r="M367" s="5"/>
      <c r="N367" s="5"/>
      <c r="O367" s="5"/>
      <c r="P367" s="5"/>
      <c r="Q367" s="5"/>
      <c r="R367" s="5"/>
      <c r="S367" s="5"/>
      <c r="T367" s="5"/>
      <c r="U367" s="13">
        <f t="shared" si="20"/>
        <v>60</v>
      </c>
      <c r="V367" s="5">
        <v>24290</v>
      </c>
      <c r="W367" s="15">
        <f t="shared" si="18"/>
        <v>1457400</v>
      </c>
    </row>
    <row r="368" spans="1:24" s="155" customFormat="1" hidden="1" x14ac:dyDescent="0.25">
      <c r="A368" s="123">
        <v>25</v>
      </c>
      <c r="B368" s="138" t="s">
        <v>230</v>
      </c>
      <c r="C368" s="106">
        <v>1</v>
      </c>
      <c r="D368" s="4">
        <v>500</v>
      </c>
      <c r="E368" s="5"/>
      <c r="F368" s="5"/>
      <c r="G368" s="5"/>
      <c r="H368" s="5"/>
      <c r="I368" s="5"/>
      <c r="J368" s="5"/>
      <c r="K368" s="5"/>
      <c r="L368" s="5"/>
      <c r="M368" s="5"/>
      <c r="N368" s="5"/>
      <c r="O368" s="5"/>
      <c r="P368" s="5"/>
      <c r="Q368" s="5"/>
      <c r="R368" s="5"/>
      <c r="S368" s="5"/>
      <c r="T368" s="5"/>
      <c r="U368" s="13">
        <f t="shared" si="20"/>
        <v>500</v>
      </c>
      <c r="V368" s="5">
        <v>198</v>
      </c>
      <c r="W368" s="15">
        <f t="shared" si="18"/>
        <v>99000</v>
      </c>
    </row>
    <row r="369" spans="1:23" s="155" customFormat="1" hidden="1" x14ac:dyDescent="0.25">
      <c r="A369" s="123">
        <v>26</v>
      </c>
      <c r="B369" s="138" t="s">
        <v>231</v>
      </c>
      <c r="C369" s="106">
        <v>1</v>
      </c>
      <c r="D369" s="4">
        <v>150</v>
      </c>
      <c r="E369" s="5"/>
      <c r="F369" s="5"/>
      <c r="G369" s="5"/>
      <c r="H369" s="5"/>
      <c r="I369" s="5"/>
      <c r="J369" s="5"/>
      <c r="K369" s="5"/>
      <c r="L369" s="5"/>
      <c r="M369" s="5"/>
      <c r="N369" s="5"/>
      <c r="O369" s="5"/>
      <c r="P369" s="5"/>
      <c r="Q369" s="5"/>
      <c r="R369" s="5"/>
      <c r="S369" s="5"/>
      <c r="T369" s="5"/>
      <c r="U369" s="13">
        <f t="shared" si="20"/>
        <v>150</v>
      </c>
      <c r="V369" s="5">
        <v>18250</v>
      </c>
      <c r="W369" s="15">
        <f t="shared" si="18"/>
        <v>2737500</v>
      </c>
    </row>
    <row r="370" spans="1:23" s="155" customFormat="1" hidden="1" x14ac:dyDescent="0.25">
      <c r="A370" s="123">
        <v>27</v>
      </c>
      <c r="B370" s="138" t="s">
        <v>232</v>
      </c>
      <c r="C370" s="106">
        <v>1</v>
      </c>
      <c r="D370" s="4">
        <v>50</v>
      </c>
      <c r="E370" s="5"/>
      <c r="F370" s="5"/>
      <c r="G370" s="5"/>
      <c r="H370" s="5"/>
      <c r="I370" s="5"/>
      <c r="J370" s="5"/>
      <c r="K370" s="5"/>
      <c r="L370" s="5"/>
      <c r="M370" s="5"/>
      <c r="N370" s="5"/>
      <c r="O370" s="5"/>
      <c r="P370" s="5"/>
      <c r="Q370" s="5"/>
      <c r="R370" s="5"/>
      <c r="S370" s="5"/>
      <c r="T370" s="5"/>
      <c r="U370" s="13">
        <f t="shared" si="20"/>
        <v>50</v>
      </c>
      <c r="V370" s="5">
        <v>4770</v>
      </c>
      <c r="W370" s="15">
        <f t="shared" si="18"/>
        <v>238500</v>
      </c>
    </row>
    <row r="371" spans="1:23" s="155" customFormat="1" hidden="1" x14ac:dyDescent="0.25">
      <c r="A371" s="123">
        <v>28</v>
      </c>
      <c r="B371" s="138" t="s">
        <v>233</v>
      </c>
      <c r="C371" s="106">
        <v>1</v>
      </c>
      <c r="D371" s="4">
        <v>50</v>
      </c>
      <c r="E371" s="5"/>
      <c r="F371" s="5"/>
      <c r="G371" s="5"/>
      <c r="H371" s="5"/>
      <c r="I371" s="5"/>
      <c r="J371" s="5"/>
      <c r="K371" s="5"/>
      <c r="L371" s="5"/>
      <c r="M371" s="5"/>
      <c r="N371" s="5"/>
      <c r="O371" s="5"/>
      <c r="P371" s="5"/>
      <c r="Q371" s="5"/>
      <c r="R371" s="5"/>
      <c r="S371" s="5"/>
      <c r="T371" s="5"/>
      <c r="U371" s="13">
        <f t="shared" si="20"/>
        <v>50</v>
      </c>
      <c r="V371" s="5">
        <v>10900</v>
      </c>
      <c r="W371" s="15">
        <f t="shared" si="18"/>
        <v>545000</v>
      </c>
    </row>
    <row r="372" spans="1:23" s="155" customFormat="1" hidden="1" x14ac:dyDescent="0.25">
      <c r="A372" s="123">
        <v>29</v>
      </c>
      <c r="B372" s="138" t="s">
        <v>234</v>
      </c>
      <c r="C372" s="106">
        <v>1</v>
      </c>
      <c r="D372" s="4">
        <v>500</v>
      </c>
      <c r="E372" s="5"/>
      <c r="F372" s="5"/>
      <c r="G372" s="5"/>
      <c r="H372" s="5"/>
      <c r="I372" s="5"/>
      <c r="J372" s="5"/>
      <c r="K372" s="5"/>
      <c r="L372" s="5"/>
      <c r="M372" s="5"/>
      <c r="N372" s="5"/>
      <c r="O372" s="5"/>
      <c r="P372" s="5"/>
      <c r="Q372" s="5"/>
      <c r="R372" s="5"/>
      <c r="S372" s="5"/>
      <c r="T372" s="5"/>
      <c r="U372" s="13">
        <f t="shared" si="20"/>
        <v>500</v>
      </c>
      <c r="V372" s="5">
        <v>23650</v>
      </c>
      <c r="W372" s="15">
        <f t="shared" si="18"/>
        <v>11825000</v>
      </c>
    </row>
    <row r="373" spans="1:23" s="155" customFormat="1" ht="47.25" hidden="1" x14ac:dyDescent="0.25">
      <c r="A373" s="123">
        <v>30</v>
      </c>
      <c r="B373" s="138" t="s">
        <v>235</v>
      </c>
      <c r="C373" s="106">
        <v>1</v>
      </c>
      <c r="D373" s="4">
        <v>200</v>
      </c>
      <c r="E373" s="5"/>
      <c r="F373" s="5"/>
      <c r="G373" s="5"/>
      <c r="H373" s="5"/>
      <c r="I373" s="5"/>
      <c r="J373" s="5"/>
      <c r="K373" s="5"/>
      <c r="L373" s="5"/>
      <c r="M373" s="5"/>
      <c r="N373" s="5"/>
      <c r="O373" s="5"/>
      <c r="P373" s="5"/>
      <c r="Q373" s="5"/>
      <c r="R373" s="5"/>
      <c r="S373" s="5"/>
      <c r="T373" s="5"/>
      <c r="U373" s="13">
        <f t="shared" si="20"/>
        <v>200</v>
      </c>
      <c r="V373" s="5">
        <v>3378.5</v>
      </c>
      <c r="W373" s="15">
        <f t="shared" si="18"/>
        <v>675700</v>
      </c>
    </row>
    <row r="374" spans="1:23" s="155" customFormat="1" ht="63" hidden="1" x14ac:dyDescent="0.25">
      <c r="A374" s="123">
        <v>31</v>
      </c>
      <c r="B374" s="138" t="s">
        <v>236</v>
      </c>
      <c r="C374" s="106">
        <v>1</v>
      </c>
      <c r="D374" s="4">
        <v>200</v>
      </c>
      <c r="E374" s="5"/>
      <c r="F374" s="5"/>
      <c r="G374" s="5"/>
      <c r="H374" s="5"/>
      <c r="I374" s="5"/>
      <c r="J374" s="5"/>
      <c r="K374" s="5"/>
      <c r="L374" s="5"/>
      <c r="M374" s="5"/>
      <c r="N374" s="5"/>
      <c r="O374" s="5"/>
      <c r="P374" s="5"/>
      <c r="Q374" s="5"/>
      <c r="R374" s="5"/>
      <c r="S374" s="5"/>
      <c r="T374" s="5"/>
      <c r="U374" s="13">
        <f t="shared" si="20"/>
        <v>200</v>
      </c>
      <c r="V374" s="5">
        <v>6949.8</v>
      </c>
      <c r="W374" s="15">
        <f t="shared" si="18"/>
        <v>1389960</v>
      </c>
    </row>
    <row r="375" spans="1:23" s="155" customFormat="1" ht="31.5" hidden="1" x14ac:dyDescent="0.25">
      <c r="A375" s="123">
        <v>32</v>
      </c>
      <c r="B375" s="138" t="s">
        <v>237</v>
      </c>
      <c r="C375" s="106">
        <v>1</v>
      </c>
      <c r="D375" s="4">
        <v>200</v>
      </c>
      <c r="E375" s="5"/>
      <c r="F375" s="5"/>
      <c r="G375" s="5"/>
      <c r="H375" s="5"/>
      <c r="I375" s="5"/>
      <c r="J375" s="5"/>
      <c r="K375" s="5"/>
      <c r="L375" s="5"/>
      <c r="M375" s="5"/>
      <c r="N375" s="5"/>
      <c r="O375" s="5"/>
      <c r="P375" s="5"/>
      <c r="Q375" s="5"/>
      <c r="R375" s="5"/>
      <c r="S375" s="5"/>
      <c r="T375" s="5"/>
      <c r="U375" s="13">
        <f t="shared" si="20"/>
        <v>200</v>
      </c>
      <c r="V375" s="5">
        <v>4113.3</v>
      </c>
      <c r="W375" s="15">
        <f t="shared" si="18"/>
        <v>822660</v>
      </c>
    </row>
    <row r="376" spans="1:23" s="155" customFormat="1" hidden="1" x14ac:dyDescent="0.25">
      <c r="A376" s="123">
        <v>33</v>
      </c>
      <c r="B376" s="138" t="s">
        <v>238</v>
      </c>
      <c r="C376" s="106">
        <v>1</v>
      </c>
      <c r="D376" s="4">
        <v>5000</v>
      </c>
      <c r="E376" s="5"/>
      <c r="F376" s="5"/>
      <c r="G376" s="5"/>
      <c r="H376" s="5"/>
      <c r="I376" s="5"/>
      <c r="J376" s="5"/>
      <c r="K376" s="5"/>
      <c r="L376" s="5"/>
      <c r="M376" s="5"/>
      <c r="N376" s="5"/>
      <c r="O376" s="5"/>
      <c r="P376" s="5"/>
      <c r="Q376" s="5"/>
      <c r="R376" s="5"/>
      <c r="S376" s="5"/>
      <c r="T376" s="5"/>
      <c r="U376" s="13">
        <f t="shared" si="20"/>
        <v>5000</v>
      </c>
      <c r="V376" s="5">
        <v>976</v>
      </c>
      <c r="W376" s="15">
        <f t="shared" si="18"/>
        <v>4880000</v>
      </c>
    </row>
    <row r="377" spans="1:23" s="155" customFormat="1" hidden="1" x14ac:dyDescent="0.25">
      <c r="A377" s="123">
        <v>34</v>
      </c>
      <c r="B377" s="138" t="s">
        <v>239</v>
      </c>
      <c r="C377" s="106">
        <v>1</v>
      </c>
      <c r="D377" s="4">
        <v>50</v>
      </c>
      <c r="E377" s="5"/>
      <c r="F377" s="5"/>
      <c r="G377" s="5"/>
      <c r="H377" s="5"/>
      <c r="I377" s="5"/>
      <c r="J377" s="5"/>
      <c r="K377" s="5"/>
      <c r="L377" s="5"/>
      <c r="M377" s="5"/>
      <c r="N377" s="5"/>
      <c r="O377" s="5"/>
      <c r="P377" s="5"/>
      <c r="Q377" s="5"/>
      <c r="R377" s="5"/>
      <c r="S377" s="5"/>
      <c r="T377" s="5"/>
      <c r="U377" s="13">
        <f t="shared" si="20"/>
        <v>50</v>
      </c>
      <c r="V377" s="5">
        <v>48900</v>
      </c>
      <c r="W377" s="15">
        <f t="shared" si="18"/>
        <v>2445000</v>
      </c>
    </row>
    <row r="378" spans="1:23" s="155" customFormat="1" hidden="1" x14ac:dyDescent="0.25">
      <c r="A378" s="123">
        <v>35</v>
      </c>
      <c r="B378" s="138" t="s">
        <v>240</v>
      </c>
      <c r="C378" s="106">
        <v>1</v>
      </c>
      <c r="D378" s="4">
        <v>10</v>
      </c>
      <c r="E378" s="5"/>
      <c r="F378" s="5"/>
      <c r="G378" s="5"/>
      <c r="H378" s="5"/>
      <c r="I378" s="5"/>
      <c r="J378" s="5"/>
      <c r="K378" s="5"/>
      <c r="L378" s="5"/>
      <c r="M378" s="5"/>
      <c r="N378" s="5"/>
      <c r="O378" s="5"/>
      <c r="P378" s="5"/>
      <c r="Q378" s="5"/>
      <c r="R378" s="5"/>
      <c r="S378" s="5"/>
      <c r="T378" s="5"/>
      <c r="U378" s="13">
        <f t="shared" si="20"/>
        <v>10</v>
      </c>
      <c r="V378" s="5">
        <v>31300</v>
      </c>
      <c r="W378" s="15">
        <f t="shared" si="18"/>
        <v>313000</v>
      </c>
    </row>
    <row r="379" spans="1:23" s="155" customFormat="1" hidden="1" x14ac:dyDescent="0.25">
      <c r="A379" s="123">
        <v>36</v>
      </c>
      <c r="B379" s="138" t="s">
        <v>241</v>
      </c>
      <c r="C379" s="106">
        <v>1</v>
      </c>
      <c r="D379" s="4">
        <v>20</v>
      </c>
      <c r="E379" s="5"/>
      <c r="F379" s="5"/>
      <c r="G379" s="5"/>
      <c r="H379" s="5"/>
      <c r="I379" s="5"/>
      <c r="J379" s="5"/>
      <c r="K379" s="5"/>
      <c r="L379" s="5"/>
      <c r="M379" s="5"/>
      <c r="N379" s="5"/>
      <c r="O379" s="5"/>
      <c r="P379" s="5"/>
      <c r="Q379" s="5"/>
      <c r="R379" s="5"/>
      <c r="S379" s="5"/>
      <c r="T379" s="5"/>
      <c r="U379" s="13">
        <f t="shared" si="20"/>
        <v>20</v>
      </c>
      <c r="V379" s="5">
        <v>5488</v>
      </c>
      <c r="W379" s="15">
        <f t="shared" si="18"/>
        <v>109760</v>
      </c>
    </row>
    <row r="380" spans="1:23" s="155" customFormat="1" hidden="1" x14ac:dyDescent="0.25">
      <c r="A380" s="123">
        <v>37</v>
      </c>
      <c r="B380" s="138" t="s">
        <v>242</v>
      </c>
      <c r="C380" s="106">
        <v>1</v>
      </c>
      <c r="D380" s="4">
        <v>80</v>
      </c>
      <c r="E380" s="5"/>
      <c r="F380" s="5"/>
      <c r="G380" s="5"/>
      <c r="H380" s="5"/>
      <c r="I380" s="5"/>
      <c r="J380" s="5"/>
      <c r="K380" s="5"/>
      <c r="L380" s="5"/>
      <c r="M380" s="5"/>
      <c r="N380" s="5"/>
      <c r="O380" s="5"/>
      <c r="P380" s="5"/>
      <c r="Q380" s="5"/>
      <c r="R380" s="5"/>
      <c r="S380" s="5"/>
      <c r="T380" s="5"/>
      <c r="U380" s="13">
        <f t="shared" si="20"/>
        <v>80</v>
      </c>
      <c r="V380" s="5">
        <v>10530</v>
      </c>
      <c r="W380" s="15">
        <f t="shared" si="18"/>
        <v>842400</v>
      </c>
    </row>
    <row r="381" spans="1:23" s="155" customFormat="1" hidden="1" x14ac:dyDescent="0.25">
      <c r="A381" s="123">
        <v>38</v>
      </c>
      <c r="B381" s="138" t="s">
        <v>243</v>
      </c>
      <c r="C381" s="106">
        <v>1</v>
      </c>
      <c r="D381" s="4"/>
      <c r="E381" s="5"/>
      <c r="F381" s="5"/>
      <c r="G381" s="5"/>
      <c r="H381" s="5"/>
      <c r="I381" s="5"/>
      <c r="J381" s="5"/>
      <c r="K381" s="5"/>
      <c r="L381" s="5"/>
      <c r="M381" s="5"/>
      <c r="N381" s="5"/>
      <c r="O381" s="5"/>
      <c r="P381" s="5"/>
      <c r="Q381" s="5"/>
      <c r="R381" s="5"/>
      <c r="S381" s="5"/>
      <c r="T381" s="5"/>
      <c r="U381" s="13">
        <f t="shared" si="20"/>
        <v>0</v>
      </c>
      <c r="V381" s="5">
        <v>16263340</v>
      </c>
      <c r="W381" s="15">
        <f t="shared" ref="W381:W386" si="21">V381</f>
        <v>16263340</v>
      </c>
    </row>
    <row r="382" spans="1:23" s="155" customFormat="1" hidden="1" x14ac:dyDescent="0.25">
      <c r="A382" s="123">
        <v>39</v>
      </c>
      <c r="B382" s="138" t="s">
        <v>244</v>
      </c>
      <c r="C382" s="106">
        <v>1</v>
      </c>
      <c r="D382" s="4"/>
      <c r="E382" s="5"/>
      <c r="F382" s="5"/>
      <c r="G382" s="5"/>
      <c r="H382" s="5"/>
      <c r="I382" s="5"/>
      <c r="J382" s="5"/>
      <c r="K382" s="5"/>
      <c r="L382" s="5"/>
      <c r="M382" s="5"/>
      <c r="N382" s="5"/>
      <c r="O382" s="5"/>
      <c r="P382" s="5"/>
      <c r="Q382" s="5"/>
      <c r="R382" s="5"/>
      <c r="S382" s="5"/>
      <c r="T382" s="5"/>
      <c r="U382" s="13">
        <f t="shared" si="20"/>
        <v>0</v>
      </c>
      <c r="V382" s="5">
        <v>5598490</v>
      </c>
      <c r="W382" s="15">
        <f>V382</f>
        <v>5598490</v>
      </c>
    </row>
    <row r="383" spans="1:23" s="155" customFormat="1" hidden="1" x14ac:dyDescent="0.25">
      <c r="A383" s="123">
        <v>40</v>
      </c>
      <c r="B383" s="138" t="s">
        <v>245</v>
      </c>
      <c r="C383" s="106">
        <v>1</v>
      </c>
      <c r="D383" s="4"/>
      <c r="E383" s="5"/>
      <c r="F383" s="5"/>
      <c r="G383" s="5"/>
      <c r="H383" s="5"/>
      <c r="I383" s="5"/>
      <c r="J383" s="5"/>
      <c r="K383" s="5"/>
      <c r="L383" s="5"/>
      <c r="M383" s="5"/>
      <c r="N383" s="5"/>
      <c r="O383" s="5"/>
      <c r="P383" s="5"/>
      <c r="Q383" s="5"/>
      <c r="R383" s="5"/>
      <c r="S383" s="5"/>
      <c r="T383" s="5"/>
      <c r="U383" s="13">
        <f t="shared" si="20"/>
        <v>0</v>
      </c>
      <c r="V383" s="5">
        <v>1034832</v>
      </c>
      <c r="W383" s="15">
        <f t="shared" si="21"/>
        <v>1034832</v>
      </c>
    </row>
    <row r="384" spans="1:23" s="155" customFormat="1" hidden="1" x14ac:dyDescent="0.25">
      <c r="A384" s="123">
        <v>41</v>
      </c>
      <c r="B384" s="138" t="s">
        <v>246</v>
      </c>
      <c r="C384" s="106">
        <v>1</v>
      </c>
      <c r="D384" s="4"/>
      <c r="E384" s="5"/>
      <c r="F384" s="5"/>
      <c r="G384" s="5"/>
      <c r="H384" s="5"/>
      <c r="I384" s="5"/>
      <c r="J384" s="5"/>
      <c r="K384" s="5"/>
      <c r="L384" s="5"/>
      <c r="M384" s="5"/>
      <c r="N384" s="5"/>
      <c r="O384" s="5"/>
      <c r="P384" s="5"/>
      <c r="Q384" s="5"/>
      <c r="R384" s="5"/>
      <c r="S384" s="5"/>
      <c r="T384" s="5"/>
      <c r="U384" s="13">
        <f t="shared" si="20"/>
        <v>0</v>
      </c>
      <c r="V384" s="3">
        <v>8064000</v>
      </c>
      <c r="W384" s="15">
        <f t="shared" si="21"/>
        <v>8064000</v>
      </c>
    </row>
    <row r="385" spans="1:25" s="155" customFormat="1" hidden="1" x14ac:dyDescent="0.25">
      <c r="A385" s="123">
        <v>42</v>
      </c>
      <c r="B385" s="138" t="s">
        <v>247</v>
      </c>
      <c r="C385" s="106">
        <v>1</v>
      </c>
      <c r="D385" s="4"/>
      <c r="E385" s="5"/>
      <c r="F385" s="5"/>
      <c r="G385" s="5"/>
      <c r="H385" s="5"/>
      <c r="I385" s="5"/>
      <c r="J385" s="5"/>
      <c r="K385" s="5"/>
      <c r="L385" s="5"/>
      <c r="M385" s="5"/>
      <c r="N385" s="5"/>
      <c r="O385" s="5"/>
      <c r="P385" s="5"/>
      <c r="Q385" s="5"/>
      <c r="R385" s="5"/>
      <c r="S385" s="5"/>
      <c r="T385" s="5"/>
      <c r="U385" s="13">
        <f t="shared" si="20"/>
        <v>0</v>
      </c>
      <c r="V385" s="3">
        <v>42000000</v>
      </c>
      <c r="W385" s="15">
        <f t="shared" si="21"/>
        <v>42000000</v>
      </c>
    </row>
    <row r="386" spans="1:25" s="155" customFormat="1" hidden="1" x14ac:dyDescent="0.25">
      <c r="A386" s="123">
        <v>43</v>
      </c>
      <c r="B386" s="138" t="s">
        <v>248</v>
      </c>
      <c r="C386" s="106">
        <v>1</v>
      </c>
      <c r="D386" s="4"/>
      <c r="E386" s="5"/>
      <c r="F386" s="5"/>
      <c r="G386" s="5"/>
      <c r="H386" s="5"/>
      <c r="I386" s="5"/>
      <c r="J386" s="5"/>
      <c r="K386" s="5"/>
      <c r="L386" s="5"/>
      <c r="M386" s="5"/>
      <c r="N386" s="5"/>
      <c r="O386" s="5"/>
      <c r="P386" s="5"/>
      <c r="Q386" s="5"/>
      <c r="R386" s="5"/>
      <c r="S386" s="5"/>
      <c r="T386" s="5"/>
      <c r="U386" s="13">
        <f t="shared" si="20"/>
        <v>0</v>
      </c>
      <c r="V386" s="3">
        <v>2000000</v>
      </c>
      <c r="W386" s="15">
        <f t="shared" si="21"/>
        <v>2000000</v>
      </c>
      <c r="X386" s="155">
        <f>SUM(W348:W386)</f>
        <v>222873347</v>
      </c>
    </row>
    <row r="387" spans="1:25" s="155" customFormat="1" hidden="1" x14ac:dyDescent="0.25">
      <c r="A387" s="123">
        <v>44</v>
      </c>
      <c r="B387" s="138" t="s">
        <v>269</v>
      </c>
      <c r="C387" s="108">
        <v>1</v>
      </c>
      <c r="D387" s="103"/>
      <c r="E387" s="10"/>
      <c r="F387" s="10"/>
      <c r="G387" s="10"/>
      <c r="H387" s="10"/>
      <c r="I387" s="10"/>
      <c r="J387" s="10"/>
      <c r="K387" s="10"/>
      <c r="L387" s="10">
        <v>2</v>
      </c>
      <c r="M387" s="10"/>
      <c r="N387" s="10"/>
      <c r="O387" s="10"/>
      <c r="P387" s="10"/>
      <c r="Q387" s="10"/>
      <c r="R387" s="10"/>
      <c r="S387" s="10"/>
      <c r="T387" s="10"/>
      <c r="U387" s="13">
        <f t="shared" si="20"/>
        <v>2</v>
      </c>
      <c r="V387" s="5">
        <v>2375000</v>
      </c>
      <c r="W387" s="15">
        <f t="shared" si="18"/>
        <v>4750000</v>
      </c>
      <c r="X387" s="188">
        <f>SUM(W387:W405)</f>
        <v>13826383</v>
      </c>
      <c r="Y387" s="155">
        <v>14594316</v>
      </c>
    </row>
    <row r="388" spans="1:25" s="155" customFormat="1" hidden="1" x14ac:dyDescent="0.25">
      <c r="A388" s="123">
        <v>45</v>
      </c>
      <c r="B388" s="138" t="s">
        <v>263</v>
      </c>
      <c r="C388" s="108">
        <v>1</v>
      </c>
      <c r="D388" s="103"/>
      <c r="E388" s="10"/>
      <c r="F388" s="10"/>
      <c r="G388" s="10"/>
      <c r="H388" s="10">
        <v>1</v>
      </c>
      <c r="I388" s="10"/>
      <c r="J388" s="10">
        <v>1</v>
      </c>
      <c r="K388" s="10"/>
      <c r="L388" s="10"/>
      <c r="M388" s="10"/>
      <c r="N388" s="10"/>
      <c r="O388" s="10"/>
      <c r="P388" s="10"/>
      <c r="Q388" s="10"/>
      <c r="R388" s="10"/>
      <c r="S388" s="10"/>
      <c r="T388" s="10"/>
      <c r="U388" s="13">
        <f t="shared" si="20"/>
        <v>2</v>
      </c>
      <c r="V388" s="5">
        <v>904422</v>
      </c>
      <c r="W388" s="15">
        <f t="shared" si="18"/>
        <v>1808844</v>
      </c>
      <c r="Y388" s="189">
        <f>Y387-X387</f>
        <v>767933</v>
      </c>
    </row>
    <row r="389" spans="1:25" s="155" customFormat="1" hidden="1" x14ac:dyDescent="0.25">
      <c r="A389" s="123">
        <v>46</v>
      </c>
      <c r="B389" s="138" t="s">
        <v>264</v>
      </c>
      <c r="C389" s="108">
        <v>1</v>
      </c>
      <c r="D389" s="103"/>
      <c r="E389" s="10"/>
      <c r="F389" s="10"/>
      <c r="G389" s="10"/>
      <c r="H389" s="10">
        <v>1</v>
      </c>
      <c r="I389" s="10"/>
      <c r="J389" s="10">
        <v>1</v>
      </c>
      <c r="K389" s="10"/>
      <c r="L389" s="10">
        <v>5</v>
      </c>
      <c r="M389" s="10"/>
      <c r="N389" s="10"/>
      <c r="O389" s="10"/>
      <c r="P389" s="10"/>
      <c r="Q389" s="10"/>
      <c r="R389" s="10"/>
      <c r="S389" s="10"/>
      <c r="T389" s="10"/>
      <c r="U389" s="13">
        <f t="shared" si="20"/>
        <v>7</v>
      </c>
      <c r="V389" s="5">
        <v>24290</v>
      </c>
      <c r="W389" s="15">
        <f t="shared" si="18"/>
        <v>170030</v>
      </c>
    </row>
    <row r="390" spans="1:25" s="155" customFormat="1" hidden="1" x14ac:dyDescent="0.25">
      <c r="A390" s="123">
        <v>48</v>
      </c>
      <c r="B390" s="138" t="s">
        <v>265</v>
      </c>
      <c r="C390" s="108">
        <v>1</v>
      </c>
      <c r="D390" s="103"/>
      <c r="E390" s="10"/>
      <c r="F390" s="10"/>
      <c r="G390" s="10"/>
      <c r="H390" s="10">
        <v>1</v>
      </c>
      <c r="I390" s="10"/>
      <c r="J390" s="10">
        <v>1</v>
      </c>
      <c r="K390" s="10"/>
      <c r="L390" s="10">
        <v>25</v>
      </c>
      <c r="M390" s="10"/>
      <c r="N390" s="10"/>
      <c r="O390" s="10"/>
      <c r="P390" s="10"/>
      <c r="Q390" s="10"/>
      <c r="R390" s="10"/>
      <c r="S390" s="10"/>
      <c r="T390" s="10"/>
      <c r="U390" s="13">
        <f t="shared" si="20"/>
        <v>27</v>
      </c>
      <c r="V390" s="5">
        <v>23650</v>
      </c>
      <c r="W390" s="15">
        <f t="shared" si="18"/>
        <v>638550</v>
      </c>
    </row>
    <row r="391" spans="1:25" s="155" customFormat="1" hidden="1" x14ac:dyDescent="0.25">
      <c r="A391" s="123">
        <v>49</v>
      </c>
      <c r="B391" s="138" t="s">
        <v>266</v>
      </c>
      <c r="C391" s="108">
        <v>1</v>
      </c>
      <c r="D391" s="103"/>
      <c r="E391" s="10"/>
      <c r="F391" s="10"/>
      <c r="G391" s="10"/>
      <c r="H391" s="10">
        <v>2</v>
      </c>
      <c r="I391" s="10"/>
      <c r="J391" s="10">
        <v>2</v>
      </c>
      <c r="K391" s="10"/>
      <c r="L391" s="10">
        <v>3</v>
      </c>
      <c r="M391" s="10"/>
      <c r="N391" s="10"/>
      <c r="O391" s="10"/>
      <c r="P391" s="10"/>
      <c r="Q391" s="10"/>
      <c r="R391" s="10"/>
      <c r="S391" s="10"/>
      <c r="T391" s="10"/>
      <c r="U391" s="13">
        <f t="shared" si="20"/>
        <v>7</v>
      </c>
      <c r="V391" s="5">
        <v>31300</v>
      </c>
      <c r="W391" s="15">
        <f t="shared" ref="W391:W450" si="22">V391*U391/C391</f>
        <v>219100</v>
      </c>
    </row>
    <row r="392" spans="1:25" s="155" customFormat="1" hidden="1" x14ac:dyDescent="0.25">
      <c r="A392" s="123">
        <v>50</v>
      </c>
      <c r="B392" s="138" t="s">
        <v>267</v>
      </c>
      <c r="C392" s="108">
        <v>1</v>
      </c>
      <c r="D392" s="103"/>
      <c r="E392" s="10"/>
      <c r="F392" s="10"/>
      <c r="G392" s="10"/>
      <c r="H392" s="10">
        <v>8</v>
      </c>
      <c r="I392" s="10"/>
      <c r="J392" s="10">
        <v>8</v>
      </c>
      <c r="K392" s="10"/>
      <c r="L392" s="10">
        <v>12</v>
      </c>
      <c r="M392" s="10"/>
      <c r="N392" s="10"/>
      <c r="O392" s="10"/>
      <c r="P392" s="10"/>
      <c r="Q392" s="10"/>
      <c r="R392" s="10"/>
      <c r="S392" s="10"/>
      <c r="T392" s="10"/>
      <c r="U392" s="13">
        <f t="shared" si="20"/>
        <v>28</v>
      </c>
      <c r="V392" s="5">
        <v>10530</v>
      </c>
      <c r="W392" s="15">
        <f t="shared" si="22"/>
        <v>294840</v>
      </c>
    </row>
    <row r="393" spans="1:25" s="155" customFormat="1" hidden="1" x14ac:dyDescent="0.25">
      <c r="A393" s="123">
        <v>51</v>
      </c>
      <c r="B393" s="138" t="s">
        <v>249</v>
      </c>
      <c r="C393" s="108">
        <v>1</v>
      </c>
      <c r="D393" s="4">
        <v>1</v>
      </c>
      <c r="E393" s="5">
        <v>1</v>
      </c>
      <c r="F393" s="5">
        <v>1</v>
      </c>
      <c r="G393" s="5">
        <v>1</v>
      </c>
      <c r="H393" s="5"/>
      <c r="I393" s="5">
        <v>1</v>
      </c>
      <c r="J393" s="5"/>
      <c r="K393" s="5">
        <v>1</v>
      </c>
      <c r="L393" s="5"/>
      <c r="M393" s="5"/>
      <c r="N393" s="5"/>
      <c r="O393" s="5"/>
      <c r="P393" s="5"/>
      <c r="Q393" s="5"/>
      <c r="R393" s="5"/>
      <c r="S393" s="5"/>
      <c r="T393" s="5"/>
      <c r="U393" s="13">
        <f t="shared" si="20"/>
        <v>6</v>
      </c>
      <c r="V393" s="5">
        <v>286340</v>
      </c>
      <c r="W393" s="15">
        <f t="shared" si="22"/>
        <v>1718040</v>
      </c>
    </row>
    <row r="394" spans="1:25" s="155" customFormat="1" hidden="1" x14ac:dyDescent="0.25">
      <c r="A394" s="123">
        <v>52</v>
      </c>
      <c r="B394" s="138" t="s">
        <v>250</v>
      </c>
      <c r="C394" s="108">
        <v>1</v>
      </c>
      <c r="D394" s="4">
        <v>1</v>
      </c>
      <c r="E394" s="5">
        <v>1</v>
      </c>
      <c r="F394" s="5">
        <v>1</v>
      </c>
      <c r="G394" s="5">
        <v>1</v>
      </c>
      <c r="H394" s="5"/>
      <c r="I394" s="5">
        <v>1</v>
      </c>
      <c r="J394" s="5"/>
      <c r="K394" s="5">
        <v>1</v>
      </c>
      <c r="L394" s="5"/>
      <c r="M394" s="5"/>
      <c r="N394" s="5"/>
      <c r="O394" s="5"/>
      <c r="P394" s="5"/>
      <c r="Q394" s="5"/>
      <c r="R394" s="5"/>
      <c r="S394" s="5"/>
      <c r="T394" s="5"/>
      <c r="U394" s="13">
        <f t="shared" si="20"/>
        <v>6</v>
      </c>
      <c r="V394" s="5">
        <v>15786</v>
      </c>
      <c r="W394" s="15">
        <f t="shared" si="22"/>
        <v>94716</v>
      </c>
    </row>
    <row r="395" spans="1:25" s="155" customFormat="1" hidden="1" x14ac:dyDescent="0.25">
      <c r="A395" s="123">
        <v>53</v>
      </c>
      <c r="B395" s="138" t="s">
        <v>251</v>
      </c>
      <c r="C395" s="108">
        <v>1</v>
      </c>
      <c r="D395" s="4">
        <v>3</v>
      </c>
      <c r="E395" s="5">
        <v>1</v>
      </c>
      <c r="F395" s="5">
        <v>1</v>
      </c>
      <c r="G395" s="5">
        <v>4</v>
      </c>
      <c r="H395" s="5"/>
      <c r="I395" s="5">
        <v>1</v>
      </c>
      <c r="J395" s="5"/>
      <c r="K395" s="5">
        <v>1</v>
      </c>
      <c r="L395" s="5"/>
      <c r="M395" s="5"/>
      <c r="N395" s="5"/>
      <c r="O395" s="5"/>
      <c r="P395" s="5"/>
      <c r="Q395" s="5"/>
      <c r="R395" s="5"/>
      <c r="S395" s="5"/>
      <c r="T395" s="5"/>
      <c r="U395" s="13">
        <v>12</v>
      </c>
      <c r="V395" s="5">
        <v>33000</v>
      </c>
      <c r="W395" s="15">
        <f t="shared" si="22"/>
        <v>396000</v>
      </c>
    </row>
    <row r="396" spans="1:25" s="155" customFormat="1" hidden="1" x14ac:dyDescent="0.25">
      <c r="A396" s="123">
        <v>55</v>
      </c>
      <c r="B396" s="138" t="s">
        <v>252</v>
      </c>
      <c r="C396" s="108">
        <v>1</v>
      </c>
      <c r="D396" s="4">
        <v>3</v>
      </c>
      <c r="E396" s="5">
        <v>3</v>
      </c>
      <c r="F396" s="5">
        <v>3</v>
      </c>
      <c r="G396" s="5">
        <v>3</v>
      </c>
      <c r="H396" s="5">
        <v>3</v>
      </c>
      <c r="I396" s="5">
        <v>3</v>
      </c>
      <c r="J396" s="5">
        <v>3</v>
      </c>
      <c r="K396" s="5">
        <v>3</v>
      </c>
      <c r="L396" s="5">
        <v>9</v>
      </c>
      <c r="M396" s="5"/>
      <c r="N396" s="5"/>
      <c r="O396" s="5"/>
      <c r="P396" s="5"/>
      <c r="Q396" s="5"/>
      <c r="R396" s="5"/>
      <c r="S396" s="5"/>
      <c r="T396" s="5"/>
      <c r="U396" s="13">
        <f t="shared" si="20"/>
        <v>33</v>
      </c>
      <c r="V396" s="5">
        <v>18250</v>
      </c>
      <c r="W396" s="15">
        <f t="shared" si="22"/>
        <v>602250</v>
      </c>
    </row>
    <row r="397" spans="1:25" s="155" customFormat="1" hidden="1" x14ac:dyDescent="0.25">
      <c r="A397" s="123">
        <v>56</v>
      </c>
      <c r="B397" s="138" t="s">
        <v>253</v>
      </c>
      <c r="C397" s="107">
        <v>1</v>
      </c>
      <c r="D397" s="4">
        <v>930</v>
      </c>
      <c r="E397" s="5">
        <v>30</v>
      </c>
      <c r="F397" s="5">
        <v>380</v>
      </c>
      <c r="G397" s="5">
        <v>1130</v>
      </c>
      <c r="H397" s="5">
        <v>50</v>
      </c>
      <c r="I397" s="5">
        <v>380</v>
      </c>
      <c r="J397" s="5">
        <v>50</v>
      </c>
      <c r="K397" s="5">
        <v>290</v>
      </c>
      <c r="L397" s="5">
        <v>150</v>
      </c>
      <c r="M397" s="5"/>
      <c r="N397" s="5"/>
      <c r="O397" s="5"/>
      <c r="P397" s="5"/>
      <c r="Q397" s="5"/>
      <c r="R397" s="5"/>
      <c r="S397" s="5"/>
      <c r="T397" s="5"/>
      <c r="U397" s="13">
        <f t="shared" si="20"/>
        <v>3390</v>
      </c>
      <c r="V397" s="5">
        <v>245</v>
      </c>
      <c r="W397" s="15">
        <f t="shared" si="22"/>
        <v>830550</v>
      </c>
    </row>
    <row r="398" spans="1:25" s="155" customFormat="1" hidden="1" x14ac:dyDescent="0.25">
      <c r="A398" s="123">
        <v>57</v>
      </c>
      <c r="B398" s="138" t="s">
        <v>254</v>
      </c>
      <c r="C398" s="108">
        <v>1</v>
      </c>
      <c r="D398" s="4">
        <v>1</v>
      </c>
      <c r="E398" s="5">
        <v>1</v>
      </c>
      <c r="F398" s="5">
        <v>1</v>
      </c>
      <c r="G398" s="5">
        <v>1</v>
      </c>
      <c r="H398" s="5">
        <v>1</v>
      </c>
      <c r="I398" s="5">
        <v>1</v>
      </c>
      <c r="J398" s="5">
        <v>1</v>
      </c>
      <c r="K398" s="5">
        <v>1</v>
      </c>
      <c r="L398" s="5">
        <v>1</v>
      </c>
      <c r="M398" s="5"/>
      <c r="N398" s="5"/>
      <c r="O398" s="5"/>
      <c r="P398" s="5"/>
      <c r="Q398" s="5"/>
      <c r="R398" s="5"/>
      <c r="S398" s="5"/>
      <c r="T398" s="5"/>
      <c r="U398" s="13">
        <f t="shared" si="20"/>
        <v>9</v>
      </c>
      <c r="V398" s="5">
        <v>35200</v>
      </c>
      <c r="W398" s="15">
        <f t="shared" si="22"/>
        <v>316800</v>
      </c>
    </row>
    <row r="399" spans="1:25" s="155" customFormat="1" hidden="1" x14ac:dyDescent="0.25">
      <c r="A399" s="123">
        <v>58</v>
      </c>
      <c r="B399" s="138" t="s">
        <v>255</v>
      </c>
      <c r="C399" s="108">
        <v>1</v>
      </c>
      <c r="D399" s="4">
        <v>9</v>
      </c>
      <c r="E399" s="5">
        <v>6</v>
      </c>
      <c r="F399" s="5">
        <v>6</v>
      </c>
      <c r="G399" s="5">
        <v>12</v>
      </c>
      <c r="H399" s="5">
        <v>6</v>
      </c>
      <c r="I399" s="5">
        <v>6</v>
      </c>
      <c r="J399" s="5">
        <v>6</v>
      </c>
      <c r="K399" s="5">
        <v>6</v>
      </c>
      <c r="L399" s="5">
        <v>8</v>
      </c>
      <c r="M399" s="5"/>
      <c r="N399" s="5"/>
      <c r="O399" s="5"/>
      <c r="P399" s="5"/>
      <c r="Q399" s="5"/>
      <c r="R399" s="5"/>
      <c r="S399" s="5"/>
      <c r="T399" s="5"/>
      <c r="U399" s="13">
        <f t="shared" si="20"/>
        <v>65</v>
      </c>
      <c r="V399" s="5">
        <v>1797</v>
      </c>
      <c r="W399" s="15">
        <f t="shared" si="22"/>
        <v>116805</v>
      </c>
    </row>
    <row r="400" spans="1:25" s="155" customFormat="1" hidden="1" x14ac:dyDescent="0.25">
      <c r="A400" s="123">
        <v>59</v>
      </c>
      <c r="B400" s="138" t="s">
        <v>256</v>
      </c>
      <c r="C400" s="108">
        <v>1</v>
      </c>
      <c r="D400" s="4">
        <v>6</v>
      </c>
      <c r="E400" s="5"/>
      <c r="F400" s="5">
        <v>6</v>
      </c>
      <c r="G400" s="5">
        <v>6</v>
      </c>
      <c r="H400" s="5"/>
      <c r="I400" s="5">
        <v>6</v>
      </c>
      <c r="J400" s="5"/>
      <c r="K400" s="5">
        <v>6</v>
      </c>
      <c r="L400" s="5"/>
      <c r="M400" s="5"/>
      <c r="N400" s="5"/>
      <c r="O400" s="5"/>
      <c r="P400" s="5"/>
      <c r="Q400" s="5"/>
      <c r="R400" s="5"/>
      <c r="S400" s="5"/>
      <c r="T400" s="5"/>
      <c r="U400" s="13">
        <f t="shared" si="20"/>
        <v>30</v>
      </c>
      <c r="V400" s="5">
        <v>4250</v>
      </c>
      <c r="W400" s="15">
        <f t="shared" si="22"/>
        <v>127500</v>
      </c>
    </row>
    <row r="401" spans="1:25" s="155" customFormat="1" hidden="1" x14ac:dyDescent="0.25">
      <c r="A401" s="123">
        <v>60</v>
      </c>
      <c r="B401" s="138" t="s">
        <v>257</v>
      </c>
      <c r="C401" s="108">
        <v>1</v>
      </c>
      <c r="D401" s="4">
        <v>4</v>
      </c>
      <c r="E401" s="5"/>
      <c r="F401" s="5">
        <v>2</v>
      </c>
      <c r="G401" s="5">
        <v>4</v>
      </c>
      <c r="H401" s="5"/>
      <c r="I401" s="5">
        <v>2</v>
      </c>
      <c r="J401" s="5"/>
      <c r="K401" s="5">
        <v>2</v>
      </c>
      <c r="L401" s="5"/>
      <c r="M401" s="5"/>
      <c r="N401" s="5"/>
      <c r="O401" s="5"/>
      <c r="P401" s="5"/>
      <c r="Q401" s="5"/>
      <c r="R401" s="5"/>
      <c r="S401" s="5"/>
      <c r="T401" s="5"/>
      <c r="U401" s="13">
        <f t="shared" si="20"/>
        <v>14</v>
      </c>
      <c r="V401" s="5">
        <v>3591</v>
      </c>
      <c r="W401" s="15">
        <f t="shared" si="22"/>
        <v>50274</v>
      </c>
    </row>
    <row r="402" spans="1:25" s="155" customFormat="1" hidden="1" x14ac:dyDescent="0.25">
      <c r="A402" s="123">
        <v>62</v>
      </c>
      <c r="B402" s="138" t="s">
        <v>258</v>
      </c>
      <c r="C402" s="108">
        <v>1</v>
      </c>
      <c r="D402" s="4">
        <v>7</v>
      </c>
      <c r="E402" s="5">
        <v>3</v>
      </c>
      <c r="F402" s="5">
        <v>4</v>
      </c>
      <c r="G402" s="5">
        <v>8</v>
      </c>
      <c r="H402" s="5">
        <v>4</v>
      </c>
      <c r="I402" s="5">
        <v>4</v>
      </c>
      <c r="J402" s="5">
        <v>4</v>
      </c>
      <c r="K402" s="5">
        <v>4</v>
      </c>
      <c r="L402" s="5">
        <v>20</v>
      </c>
      <c r="M402" s="5"/>
      <c r="N402" s="5"/>
      <c r="O402" s="5"/>
      <c r="P402" s="5"/>
      <c r="Q402" s="5"/>
      <c r="R402" s="5"/>
      <c r="S402" s="5"/>
      <c r="T402" s="5"/>
      <c r="U402" s="13">
        <f t="shared" si="20"/>
        <v>58</v>
      </c>
      <c r="V402" s="5">
        <v>1498</v>
      </c>
      <c r="W402" s="15">
        <f t="shared" si="22"/>
        <v>86884</v>
      </c>
    </row>
    <row r="403" spans="1:25" s="155" customFormat="1" hidden="1" x14ac:dyDescent="0.25">
      <c r="A403" s="123">
        <v>63</v>
      </c>
      <c r="B403" s="138" t="s">
        <v>259</v>
      </c>
      <c r="C403" s="107">
        <v>1</v>
      </c>
      <c r="D403" s="4">
        <v>30</v>
      </c>
      <c r="E403" s="5">
        <v>30</v>
      </c>
      <c r="F403" s="5">
        <v>30</v>
      </c>
      <c r="G403" s="5">
        <v>30</v>
      </c>
      <c r="H403" s="5">
        <v>100</v>
      </c>
      <c r="I403" s="5">
        <v>100</v>
      </c>
      <c r="J403" s="5"/>
      <c r="K403" s="5">
        <v>200</v>
      </c>
      <c r="L403" s="5"/>
      <c r="M403" s="5"/>
      <c r="N403" s="5"/>
      <c r="O403" s="5"/>
      <c r="P403" s="5"/>
      <c r="Q403" s="5"/>
      <c r="R403" s="5"/>
      <c r="S403" s="5"/>
      <c r="T403" s="5"/>
      <c r="U403" s="13">
        <v>420</v>
      </c>
      <c r="V403" s="5">
        <v>435</v>
      </c>
      <c r="W403" s="15">
        <f t="shared" si="22"/>
        <v>182700</v>
      </c>
    </row>
    <row r="404" spans="1:25" s="155" customFormat="1" hidden="1" x14ac:dyDescent="0.25">
      <c r="A404" s="123">
        <v>64</v>
      </c>
      <c r="B404" s="138" t="s">
        <v>268</v>
      </c>
      <c r="C404" s="107">
        <v>1</v>
      </c>
      <c r="D404" s="4"/>
      <c r="E404" s="5"/>
      <c r="F404" s="5"/>
      <c r="G404" s="5"/>
      <c r="H404" s="5"/>
      <c r="I404" s="5"/>
      <c r="J404" s="5">
        <v>200</v>
      </c>
      <c r="K404" s="5"/>
      <c r="L404" s="5">
        <v>1000</v>
      </c>
      <c r="M404" s="5"/>
      <c r="N404" s="5"/>
      <c r="O404" s="5"/>
      <c r="P404" s="5"/>
      <c r="Q404" s="5"/>
      <c r="R404" s="5"/>
      <c r="S404" s="5"/>
      <c r="T404" s="5"/>
      <c r="U404" s="13">
        <v>1300</v>
      </c>
      <c r="V404" s="5">
        <v>975</v>
      </c>
      <c r="W404" s="15">
        <f t="shared" si="22"/>
        <v>1267500</v>
      </c>
    </row>
    <row r="405" spans="1:25" s="155" customFormat="1" hidden="1" x14ac:dyDescent="0.25">
      <c r="A405" s="123">
        <v>65</v>
      </c>
      <c r="B405" s="138" t="s">
        <v>260</v>
      </c>
      <c r="C405" s="110" t="s">
        <v>261</v>
      </c>
      <c r="D405" s="4">
        <v>1</v>
      </c>
      <c r="E405" s="5">
        <v>1</v>
      </c>
      <c r="F405" s="5">
        <v>1</v>
      </c>
      <c r="G405" s="5">
        <v>1</v>
      </c>
      <c r="H405" s="5">
        <v>1</v>
      </c>
      <c r="I405" s="5">
        <v>1</v>
      </c>
      <c r="J405" s="5">
        <v>1</v>
      </c>
      <c r="K405" s="5">
        <v>1</v>
      </c>
      <c r="L405" s="5">
        <v>1</v>
      </c>
      <c r="M405" s="5"/>
      <c r="N405" s="5"/>
      <c r="O405" s="5"/>
      <c r="P405" s="5"/>
      <c r="Q405" s="5"/>
      <c r="R405" s="5"/>
      <c r="S405" s="5"/>
      <c r="T405" s="5"/>
      <c r="U405" s="13">
        <f t="shared" ref="U405:U415" si="23">SUM(D405:T405)</f>
        <v>9</v>
      </c>
      <c r="V405" s="5">
        <f>20000+10000+20000+20000+10000+20000+10000+10000+35000</f>
        <v>155000</v>
      </c>
      <c r="W405" s="15">
        <f>V405</f>
        <v>155000</v>
      </c>
    </row>
    <row r="406" spans="1:25" s="155" customFormat="1" hidden="1" x14ac:dyDescent="0.25">
      <c r="A406" s="123">
        <v>66</v>
      </c>
      <c r="B406" s="138" t="s">
        <v>262</v>
      </c>
      <c r="C406" s="108">
        <v>1</v>
      </c>
      <c r="D406" s="4">
        <v>3</v>
      </c>
      <c r="E406" s="5">
        <v>1</v>
      </c>
      <c r="F406" s="5">
        <v>1</v>
      </c>
      <c r="G406" s="5">
        <v>4</v>
      </c>
      <c r="H406" s="5">
        <v>1</v>
      </c>
      <c r="I406" s="5">
        <v>1</v>
      </c>
      <c r="J406" s="5">
        <v>2</v>
      </c>
      <c r="K406" s="5">
        <v>1</v>
      </c>
      <c r="L406" s="5">
        <v>1</v>
      </c>
      <c r="M406" s="5"/>
      <c r="N406" s="5"/>
      <c r="O406" s="5"/>
      <c r="P406" s="5"/>
      <c r="Q406" s="5"/>
      <c r="R406" s="5"/>
      <c r="S406" s="5"/>
      <c r="T406" s="5"/>
      <c r="U406" s="13">
        <f t="shared" si="23"/>
        <v>15</v>
      </c>
      <c r="V406" s="5">
        <v>15000</v>
      </c>
      <c r="W406" s="15">
        <f t="shared" si="22"/>
        <v>225000</v>
      </c>
      <c r="X406" s="155">
        <f>SUM(W348:W406)</f>
        <v>236924730</v>
      </c>
      <c r="Y406" s="155">
        <f>X476</f>
        <v>3629203</v>
      </c>
    </row>
    <row r="407" spans="1:25" s="155" customFormat="1" ht="105" hidden="1" x14ac:dyDescent="0.25">
      <c r="A407" s="123">
        <v>67</v>
      </c>
      <c r="B407" s="139" t="s">
        <v>406</v>
      </c>
      <c r="C407" s="89">
        <v>100</v>
      </c>
      <c r="D407" s="90">
        <v>49390</v>
      </c>
      <c r="E407" s="50"/>
      <c r="F407" s="50"/>
      <c r="G407" s="50"/>
      <c r="H407" s="50"/>
      <c r="I407" s="50"/>
      <c r="J407" s="50"/>
      <c r="K407" s="50"/>
      <c r="L407" s="50"/>
      <c r="M407" s="50"/>
      <c r="N407" s="50"/>
      <c r="O407" s="50"/>
      <c r="P407" s="48"/>
      <c r="Q407" s="50"/>
      <c r="R407" s="50"/>
      <c r="S407" s="50"/>
      <c r="T407" s="50"/>
      <c r="U407" s="13">
        <f t="shared" si="23"/>
        <v>49390</v>
      </c>
      <c r="V407" s="51">
        <v>69347.899999999994</v>
      </c>
      <c r="W407" s="15">
        <f t="shared" si="22"/>
        <v>34250927.809999995</v>
      </c>
      <c r="Y407" s="155">
        <f>X406+Y406</f>
        <v>240553933</v>
      </c>
    </row>
    <row r="408" spans="1:25" s="155" customFormat="1" ht="75" hidden="1" x14ac:dyDescent="0.25">
      <c r="A408" s="123">
        <v>68</v>
      </c>
      <c r="B408" s="139" t="s">
        <v>270</v>
      </c>
      <c r="C408" s="91">
        <v>1000</v>
      </c>
      <c r="D408" s="90">
        <v>2062.9820000000004</v>
      </c>
      <c r="E408" s="52"/>
      <c r="F408" s="52"/>
      <c r="G408" s="52"/>
      <c r="H408" s="52"/>
      <c r="I408" s="52"/>
      <c r="J408" s="52"/>
      <c r="K408" s="52"/>
      <c r="L408" s="52"/>
      <c r="M408" s="52"/>
      <c r="N408" s="52"/>
      <c r="O408" s="52"/>
      <c r="P408" s="48"/>
      <c r="Q408" s="52"/>
      <c r="R408" s="52"/>
      <c r="S408" s="52"/>
      <c r="T408" s="52"/>
      <c r="U408" s="13">
        <f t="shared" si="23"/>
        <v>2062.9820000000004</v>
      </c>
      <c r="V408" s="51">
        <v>15824.15</v>
      </c>
      <c r="W408" s="15">
        <f t="shared" si="22"/>
        <v>32644.936615300008</v>
      </c>
      <c r="Y408" s="155">
        <f>Y407-240554556</f>
        <v>-623</v>
      </c>
    </row>
    <row r="409" spans="1:25" s="155" customFormat="1" ht="45" hidden="1" x14ac:dyDescent="0.25">
      <c r="A409" s="123">
        <v>69</v>
      </c>
      <c r="B409" s="139" t="s">
        <v>271</v>
      </c>
      <c r="C409" s="91">
        <v>100</v>
      </c>
      <c r="D409" s="90">
        <v>515.74550000000011</v>
      </c>
      <c r="E409" s="52"/>
      <c r="F409" s="52"/>
      <c r="G409" s="52"/>
      <c r="H409" s="52"/>
      <c r="I409" s="52"/>
      <c r="J409" s="52"/>
      <c r="K409" s="52"/>
      <c r="L409" s="52"/>
      <c r="M409" s="52"/>
      <c r="N409" s="52"/>
      <c r="O409" s="52"/>
      <c r="P409" s="48"/>
      <c r="Q409" s="52"/>
      <c r="R409" s="52"/>
      <c r="S409" s="52"/>
      <c r="T409" s="52"/>
      <c r="U409" s="13">
        <f t="shared" si="23"/>
        <v>515.74550000000011</v>
      </c>
      <c r="V409" s="51">
        <v>34694.300000000003</v>
      </c>
      <c r="W409" s="15">
        <f t="shared" si="22"/>
        <v>178934.29100650005</v>
      </c>
    </row>
    <row r="410" spans="1:25" s="155" customFormat="1" ht="45" hidden="1" x14ac:dyDescent="0.25">
      <c r="A410" s="123">
        <v>71</v>
      </c>
      <c r="B410" s="139" t="s">
        <v>272</v>
      </c>
      <c r="C410" s="53">
        <v>100</v>
      </c>
      <c r="D410" s="90">
        <v>427.5</v>
      </c>
      <c r="E410" s="53"/>
      <c r="F410" s="53"/>
      <c r="G410" s="53"/>
      <c r="H410" s="53"/>
      <c r="I410" s="53"/>
      <c r="J410" s="53"/>
      <c r="K410" s="53"/>
      <c r="L410" s="53"/>
      <c r="M410" s="53"/>
      <c r="N410" s="53"/>
      <c r="O410" s="53"/>
      <c r="P410" s="48"/>
      <c r="Q410" s="53"/>
      <c r="R410" s="53"/>
      <c r="S410" s="53"/>
      <c r="T410" s="53"/>
      <c r="U410" s="13">
        <f t="shared" si="23"/>
        <v>427.5</v>
      </c>
      <c r="V410" s="51">
        <v>11851.7</v>
      </c>
      <c r="W410" s="15">
        <f t="shared" si="22"/>
        <v>50666.017500000002</v>
      </c>
    </row>
    <row r="411" spans="1:25" s="155" customFormat="1" ht="30" hidden="1" x14ac:dyDescent="0.25">
      <c r="A411" s="123">
        <v>72</v>
      </c>
      <c r="B411" s="139" t="s">
        <v>273</v>
      </c>
      <c r="C411" s="91">
        <v>100</v>
      </c>
      <c r="D411" s="90">
        <v>1656.5625</v>
      </c>
      <c r="E411" s="52"/>
      <c r="F411" s="52"/>
      <c r="G411" s="52"/>
      <c r="H411" s="52"/>
      <c r="I411" s="52"/>
      <c r="J411" s="52"/>
      <c r="K411" s="52"/>
      <c r="L411" s="52"/>
      <c r="M411" s="52"/>
      <c r="N411" s="52"/>
      <c r="O411" s="52"/>
      <c r="P411" s="48"/>
      <c r="Q411" s="52"/>
      <c r="R411" s="52"/>
      <c r="S411" s="52"/>
      <c r="T411" s="52"/>
      <c r="U411" s="13">
        <f t="shared" si="23"/>
        <v>1656.5625</v>
      </c>
      <c r="V411" s="51">
        <v>35727</v>
      </c>
      <c r="W411" s="15">
        <f t="shared" si="22"/>
        <v>591840.08437499998</v>
      </c>
    </row>
    <row r="412" spans="1:25" s="155" customFormat="1" ht="30" hidden="1" x14ac:dyDescent="0.25">
      <c r="A412" s="123">
        <v>73</v>
      </c>
      <c r="B412" s="139" t="s">
        <v>274</v>
      </c>
      <c r="C412" s="53">
        <v>100</v>
      </c>
      <c r="D412" s="90">
        <v>6225.46875</v>
      </c>
      <c r="E412" s="54"/>
      <c r="F412" s="54"/>
      <c r="G412" s="54"/>
      <c r="H412" s="54"/>
      <c r="I412" s="54"/>
      <c r="J412" s="54"/>
      <c r="K412" s="54"/>
      <c r="L412" s="54"/>
      <c r="M412" s="54"/>
      <c r="N412" s="54"/>
      <c r="O412" s="54"/>
      <c r="P412" s="48"/>
      <c r="Q412" s="54"/>
      <c r="R412" s="54"/>
      <c r="S412" s="54"/>
      <c r="T412" s="54"/>
      <c r="U412" s="13">
        <f t="shared" si="23"/>
        <v>6225.46875</v>
      </c>
      <c r="V412" s="51">
        <v>4614.1000000000004</v>
      </c>
      <c r="W412" s="15">
        <f t="shared" si="22"/>
        <v>287249.35359375004</v>
      </c>
    </row>
    <row r="413" spans="1:25" s="155" customFormat="1" ht="150" hidden="1" x14ac:dyDescent="0.25">
      <c r="A413" s="123">
        <v>74</v>
      </c>
      <c r="B413" s="139" t="s">
        <v>275</v>
      </c>
      <c r="C413" s="53">
        <v>1</v>
      </c>
      <c r="D413" s="90">
        <v>6650</v>
      </c>
      <c r="E413" s="54"/>
      <c r="F413" s="54"/>
      <c r="G413" s="54"/>
      <c r="H413" s="54"/>
      <c r="I413" s="54"/>
      <c r="J413" s="54"/>
      <c r="K413" s="54"/>
      <c r="L413" s="54"/>
      <c r="M413" s="54"/>
      <c r="N413" s="54"/>
      <c r="O413" s="54"/>
      <c r="P413" s="48"/>
      <c r="Q413" s="54"/>
      <c r="R413" s="54"/>
      <c r="S413" s="54"/>
      <c r="T413" s="54"/>
      <c r="U413" s="13">
        <f t="shared" si="23"/>
        <v>6650</v>
      </c>
      <c r="V413" s="51">
        <v>1985.95</v>
      </c>
      <c r="W413" s="15">
        <f t="shared" si="22"/>
        <v>13206567.5</v>
      </c>
    </row>
    <row r="414" spans="1:25" s="155" customFormat="1" ht="45" hidden="1" x14ac:dyDescent="0.25">
      <c r="A414" s="123">
        <v>75</v>
      </c>
      <c r="B414" s="139" t="s">
        <v>276</v>
      </c>
      <c r="C414" s="89">
        <v>1</v>
      </c>
      <c r="D414" s="90">
        <v>14250</v>
      </c>
      <c r="E414" s="50"/>
      <c r="F414" s="50"/>
      <c r="G414" s="50"/>
      <c r="H414" s="50"/>
      <c r="I414" s="50"/>
      <c r="J414" s="50"/>
      <c r="K414" s="50"/>
      <c r="L414" s="50"/>
      <c r="M414" s="50"/>
      <c r="N414" s="50"/>
      <c r="O414" s="50"/>
      <c r="P414" s="48"/>
      <c r="Q414" s="50"/>
      <c r="R414" s="50"/>
      <c r="S414" s="50"/>
      <c r="T414" s="50"/>
      <c r="U414" s="13">
        <f t="shared" si="23"/>
        <v>14250</v>
      </c>
      <c r="V414" s="51">
        <v>234.95</v>
      </c>
      <c r="W414" s="15">
        <f t="shared" si="22"/>
        <v>3348037.5</v>
      </c>
    </row>
    <row r="415" spans="1:25" s="155" customFormat="1" ht="60" hidden="1" x14ac:dyDescent="0.25">
      <c r="A415" s="123">
        <v>76</v>
      </c>
      <c r="B415" s="139" t="s">
        <v>277</v>
      </c>
      <c r="C415" s="89">
        <v>1</v>
      </c>
      <c r="D415" s="90">
        <v>28500</v>
      </c>
      <c r="E415" s="50"/>
      <c r="F415" s="50"/>
      <c r="G415" s="50"/>
      <c r="H415" s="50"/>
      <c r="I415" s="50"/>
      <c r="J415" s="50"/>
      <c r="K415" s="50"/>
      <c r="L415" s="50"/>
      <c r="M415" s="50"/>
      <c r="N415" s="50"/>
      <c r="O415" s="50"/>
      <c r="P415" s="48"/>
      <c r="Q415" s="50"/>
      <c r="R415" s="50"/>
      <c r="S415" s="50"/>
      <c r="T415" s="50"/>
      <c r="U415" s="13">
        <f t="shared" si="23"/>
        <v>28500</v>
      </c>
      <c r="V415" s="51">
        <v>56.3</v>
      </c>
      <c r="W415" s="15">
        <f t="shared" si="22"/>
        <v>1604550</v>
      </c>
      <c r="X415" s="188">
        <f>SUM(W407:W415)</f>
        <v>53551417.493090548</v>
      </c>
    </row>
    <row r="416" spans="1:25" customFormat="1" ht="22.5" hidden="1" x14ac:dyDescent="0.25">
      <c r="A416" s="198" t="s">
        <v>407</v>
      </c>
      <c r="B416" s="198" t="s">
        <v>408</v>
      </c>
      <c r="C416" s="407"/>
      <c r="D416" s="407"/>
      <c r="E416" s="407"/>
      <c r="F416" s="407"/>
      <c r="G416" s="407"/>
      <c r="H416" s="407"/>
      <c r="I416" s="407"/>
      <c r="J416" s="407"/>
      <c r="K416" s="407"/>
      <c r="L416" s="407"/>
      <c r="M416" s="407"/>
      <c r="N416" s="407"/>
      <c r="O416" s="407"/>
      <c r="P416" s="407"/>
      <c r="Q416" s="407"/>
      <c r="R416" s="407"/>
      <c r="S416" s="407"/>
      <c r="T416" s="407"/>
      <c r="U416" s="407"/>
      <c r="V416" s="407"/>
      <c r="W416" s="407"/>
    </row>
    <row r="417" spans="1:23" customFormat="1" ht="216.75" hidden="1" x14ac:dyDescent="0.25">
      <c r="A417" s="124">
        <v>1</v>
      </c>
      <c r="B417" s="140" t="s">
        <v>386</v>
      </c>
      <c r="C417" s="37">
        <v>1</v>
      </c>
      <c r="D417" s="55">
        <v>37</v>
      </c>
      <c r="E417" s="55"/>
      <c r="F417" s="55"/>
      <c r="G417" s="55"/>
      <c r="H417" s="55"/>
      <c r="I417" s="55"/>
      <c r="J417" s="55"/>
      <c r="K417" s="55"/>
      <c r="L417" s="55"/>
      <c r="M417" s="55"/>
      <c r="N417" s="55"/>
      <c r="O417" s="55"/>
      <c r="P417" s="55"/>
      <c r="Q417" s="55"/>
      <c r="R417" s="55"/>
      <c r="S417" s="55"/>
      <c r="T417" s="55"/>
      <c r="U417" s="13">
        <f t="shared" ref="U417:U440" si="24">SUM(D417:T417)</f>
        <v>37</v>
      </c>
      <c r="V417" s="56">
        <v>4350150</v>
      </c>
      <c r="W417" s="15">
        <f>V417*U417/C417</f>
        <v>160955550</v>
      </c>
    </row>
    <row r="418" spans="1:23" customFormat="1" ht="267.75" hidden="1" x14ac:dyDescent="0.25">
      <c r="A418" s="124">
        <v>2</v>
      </c>
      <c r="B418" s="129" t="s">
        <v>389</v>
      </c>
      <c r="C418" s="37">
        <v>1</v>
      </c>
      <c r="D418" s="47">
        <v>8</v>
      </c>
      <c r="E418" s="55"/>
      <c r="F418" s="55"/>
      <c r="G418" s="55"/>
      <c r="H418" s="55"/>
      <c r="I418" s="55"/>
      <c r="J418" s="55"/>
      <c r="K418" s="55"/>
      <c r="L418" s="55"/>
      <c r="M418" s="55"/>
      <c r="N418" s="55"/>
      <c r="O418" s="55"/>
      <c r="P418" s="55"/>
      <c r="Q418" s="55"/>
      <c r="R418" s="55"/>
      <c r="S418" s="55"/>
      <c r="T418" s="55"/>
      <c r="U418" s="13">
        <f t="shared" si="24"/>
        <v>8</v>
      </c>
      <c r="V418" s="60">
        <v>3886124</v>
      </c>
      <c r="W418" s="15">
        <f t="shared" si="22"/>
        <v>31088992</v>
      </c>
    </row>
    <row r="419" spans="1:23" customFormat="1" ht="280.5" hidden="1" x14ac:dyDescent="0.25">
      <c r="A419" s="125">
        <v>3</v>
      </c>
      <c r="B419" s="141" t="s">
        <v>338</v>
      </c>
      <c r="C419" s="111">
        <v>1</v>
      </c>
      <c r="D419" s="25">
        <v>6</v>
      </c>
      <c r="E419" s="14"/>
      <c r="F419" s="14"/>
      <c r="G419" s="14"/>
      <c r="H419" s="14"/>
      <c r="I419" s="14"/>
      <c r="J419" s="14"/>
      <c r="K419" s="14"/>
      <c r="L419" s="14"/>
      <c r="M419" s="14"/>
      <c r="N419" s="14"/>
      <c r="O419" s="14"/>
      <c r="P419" s="14"/>
      <c r="Q419" s="14"/>
      <c r="R419" s="14"/>
      <c r="S419" s="14"/>
      <c r="T419" s="14"/>
      <c r="U419" s="13">
        <f t="shared" si="24"/>
        <v>6</v>
      </c>
      <c r="V419" s="64">
        <v>4140119</v>
      </c>
      <c r="W419" s="15">
        <f t="shared" si="22"/>
        <v>24840714</v>
      </c>
    </row>
    <row r="420" spans="1:23" customFormat="1" ht="280.5" hidden="1" x14ac:dyDescent="0.25">
      <c r="A420" s="124">
        <v>4</v>
      </c>
      <c r="B420" s="141" t="s">
        <v>298</v>
      </c>
      <c r="C420" s="37">
        <v>1</v>
      </c>
      <c r="D420" s="47">
        <v>1</v>
      </c>
      <c r="E420" s="55"/>
      <c r="F420" s="55"/>
      <c r="G420" s="55"/>
      <c r="H420" s="55"/>
      <c r="I420" s="55"/>
      <c r="J420" s="55"/>
      <c r="K420" s="55"/>
      <c r="L420" s="55"/>
      <c r="M420" s="55"/>
      <c r="N420" s="55"/>
      <c r="O420" s="55"/>
      <c r="P420" s="55"/>
      <c r="Q420" s="55"/>
      <c r="R420" s="55"/>
      <c r="S420" s="55"/>
      <c r="T420" s="55"/>
      <c r="U420" s="13">
        <f t="shared" si="24"/>
        <v>1</v>
      </c>
      <c r="V420" s="59">
        <v>8178639</v>
      </c>
      <c r="W420" s="15">
        <f t="shared" si="22"/>
        <v>8178639</v>
      </c>
    </row>
    <row r="421" spans="1:23" customFormat="1" ht="306" hidden="1" x14ac:dyDescent="0.25">
      <c r="A421" s="124">
        <v>5</v>
      </c>
      <c r="B421" s="128" t="s">
        <v>388</v>
      </c>
      <c r="C421" s="37">
        <v>1</v>
      </c>
      <c r="D421" s="55">
        <v>8</v>
      </c>
      <c r="E421" s="55"/>
      <c r="F421" s="55"/>
      <c r="G421" s="55"/>
      <c r="H421" s="55"/>
      <c r="I421" s="55"/>
      <c r="J421" s="55"/>
      <c r="K421" s="55"/>
      <c r="L421" s="55"/>
      <c r="M421" s="55"/>
      <c r="N421" s="55"/>
      <c r="O421" s="55"/>
      <c r="P421" s="55"/>
      <c r="Q421" s="55"/>
      <c r="R421" s="55"/>
      <c r="S421" s="55"/>
      <c r="T421" s="55"/>
      <c r="U421" s="13">
        <f t="shared" si="24"/>
        <v>8</v>
      </c>
      <c r="V421" s="59">
        <v>13004544</v>
      </c>
      <c r="W421" s="15">
        <f t="shared" si="22"/>
        <v>104036352</v>
      </c>
    </row>
    <row r="422" spans="1:23" customFormat="1" ht="51" x14ac:dyDescent="0.25">
      <c r="A422" s="124">
        <v>6</v>
      </c>
      <c r="B422" s="141" t="s">
        <v>299</v>
      </c>
      <c r="C422" s="37">
        <v>1</v>
      </c>
      <c r="D422" s="47">
        <v>3</v>
      </c>
      <c r="E422" s="55"/>
      <c r="F422" s="55"/>
      <c r="G422" s="55"/>
      <c r="H422" s="55"/>
      <c r="I422" s="55"/>
      <c r="J422" s="55"/>
      <c r="K422" s="55"/>
      <c r="L422" s="55"/>
      <c r="M422" s="55"/>
      <c r="N422" s="55"/>
      <c r="O422" s="55"/>
      <c r="P422" s="55"/>
      <c r="Q422" s="55"/>
      <c r="R422" s="55"/>
      <c r="S422" s="55"/>
      <c r="T422" s="55"/>
      <c r="U422" s="13">
        <v>3</v>
      </c>
      <c r="V422" s="59">
        <v>1472223</v>
      </c>
      <c r="W422" s="15">
        <f t="shared" si="22"/>
        <v>4416669</v>
      </c>
    </row>
    <row r="423" spans="1:23" customFormat="1" ht="51" x14ac:dyDescent="0.25">
      <c r="A423" s="124"/>
      <c r="B423" s="141" t="s">
        <v>299</v>
      </c>
      <c r="C423" s="37">
        <v>1</v>
      </c>
      <c r="D423" s="47">
        <v>1</v>
      </c>
      <c r="E423" s="55"/>
      <c r="F423" s="55"/>
      <c r="G423" s="55"/>
      <c r="H423" s="55"/>
      <c r="I423" s="55"/>
      <c r="J423" s="55"/>
      <c r="K423" s="55"/>
      <c r="L423" s="55"/>
      <c r="M423" s="55"/>
      <c r="N423" s="55"/>
      <c r="O423" s="55"/>
      <c r="P423" s="55"/>
      <c r="Q423" s="55"/>
      <c r="R423" s="55"/>
      <c r="S423" s="55"/>
      <c r="T423" s="55"/>
      <c r="U423" s="13">
        <v>1</v>
      </c>
      <c r="V423" s="59">
        <v>1315342</v>
      </c>
      <c r="W423" s="15">
        <f t="shared" si="22"/>
        <v>1315342</v>
      </c>
    </row>
    <row r="424" spans="1:23" customFormat="1" ht="60" hidden="1" x14ac:dyDescent="0.25">
      <c r="A424" s="124">
        <v>7</v>
      </c>
      <c r="B424" s="97" t="s">
        <v>297</v>
      </c>
      <c r="C424" s="37">
        <v>1</v>
      </c>
      <c r="D424" s="47">
        <v>1</v>
      </c>
      <c r="E424" s="55"/>
      <c r="F424" s="55"/>
      <c r="G424" s="55"/>
      <c r="H424" s="55"/>
      <c r="I424" s="55"/>
      <c r="J424" s="55"/>
      <c r="K424" s="55"/>
      <c r="L424" s="55"/>
      <c r="M424" s="55"/>
      <c r="N424" s="55"/>
      <c r="O424" s="55"/>
      <c r="P424" s="55"/>
      <c r="Q424" s="55"/>
      <c r="R424" s="55"/>
      <c r="S424" s="55"/>
      <c r="T424" s="55"/>
      <c r="U424" s="13">
        <f t="shared" si="24"/>
        <v>1</v>
      </c>
      <c r="V424" s="59">
        <v>1472223</v>
      </c>
      <c r="W424" s="15">
        <f t="shared" si="22"/>
        <v>1472223</v>
      </c>
    </row>
    <row r="425" spans="1:23" customFormat="1" ht="45" hidden="1" x14ac:dyDescent="0.25">
      <c r="A425" s="126">
        <v>8</v>
      </c>
      <c r="B425" s="97" t="s">
        <v>390</v>
      </c>
      <c r="C425" s="47" t="s">
        <v>278</v>
      </c>
      <c r="D425" s="47">
        <v>8140</v>
      </c>
      <c r="E425" s="47"/>
      <c r="F425" s="47"/>
      <c r="G425" s="47"/>
      <c r="H425" s="47"/>
      <c r="I425" s="47"/>
      <c r="J425" s="47"/>
      <c r="K425" s="47"/>
      <c r="L425" s="47"/>
      <c r="M425" s="47"/>
      <c r="N425" s="47"/>
      <c r="O425" s="47"/>
      <c r="P425" s="47"/>
      <c r="Q425" s="47"/>
      <c r="R425" s="47"/>
      <c r="S425" s="47"/>
      <c r="T425" s="47"/>
      <c r="U425" s="13">
        <f t="shared" si="24"/>
        <v>8140</v>
      </c>
      <c r="V425" s="47">
        <v>864.05</v>
      </c>
      <c r="W425" s="15">
        <f>V425*U425</f>
        <v>7033367</v>
      </c>
    </row>
    <row r="426" spans="1:23" customFormat="1" ht="30" hidden="1" x14ac:dyDescent="0.25">
      <c r="A426" s="124">
        <v>9</v>
      </c>
      <c r="B426" s="97" t="s">
        <v>279</v>
      </c>
      <c r="C426" s="37">
        <v>1</v>
      </c>
      <c r="D426" s="47">
        <v>1628</v>
      </c>
      <c r="E426" s="47"/>
      <c r="F426" s="47"/>
      <c r="G426" s="47"/>
      <c r="H426" s="47"/>
      <c r="I426" s="47"/>
      <c r="J426" s="47"/>
      <c r="K426" s="47"/>
      <c r="L426" s="47"/>
      <c r="M426" s="47"/>
      <c r="N426" s="47"/>
      <c r="O426" s="47"/>
      <c r="P426" s="47"/>
      <c r="Q426" s="47"/>
      <c r="R426" s="47"/>
      <c r="S426" s="47"/>
      <c r="T426" s="47"/>
      <c r="U426" s="13">
        <f t="shared" si="24"/>
        <v>1628</v>
      </c>
      <c r="V426" s="47">
        <v>80</v>
      </c>
      <c r="W426" s="15">
        <f t="shared" si="22"/>
        <v>130240</v>
      </c>
    </row>
    <row r="427" spans="1:23" customFormat="1" ht="30" hidden="1" x14ac:dyDescent="0.25">
      <c r="A427" s="126">
        <v>10</v>
      </c>
      <c r="B427" s="97" t="s">
        <v>280</v>
      </c>
      <c r="C427" s="57" t="s">
        <v>281</v>
      </c>
      <c r="D427" s="47">
        <v>37</v>
      </c>
      <c r="E427" s="47"/>
      <c r="F427" s="47"/>
      <c r="G427" s="47"/>
      <c r="H427" s="47"/>
      <c r="I427" s="47"/>
      <c r="J427" s="47"/>
      <c r="K427" s="47"/>
      <c r="L427" s="47"/>
      <c r="M427" s="47"/>
      <c r="N427" s="47"/>
      <c r="O427" s="47"/>
      <c r="P427" s="47"/>
      <c r="Q427" s="47"/>
      <c r="R427" s="47"/>
      <c r="S427" s="47"/>
      <c r="T427" s="47"/>
      <c r="U427" s="13">
        <f t="shared" si="24"/>
        <v>37</v>
      </c>
      <c r="V427" s="47">
        <v>232.8</v>
      </c>
      <c r="W427" s="15">
        <f>V427*U427</f>
        <v>8613.6</v>
      </c>
    </row>
    <row r="428" spans="1:23" customFormat="1" ht="60" hidden="1" x14ac:dyDescent="0.25">
      <c r="A428" s="124">
        <v>11</v>
      </c>
      <c r="B428" s="97" t="s">
        <v>282</v>
      </c>
      <c r="C428" s="47" t="s">
        <v>278</v>
      </c>
      <c r="D428" s="47">
        <v>2590</v>
      </c>
      <c r="E428" s="47"/>
      <c r="F428" s="47"/>
      <c r="G428" s="47"/>
      <c r="H428" s="47"/>
      <c r="I428" s="47"/>
      <c r="J428" s="47"/>
      <c r="K428" s="47"/>
      <c r="L428" s="47"/>
      <c r="M428" s="47"/>
      <c r="N428" s="47"/>
      <c r="O428" s="47"/>
      <c r="P428" s="47"/>
      <c r="Q428" s="47"/>
      <c r="R428" s="47"/>
      <c r="S428" s="47"/>
      <c r="T428" s="47"/>
      <c r="U428" s="13">
        <f t="shared" si="24"/>
        <v>2590</v>
      </c>
      <c r="V428" s="47">
        <v>5371</v>
      </c>
      <c r="W428" s="15">
        <f>V428*U428</f>
        <v>13910890</v>
      </c>
    </row>
    <row r="429" spans="1:23" customFormat="1" ht="45" hidden="1" x14ac:dyDescent="0.25">
      <c r="A429" s="126">
        <v>12</v>
      </c>
      <c r="B429" s="97" t="s">
        <v>283</v>
      </c>
      <c r="C429" s="37">
        <v>1</v>
      </c>
      <c r="D429" s="47">
        <v>74</v>
      </c>
      <c r="E429" s="47"/>
      <c r="F429" s="47"/>
      <c r="G429" s="47"/>
      <c r="H429" s="47"/>
      <c r="I429" s="47"/>
      <c r="J429" s="47"/>
      <c r="K429" s="47"/>
      <c r="L429" s="47"/>
      <c r="M429" s="47"/>
      <c r="N429" s="47"/>
      <c r="O429" s="47"/>
      <c r="P429" s="47"/>
      <c r="Q429" s="47"/>
      <c r="R429" s="47"/>
      <c r="S429" s="47"/>
      <c r="T429" s="47"/>
      <c r="U429" s="13">
        <f t="shared" si="24"/>
        <v>74</v>
      </c>
      <c r="V429" s="47">
        <v>35582</v>
      </c>
      <c r="W429" s="15">
        <f t="shared" si="22"/>
        <v>2633068</v>
      </c>
    </row>
    <row r="430" spans="1:23" customFormat="1" ht="75" hidden="1" x14ac:dyDescent="0.25">
      <c r="A430" s="124">
        <v>13</v>
      </c>
      <c r="B430" s="97" t="s">
        <v>284</v>
      </c>
      <c r="C430" s="47" t="s">
        <v>278</v>
      </c>
      <c r="D430" s="47">
        <v>4440</v>
      </c>
      <c r="E430" s="47"/>
      <c r="F430" s="47"/>
      <c r="G430" s="47"/>
      <c r="H430" s="47"/>
      <c r="I430" s="47"/>
      <c r="J430" s="47"/>
      <c r="K430" s="47"/>
      <c r="L430" s="47"/>
      <c r="M430" s="47"/>
      <c r="N430" s="47"/>
      <c r="O430" s="47"/>
      <c r="P430" s="47"/>
      <c r="Q430" s="47"/>
      <c r="R430" s="47"/>
      <c r="S430" s="47"/>
      <c r="T430" s="47"/>
      <c r="U430" s="13">
        <f t="shared" si="24"/>
        <v>4440</v>
      </c>
      <c r="V430" s="47">
        <v>3866.45</v>
      </c>
      <c r="W430" s="15">
        <f>V430*U430</f>
        <v>17167038</v>
      </c>
    </row>
    <row r="431" spans="1:23" customFormat="1" ht="60" hidden="1" x14ac:dyDescent="0.25">
      <c r="A431" s="126">
        <v>14</v>
      </c>
      <c r="B431" s="97" t="s">
        <v>285</v>
      </c>
      <c r="C431" s="47" t="s">
        <v>278</v>
      </c>
      <c r="D431" s="47">
        <v>740</v>
      </c>
      <c r="E431" s="47"/>
      <c r="F431" s="47"/>
      <c r="G431" s="47"/>
      <c r="H431" s="47"/>
      <c r="I431" s="47"/>
      <c r="J431" s="47"/>
      <c r="K431" s="47"/>
      <c r="L431" s="47"/>
      <c r="M431" s="47"/>
      <c r="N431" s="47"/>
      <c r="O431" s="47"/>
      <c r="P431" s="47"/>
      <c r="Q431" s="47"/>
      <c r="R431" s="47"/>
      <c r="S431" s="47"/>
      <c r="T431" s="47"/>
      <c r="U431" s="13">
        <f t="shared" si="24"/>
        <v>740</v>
      </c>
      <c r="V431" s="47">
        <v>3583</v>
      </c>
      <c r="W431" s="15">
        <f>V431*U431</f>
        <v>2651420</v>
      </c>
    </row>
    <row r="432" spans="1:23" customFormat="1" ht="75" hidden="1" x14ac:dyDescent="0.25">
      <c r="A432" s="124">
        <v>15</v>
      </c>
      <c r="B432" s="97" t="s">
        <v>286</v>
      </c>
      <c r="C432" s="47" t="s">
        <v>278</v>
      </c>
      <c r="D432" s="47">
        <v>370</v>
      </c>
      <c r="E432" s="47"/>
      <c r="F432" s="47"/>
      <c r="G432" s="47"/>
      <c r="H432" s="47"/>
      <c r="I432" s="47"/>
      <c r="J432" s="47"/>
      <c r="K432" s="47"/>
      <c r="L432" s="47"/>
      <c r="M432" s="47"/>
      <c r="N432" s="47"/>
      <c r="O432" s="47"/>
      <c r="P432" s="47"/>
      <c r="Q432" s="47"/>
      <c r="R432" s="47"/>
      <c r="S432" s="47"/>
      <c r="T432" s="47"/>
      <c r="U432" s="13">
        <f t="shared" si="24"/>
        <v>370</v>
      </c>
      <c r="V432" s="47">
        <v>3735.5</v>
      </c>
      <c r="W432" s="15">
        <f>V432*U432</f>
        <v>1382135</v>
      </c>
    </row>
    <row r="433" spans="1:24" customFormat="1" ht="30" hidden="1" x14ac:dyDescent="0.25">
      <c r="A433" s="126">
        <v>16</v>
      </c>
      <c r="B433" s="97" t="s">
        <v>287</v>
      </c>
      <c r="C433" s="37">
        <v>1</v>
      </c>
      <c r="D433" s="47">
        <v>148</v>
      </c>
      <c r="E433" s="47"/>
      <c r="F433" s="47"/>
      <c r="G433" s="47"/>
      <c r="H433" s="47"/>
      <c r="I433" s="47"/>
      <c r="J433" s="47"/>
      <c r="K433" s="47"/>
      <c r="L433" s="47"/>
      <c r="M433" s="47"/>
      <c r="N433" s="47"/>
      <c r="O433" s="47"/>
      <c r="P433" s="47"/>
      <c r="Q433" s="47"/>
      <c r="R433" s="47"/>
      <c r="S433" s="47"/>
      <c r="T433" s="47"/>
      <c r="U433" s="13">
        <f t="shared" si="24"/>
        <v>148</v>
      </c>
      <c r="V433" s="47">
        <v>1148</v>
      </c>
      <c r="W433" s="15">
        <f t="shared" si="22"/>
        <v>169904</v>
      </c>
    </row>
    <row r="434" spans="1:24" customFormat="1" ht="30" hidden="1" x14ac:dyDescent="0.25">
      <c r="A434" s="124">
        <v>17</v>
      </c>
      <c r="B434" s="97" t="s">
        <v>288</v>
      </c>
      <c r="C434" s="47" t="s">
        <v>289</v>
      </c>
      <c r="D434" s="47">
        <v>6520.88</v>
      </c>
      <c r="E434" s="47"/>
      <c r="F434" s="47"/>
      <c r="G434" s="47"/>
      <c r="H434" s="47"/>
      <c r="I434" s="47"/>
      <c r="J434" s="47"/>
      <c r="K434" s="47"/>
      <c r="L434" s="47"/>
      <c r="M434" s="47"/>
      <c r="N434" s="47"/>
      <c r="O434" s="47"/>
      <c r="P434" s="47"/>
      <c r="Q434" s="47"/>
      <c r="R434" s="47"/>
      <c r="S434" s="47"/>
      <c r="T434" s="47"/>
      <c r="U434" s="13">
        <f t="shared" si="24"/>
        <v>6520.88</v>
      </c>
      <c r="V434" s="47">
        <v>186.65</v>
      </c>
      <c r="W434" s="15">
        <f>V434*U434</f>
        <v>1217122.2520000001</v>
      </c>
    </row>
    <row r="435" spans="1:24" customFormat="1" ht="30" hidden="1" x14ac:dyDescent="0.25">
      <c r="A435" s="126">
        <v>18</v>
      </c>
      <c r="B435" s="97" t="s">
        <v>387</v>
      </c>
      <c r="C435" s="47" t="s">
        <v>290</v>
      </c>
      <c r="D435" s="47">
        <v>2664</v>
      </c>
      <c r="E435" s="47"/>
      <c r="F435" s="47"/>
      <c r="G435" s="47"/>
      <c r="H435" s="47"/>
      <c r="I435" s="47"/>
      <c r="J435" s="47"/>
      <c r="K435" s="47"/>
      <c r="L435" s="47"/>
      <c r="M435" s="47"/>
      <c r="N435" s="47"/>
      <c r="O435" s="47"/>
      <c r="P435" s="47"/>
      <c r="Q435" s="47"/>
      <c r="R435" s="47"/>
      <c r="S435" s="47"/>
      <c r="T435" s="47"/>
      <c r="U435" s="13">
        <f t="shared" si="24"/>
        <v>2664</v>
      </c>
      <c r="V435" s="47">
        <v>3253.1</v>
      </c>
      <c r="W435" s="15">
        <f>V435*U435</f>
        <v>8666258.4000000004</v>
      </c>
    </row>
    <row r="436" spans="1:24" customFormat="1" ht="45" hidden="1" x14ac:dyDescent="0.25">
      <c r="A436" s="124">
        <v>19</v>
      </c>
      <c r="B436" s="97" t="s">
        <v>291</v>
      </c>
      <c r="C436" s="47" t="s">
        <v>278</v>
      </c>
      <c r="D436" s="47">
        <v>1850</v>
      </c>
      <c r="E436" s="47"/>
      <c r="F436" s="47"/>
      <c r="G436" s="47"/>
      <c r="H436" s="47"/>
      <c r="I436" s="47"/>
      <c r="J436" s="47"/>
      <c r="K436" s="47"/>
      <c r="L436" s="47"/>
      <c r="M436" s="47"/>
      <c r="N436" s="47"/>
      <c r="O436" s="47"/>
      <c r="P436" s="47"/>
      <c r="Q436" s="47"/>
      <c r="R436" s="47"/>
      <c r="S436" s="47"/>
      <c r="T436" s="47"/>
      <c r="U436" s="13">
        <f t="shared" si="24"/>
        <v>1850</v>
      </c>
      <c r="V436" s="47">
        <v>924.05</v>
      </c>
      <c r="W436" s="15">
        <f>V436*U436</f>
        <v>1709492.5</v>
      </c>
    </row>
    <row r="437" spans="1:24" customFormat="1" ht="60" hidden="1" x14ac:dyDescent="0.25">
      <c r="A437" s="126">
        <v>20</v>
      </c>
      <c r="B437" s="97" t="s">
        <v>292</v>
      </c>
      <c r="C437" s="58">
        <v>1000</v>
      </c>
      <c r="D437" s="47">
        <v>118400</v>
      </c>
      <c r="E437" s="47"/>
      <c r="F437" s="47"/>
      <c r="G437" s="47"/>
      <c r="H437" s="47"/>
      <c r="I437" s="47"/>
      <c r="J437" s="47"/>
      <c r="K437" s="47"/>
      <c r="L437" s="47"/>
      <c r="M437" s="47"/>
      <c r="N437" s="47"/>
      <c r="O437" s="47"/>
      <c r="P437" s="47"/>
      <c r="Q437" s="47"/>
      <c r="R437" s="47"/>
      <c r="S437" s="47"/>
      <c r="T437" s="47"/>
      <c r="U437" s="13">
        <f t="shared" si="24"/>
        <v>118400</v>
      </c>
      <c r="V437" s="47">
        <v>11293.9</v>
      </c>
      <c r="W437" s="15">
        <f t="shared" si="22"/>
        <v>1337197.76</v>
      </c>
    </row>
    <row r="438" spans="1:24" customFormat="1" ht="15" hidden="1" x14ac:dyDescent="0.25">
      <c r="A438" s="124">
        <v>21</v>
      </c>
      <c r="B438" s="97" t="s">
        <v>293</v>
      </c>
      <c r="C438" s="58">
        <v>1000</v>
      </c>
      <c r="D438" s="47">
        <v>118400</v>
      </c>
      <c r="E438" s="47"/>
      <c r="F438" s="47"/>
      <c r="G438" s="47"/>
      <c r="H438" s="47"/>
      <c r="I438" s="47"/>
      <c r="J438" s="47"/>
      <c r="K438" s="47"/>
      <c r="L438" s="47"/>
      <c r="M438" s="47"/>
      <c r="N438" s="47"/>
      <c r="O438" s="47"/>
      <c r="P438" s="47"/>
      <c r="Q438" s="47"/>
      <c r="R438" s="47"/>
      <c r="S438" s="47"/>
      <c r="T438" s="47"/>
      <c r="U438" s="13">
        <f t="shared" si="24"/>
        <v>118400</v>
      </c>
      <c r="V438" s="47">
        <v>5266.8</v>
      </c>
      <c r="W438" s="15">
        <f t="shared" si="22"/>
        <v>623589.12</v>
      </c>
    </row>
    <row r="439" spans="1:24" customFormat="1" ht="75" hidden="1" x14ac:dyDescent="0.25">
      <c r="A439" s="126">
        <v>22</v>
      </c>
      <c r="B439" s="97" t="s">
        <v>294</v>
      </c>
      <c r="C439" s="47" t="s">
        <v>295</v>
      </c>
      <c r="D439" s="47">
        <v>14800</v>
      </c>
      <c r="E439" s="47"/>
      <c r="F439" s="47"/>
      <c r="G439" s="47"/>
      <c r="H439" s="47"/>
      <c r="I439" s="47"/>
      <c r="J439" s="47"/>
      <c r="K439" s="47"/>
      <c r="L439" s="47"/>
      <c r="M439" s="47"/>
      <c r="N439" s="47"/>
      <c r="O439" s="47"/>
      <c r="P439" s="47"/>
      <c r="Q439" s="47"/>
      <c r="R439" s="47"/>
      <c r="S439" s="47"/>
      <c r="T439" s="47"/>
      <c r="U439" s="13">
        <f t="shared" si="24"/>
        <v>14800</v>
      </c>
      <c r="V439" s="47">
        <v>3565</v>
      </c>
      <c r="W439" s="15">
        <f>V439*U439</f>
        <v>52762000</v>
      </c>
    </row>
    <row r="440" spans="1:24" customFormat="1" ht="75" hidden="1" x14ac:dyDescent="0.25">
      <c r="A440" s="124">
        <v>23</v>
      </c>
      <c r="B440" s="97" t="s">
        <v>296</v>
      </c>
      <c r="C440" s="47" t="s">
        <v>295</v>
      </c>
      <c r="D440" s="47">
        <v>555</v>
      </c>
      <c r="E440" s="47"/>
      <c r="F440" s="47"/>
      <c r="G440" s="47"/>
      <c r="H440" s="47"/>
      <c r="I440" s="47"/>
      <c r="J440" s="47"/>
      <c r="K440" s="47"/>
      <c r="L440" s="47"/>
      <c r="M440" s="47"/>
      <c r="N440" s="47"/>
      <c r="O440" s="47"/>
      <c r="P440" s="47"/>
      <c r="Q440" s="47"/>
      <c r="R440" s="47"/>
      <c r="S440" s="47"/>
      <c r="T440" s="47"/>
      <c r="U440" s="13">
        <f t="shared" si="24"/>
        <v>555</v>
      </c>
      <c r="V440" s="47">
        <v>500.3</v>
      </c>
      <c r="W440" s="15">
        <f>V440*U440</f>
        <v>277666.5</v>
      </c>
      <c r="X440" s="190">
        <f>SUM(W425:W440)</f>
        <v>111680002.132</v>
      </c>
    </row>
    <row r="441" spans="1:24" customFormat="1" ht="22.5" hidden="1" x14ac:dyDescent="0.25">
      <c r="A441" s="198">
        <v>14</v>
      </c>
      <c r="B441" s="198" t="s">
        <v>409</v>
      </c>
      <c r="C441" s="407"/>
      <c r="D441" s="407"/>
      <c r="E441" s="407"/>
      <c r="F441" s="407"/>
      <c r="G441" s="407"/>
      <c r="H441" s="407"/>
      <c r="I441" s="407"/>
      <c r="J441" s="407"/>
      <c r="K441" s="407"/>
      <c r="L441" s="407"/>
      <c r="M441" s="407"/>
      <c r="N441" s="407"/>
      <c r="O441" s="407"/>
      <c r="P441" s="407"/>
      <c r="Q441" s="407"/>
      <c r="R441" s="407"/>
      <c r="S441" s="407"/>
      <c r="T441" s="407"/>
      <c r="U441" s="407"/>
      <c r="V441" s="407"/>
      <c r="W441" s="407"/>
    </row>
    <row r="442" spans="1:24" customFormat="1" ht="216.75" hidden="1" x14ac:dyDescent="0.25">
      <c r="A442" s="126">
        <v>1</v>
      </c>
      <c r="B442" s="141" t="s">
        <v>300</v>
      </c>
      <c r="C442" s="37">
        <v>1</v>
      </c>
      <c r="D442" s="4">
        <v>87</v>
      </c>
      <c r="E442" s="60"/>
      <c r="F442" s="60"/>
      <c r="G442" s="60"/>
      <c r="H442" s="60"/>
      <c r="I442" s="60"/>
      <c r="J442" s="60"/>
      <c r="K442" s="60"/>
      <c r="L442" s="60"/>
      <c r="M442" s="60"/>
      <c r="N442" s="60"/>
      <c r="O442" s="60"/>
      <c r="P442" s="60"/>
      <c r="Q442" s="60"/>
      <c r="R442" s="60"/>
      <c r="S442" s="60"/>
      <c r="T442" s="60"/>
      <c r="U442" s="13">
        <f t="shared" ref="U442:U466" si="25">SUM(D442:T442)</f>
        <v>87</v>
      </c>
      <c r="V442" s="60">
        <v>1950150</v>
      </c>
      <c r="W442" s="15">
        <f t="shared" si="22"/>
        <v>169663050</v>
      </c>
    </row>
    <row r="443" spans="1:24" customFormat="1" ht="25.5" hidden="1" x14ac:dyDescent="0.25">
      <c r="A443" s="124">
        <v>3</v>
      </c>
      <c r="B443" s="128" t="s">
        <v>339</v>
      </c>
      <c r="C443" s="37">
        <v>1</v>
      </c>
      <c r="D443" s="49">
        <v>1</v>
      </c>
      <c r="E443" s="49"/>
      <c r="F443" s="49"/>
      <c r="G443" s="49"/>
      <c r="H443" s="49"/>
      <c r="I443" s="49"/>
      <c r="J443" s="49"/>
      <c r="K443" s="49"/>
      <c r="L443" s="49"/>
      <c r="M443" s="49"/>
      <c r="N443" s="49"/>
      <c r="O443" s="49"/>
      <c r="P443" s="49"/>
      <c r="Q443" s="49"/>
      <c r="R443" s="49"/>
      <c r="S443" s="49"/>
      <c r="T443" s="49"/>
      <c r="U443" s="13">
        <f t="shared" si="25"/>
        <v>1</v>
      </c>
      <c r="V443" s="65">
        <v>1829000</v>
      </c>
      <c r="W443" s="15">
        <f t="shared" si="22"/>
        <v>1829000</v>
      </c>
    </row>
    <row r="444" spans="1:24" customFormat="1" ht="89.25" hidden="1" x14ac:dyDescent="0.25">
      <c r="A444" s="124">
        <v>4</v>
      </c>
      <c r="B444" s="128" t="s">
        <v>340</v>
      </c>
      <c r="C444" s="37">
        <v>1</v>
      </c>
      <c r="D444" s="49">
        <v>1</v>
      </c>
      <c r="E444" s="49"/>
      <c r="F444" s="49"/>
      <c r="G444" s="49"/>
      <c r="H444" s="49"/>
      <c r="I444" s="49"/>
      <c r="J444" s="49"/>
      <c r="K444" s="49"/>
      <c r="L444" s="49"/>
      <c r="M444" s="49"/>
      <c r="N444" s="49"/>
      <c r="O444" s="49"/>
      <c r="P444" s="49"/>
      <c r="Q444" s="49"/>
      <c r="R444" s="49"/>
      <c r="S444" s="49"/>
      <c r="T444" s="49"/>
      <c r="U444" s="13">
        <f t="shared" si="25"/>
        <v>1</v>
      </c>
      <c r="V444" s="65">
        <v>4250000</v>
      </c>
      <c r="W444" s="15">
        <f t="shared" si="22"/>
        <v>4250000</v>
      </c>
    </row>
    <row r="445" spans="1:24" customFormat="1" ht="76.5" hidden="1" x14ac:dyDescent="0.25">
      <c r="A445" s="124">
        <v>5</v>
      </c>
      <c r="B445" s="128" t="s">
        <v>341</v>
      </c>
      <c r="C445" s="37">
        <v>1</v>
      </c>
      <c r="D445" s="49">
        <v>1</v>
      </c>
      <c r="E445" s="49"/>
      <c r="F445" s="49"/>
      <c r="G445" s="49"/>
      <c r="H445" s="49"/>
      <c r="I445" s="49"/>
      <c r="J445" s="49"/>
      <c r="K445" s="49"/>
      <c r="L445" s="49"/>
      <c r="M445" s="49"/>
      <c r="N445" s="49"/>
      <c r="O445" s="49"/>
      <c r="P445" s="49"/>
      <c r="Q445" s="49"/>
      <c r="R445" s="49"/>
      <c r="S445" s="49"/>
      <c r="T445" s="49"/>
      <c r="U445" s="13">
        <f t="shared" si="25"/>
        <v>1</v>
      </c>
      <c r="V445" s="49">
        <v>1475000</v>
      </c>
      <c r="W445" s="15">
        <f>V445*U445/C445</f>
        <v>1475000</v>
      </c>
    </row>
    <row r="446" spans="1:24" customFormat="1" ht="51" hidden="1" x14ac:dyDescent="0.25">
      <c r="A446" s="124">
        <v>6</v>
      </c>
      <c r="B446" s="128" t="s">
        <v>342</v>
      </c>
      <c r="C446" s="37">
        <v>1</v>
      </c>
      <c r="D446" s="49">
        <v>4</v>
      </c>
      <c r="E446" s="49"/>
      <c r="F446" s="49"/>
      <c r="G446" s="49"/>
      <c r="H446" s="49"/>
      <c r="I446" s="49"/>
      <c r="J446" s="49"/>
      <c r="K446" s="49"/>
      <c r="L446" s="49"/>
      <c r="M446" s="49"/>
      <c r="N446" s="49"/>
      <c r="O446" s="49"/>
      <c r="P446" s="49"/>
      <c r="Q446" s="49"/>
      <c r="R446" s="49"/>
      <c r="S446" s="49"/>
      <c r="T446" s="49"/>
      <c r="U446" s="13">
        <f t="shared" si="25"/>
        <v>4</v>
      </c>
      <c r="V446" s="49">
        <v>129800</v>
      </c>
      <c r="W446" s="15">
        <f t="shared" si="22"/>
        <v>519200</v>
      </c>
    </row>
    <row r="447" spans="1:24" customFormat="1" ht="102" hidden="1" x14ac:dyDescent="0.25">
      <c r="A447" s="124">
        <v>7</v>
      </c>
      <c r="B447" s="128" t="s">
        <v>343</v>
      </c>
      <c r="C447" s="37">
        <v>1</v>
      </c>
      <c r="D447" s="49">
        <v>2</v>
      </c>
      <c r="E447" s="49"/>
      <c r="F447" s="49"/>
      <c r="G447" s="49"/>
      <c r="H447" s="49"/>
      <c r="I447" s="49"/>
      <c r="J447" s="49"/>
      <c r="K447" s="49"/>
      <c r="L447" s="49"/>
      <c r="M447" s="49"/>
      <c r="N447" s="49"/>
      <c r="O447" s="49"/>
      <c r="P447" s="49"/>
      <c r="Q447" s="49"/>
      <c r="R447" s="49"/>
      <c r="S447" s="49"/>
      <c r="T447" s="49"/>
      <c r="U447" s="13">
        <f t="shared" si="25"/>
        <v>2</v>
      </c>
      <c r="V447" s="49">
        <v>850000</v>
      </c>
      <c r="W447" s="15">
        <f t="shared" si="22"/>
        <v>1700000</v>
      </c>
    </row>
    <row r="448" spans="1:24" customFormat="1" ht="285.75" hidden="1" x14ac:dyDescent="0.25">
      <c r="A448" s="124">
        <v>8</v>
      </c>
      <c r="B448" s="142" t="s">
        <v>344</v>
      </c>
      <c r="C448" s="37">
        <v>1</v>
      </c>
      <c r="D448" s="61">
        <v>6</v>
      </c>
      <c r="E448" s="61"/>
      <c r="F448" s="61"/>
      <c r="G448" s="61"/>
      <c r="H448" s="61"/>
      <c r="I448" s="61"/>
      <c r="J448" s="61"/>
      <c r="K448" s="61"/>
      <c r="L448" s="61"/>
      <c r="M448" s="61"/>
      <c r="N448" s="61"/>
      <c r="O448" s="61"/>
      <c r="P448" s="61"/>
      <c r="Q448" s="61"/>
      <c r="R448" s="61"/>
      <c r="S448" s="61"/>
      <c r="T448" s="61"/>
      <c r="U448" s="13">
        <f t="shared" si="25"/>
        <v>6</v>
      </c>
      <c r="V448" s="66">
        <v>5061387.5</v>
      </c>
      <c r="W448" s="15">
        <f t="shared" si="22"/>
        <v>30368325</v>
      </c>
    </row>
    <row r="449" spans="1:31" customFormat="1" ht="285" hidden="1" x14ac:dyDescent="0.25">
      <c r="A449" s="124"/>
      <c r="B449" s="142" t="s">
        <v>426</v>
      </c>
      <c r="C449" s="37">
        <v>1</v>
      </c>
      <c r="D449" s="61">
        <v>7</v>
      </c>
      <c r="E449" s="61"/>
      <c r="F449" s="61"/>
      <c r="G449" s="61"/>
      <c r="H449" s="61"/>
      <c r="I449" s="61"/>
      <c r="J449" s="61"/>
      <c r="K449" s="61"/>
      <c r="L449" s="61"/>
      <c r="M449" s="61"/>
      <c r="N449" s="61"/>
      <c r="O449" s="61"/>
      <c r="P449" s="61"/>
      <c r="Q449" s="61"/>
      <c r="R449" s="61"/>
      <c r="S449" s="61"/>
      <c r="T449" s="61"/>
      <c r="U449" s="13">
        <f t="shared" si="25"/>
        <v>7</v>
      </c>
      <c r="V449" s="66">
        <v>4116450</v>
      </c>
      <c r="W449" s="15">
        <f t="shared" si="22"/>
        <v>28815150</v>
      </c>
    </row>
    <row r="450" spans="1:31" customFormat="1" ht="285" hidden="1" x14ac:dyDescent="0.25">
      <c r="A450" s="124"/>
      <c r="B450" s="142" t="s">
        <v>427</v>
      </c>
      <c r="C450" s="37">
        <v>1</v>
      </c>
      <c r="D450" s="61">
        <v>1</v>
      </c>
      <c r="E450" s="61"/>
      <c r="F450" s="61"/>
      <c r="G450" s="61"/>
      <c r="H450" s="61"/>
      <c r="I450" s="61"/>
      <c r="J450" s="61"/>
      <c r="K450" s="61"/>
      <c r="L450" s="61"/>
      <c r="M450" s="61"/>
      <c r="N450" s="61"/>
      <c r="O450" s="61"/>
      <c r="P450" s="61"/>
      <c r="Q450" s="61"/>
      <c r="R450" s="61"/>
      <c r="S450" s="61"/>
      <c r="T450" s="61"/>
      <c r="U450" s="13">
        <f t="shared" si="25"/>
        <v>1</v>
      </c>
      <c r="V450" s="66">
        <v>8787425</v>
      </c>
      <c r="W450" s="15">
        <f t="shared" si="22"/>
        <v>8787425</v>
      </c>
    </row>
    <row r="451" spans="1:31" s="154" customFormat="1" hidden="1" x14ac:dyDescent="0.25">
      <c r="A451" s="117" t="s">
        <v>51</v>
      </c>
      <c r="B451" s="92" t="s">
        <v>429</v>
      </c>
      <c r="C451" s="22" t="s">
        <v>347</v>
      </c>
      <c r="D451" s="25"/>
      <c r="E451" s="30"/>
      <c r="F451" s="30"/>
      <c r="G451" s="30"/>
      <c r="H451" s="30"/>
      <c r="I451" s="30"/>
      <c r="J451" s="30"/>
      <c r="K451" s="30"/>
      <c r="L451" s="30"/>
      <c r="M451" s="30"/>
      <c r="N451" s="30"/>
      <c r="O451" s="30"/>
      <c r="P451" s="30"/>
      <c r="Q451" s="30"/>
      <c r="R451" s="30"/>
      <c r="S451" s="30"/>
      <c r="T451" s="30"/>
      <c r="U451" s="13">
        <f t="shared" si="25"/>
        <v>0</v>
      </c>
      <c r="V451" s="30"/>
      <c r="W451" s="15">
        <v>1300000</v>
      </c>
    </row>
    <row r="452" spans="1:31" s="154" customFormat="1" hidden="1" x14ac:dyDescent="0.25">
      <c r="A452" s="117" t="s">
        <v>53</v>
      </c>
      <c r="B452" s="92" t="s">
        <v>428</v>
      </c>
      <c r="C452" s="22" t="s">
        <v>347</v>
      </c>
      <c r="D452" s="25"/>
      <c r="E452" s="30"/>
      <c r="F452" s="30"/>
      <c r="G452" s="30"/>
      <c r="H452" s="30"/>
      <c r="I452" s="30"/>
      <c r="J452" s="30"/>
      <c r="K452" s="30"/>
      <c r="L452" s="30"/>
      <c r="M452" s="30"/>
      <c r="N452" s="30"/>
      <c r="O452" s="30"/>
      <c r="P452" s="30"/>
      <c r="Q452" s="30"/>
      <c r="R452" s="30"/>
      <c r="S452" s="30"/>
      <c r="T452" s="30"/>
      <c r="U452" s="13">
        <f t="shared" si="25"/>
        <v>0</v>
      </c>
      <c r="V452" s="30"/>
      <c r="W452" s="15">
        <v>700000</v>
      </c>
    </row>
    <row r="453" spans="1:31" s="154" customFormat="1" hidden="1" x14ac:dyDescent="0.25">
      <c r="A453" s="117" t="s">
        <v>55</v>
      </c>
      <c r="B453" s="92" t="s">
        <v>432</v>
      </c>
      <c r="C453" s="22" t="s">
        <v>347</v>
      </c>
      <c r="D453" s="25"/>
      <c r="E453" s="30"/>
      <c r="F453" s="30"/>
      <c r="G453" s="30"/>
      <c r="H453" s="30"/>
      <c r="I453" s="30"/>
      <c r="J453" s="30"/>
      <c r="K453" s="30"/>
      <c r="L453" s="30"/>
      <c r="M453" s="30"/>
      <c r="N453" s="30"/>
      <c r="O453" s="30"/>
      <c r="P453" s="30"/>
      <c r="Q453" s="30"/>
      <c r="R453" s="30"/>
      <c r="S453" s="30"/>
      <c r="T453" s="30"/>
      <c r="U453" s="13">
        <f t="shared" si="25"/>
        <v>0</v>
      </c>
      <c r="V453" s="30"/>
      <c r="W453" s="15">
        <v>500000</v>
      </c>
    </row>
    <row r="454" spans="1:31" s="154" customFormat="1" hidden="1" x14ac:dyDescent="0.25">
      <c r="A454" s="117" t="s">
        <v>51</v>
      </c>
      <c r="B454" s="92" t="s">
        <v>430</v>
      </c>
      <c r="C454" s="22" t="s">
        <v>347</v>
      </c>
      <c r="D454" s="25"/>
      <c r="E454" s="30"/>
      <c r="F454" s="30"/>
      <c r="G454" s="30"/>
      <c r="H454" s="30"/>
      <c r="I454" s="30"/>
      <c r="J454" s="30"/>
      <c r="K454" s="30"/>
      <c r="L454" s="30"/>
      <c r="M454" s="30"/>
      <c r="N454" s="30"/>
      <c r="O454" s="30"/>
      <c r="P454" s="30"/>
      <c r="Q454" s="30"/>
      <c r="R454" s="30"/>
      <c r="S454" s="30"/>
      <c r="T454" s="30"/>
      <c r="U454" s="13">
        <f t="shared" si="25"/>
        <v>0</v>
      </c>
      <c r="V454" s="30"/>
      <c r="W454" s="15">
        <v>500000</v>
      </c>
    </row>
    <row r="455" spans="1:31" s="154" customFormat="1" hidden="1" x14ac:dyDescent="0.25">
      <c r="A455" s="117" t="s">
        <v>53</v>
      </c>
      <c r="B455" s="92" t="s">
        <v>431</v>
      </c>
      <c r="C455" s="22" t="s">
        <v>347</v>
      </c>
      <c r="D455" s="25"/>
      <c r="E455" s="30"/>
      <c r="F455" s="30"/>
      <c r="G455" s="30"/>
      <c r="H455" s="30"/>
      <c r="I455" s="30"/>
      <c r="J455" s="30"/>
      <c r="K455" s="30"/>
      <c r="L455" s="30"/>
      <c r="M455" s="30"/>
      <c r="N455" s="30"/>
      <c r="O455" s="30"/>
      <c r="P455" s="30"/>
      <c r="Q455" s="30"/>
      <c r="R455" s="30"/>
      <c r="S455" s="30"/>
      <c r="T455" s="30"/>
      <c r="U455" s="13">
        <f t="shared" si="25"/>
        <v>0</v>
      </c>
      <c r="V455" s="30"/>
      <c r="W455" s="15">
        <v>500000</v>
      </c>
    </row>
    <row r="456" spans="1:31" s="154" customFormat="1" ht="30" hidden="1" x14ac:dyDescent="0.25">
      <c r="A456" s="117" t="s">
        <v>51</v>
      </c>
      <c r="B456" s="94" t="s">
        <v>433</v>
      </c>
      <c r="C456" s="22" t="s">
        <v>347</v>
      </c>
      <c r="D456" s="25"/>
      <c r="E456" s="30"/>
      <c r="F456" s="30"/>
      <c r="G456" s="30"/>
      <c r="H456" s="30"/>
      <c r="I456" s="30"/>
      <c r="J456" s="30"/>
      <c r="K456" s="30"/>
      <c r="L456" s="30"/>
      <c r="M456" s="30"/>
      <c r="N456" s="30"/>
      <c r="O456" s="30"/>
      <c r="P456" s="30"/>
      <c r="Q456" s="30"/>
      <c r="R456" s="30"/>
      <c r="S456" s="30"/>
      <c r="T456" s="30"/>
      <c r="U456" s="13">
        <f t="shared" si="25"/>
        <v>0</v>
      </c>
      <c r="V456" s="30"/>
      <c r="W456" s="15">
        <v>250000</v>
      </c>
    </row>
    <row r="457" spans="1:31" s="154" customFormat="1" ht="30" hidden="1" x14ac:dyDescent="0.25">
      <c r="A457" s="117" t="s">
        <v>53</v>
      </c>
      <c r="B457" s="94" t="s">
        <v>434</v>
      </c>
      <c r="C457" s="22" t="s">
        <v>347</v>
      </c>
      <c r="D457" s="25"/>
      <c r="E457" s="30"/>
      <c r="F457" s="30"/>
      <c r="G457" s="30"/>
      <c r="H457" s="30"/>
      <c r="I457" s="30"/>
      <c r="J457" s="30"/>
      <c r="K457" s="30"/>
      <c r="L457" s="30"/>
      <c r="M457" s="30"/>
      <c r="N457" s="30"/>
      <c r="O457" s="30"/>
      <c r="P457" s="30"/>
      <c r="Q457" s="30"/>
      <c r="R457" s="30"/>
      <c r="S457" s="30"/>
      <c r="T457" s="30"/>
      <c r="U457" s="13">
        <f t="shared" si="25"/>
        <v>0</v>
      </c>
      <c r="V457" s="30"/>
      <c r="W457" s="15">
        <v>250000</v>
      </c>
    </row>
    <row r="458" spans="1:31" s="154" customFormat="1" hidden="1" x14ac:dyDescent="0.25">
      <c r="A458" s="117" t="s">
        <v>51</v>
      </c>
      <c r="B458" s="94" t="s">
        <v>354</v>
      </c>
      <c r="C458" s="22" t="s">
        <v>347</v>
      </c>
      <c r="D458" s="33">
        <v>5</v>
      </c>
      <c r="E458" s="40"/>
      <c r="F458" s="40"/>
      <c r="G458" s="40"/>
      <c r="H458" s="40"/>
      <c r="I458" s="40"/>
      <c r="J458" s="40"/>
      <c r="K458" s="40"/>
      <c r="L458" s="40"/>
      <c r="M458" s="40"/>
      <c r="N458" s="40"/>
      <c r="O458" s="40"/>
      <c r="P458" s="40"/>
      <c r="Q458" s="40"/>
      <c r="R458" s="40"/>
      <c r="S458" s="40"/>
      <c r="T458" s="40"/>
      <c r="U458" s="13">
        <f t="shared" si="25"/>
        <v>5</v>
      </c>
      <c r="V458" s="40">
        <v>100000</v>
      </c>
      <c r="W458" s="15">
        <v>500000</v>
      </c>
    </row>
    <row r="459" spans="1:31" s="154" customFormat="1" hidden="1" x14ac:dyDescent="0.25">
      <c r="A459" s="127">
        <v>13</v>
      </c>
      <c r="B459" s="98" t="s">
        <v>355</v>
      </c>
      <c r="C459" s="22" t="s">
        <v>347</v>
      </c>
      <c r="D459" s="25">
        <v>1</v>
      </c>
      <c r="E459" s="30"/>
      <c r="F459" s="30"/>
      <c r="G459" s="30"/>
      <c r="H459" s="30"/>
      <c r="I459" s="30"/>
      <c r="J459" s="30"/>
      <c r="K459" s="30"/>
      <c r="L459" s="30"/>
      <c r="M459" s="30"/>
      <c r="N459" s="30"/>
      <c r="O459" s="30"/>
      <c r="P459" s="30"/>
      <c r="Q459" s="30"/>
      <c r="R459" s="30"/>
      <c r="S459" s="30"/>
      <c r="T459" s="30"/>
      <c r="U459" s="13">
        <f t="shared" si="25"/>
        <v>1</v>
      </c>
      <c r="V459" s="30"/>
      <c r="W459" s="15">
        <v>1500000</v>
      </c>
    </row>
    <row r="460" spans="1:31" s="154" customFormat="1" hidden="1" x14ac:dyDescent="0.25">
      <c r="A460" s="127">
        <v>14</v>
      </c>
      <c r="B460" s="98" t="s">
        <v>356</v>
      </c>
      <c r="C460" s="22" t="s">
        <v>347</v>
      </c>
      <c r="D460" s="33">
        <v>3</v>
      </c>
      <c r="E460" s="40"/>
      <c r="F460" s="40"/>
      <c r="G460" s="40"/>
      <c r="H460" s="40"/>
      <c r="I460" s="40"/>
      <c r="J460" s="40"/>
      <c r="K460" s="40"/>
      <c r="L460" s="40"/>
      <c r="M460" s="40"/>
      <c r="N460" s="40"/>
      <c r="O460" s="40"/>
      <c r="P460" s="40"/>
      <c r="Q460" s="40"/>
      <c r="R460" s="40"/>
      <c r="S460" s="40"/>
      <c r="T460" s="40"/>
      <c r="U460" s="13">
        <f t="shared" si="25"/>
        <v>3</v>
      </c>
      <c r="V460" s="40">
        <v>500000</v>
      </c>
      <c r="W460" s="15">
        <v>1500000</v>
      </c>
    </row>
    <row r="461" spans="1:31" s="154" customFormat="1" hidden="1" x14ac:dyDescent="0.25">
      <c r="A461" s="127">
        <v>15</v>
      </c>
      <c r="B461" s="98" t="s">
        <v>357</v>
      </c>
      <c r="C461" s="22" t="s">
        <v>347</v>
      </c>
      <c r="D461" s="25">
        <v>1</v>
      </c>
      <c r="E461" s="30"/>
      <c r="F461" s="30"/>
      <c r="G461" s="30"/>
      <c r="H461" s="30"/>
      <c r="I461" s="30"/>
      <c r="J461" s="30"/>
      <c r="K461" s="30"/>
      <c r="L461" s="30"/>
      <c r="M461" s="30"/>
      <c r="N461" s="30"/>
      <c r="O461" s="30"/>
      <c r="P461" s="30"/>
      <c r="Q461" s="30"/>
      <c r="R461" s="30"/>
      <c r="S461" s="30"/>
      <c r="T461" s="30"/>
      <c r="U461" s="13">
        <f t="shared" si="25"/>
        <v>1</v>
      </c>
      <c r="V461" s="30"/>
      <c r="W461" s="15">
        <v>500000</v>
      </c>
    </row>
    <row r="462" spans="1:31" hidden="1" x14ac:dyDescent="0.25">
      <c r="A462" s="117" t="s">
        <v>51</v>
      </c>
      <c r="B462" s="94" t="s">
        <v>435</v>
      </c>
      <c r="C462" s="22" t="s">
        <v>347</v>
      </c>
      <c r="D462" s="33">
        <v>1</v>
      </c>
      <c r="E462" s="40"/>
      <c r="F462" s="40"/>
      <c r="G462" s="40"/>
      <c r="H462" s="40"/>
      <c r="I462" s="40"/>
      <c r="J462" s="40"/>
      <c r="K462" s="40"/>
      <c r="L462" s="40"/>
      <c r="M462" s="40"/>
      <c r="N462" s="40"/>
      <c r="O462" s="40"/>
      <c r="P462" s="40"/>
      <c r="Q462" s="40"/>
      <c r="R462" s="40"/>
      <c r="S462" s="40"/>
      <c r="T462" s="40"/>
      <c r="U462" s="13">
        <f t="shared" si="25"/>
        <v>1</v>
      </c>
      <c r="V462" s="30"/>
      <c r="W462" s="15">
        <v>125000</v>
      </c>
    </row>
    <row r="463" spans="1:31" ht="30" hidden="1" x14ac:dyDescent="0.25">
      <c r="A463" s="117" t="s">
        <v>53</v>
      </c>
      <c r="B463" s="94" t="s">
        <v>436</v>
      </c>
      <c r="C463" s="22" t="s">
        <v>347</v>
      </c>
      <c r="D463" s="33">
        <v>1</v>
      </c>
      <c r="E463" s="40"/>
      <c r="F463" s="40"/>
      <c r="G463" s="40"/>
      <c r="H463" s="40"/>
      <c r="I463" s="40"/>
      <c r="J463" s="40"/>
      <c r="K463" s="40"/>
      <c r="L463" s="40"/>
      <c r="M463" s="40"/>
      <c r="N463" s="40"/>
      <c r="O463" s="40"/>
      <c r="P463" s="40"/>
      <c r="Q463" s="40"/>
      <c r="R463" s="40"/>
      <c r="S463" s="40"/>
      <c r="T463" s="40"/>
      <c r="U463" s="13">
        <f t="shared" si="25"/>
        <v>1</v>
      </c>
      <c r="V463" s="30"/>
      <c r="W463" s="15">
        <v>100000</v>
      </c>
      <c r="AC463"/>
      <c r="AD463"/>
      <c r="AE463">
        <f>AC463+AD463</f>
        <v>0</v>
      </c>
    </row>
    <row r="464" spans="1:31" hidden="1" x14ac:dyDescent="0.25">
      <c r="A464" s="117" t="s">
        <v>55</v>
      </c>
      <c r="B464" s="94" t="s">
        <v>437</v>
      </c>
      <c r="C464" s="22" t="s">
        <v>347</v>
      </c>
      <c r="D464" s="33">
        <v>1</v>
      </c>
      <c r="E464" s="40"/>
      <c r="F464" s="40"/>
      <c r="G464" s="40"/>
      <c r="H464" s="40"/>
      <c r="I464" s="40"/>
      <c r="J464" s="40"/>
      <c r="K464" s="40"/>
      <c r="L464" s="40"/>
      <c r="M464" s="40"/>
      <c r="N464" s="40"/>
      <c r="O464" s="40"/>
      <c r="P464" s="40"/>
      <c r="Q464" s="40"/>
      <c r="R464" s="40"/>
      <c r="S464" s="40"/>
      <c r="T464" s="40"/>
      <c r="U464" s="13">
        <f t="shared" si="25"/>
        <v>1</v>
      </c>
      <c r="V464" s="30"/>
      <c r="W464" s="15">
        <v>100000</v>
      </c>
      <c r="AC464">
        <v>187601.82</v>
      </c>
      <c r="AD464">
        <v>40000</v>
      </c>
      <c r="AE464">
        <f t="shared" ref="AE464:AE472" si="26">AC464+AD464</f>
        <v>227601.82</v>
      </c>
    </row>
    <row r="465" spans="1:31" hidden="1" x14ac:dyDescent="0.25">
      <c r="A465" s="117" t="s">
        <v>362</v>
      </c>
      <c r="B465" s="94" t="s">
        <v>438</v>
      </c>
      <c r="C465" s="22" t="s">
        <v>347</v>
      </c>
      <c r="D465" s="33">
        <v>1</v>
      </c>
      <c r="E465" s="40"/>
      <c r="F465" s="40"/>
      <c r="G465" s="40"/>
      <c r="H465" s="40"/>
      <c r="I465" s="40"/>
      <c r="J465" s="40"/>
      <c r="K465" s="40"/>
      <c r="L465" s="40"/>
      <c r="M465" s="40"/>
      <c r="N465" s="40"/>
      <c r="O465" s="40"/>
      <c r="P465" s="40"/>
      <c r="Q465" s="40"/>
      <c r="R465" s="40"/>
      <c r="S465" s="40"/>
      <c r="T465" s="40"/>
      <c r="U465" s="13">
        <f t="shared" si="25"/>
        <v>1</v>
      </c>
      <c r="V465" s="30"/>
      <c r="W465" s="15">
        <v>175000</v>
      </c>
      <c r="AC465">
        <v>101544.2</v>
      </c>
      <c r="AD465">
        <v>40000</v>
      </c>
      <c r="AE465">
        <f t="shared" si="26"/>
        <v>141544.20000000001</v>
      </c>
    </row>
    <row r="466" spans="1:31" ht="30" hidden="1" x14ac:dyDescent="0.25">
      <c r="A466" s="117" t="s">
        <v>364</v>
      </c>
      <c r="B466" s="94" t="s">
        <v>439</v>
      </c>
      <c r="C466" s="22" t="s">
        <v>347</v>
      </c>
      <c r="D466" s="33">
        <v>1</v>
      </c>
      <c r="E466" s="40"/>
      <c r="F466" s="40"/>
      <c r="G466" s="40"/>
      <c r="H466" s="40"/>
      <c r="I466" s="40"/>
      <c r="J466" s="40"/>
      <c r="K466" s="40"/>
      <c r="L466" s="40"/>
      <c r="M466" s="40"/>
      <c r="N466" s="40"/>
      <c r="O466" s="40"/>
      <c r="P466" s="40"/>
      <c r="Q466" s="40"/>
      <c r="R466" s="40"/>
      <c r="S466" s="40"/>
      <c r="T466" s="40"/>
      <c r="U466" s="13">
        <f t="shared" si="25"/>
        <v>1</v>
      </c>
      <c r="V466" s="30"/>
      <c r="W466" s="15">
        <v>500000</v>
      </c>
      <c r="X466" s="186">
        <f>SUM(W451:W466)</f>
        <v>9000000</v>
      </c>
      <c r="AC466">
        <v>134924</v>
      </c>
      <c r="AD466">
        <v>40000</v>
      </c>
      <c r="AE466">
        <f t="shared" si="26"/>
        <v>174924</v>
      </c>
    </row>
    <row r="467" spans="1:31" hidden="1" x14ac:dyDescent="0.25">
      <c r="B467" s="157"/>
      <c r="AC467">
        <v>207719.6</v>
      </c>
      <c r="AD467">
        <v>40000</v>
      </c>
      <c r="AE467">
        <f t="shared" si="26"/>
        <v>247719.6</v>
      </c>
    </row>
    <row r="468" spans="1:31" hidden="1" x14ac:dyDescent="0.25">
      <c r="B468" s="157"/>
      <c r="AC468">
        <v>274993.59999999998</v>
      </c>
      <c r="AD468">
        <v>156780</v>
      </c>
      <c r="AE468">
        <f t="shared" si="26"/>
        <v>431773.6</v>
      </c>
    </row>
    <row r="469" spans="1:31" hidden="1" x14ac:dyDescent="0.25">
      <c r="B469" s="157"/>
      <c r="V469" s="153" t="s">
        <v>415</v>
      </c>
      <c r="W469" s="68">
        <f>SUM(W5:W466)</f>
        <v>2264326091.7056952</v>
      </c>
      <c r="AC469">
        <v>141014</v>
      </c>
      <c r="AD469">
        <v>40000</v>
      </c>
      <c r="AE469">
        <f t="shared" si="26"/>
        <v>181014</v>
      </c>
    </row>
    <row r="470" spans="1:31" hidden="1" x14ac:dyDescent="0.25">
      <c r="W470" s="159"/>
      <c r="AC470">
        <v>301093.59999999998</v>
      </c>
      <c r="AD470">
        <v>156780</v>
      </c>
      <c r="AE470">
        <f t="shared" si="26"/>
        <v>457873.6</v>
      </c>
    </row>
    <row r="471" spans="1:31" hidden="1" x14ac:dyDescent="0.25">
      <c r="V471" s="153" t="s">
        <v>416</v>
      </c>
      <c r="W471" s="68">
        <v>2279229198.29</v>
      </c>
      <c r="AC471">
        <v>143304</v>
      </c>
      <c r="AD471">
        <v>40000</v>
      </c>
      <c r="AE471">
        <f t="shared" si="26"/>
        <v>183304</v>
      </c>
    </row>
    <row r="472" spans="1:31" hidden="1" x14ac:dyDescent="0.25">
      <c r="W472" s="159"/>
      <c r="AC472">
        <v>1426668.4</v>
      </c>
      <c r="AD472">
        <v>156780</v>
      </c>
      <c r="AE472">
        <f t="shared" si="26"/>
        <v>1583448.4</v>
      </c>
    </row>
    <row r="473" spans="1:31" hidden="1" x14ac:dyDescent="0.25">
      <c r="V473" s="153" t="s">
        <v>417</v>
      </c>
      <c r="W473" s="165">
        <f>W469-W471</f>
        <v>-14903106.58430481</v>
      </c>
      <c r="X473" s="1">
        <f>16069459</f>
        <v>16069459</v>
      </c>
      <c r="AC473"/>
      <c r="AD473"/>
      <c r="AE473">
        <f>SUM(AE463:AE472)</f>
        <v>3629203.2199999997</v>
      </c>
    </row>
    <row r="474" spans="1:31" hidden="1" x14ac:dyDescent="0.25">
      <c r="X474" s="1">
        <v>4726644</v>
      </c>
    </row>
    <row r="475" spans="1:31" hidden="1" x14ac:dyDescent="0.25">
      <c r="W475" s="153">
        <f>W473+X475+X476+X477+Z476+Z480</f>
        <v>69534.41569519043</v>
      </c>
      <c r="X475" s="1">
        <f>X473-X474</f>
        <v>11342815</v>
      </c>
    </row>
    <row r="476" spans="1:31" hidden="1" x14ac:dyDescent="0.25">
      <c r="X476">
        <v>3629203</v>
      </c>
    </row>
    <row r="477" spans="1:31" hidden="1" x14ac:dyDescent="0.25">
      <c r="X477" s="1">
        <v>623</v>
      </c>
    </row>
    <row r="478" spans="1:31" hidden="1" x14ac:dyDescent="0.25">
      <c r="AA478" s="187">
        <f>AA477+AB499</f>
        <v>0</v>
      </c>
    </row>
    <row r="480" spans="1:31" x14ac:dyDescent="0.25">
      <c r="AC480" s="187"/>
    </row>
  </sheetData>
  <autoFilter ref="A3:G478" xr:uid="{00000000-0009-0000-0000-000006000000}">
    <filterColumn colId="1">
      <colorFilter dxfId="65"/>
    </filterColumn>
  </autoFilter>
  <mergeCells count="3">
    <mergeCell ref="A1:W1"/>
    <mergeCell ref="A2:W2"/>
    <mergeCell ref="A197:A199"/>
  </mergeCells>
  <conditionalFormatting sqref="B1:B1048576">
    <cfRule type="duplicateValues" dxfId="11" priority="1"/>
  </conditionalFormatting>
  <conditionalFormatting sqref="B60:B62 W82:W86 W120:W134 W139:W143 W272:W288 W348:W415 W442:W466">
    <cfRule type="cellIs" dxfId="10" priority="5" operator="equal">
      <formula>0</formula>
    </cfRule>
  </conditionalFormatting>
  <conditionalFormatting sqref="B72">
    <cfRule type="cellIs" dxfId="9" priority="4" operator="equal">
      <formula>0</formula>
    </cfRule>
  </conditionalFormatting>
  <conditionalFormatting sqref="B78:B84 W70:W80 V78:V80 W88:W99">
    <cfRule type="cellIs" dxfId="8" priority="11" operator="equal">
      <formula>0</formula>
    </cfRule>
  </conditionalFormatting>
  <conditionalFormatting sqref="B112">
    <cfRule type="cellIs" dxfId="7" priority="9" operator="equal">
      <formula>0</formula>
    </cfRule>
  </conditionalFormatting>
  <conditionalFormatting sqref="B223">
    <cfRule type="cellIs" dxfId="6" priority="7" operator="equal">
      <formula>0</formula>
    </cfRule>
  </conditionalFormatting>
  <conditionalFormatting sqref="J78:M80">
    <cfRule type="cellIs" dxfId="5" priority="6" operator="equal">
      <formula>0</formula>
    </cfRule>
  </conditionalFormatting>
  <conditionalFormatting sqref="O78:O80">
    <cfRule type="cellIs" dxfId="4" priority="3" operator="equal">
      <formula>0</formula>
    </cfRule>
  </conditionalFormatting>
  <conditionalFormatting sqref="V72">
    <cfRule type="cellIs" dxfId="3" priority="2" operator="equal">
      <formula>0</formula>
    </cfRule>
  </conditionalFormatting>
  <conditionalFormatting sqref="V112:V113">
    <cfRule type="cellIs" dxfId="2" priority="10" operator="equal">
      <formula>0</formula>
    </cfRule>
  </conditionalFormatting>
  <conditionalFormatting sqref="V223">
    <cfRule type="cellIs" dxfId="1" priority="8" operator="equal">
      <formula>0</formula>
    </cfRule>
  </conditionalFormatting>
  <conditionalFormatting sqref="W3 W5:W6 W8:W22 W24:W32 W34 W36:W42 W44 W46:W51 W53 W55:W58 W60:W64 W66:W68 D78:D80 W101:W102 W104:W106 W108:W114 W116:W118 W136:W137 W145:W154 W156:W166 W168:W170 W172:W174 W176:W188 W190:W193 W195:W196 W198:W200 W202:W223 W225:W226 W228:W229 W231:W238 W240:W242 W244:W245 W247:W250 W252 W254:W256 W258:W262 W264:W267 W269:W270 W290:W307 W309:W312 W314:W317 W319:W320 W322:W324 W326:W341 W343:W346 W417:W440">
    <cfRule type="cellIs" dxfId="0" priority="12" operator="equal">
      <formula>0</formula>
    </cfRule>
  </conditionalFormatting>
  <printOptions horizontalCentered="1"/>
  <pageMargins left="0.39370078740157483" right="7.874015748031496E-2" top="0.27559055118110237" bottom="0.11811023622047245" header="0.31496062992125984" footer="0.31496062992125984"/>
  <pageSetup paperSize="9"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BOQ  with Rates </vt:lpstr>
      <vt:lpstr>BOQ  with out rates</vt:lpstr>
      <vt:lpstr>ContractBOQ  with out rates (2)</vt:lpstr>
      <vt:lpstr>BOQ UPDATES RATED FOR EVAL</vt:lpstr>
      <vt:lpstr>BOQ  with Rates  (7)</vt:lpstr>
      <vt:lpstr>Workable BOQ FINAL</vt:lpstr>
      <vt:lpstr>Workable BOQ FINAL (2)</vt:lpstr>
      <vt:lpstr>BOQ  with Rates  (5)</vt:lpstr>
      <vt:lpstr>BOQ  with Rates  (6)</vt:lpstr>
      <vt:lpstr>BOQ</vt:lpstr>
      <vt:lpstr>BOQ  with Rates  (2)</vt:lpstr>
      <vt:lpstr>BOQ  with Rates  (3)</vt:lpstr>
      <vt:lpstr>BOQ  with Rates  (4)</vt:lpstr>
      <vt:lpstr>'BOQ  with out rates'!Print_Area</vt:lpstr>
      <vt:lpstr>'BOQ  with Rates '!Print_Area</vt:lpstr>
      <vt:lpstr>'BOQ  with Rates  (2)'!Print_Area</vt:lpstr>
      <vt:lpstr>'BOQ  with Rates  (7)'!Print_Area</vt:lpstr>
      <vt:lpstr>'BOQ UPDATES RATED FOR EVAL'!Print_Area</vt:lpstr>
      <vt:lpstr>'ContractBOQ  with out rates (2)'!Print_Area</vt:lpstr>
      <vt:lpstr>'Workable BOQ FINAL'!Print_Area</vt:lpstr>
      <vt:lpstr>'Workable BOQ FINAL (2)'!Print_Area</vt:lpstr>
      <vt:lpstr>'BOQ  with Rates  (7)'!Print_Titles</vt:lpstr>
      <vt:lpstr>'BOQ UPDATES RATED FOR EVAL'!Print_Titles</vt:lpstr>
      <vt:lpstr>'ContractBOQ  with out rates (2)'!Print_Titles</vt:lpstr>
      <vt:lpstr>'Workable BOQ FINAL'!Print_Titles</vt:lpstr>
      <vt:lpstr>'Workable BOQ FINAL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c:creator>
  <cp:lastModifiedBy>irfan aslam</cp:lastModifiedBy>
  <cp:lastPrinted>2025-12-20T15:48:42Z</cp:lastPrinted>
  <dcterms:created xsi:type="dcterms:W3CDTF">2025-12-17T08:08:57Z</dcterms:created>
  <dcterms:modified xsi:type="dcterms:W3CDTF">2026-01-26T20:49:35Z</dcterms:modified>
</cp:coreProperties>
</file>